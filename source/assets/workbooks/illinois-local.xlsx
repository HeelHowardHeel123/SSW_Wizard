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tpcus808.sharepoint.com/sites/DataEntryAutomation/Shared Documents/New Automation Documents/Templates/"/>
    </mc:Choice>
  </mc:AlternateContent>
  <xr:revisionPtr revIDLastSave="40" documentId="13_ncr:1_{AC94FCC3-894E-4AA8-A959-D9DF8EF3EB1B}" xr6:coauthVersionLast="47" xr6:coauthVersionMax="47" xr10:uidLastSave="{D99E1C0C-BF0A-4EDB-BCFD-E9DADEB10716}"/>
  <bookViews>
    <workbookView xWindow="-120" yWindow="-120" windowWidth="29040" windowHeight="15720" tabRatio="716" firstSheet="3" activeTab="5" xr2:uid="{00000000-000D-0000-FFFF-FFFF00000000}"/>
  </bookViews>
  <sheets>
    <sheet name="Guidelines" sheetId="46" r:id="rId1"/>
    <sheet name="Comm Summary (O-L,N-L)" sheetId="42" r:id="rId2"/>
    <sheet name="Comm Summary (A-L)" sheetId="44" r:id="rId3"/>
    <sheet name="Comm Summary (L-L, L-O)" sheetId="34" r:id="rId4"/>
    <sheet name="Billings" sheetId="24" r:id="rId5"/>
    <sheet name="Residency - Callsheet" sheetId="52" r:id="rId22"/>
    <sheet name="AICP Bid" sheetId="53" r:id="rId23"/>
    <sheet name="PO Log" sheetId="54" r:id="rId24"/>
    <sheet name="Crew Payroll" sheetId="17" r:id="rId6"/>
    <sheet name="Talent &amp; Extras" sheetId="23" r:id="rId7"/>
    <sheet name="Agency Hours" sheetId="25" r:id="rId8"/>
    <sheet name="Agency Job Description" sheetId="51" r:id="rId9"/>
    <sheet name="Agency Sub-Vendors" sheetId="27" r:id="rId10"/>
    <sheet name="Loan Out Withholding" sheetId="50" r:id="rId11"/>
  </sheets>
  <definedNames>
    <definedName name="_xlnm._FilterDatabase" localSheetId="9">'Agency Sub-Vendors'!$B$7:$T$40</definedName>
    <definedName name="_xlnm._FilterDatabase" localSheetId="4">Billings!$B$7:$S$22</definedName>
    <definedName name="_xlnm._FilterDatabase" localSheetId="5" hidden="1">'Crew Payroll'!$B$8:$BQ$41</definedName>
    <definedName name="_xlnm._FilterDatabase" localSheetId="6" hidden="1">'Talent &amp; Extras'!$B$8:$AP$59</definedName>
    <definedName name="OLE_LINK1" localSheetId="10">#REF!</definedName>
    <definedName name="OLE_LINK1">#REF!</definedName>
    <definedName name="_xlnm.Print_Area" localSheetId="6">'Talent &amp; Extras'!$B$1:$AI$59</definedName>
    <definedName name="rngCeilingAm">#REF!</definedName>
    <definedName name="rngCeilingCnt">#REF!</definedName>
    <definedName name="rngCeilingVal">#REF!</definedName>
    <definedName name="rngFloorAm">#REF!</definedName>
    <definedName name="rngFloorCnt">#REF!</definedName>
    <definedName name="rngFloorVal">#REF!</definedName>
    <definedName name="rngMaximum">#REF!</definedName>
    <definedName name="rngMinimum">#REF!</definedName>
    <definedName name="rngNegCnt">#REF!</definedName>
    <definedName name="rngNegVal">#REF!</definedName>
    <definedName name="rngRecInDwnld">#REF!</definedName>
    <definedName name="rngRecInDwnldVal">#REF!</definedName>
    <definedName name="rngSmpSz1">#REF!</definedName>
    <definedName name="rngSmpSz2">#REF!</definedName>
    <definedName name="rngSmpSz3">#REF!</definedName>
    <definedName name="rngSmpSz4">#REF!</definedName>
    <definedName name="rngSmpSz5">#REF!</definedName>
    <definedName name="rngSmpSz6">#REF!</definedName>
    <definedName name="rngStr1BrkVal">#REF!</definedName>
    <definedName name="rngStr2BrkVal">#REF!</definedName>
    <definedName name="rngStr3BrkVal">#REF!</definedName>
    <definedName name="rngStr4BrkVal">#REF!</definedName>
    <definedName name="rngStr5BrkVal">#REF!</definedName>
    <definedName name="rngUnitsSmpCnt">#REF!</definedName>
    <definedName name="rngUnitsSmpVal">#REF!</definedName>
    <definedName name="rngUnSz1">#REF!</definedName>
    <definedName name="rngUnSz1Val">#REF!</definedName>
    <definedName name="rngUnSz2">#REF!</definedName>
    <definedName name="rngUnSz2Val">#REF!</definedName>
    <definedName name="rngUnSz3">#REF!</definedName>
    <definedName name="rngUnSz3Val">#REF!</definedName>
    <definedName name="rngUnSz4">#REF!</definedName>
    <definedName name="rngUnSz4Val">#REF!</definedName>
    <definedName name="rngUnSz5">#REF!</definedName>
    <definedName name="rngUnSz5Val">#REF!</definedName>
    <definedName name="rngUnSz6">#REF!</definedName>
    <definedName name="rngUnSz6Val">#REF!</definedName>
    <definedName name="Z_064F1E00_4E44_40D8_9D84_C13C3FC17883_.wvu.Cols" localSheetId="5" hidden="1">'Crew Payroll'!$E:$E</definedName>
    <definedName name="Z_064F1E00_4E44_40D8_9D84_C13C3FC17883_.wvu.FilterData" localSheetId="9" hidden="1">'Agency Sub-Vendors'!$B$7:$T$33</definedName>
    <definedName name="Z_064F1E00_4E44_40D8_9D84_C13C3FC17883_.wvu.FilterData" localSheetId="5" hidden="1">'Crew Payroll'!$B$8:$BC$43</definedName>
    <definedName name="Z_064F1E00_4E44_40D8_9D84_C13C3FC17883_.wvu.FilterData" localSheetId="6" hidden="1">'Talent &amp; Extras'!$B$8:$AK$59</definedName>
    <definedName name="Z_14C8854E_48EC_4FF0_8495_678A66A79974_.wvu.Cols" localSheetId="5" hidden="1">'Crew Payroll'!$E:$E</definedName>
    <definedName name="Z_14C8854E_48EC_4FF0_8495_678A66A79974_.wvu.FilterData" localSheetId="9" hidden="1">'Agency Sub-Vendors'!$B$7:$T$33</definedName>
    <definedName name="Z_14C8854E_48EC_4FF0_8495_678A66A79974_.wvu.FilterData" localSheetId="5" hidden="1">'Crew Payroll'!$B$8:$BC$43</definedName>
    <definedName name="Z_14C8854E_48EC_4FF0_8495_678A66A79974_.wvu.FilterData" localSheetId="6" hidden="1">'Talent &amp; Extras'!$B$8:$AK$59</definedName>
  </definedNames>
  <calcPr calcId="191028"/>
  <customWorkbookViews>
    <customWorkbookView name="John Ryan - Personal View" guid="{064F1E00-4E44-40D8-9D84-C13C3FC17883}" mergeInterval="0" changesSavedWin="1" personalView="1" maximized="1" windowWidth="1676" windowHeight="805" activeSheetId="6"/>
    <customWorkbookView name="Tina Dankova - Personal View" guid="{14C8854E-48EC-4FF0-8495-678A66A79974}" mergeInterval="0" personalView="1" maximized="1" windowWidth="1676" windowHeight="825" activeSheetId="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5" i="17" l="1"/>
  <c r="AD42" i="17"/>
  <c r="S63" i="23"/>
  <c r="S60" i="23"/>
  <c r="T58" i="23"/>
  <c r="T57" i="23"/>
  <c r="T56" i="23"/>
  <c r="T55" i="23"/>
  <c r="T54" i="23"/>
  <c r="T53" i="23"/>
  <c r="T52" i="23"/>
  <c r="T51" i="23"/>
  <c r="T50" i="23"/>
  <c r="T49" i="23"/>
  <c r="T48" i="23"/>
  <c r="T47" i="23"/>
  <c r="T46" i="23"/>
  <c r="T45" i="23"/>
  <c r="T44" i="23"/>
  <c r="T43" i="23"/>
  <c r="T42" i="23"/>
  <c r="T41" i="23"/>
  <c r="T40" i="23"/>
  <c r="T39" i="23"/>
  <c r="T38" i="23"/>
  <c r="T37" i="23"/>
  <c r="T36" i="23"/>
  <c r="T35" i="23"/>
  <c r="T34" i="23"/>
  <c r="T33" i="23"/>
  <c r="T32" i="23"/>
  <c r="T31" i="23"/>
  <c r="T30" i="23"/>
  <c r="T29" i="23"/>
  <c r="T28" i="23"/>
  <c r="T27" i="23"/>
  <c r="T26" i="23"/>
  <c r="T25" i="23"/>
  <c r="T24" i="23"/>
  <c r="T23" i="23"/>
  <c r="T22" i="23"/>
  <c r="T21" i="23"/>
  <c r="T20" i="23"/>
  <c r="T19" i="23"/>
  <c r="T18" i="23"/>
  <c r="T17" i="23"/>
  <c r="T16" i="23"/>
  <c r="T15" i="23"/>
  <c r="T14" i="23"/>
  <c r="T13" i="23"/>
  <c r="T12" i="23"/>
  <c r="T11" i="23"/>
  <c r="T10" i="23"/>
  <c r="AE10" i="17"/>
  <c r="AE11" i="17"/>
  <c r="AE12" i="17"/>
  <c r="AE13" i="17"/>
  <c r="AE14" i="17"/>
  <c r="AE15" i="17"/>
  <c r="AE16" i="17"/>
  <c r="AE17" i="17"/>
  <c r="AE18" i="17"/>
  <c r="AE19" i="17"/>
  <c r="AE20" i="17"/>
  <c r="AE21" i="17"/>
  <c r="AE22" i="17"/>
  <c r="AE23" i="17"/>
  <c r="AE24" i="17"/>
  <c r="AE25" i="17"/>
  <c r="AE26" i="17"/>
  <c r="AE27" i="17"/>
  <c r="AE28" i="17"/>
  <c r="AE29" i="17"/>
  <c r="AE30" i="17"/>
  <c r="AE31" i="17"/>
  <c r="AE32" i="17"/>
  <c r="AE33" i="17"/>
  <c r="AE34" i="17"/>
  <c r="AE35" i="17"/>
  <c r="AE36" i="17"/>
  <c r="AE37" i="17"/>
  <c r="AE38" i="17"/>
  <c r="AE39" i="17"/>
  <c r="AI41" i="17"/>
  <c r="AI40" i="17"/>
  <c r="J7" i="50" l="1"/>
  <c r="J8" i="50"/>
  <c r="J9" i="50"/>
  <c r="J10" i="50"/>
  <c r="J11" i="50"/>
  <c r="J12" i="50"/>
  <c r="C69" i="23"/>
  <c r="Q69" i="23"/>
  <c r="K82" i="34"/>
  <c r="K84" i="34"/>
  <c r="K78" i="34" l="1"/>
  <c r="K90" i="44"/>
  <c r="K88" i="44"/>
  <c r="K89" i="42"/>
  <c r="K87" i="42"/>
  <c r="AI23" i="24" l="1"/>
  <c r="AI22" i="24"/>
  <c r="AI21" i="24"/>
  <c r="AI20" i="24"/>
  <c r="AI19" i="24"/>
  <c r="AI18" i="24"/>
  <c r="AI17" i="24"/>
  <c r="AI16" i="24"/>
  <c r="AI15" i="24"/>
  <c r="AI14" i="24"/>
  <c r="AI13" i="24"/>
  <c r="AI12" i="24"/>
  <c r="AI11" i="24"/>
  <c r="AI10" i="24"/>
  <c r="AI9" i="24"/>
  <c r="AI8" i="24"/>
  <c r="BN11" i="17"/>
  <c r="BN12" i="17"/>
  <c r="BN13" i="17"/>
  <c r="BN14" i="17"/>
  <c r="BN15" i="17"/>
  <c r="BN16" i="17"/>
  <c r="BN17" i="17"/>
  <c r="BN18" i="17"/>
  <c r="BN19" i="17"/>
  <c r="BN20" i="17"/>
  <c r="BN21" i="17"/>
  <c r="BN22" i="17"/>
  <c r="BN23" i="17"/>
  <c r="BN24" i="17"/>
  <c r="BN25" i="17"/>
  <c r="BN26" i="17"/>
  <c r="BN27" i="17"/>
  <c r="BN28" i="17"/>
  <c r="BN29" i="17"/>
  <c r="BN30" i="17"/>
  <c r="BN31" i="17"/>
  <c r="BN32" i="17"/>
  <c r="BN33" i="17"/>
  <c r="BN34" i="17"/>
  <c r="BN35" i="17"/>
  <c r="BN36" i="17"/>
  <c r="BN37" i="17"/>
  <c r="BN38" i="17"/>
  <c r="BN39" i="17"/>
  <c r="BN40" i="17"/>
  <c r="BN41" i="17"/>
  <c r="AA25" i="25"/>
  <c r="AA26" i="25"/>
  <c r="AA27" i="25"/>
  <c r="AA28" i="25"/>
  <c r="AA29" i="25"/>
  <c r="AA30" i="25"/>
  <c r="AA31" i="25"/>
  <c r="AA32" i="25"/>
  <c r="AA33" i="25"/>
  <c r="AA34" i="25"/>
  <c r="AA24" i="25"/>
  <c r="AA23" i="25"/>
  <c r="AA22" i="25"/>
  <c r="AA21" i="25"/>
  <c r="AA20" i="25"/>
  <c r="AA19" i="25"/>
  <c r="AA18" i="25"/>
  <c r="AA10" i="25"/>
  <c r="AA11" i="25"/>
  <c r="AA12" i="25"/>
  <c r="AA13" i="25"/>
  <c r="AA14" i="25"/>
  <c r="AA15" i="25"/>
  <c r="AA16" i="25"/>
  <c r="AA17" i="25"/>
  <c r="AA9" i="25"/>
  <c r="D51" i="42"/>
  <c r="J80" i="42"/>
  <c r="L66" i="42"/>
  <c r="R85" i="42" s="1"/>
  <c r="P45" i="17"/>
  <c r="P42" i="17"/>
  <c r="O45" i="17"/>
  <c r="O42" i="17"/>
  <c r="Q64" i="42"/>
  <c r="Q64" i="44"/>
  <c r="O60" i="34"/>
  <c r="Q60" i="34"/>
  <c r="O64" i="42"/>
  <c r="R60" i="42"/>
  <c r="J75" i="34"/>
  <c r="J81" i="44"/>
  <c r="N84" i="42" a="1"/>
  <c r="N84" i="42" s="1"/>
  <c r="J83" i="42"/>
  <c r="L76" i="42"/>
  <c r="M76" i="42" s="1" a="1"/>
  <c r="M76" i="42" s="1"/>
  <c r="L75" i="42"/>
  <c r="M75" i="42" s="1" a="1"/>
  <c r="M75" i="42" s="1"/>
  <c r="J84" i="44"/>
  <c r="J78" i="34"/>
  <c r="R80" i="34"/>
  <c r="K72" i="34"/>
  <c r="L72" i="34" s="1"/>
  <c r="M72" i="34" s="1" a="1"/>
  <c r="M72" i="34" s="1"/>
  <c r="L71" i="34"/>
  <c r="M71" i="34" s="1" a="1"/>
  <c r="M71" i="34" s="1"/>
  <c r="L77" i="44"/>
  <c r="M77" i="44" s="1" a="1"/>
  <c r="M77" i="44" s="1"/>
  <c r="L76" i="44"/>
  <c r="M76" i="44" s="1" a="1"/>
  <c r="M76" i="44" s="1"/>
  <c r="O64" i="44"/>
  <c r="L58" i="34"/>
  <c r="K73" i="34" s="1"/>
  <c r="L73" i="34" s="1"/>
  <c r="M73" i="34" s="1" a="1"/>
  <c r="M73" i="34" s="1"/>
  <c r="P55" i="34"/>
  <c r="R55" i="34"/>
  <c r="R54" i="34"/>
  <c r="R63" i="34"/>
  <c r="R62" i="34"/>
  <c r="R61" i="34"/>
  <c r="R58" i="34"/>
  <c r="R57" i="34"/>
  <c r="R56" i="34"/>
  <c r="R67" i="44"/>
  <c r="R59" i="44"/>
  <c r="R66" i="44"/>
  <c r="R65" i="44"/>
  <c r="R62" i="44"/>
  <c r="R61" i="44"/>
  <c r="R60" i="44"/>
  <c r="R58" i="44"/>
  <c r="R57" i="44"/>
  <c r="R56" i="44"/>
  <c r="R55" i="44"/>
  <c r="R53" i="44"/>
  <c r="R65" i="42"/>
  <c r="R56" i="42"/>
  <c r="R54" i="42"/>
  <c r="R67" i="42"/>
  <c r="R66" i="42"/>
  <c r="R62" i="42"/>
  <c r="R61" i="42"/>
  <c r="R59" i="42"/>
  <c r="R58" i="42"/>
  <c r="R57" i="42"/>
  <c r="R60" i="34" l="1"/>
  <c r="R64" i="44"/>
  <c r="R64" i="42"/>
  <c r="P58" i="34"/>
  <c r="J84" i="42"/>
  <c r="J85" i="42" s="1"/>
  <c r="J90" i="42" s="1"/>
  <c r="J79" i="34"/>
  <c r="J80" i="34" s="1"/>
  <c r="J85" i="34" s="1"/>
  <c r="J85" i="44"/>
  <c r="J86" i="44" s="1"/>
  <c r="J91" i="44" s="1"/>
  <c r="L62" i="42"/>
  <c r="L62" i="44"/>
  <c r="AN18" i="25"/>
  <c r="AQ18" i="25" s="1"/>
  <c r="AW14" i="17"/>
  <c r="AW10" i="17"/>
  <c r="AW9" i="17"/>
  <c r="V42" i="42"/>
  <c r="V42" i="44"/>
  <c r="G33" i="24"/>
  <c r="G32" i="24"/>
  <c r="G31" i="24"/>
  <c r="G30" i="24"/>
  <c r="G29" i="24"/>
  <c r="G28" i="24"/>
  <c r="G27" i="24"/>
  <c r="H33" i="24"/>
  <c r="H32" i="24"/>
  <c r="H31" i="24"/>
  <c r="H30" i="24"/>
  <c r="H29" i="24"/>
  <c r="H28" i="24"/>
  <c r="H27" i="24"/>
  <c r="F33" i="24"/>
  <c r="F32" i="24"/>
  <c r="F31" i="24"/>
  <c r="F28" i="24"/>
  <c r="F29" i="24"/>
  <c r="F30" i="24"/>
  <c r="F27" i="24"/>
  <c r="D51" i="34" s="1"/>
  <c r="AJ19" i="24"/>
  <c r="AG19" i="24"/>
  <c r="AF19" i="24"/>
  <c r="AE19" i="24"/>
  <c r="AD19" i="24"/>
  <c r="AC19" i="24"/>
  <c r="AB19" i="24"/>
  <c r="AA19" i="24"/>
  <c r="Z19" i="24"/>
  <c r="AJ18" i="24"/>
  <c r="AG18" i="24"/>
  <c r="AF18" i="24"/>
  <c r="AE18" i="24"/>
  <c r="AD18" i="24"/>
  <c r="AC18" i="24"/>
  <c r="AB18" i="24"/>
  <c r="AA18" i="24"/>
  <c r="Z18" i="24"/>
  <c r="AJ17" i="24"/>
  <c r="AG17" i="24"/>
  <c r="AF17" i="24"/>
  <c r="AE17" i="24"/>
  <c r="AD17" i="24"/>
  <c r="AC17" i="24"/>
  <c r="AB17" i="24"/>
  <c r="AA17" i="24"/>
  <c r="Z17" i="24"/>
  <c r="AJ16" i="24"/>
  <c r="AG16" i="24"/>
  <c r="AF16" i="24"/>
  <c r="AE16" i="24"/>
  <c r="AD16" i="24"/>
  <c r="AC16" i="24"/>
  <c r="AB16" i="24"/>
  <c r="AA16" i="24"/>
  <c r="Z16" i="24"/>
  <c r="J86" i="34" l="1"/>
  <c r="J87" i="34"/>
  <c r="J91" i="42"/>
  <c r="J92" i="42"/>
  <c r="K79" i="44"/>
  <c r="L79" i="44" s="1"/>
  <c r="M79" i="44" s="1" a="1"/>
  <c r="M79" i="44" s="1"/>
  <c r="P62" i="44"/>
  <c r="D54" i="42"/>
  <c r="D53" i="34"/>
  <c r="D53" i="44"/>
  <c r="K78" i="42"/>
  <c r="P62" i="42"/>
  <c r="J92" i="44"/>
  <c r="J93" i="44" s="1"/>
  <c r="F34" i="24"/>
  <c r="V42" i="34"/>
  <c r="L78" i="42" l="1"/>
  <c r="M78" i="42" s="1" a="1"/>
  <c r="M78" i="42" s="1"/>
  <c r="K40" i="34"/>
  <c r="K40" i="44"/>
  <c r="U41" i="44"/>
  <c r="U41" i="34"/>
  <c r="K48" i="25"/>
  <c r="K47" i="25"/>
  <c r="K46" i="25"/>
  <c r="K45" i="25"/>
  <c r="K44" i="25"/>
  <c r="S49" i="25"/>
  <c r="P31" i="34" s="1"/>
  <c r="R49" i="25"/>
  <c r="Q49" i="25"/>
  <c r="P49" i="25"/>
  <c r="O49" i="25"/>
  <c r="U31" i="34" s="1"/>
  <c r="K43" i="25"/>
  <c r="J48" i="25"/>
  <c r="J47" i="25"/>
  <c r="J46" i="25"/>
  <c r="J45" i="25"/>
  <c r="J44" i="25"/>
  <c r="J43" i="25"/>
  <c r="H44" i="25"/>
  <c r="I44" i="25"/>
  <c r="H45" i="25"/>
  <c r="I45" i="25"/>
  <c r="H46" i="25"/>
  <c r="I46" i="25"/>
  <c r="H47" i="25"/>
  <c r="I47" i="25"/>
  <c r="H48" i="25"/>
  <c r="I48" i="25"/>
  <c r="I43" i="25"/>
  <c r="H43" i="25"/>
  <c r="O35" i="25"/>
  <c r="AN26" i="25"/>
  <c r="AQ26" i="25" s="1"/>
  <c r="AL26" i="25"/>
  <c r="AK26" i="25"/>
  <c r="AJ26" i="25"/>
  <c r="AI26" i="25"/>
  <c r="AH26" i="25"/>
  <c r="AG26" i="25"/>
  <c r="AF26" i="25"/>
  <c r="AN25" i="25"/>
  <c r="AQ25" i="25" s="1"/>
  <c r="AL25" i="25"/>
  <c r="AK25" i="25"/>
  <c r="AJ25" i="25"/>
  <c r="AI25" i="25"/>
  <c r="AH25" i="25"/>
  <c r="AG25" i="25"/>
  <c r="AF25" i="25"/>
  <c r="AN24" i="25"/>
  <c r="AQ24" i="25" s="1"/>
  <c r="AL24" i="25"/>
  <c r="AK24" i="25"/>
  <c r="AJ24" i="25"/>
  <c r="AI24" i="25"/>
  <c r="AG24" i="25"/>
  <c r="AF24" i="25"/>
  <c r="AH24" i="25"/>
  <c r="AN23" i="25"/>
  <c r="AQ23" i="25" s="1"/>
  <c r="AL23" i="25"/>
  <c r="AK23" i="25"/>
  <c r="AJ23" i="25"/>
  <c r="AI23" i="25"/>
  <c r="AG23" i="25"/>
  <c r="AF23" i="25"/>
  <c r="AH23" i="25"/>
  <c r="AN22" i="25"/>
  <c r="AQ22" i="25" s="1"/>
  <c r="AL22" i="25"/>
  <c r="AK22" i="25"/>
  <c r="AJ22" i="25"/>
  <c r="AI22" i="25"/>
  <c r="AG22" i="25"/>
  <c r="AF22" i="25"/>
  <c r="AH22" i="25"/>
  <c r="AN21" i="25"/>
  <c r="AQ21" i="25" s="1"/>
  <c r="AL21" i="25"/>
  <c r="AK21" i="25"/>
  <c r="AJ21" i="25"/>
  <c r="AI21" i="25"/>
  <c r="AG21" i="25"/>
  <c r="AF21" i="25"/>
  <c r="AH21" i="25"/>
  <c r="AN20" i="25"/>
  <c r="AQ20" i="25" s="1"/>
  <c r="AL20" i="25"/>
  <c r="AK20" i="25"/>
  <c r="AJ20" i="25"/>
  <c r="AI20" i="25"/>
  <c r="AG20" i="25"/>
  <c r="AF20" i="25"/>
  <c r="AH20" i="25"/>
  <c r="T38" i="44" l="1"/>
  <c r="T38" i="34"/>
  <c r="T49" i="25"/>
  <c r="U31" i="44"/>
  <c r="U31" i="42"/>
  <c r="P31" i="44"/>
  <c r="P31" i="42"/>
  <c r="J49" i="25"/>
  <c r="K49" i="25"/>
  <c r="AN34" i="25"/>
  <c r="AQ34" i="25" s="1"/>
  <c r="AL34" i="25"/>
  <c r="AK34" i="25"/>
  <c r="AJ34" i="25"/>
  <c r="AI34" i="25"/>
  <c r="AH34" i="25"/>
  <c r="AG34" i="25"/>
  <c r="AN33" i="25"/>
  <c r="AQ33" i="25" s="1"/>
  <c r="AL33" i="25"/>
  <c r="AK33" i="25"/>
  <c r="AJ33" i="25"/>
  <c r="AI33" i="25"/>
  <c r="AH33" i="25"/>
  <c r="AG33" i="25"/>
  <c r="AN32" i="25"/>
  <c r="AQ32" i="25" s="1"/>
  <c r="AL32" i="25"/>
  <c r="AK32" i="25"/>
  <c r="AJ32" i="25"/>
  <c r="AI32" i="25"/>
  <c r="AG32" i="25"/>
  <c r="AN31" i="25"/>
  <c r="AQ31" i="25" s="1"/>
  <c r="AL31" i="25"/>
  <c r="AK31" i="25"/>
  <c r="AJ31" i="25"/>
  <c r="AI31" i="25"/>
  <c r="AG31" i="25"/>
  <c r="AN30" i="25"/>
  <c r="AQ30" i="25" s="1"/>
  <c r="AL30" i="25"/>
  <c r="AK30" i="25"/>
  <c r="AJ30" i="25"/>
  <c r="AI30" i="25"/>
  <c r="AG30" i="25"/>
  <c r="AN29" i="25"/>
  <c r="AQ29" i="25" s="1"/>
  <c r="AL29" i="25"/>
  <c r="AK29" i="25"/>
  <c r="AJ29" i="25"/>
  <c r="AI29" i="25"/>
  <c r="AG29" i="25"/>
  <c r="AN28" i="25"/>
  <c r="AQ28" i="25" s="1"/>
  <c r="AL28" i="25"/>
  <c r="AK28" i="25"/>
  <c r="AJ28" i="25"/>
  <c r="AI28" i="25"/>
  <c r="AG28" i="25"/>
  <c r="AH32" i="25"/>
  <c r="AH31" i="25"/>
  <c r="S43" i="25"/>
  <c r="R43" i="25"/>
  <c r="Q43" i="25"/>
  <c r="P43" i="25"/>
  <c r="O43" i="25"/>
  <c r="N35" i="25"/>
  <c r="S55" i="25"/>
  <c r="R55" i="25"/>
  <c r="Q55" i="25"/>
  <c r="P55" i="25"/>
  <c r="O55" i="25"/>
  <c r="AH30" i="25"/>
  <c r="AH29" i="25"/>
  <c r="AH28" i="25"/>
  <c r="Y76" i="17"/>
  <c r="Y75" i="17"/>
  <c r="Y74" i="17"/>
  <c r="Y73" i="17"/>
  <c r="Y72" i="17"/>
  <c r="Y71" i="17"/>
  <c r="Y70" i="17"/>
  <c r="Y69" i="17"/>
  <c r="Y68" i="17"/>
  <c r="Y67" i="17"/>
  <c r="Y66" i="17"/>
  <c r="Y65" i="17"/>
  <c r="Y64" i="17"/>
  <c r="Y63" i="17"/>
  <c r="K55" i="27"/>
  <c r="K50" i="27"/>
  <c r="M61" i="27" s="1"/>
  <c r="AO107" i="23"/>
  <c r="AN107" i="23"/>
  <c r="AM107" i="23"/>
  <c r="AL107" i="23"/>
  <c r="AO106" i="23"/>
  <c r="AN106" i="23"/>
  <c r="AM106" i="23"/>
  <c r="AL106" i="23"/>
  <c r="AO105" i="23"/>
  <c r="AN105" i="23"/>
  <c r="AM105" i="23"/>
  <c r="AL105" i="23"/>
  <c r="AO104" i="23"/>
  <c r="AN104" i="23"/>
  <c r="AM104" i="23"/>
  <c r="AL104" i="23"/>
  <c r="AO103" i="23"/>
  <c r="AN103" i="23"/>
  <c r="AM103" i="23"/>
  <c r="AL103" i="23"/>
  <c r="AO102" i="23"/>
  <c r="AN102" i="23"/>
  <c r="AM102" i="23"/>
  <c r="AL102" i="23"/>
  <c r="AO101" i="23"/>
  <c r="AN101" i="23"/>
  <c r="AM101" i="23"/>
  <c r="AL101" i="23"/>
  <c r="AO100" i="23"/>
  <c r="AN100" i="23"/>
  <c r="AM100" i="23"/>
  <c r="AL100" i="23"/>
  <c r="AO99" i="23"/>
  <c r="AN99" i="23"/>
  <c r="AM99" i="23"/>
  <c r="AL99" i="23"/>
  <c r="AO98" i="23"/>
  <c r="AN98" i="23"/>
  <c r="AM98" i="23"/>
  <c r="AL98" i="23"/>
  <c r="AO97" i="23"/>
  <c r="AN97" i="23"/>
  <c r="AM97" i="23"/>
  <c r="AL97" i="23"/>
  <c r="AO96" i="23"/>
  <c r="AN96" i="23"/>
  <c r="AM96" i="23"/>
  <c r="AL96" i="23"/>
  <c r="AO95" i="23"/>
  <c r="AN95" i="23"/>
  <c r="AM95" i="23"/>
  <c r="AL95" i="23"/>
  <c r="AO94" i="23"/>
  <c r="AN94" i="23"/>
  <c r="AM94" i="23"/>
  <c r="AL94" i="23"/>
  <c r="AO93" i="23"/>
  <c r="AN93" i="23"/>
  <c r="AM93" i="23"/>
  <c r="AL93" i="23"/>
  <c r="AO92" i="23"/>
  <c r="AN92" i="23"/>
  <c r="AM92" i="23"/>
  <c r="AL92" i="23"/>
  <c r="AO91" i="23"/>
  <c r="AN91" i="23"/>
  <c r="AM91" i="23"/>
  <c r="AL91" i="23"/>
  <c r="AO90" i="23"/>
  <c r="AN90" i="23"/>
  <c r="AM90" i="23"/>
  <c r="AL90" i="23"/>
  <c r="AL108" i="23" s="1"/>
  <c r="AK91" i="23"/>
  <c r="AK92" i="23"/>
  <c r="AK93" i="23"/>
  <c r="AK94" i="23"/>
  <c r="AK95" i="23"/>
  <c r="AK96" i="23"/>
  <c r="AK97" i="23"/>
  <c r="AK98" i="23"/>
  <c r="AK99" i="23"/>
  <c r="AK100" i="23"/>
  <c r="AK101" i="23"/>
  <c r="AK102" i="23"/>
  <c r="AK103" i="23"/>
  <c r="AK104" i="23"/>
  <c r="AK105" i="23"/>
  <c r="AK106" i="23"/>
  <c r="AK107" i="23"/>
  <c r="AK90" i="23"/>
  <c r="AO108" i="23" l="1"/>
  <c r="AN108" i="23"/>
  <c r="AM108" i="23"/>
  <c r="Q61" i="25"/>
  <c r="T50" i="25"/>
  <c r="Q64" i="25"/>
  <c r="P34" i="44"/>
  <c r="P34" i="42"/>
  <c r="P34" i="34"/>
  <c r="T27" i="42"/>
  <c r="T27" i="44"/>
  <c r="T33" i="42"/>
  <c r="T33" i="44"/>
  <c r="T33" i="34"/>
  <c r="Q59" i="25"/>
  <c r="P29" i="44"/>
  <c r="P29" i="42"/>
  <c r="J31" i="44"/>
  <c r="V31" i="44" s="1"/>
  <c r="J31" i="42"/>
  <c r="V31" i="42" s="1"/>
  <c r="J31" i="34"/>
  <c r="V31" i="34" s="1"/>
  <c r="Q65" i="25"/>
  <c r="P35" i="44"/>
  <c r="P35" i="42"/>
  <c r="P35" i="34"/>
  <c r="T26" i="42"/>
  <c r="T26" i="44"/>
  <c r="T26" i="34"/>
  <c r="Q60" i="25"/>
  <c r="T43" i="25"/>
  <c r="Q66" i="25"/>
  <c r="T55" i="25"/>
  <c r="Q58" i="25"/>
  <c r="J50" i="25"/>
  <c r="J51" i="25" s="1"/>
  <c r="Q71" i="25"/>
  <c r="Q72" i="25"/>
  <c r="Q73" i="25"/>
  <c r="Q67" i="25"/>
  <c r="T27" i="34"/>
  <c r="Q70" i="25"/>
  <c r="P28" i="34"/>
  <c r="T107" i="23"/>
  <c r="T106" i="23"/>
  <c r="T105" i="23"/>
  <c r="T104" i="23"/>
  <c r="T103" i="23"/>
  <c r="T102" i="23"/>
  <c r="T101" i="23"/>
  <c r="T100" i="23"/>
  <c r="T99" i="23"/>
  <c r="T98" i="23"/>
  <c r="T97" i="23"/>
  <c r="T96" i="23"/>
  <c r="T95" i="23"/>
  <c r="T94" i="23"/>
  <c r="T93" i="23"/>
  <c r="T92" i="23"/>
  <c r="T91" i="23"/>
  <c r="T90" i="23"/>
  <c r="O107" i="23"/>
  <c r="N107" i="23"/>
  <c r="O106" i="23"/>
  <c r="N106" i="23"/>
  <c r="O105" i="23"/>
  <c r="N105" i="23"/>
  <c r="O104" i="23"/>
  <c r="N104" i="23"/>
  <c r="O103" i="23"/>
  <c r="N103" i="23"/>
  <c r="O102" i="23"/>
  <c r="N102" i="23"/>
  <c r="O101" i="23"/>
  <c r="N101" i="23"/>
  <c r="O100" i="23"/>
  <c r="N100" i="23"/>
  <c r="O99" i="23"/>
  <c r="N99" i="23"/>
  <c r="O98" i="23"/>
  <c r="N98" i="23"/>
  <c r="O97" i="23"/>
  <c r="N97" i="23"/>
  <c r="O96" i="23"/>
  <c r="N96" i="23"/>
  <c r="O95" i="23"/>
  <c r="N95" i="23"/>
  <c r="O94" i="23"/>
  <c r="N94" i="23"/>
  <c r="O93" i="23"/>
  <c r="N93" i="23"/>
  <c r="O92" i="23"/>
  <c r="N92" i="23"/>
  <c r="O91" i="23"/>
  <c r="N91" i="23"/>
  <c r="O90" i="23"/>
  <c r="N90" i="23"/>
  <c r="G71" i="23"/>
  <c r="F71" i="23"/>
  <c r="E71" i="23"/>
  <c r="D71" i="23"/>
  <c r="G70" i="23"/>
  <c r="F70" i="23"/>
  <c r="E70" i="23"/>
  <c r="D70" i="23"/>
  <c r="P22" i="34" s="1"/>
  <c r="G69" i="23"/>
  <c r="F69" i="23"/>
  <c r="E69" i="23"/>
  <c r="D69" i="23"/>
  <c r="M75" i="23"/>
  <c r="T76" i="17"/>
  <c r="T75" i="17"/>
  <c r="T74" i="17"/>
  <c r="T73" i="17"/>
  <c r="T72" i="17"/>
  <c r="T71" i="17"/>
  <c r="T70" i="17"/>
  <c r="T69" i="17"/>
  <c r="T68" i="17"/>
  <c r="T67" i="17"/>
  <c r="T66" i="17"/>
  <c r="T65" i="17"/>
  <c r="S76" i="17"/>
  <c r="S75" i="17"/>
  <c r="S74" i="17"/>
  <c r="S73" i="17"/>
  <c r="S72" i="17"/>
  <c r="S71" i="17"/>
  <c r="S70" i="17"/>
  <c r="S69" i="17"/>
  <c r="S68" i="17"/>
  <c r="U76" i="17"/>
  <c r="U75" i="17"/>
  <c r="U74" i="17"/>
  <c r="U73" i="17"/>
  <c r="U72" i="17"/>
  <c r="U71" i="17"/>
  <c r="U70" i="17"/>
  <c r="U69" i="17"/>
  <c r="U68" i="17"/>
  <c r="U66" i="17"/>
  <c r="U65" i="17"/>
  <c r="U64" i="17"/>
  <c r="U63" i="17"/>
  <c r="G42" i="24"/>
  <c r="G41" i="24"/>
  <c r="G40" i="24"/>
  <c r="F42" i="24"/>
  <c r="F41" i="24"/>
  <c r="F40" i="24"/>
  <c r="E42" i="24"/>
  <c r="E41" i="24"/>
  <c r="D52" i="42" s="1"/>
  <c r="L54" i="42" s="1"/>
  <c r="E40" i="24"/>
  <c r="D53" i="42" s="1"/>
  <c r="AB45" i="17"/>
  <c r="AB42" i="17"/>
  <c r="F72" i="23" l="1"/>
  <c r="O84" i="23" s="1"/>
  <c r="P21" i="42"/>
  <c r="P21" i="44"/>
  <c r="P21" i="34"/>
  <c r="G72" i="23"/>
  <c r="P22" i="44"/>
  <c r="P22" i="42"/>
  <c r="Q62" i="25"/>
  <c r="T44" i="25" s="1"/>
  <c r="Q68" i="25"/>
  <c r="K27" i="44"/>
  <c r="K27" i="42"/>
  <c r="Q27" i="44"/>
  <c r="Q27" i="42"/>
  <c r="K50" i="25"/>
  <c r="P28" i="42"/>
  <c r="P28" i="44"/>
  <c r="Q33" i="44"/>
  <c r="Q33" i="42"/>
  <c r="Q33" i="34"/>
  <c r="BN10" i="17"/>
  <c r="H40" i="24"/>
  <c r="H42" i="24"/>
  <c r="H41" i="24"/>
  <c r="Q74" i="25"/>
  <c r="R74" i="25" s="1"/>
  <c r="V69" i="17"/>
  <c r="V75" i="17"/>
  <c r="V68" i="17"/>
  <c r="V76" i="17"/>
  <c r="V70" i="17"/>
  <c r="V71" i="17"/>
  <c r="V72" i="17"/>
  <c r="V73" i="17"/>
  <c r="V74" i="17"/>
  <c r="T108" i="23"/>
  <c r="F43" i="24"/>
  <c r="V27" i="42" l="1"/>
  <c r="K33" i="44"/>
  <c r="V33" i="44" s="1"/>
  <c r="K33" i="42"/>
  <c r="V33" i="42" s="1"/>
  <c r="R68" i="25"/>
  <c r="K33" i="34"/>
  <c r="V33" i="34" s="1"/>
  <c r="T56" i="25"/>
  <c r="V27" i="44"/>
  <c r="BF41" i="17" l="1"/>
  <c r="BF40" i="17"/>
  <c r="BF39" i="17"/>
  <c r="BF38" i="17"/>
  <c r="BF37" i="17"/>
  <c r="BF36" i="17"/>
  <c r="BF35" i="17"/>
  <c r="BF34" i="17"/>
  <c r="BF33" i="17"/>
  <c r="BF32" i="17"/>
  <c r="BF31" i="17"/>
  <c r="BF30" i="17"/>
  <c r="BF29" i="17"/>
  <c r="BF28" i="17"/>
  <c r="BF27" i="17"/>
  <c r="BF26" i="17"/>
  <c r="BF25" i="17"/>
  <c r="BF24" i="17"/>
  <c r="BF23" i="17"/>
  <c r="BF22" i="17"/>
  <c r="BF21" i="17"/>
  <c r="BF20" i="17"/>
  <c r="BF19" i="17"/>
  <c r="BF18" i="17"/>
  <c r="BF17" i="17"/>
  <c r="BF16" i="17"/>
  <c r="BF15" i="17"/>
  <c r="BF14" i="17"/>
  <c r="BF13" i="17"/>
  <c r="BF12" i="17"/>
  <c r="BF11" i="17"/>
  <c r="BF1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AJ9" i="24"/>
  <c r="AJ10" i="24"/>
  <c r="AJ11" i="24"/>
  <c r="AJ12" i="24"/>
  <c r="AJ13" i="24"/>
  <c r="AJ14" i="24"/>
  <c r="AJ15" i="24"/>
  <c r="AJ20" i="24"/>
  <c r="AJ21" i="24"/>
  <c r="AJ22" i="24"/>
  <c r="AJ23" i="24"/>
  <c r="AJ8" i="24"/>
  <c r="W65" i="17"/>
  <c r="X65" i="17"/>
  <c r="W66" i="17"/>
  <c r="X66" i="17"/>
  <c r="W67" i="17"/>
  <c r="X67" i="17"/>
  <c r="W68" i="17"/>
  <c r="X68" i="17"/>
  <c r="W69" i="17"/>
  <c r="X69" i="17"/>
  <c r="W70" i="17"/>
  <c r="X70" i="17"/>
  <c r="W71" i="17"/>
  <c r="X71" i="17"/>
  <c r="W72" i="17"/>
  <c r="X72" i="17"/>
  <c r="W73" i="17"/>
  <c r="X73" i="17"/>
  <c r="M25" i="24" l="1"/>
  <c r="L25" i="24"/>
  <c r="AW39" i="17" l="1"/>
  <c r="AW38" i="17"/>
  <c r="AW37" i="17"/>
  <c r="AW36" i="17"/>
  <c r="AW35" i="17"/>
  <c r="AW34" i="17"/>
  <c r="AW33" i="17"/>
  <c r="AW32" i="17"/>
  <c r="AW31" i="17"/>
  <c r="AW30" i="17"/>
  <c r="AW29" i="17"/>
  <c r="AW28" i="17"/>
  <c r="AW27" i="17"/>
  <c r="AW26" i="17"/>
  <c r="AW25" i="17"/>
  <c r="AW24" i="17"/>
  <c r="AW23" i="17"/>
  <c r="AW22" i="17"/>
  <c r="AW21" i="17"/>
  <c r="AW20" i="17"/>
  <c r="AW19" i="17"/>
  <c r="AW18" i="17"/>
  <c r="AW17" i="17"/>
  <c r="AW16" i="17"/>
  <c r="AW15" i="17"/>
  <c r="AW13" i="17"/>
  <c r="AW12" i="17"/>
  <c r="AW11" i="17"/>
  <c r="L66" i="44"/>
  <c r="D50" i="44"/>
  <c r="C4" i="44"/>
  <c r="P29" i="34"/>
  <c r="L58" i="44"/>
  <c r="P58" i="44" s="1"/>
  <c r="R127" i="23"/>
  <c r="R126" i="23"/>
  <c r="R116" i="23"/>
  <c r="R115" i="23"/>
  <c r="R117" i="23"/>
  <c r="R118" i="23"/>
  <c r="Z107" i="23"/>
  <c r="Y107" i="23"/>
  <c r="X107" i="23"/>
  <c r="Z106" i="23"/>
  <c r="Y106" i="23"/>
  <c r="X106" i="23"/>
  <c r="Z105" i="23"/>
  <c r="Y105" i="23"/>
  <c r="X105" i="23"/>
  <c r="Z104" i="23"/>
  <c r="Y104" i="23"/>
  <c r="X104" i="23"/>
  <c r="Z103" i="23"/>
  <c r="Y103" i="23"/>
  <c r="X103" i="23"/>
  <c r="Z102" i="23"/>
  <c r="Y102" i="23"/>
  <c r="X102" i="23"/>
  <c r="Z101" i="23"/>
  <c r="Y101" i="23"/>
  <c r="X101" i="23"/>
  <c r="Z100" i="23"/>
  <c r="Y100" i="23"/>
  <c r="X100" i="23"/>
  <c r="Z99" i="23"/>
  <c r="Y99" i="23"/>
  <c r="X99" i="23"/>
  <c r="Z98" i="23"/>
  <c r="Y98" i="23"/>
  <c r="X98" i="23"/>
  <c r="Z97" i="23"/>
  <c r="Y97" i="23"/>
  <c r="X97" i="23"/>
  <c r="Z96" i="23"/>
  <c r="Y96" i="23"/>
  <c r="X96" i="23"/>
  <c r="Z95" i="23"/>
  <c r="Y95" i="23"/>
  <c r="X95" i="23"/>
  <c r="Z94" i="23"/>
  <c r="Y94" i="23"/>
  <c r="X94" i="23"/>
  <c r="Z93" i="23"/>
  <c r="Y93" i="23"/>
  <c r="X93" i="23"/>
  <c r="Z92" i="23"/>
  <c r="Y92" i="23"/>
  <c r="X92" i="23"/>
  <c r="Z91" i="23"/>
  <c r="Y91" i="23"/>
  <c r="X91" i="23"/>
  <c r="Z90" i="23"/>
  <c r="Y90" i="23"/>
  <c r="X90" i="23"/>
  <c r="R107" i="23"/>
  <c r="R106" i="23"/>
  <c r="R105" i="23"/>
  <c r="R104" i="23"/>
  <c r="R103" i="23"/>
  <c r="R102" i="23"/>
  <c r="R101" i="23"/>
  <c r="R100" i="23"/>
  <c r="R99" i="23"/>
  <c r="R98" i="23"/>
  <c r="R97" i="23"/>
  <c r="R96" i="23"/>
  <c r="R95" i="23"/>
  <c r="R94" i="23"/>
  <c r="R93" i="23"/>
  <c r="R92" i="23"/>
  <c r="D50" i="34"/>
  <c r="H56" i="24"/>
  <c r="H58" i="24" s="1"/>
  <c r="AE9" i="24"/>
  <c r="AF9" i="24"/>
  <c r="AG9" i="24"/>
  <c r="AE10" i="24"/>
  <c r="AF10" i="24"/>
  <c r="AG10" i="24"/>
  <c r="AE11" i="24"/>
  <c r="AF11" i="24"/>
  <c r="AG11" i="24"/>
  <c r="AE12" i="24"/>
  <c r="AF12" i="24"/>
  <c r="AG12" i="24"/>
  <c r="AE13" i="24"/>
  <c r="AF13" i="24"/>
  <c r="AG13" i="24"/>
  <c r="AE14" i="24"/>
  <c r="AF14" i="24"/>
  <c r="AG14" i="24"/>
  <c r="AE15" i="24"/>
  <c r="AF15" i="24"/>
  <c r="AG15" i="24"/>
  <c r="AE20" i="24"/>
  <c r="AF20" i="24"/>
  <c r="AG20" i="24"/>
  <c r="AE21" i="24"/>
  <c r="AF21" i="24"/>
  <c r="AG21" i="24"/>
  <c r="AE22" i="24"/>
  <c r="AF22" i="24"/>
  <c r="AG22" i="24"/>
  <c r="AE23" i="24"/>
  <c r="AF23" i="24"/>
  <c r="AG23" i="24"/>
  <c r="AG8" i="24"/>
  <c r="AF8" i="24"/>
  <c r="AE8" i="24"/>
  <c r="Z9" i="24"/>
  <c r="AA9" i="24"/>
  <c r="AB9" i="24"/>
  <c r="AC9" i="24"/>
  <c r="AD9" i="24"/>
  <c r="Z10" i="24"/>
  <c r="AA10" i="24"/>
  <c r="AB10" i="24"/>
  <c r="AC10" i="24"/>
  <c r="AD10" i="24"/>
  <c r="Z11" i="24"/>
  <c r="AA11" i="24"/>
  <c r="AB11" i="24"/>
  <c r="AC11" i="24"/>
  <c r="AD11" i="24"/>
  <c r="Z12" i="24"/>
  <c r="AA12" i="24"/>
  <c r="AB12" i="24"/>
  <c r="AC12" i="24"/>
  <c r="AD12" i="24"/>
  <c r="Z13" i="24"/>
  <c r="AA13" i="24"/>
  <c r="AB13" i="24"/>
  <c r="AC13" i="24"/>
  <c r="AD13" i="24"/>
  <c r="Z14" i="24"/>
  <c r="AA14" i="24"/>
  <c r="AB14" i="24"/>
  <c r="AC14" i="24"/>
  <c r="AD14" i="24"/>
  <c r="Z15" i="24"/>
  <c r="AA15" i="24"/>
  <c r="AB15" i="24"/>
  <c r="AC15" i="24"/>
  <c r="AD15" i="24"/>
  <c r="Z20" i="24"/>
  <c r="AA20" i="24"/>
  <c r="AB20" i="24"/>
  <c r="AC20" i="24"/>
  <c r="AD20" i="24"/>
  <c r="Z21" i="24"/>
  <c r="AA21" i="24"/>
  <c r="AB21" i="24"/>
  <c r="AC21" i="24"/>
  <c r="AD21" i="24"/>
  <c r="Z22" i="24"/>
  <c r="AA22" i="24"/>
  <c r="AB22" i="24"/>
  <c r="AC22" i="24"/>
  <c r="AD22" i="24"/>
  <c r="Z23" i="24"/>
  <c r="AA23" i="24"/>
  <c r="AB23" i="24"/>
  <c r="AC23" i="24"/>
  <c r="AD23" i="24"/>
  <c r="AD8" i="24"/>
  <c r="AC8" i="24"/>
  <c r="AB8" i="24"/>
  <c r="AA8" i="24"/>
  <c r="Z8" i="24"/>
  <c r="K68" i="34"/>
  <c r="BC10" i="23"/>
  <c r="AX10" i="23"/>
  <c r="N55" i="27"/>
  <c r="M55" i="27"/>
  <c r="L55" i="27"/>
  <c r="L41" i="27"/>
  <c r="Y10" i="27"/>
  <c r="Z10" i="27"/>
  <c r="AA10" i="27"/>
  <c r="AB10" i="27"/>
  <c r="AC10" i="27"/>
  <c r="AD10" i="27"/>
  <c r="AE10" i="27"/>
  <c r="Y11" i="27"/>
  <c r="Z11" i="27"/>
  <c r="AA11" i="27"/>
  <c r="AB11" i="27"/>
  <c r="AC11" i="27"/>
  <c r="AD11" i="27"/>
  <c r="AE11" i="27"/>
  <c r="Y12" i="27"/>
  <c r="Z12" i="27"/>
  <c r="AA12" i="27"/>
  <c r="AB12" i="27"/>
  <c r="AC12" i="27"/>
  <c r="AD12" i="27"/>
  <c r="AE12" i="27"/>
  <c r="Y13" i="27"/>
  <c r="Z13" i="27"/>
  <c r="AA13" i="27"/>
  <c r="AB13" i="27"/>
  <c r="AC13" i="27"/>
  <c r="AD13" i="27"/>
  <c r="AE13" i="27"/>
  <c r="AF13" i="27"/>
  <c r="Y14" i="27"/>
  <c r="Z14" i="27"/>
  <c r="AA14" i="27"/>
  <c r="AB14" i="27"/>
  <c r="AC14" i="27"/>
  <c r="AD14" i="27"/>
  <c r="AE14" i="27"/>
  <c r="AF14" i="27"/>
  <c r="Y15" i="27"/>
  <c r="Z15" i="27"/>
  <c r="AA15" i="27"/>
  <c r="AB15" i="27"/>
  <c r="AC15" i="27"/>
  <c r="AD15" i="27"/>
  <c r="AE15" i="27"/>
  <c r="AF15" i="27"/>
  <c r="Y16" i="27"/>
  <c r="Z16" i="27"/>
  <c r="AA16" i="27"/>
  <c r="AB16" i="27"/>
  <c r="AC16" i="27"/>
  <c r="AD16" i="27"/>
  <c r="AE16" i="27"/>
  <c r="AF16" i="27"/>
  <c r="Y17" i="27"/>
  <c r="Z17" i="27"/>
  <c r="AA17" i="27"/>
  <c r="AB17" i="27"/>
  <c r="AC17" i="27"/>
  <c r="AD17" i="27"/>
  <c r="AE17" i="27"/>
  <c r="AF17" i="27"/>
  <c r="Y18" i="27"/>
  <c r="Z18" i="27"/>
  <c r="AA18" i="27"/>
  <c r="AB18" i="27"/>
  <c r="AC18" i="27"/>
  <c r="AD18" i="27"/>
  <c r="AE18" i="27"/>
  <c r="AF18" i="27"/>
  <c r="Y19" i="27"/>
  <c r="Z19" i="27"/>
  <c r="AA19" i="27"/>
  <c r="AB19" i="27"/>
  <c r="AC19" i="27"/>
  <c r="AD19" i="27"/>
  <c r="AE19" i="27"/>
  <c r="AF19" i="27"/>
  <c r="Y20" i="27"/>
  <c r="Z20" i="27"/>
  <c r="AA20" i="27"/>
  <c r="AB20" i="27"/>
  <c r="AC20" i="27"/>
  <c r="AD20" i="27"/>
  <c r="AE20" i="27"/>
  <c r="AF20" i="27"/>
  <c r="Y21" i="27"/>
  <c r="Z21" i="27"/>
  <c r="AA21" i="27"/>
  <c r="AB21" i="27"/>
  <c r="AC21" i="27"/>
  <c r="AD21" i="27"/>
  <c r="AE21" i="27"/>
  <c r="AF21" i="27"/>
  <c r="Y22" i="27"/>
  <c r="Z22" i="27"/>
  <c r="AA22" i="27"/>
  <c r="AB22" i="27"/>
  <c r="AC22" i="27"/>
  <c r="AD22" i="27"/>
  <c r="AE22" i="27"/>
  <c r="AF22" i="27"/>
  <c r="Y23" i="27"/>
  <c r="Z23" i="27"/>
  <c r="AA23" i="27"/>
  <c r="AB23" i="27"/>
  <c r="AC23" i="27"/>
  <c r="AD23" i="27"/>
  <c r="AE23" i="27"/>
  <c r="AF23" i="27"/>
  <c r="Y24" i="27"/>
  <c r="Z24" i="27"/>
  <c r="AA24" i="27"/>
  <c r="AB24" i="27"/>
  <c r="AC24" i="27"/>
  <c r="AD24" i="27"/>
  <c r="AE24" i="27"/>
  <c r="AF24" i="27"/>
  <c r="Y25" i="27"/>
  <c r="Z25" i="27"/>
  <c r="AA25" i="27"/>
  <c r="AB25" i="27"/>
  <c r="AC25" i="27"/>
  <c r="AD25" i="27"/>
  <c r="AE25" i="27"/>
  <c r="AF25" i="27"/>
  <c r="Y26" i="27"/>
  <c r="Z26" i="27"/>
  <c r="AA26" i="27"/>
  <c r="AB26" i="27"/>
  <c r="AC26" i="27"/>
  <c r="AD26" i="27"/>
  <c r="AE26" i="27"/>
  <c r="AF26" i="27"/>
  <c r="Y27" i="27"/>
  <c r="Z27" i="27"/>
  <c r="AA27" i="27"/>
  <c r="AB27" i="27"/>
  <c r="AC27" i="27"/>
  <c r="AD27" i="27"/>
  <c r="AE27" i="27"/>
  <c r="AF27" i="27"/>
  <c r="Y28" i="27"/>
  <c r="Z28" i="27"/>
  <c r="AA28" i="27"/>
  <c r="AB28" i="27"/>
  <c r="AC28" i="27"/>
  <c r="AD28" i="27"/>
  <c r="AE28" i="27"/>
  <c r="AF28" i="27"/>
  <c r="Y29" i="27"/>
  <c r="Z29" i="27"/>
  <c r="AA29" i="27"/>
  <c r="AB29" i="27"/>
  <c r="AC29" i="27"/>
  <c r="AD29" i="27"/>
  <c r="AE29" i="27"/>
  <c r="AF29" i="27"/>
  <c r="Y30" i="27"/>
  <c r="Z30" i="27"/>
  <c r="AA30" i="27"/>
  <c r="AB30" i="27"/>
  <c r="AC30" i="27"/>
  <c r="AD30" i="27"/>
  <c r="AE30" i="27"/>
  <c r="AF30" i="27"/>
  <c r="Y31" i="27"/>
  <c r="Z31" i="27"/>
  <c r="AA31" i="27"/>
  <c r="AB31" i="27"/>
  <c r="AC31" i="27"/>
  <c r="AD31" i="27"/>
  <c r="AE31" i="27"/>
  <c r="AF31" i="27"/>
  <c r="Y32" i="27"/>
  <c r="Z32" i="27"/>
  <c r="AA32" i="27"/>
  <c r="AB32" i="27"/>
  <c r="AC32" i="27"/>
  <c r="AD32" i="27"/>
  <c r="AE32" i="27"/>
  <c r="AF32" i="27"/>
  <c r="Y33" i="27"/>
  <c r="Z33" i="27"/>
  <c r="AA33" i="27"/>
  <c r="AB33" i="27"/>
  <c r="AC33" i="27"/>
  <c r="AD33" i="27"/>
  <c r="AE33" i="27"/>
  <c r="AF33" i="27"/>
  <c r="Y34" i="27"/>
  <c r="Z34" i="27"/>
  <c r="AA34" i="27"/>
  <c r="AB34" i="27"/>
  <c r="AC34" i="27"/>
  <c r="AD34" i="27"/>
  <c r="AE34" i="27"/>
  <c r="AF34" i="27"/>
  <c r="Y35" i="27"/>
  <c r="Z35" i="27"/>
  <c r="AA35" i="27"/>
  <c r="AB35" i="27"/>
  <c r="AC35" i="27"/>
  <c r="AD35" i="27"/>
  <c r="AE35" i="27"/>
  <c r="AF35" i="27"/>
  <c r="Y36" i="27"/>
  <c r="Z36" i="27"/>
  <c r="AA36" i="27"/>
  <c r="AB36" i="27"/>
  <c r="AC36" i="27"/>
  <c r="AD36" i="27"/>
  <c r="AE36" i="27"/>
  <c r="AF36" i="27"/>
  <c r="Y37" i="27"/>
  <c r="Z37" i="27"/>
  <c r="AA37" i="27"/>
  <c r="AB37" i="27"/>
  <c r="AC37" i="27"/>
  <c r="AD37" i="27"/>
  <c r="AE37" i="27"/>
  <c r="AF37" i="27"/>
  <c r="Y38" i="27"/>
  <c r="Z38" i="27"/>
  <c r="AA38" i="27"/>
  <c r="AB38" i="27"/>
  <c r="AC38" i="27"/>
  <c r="AD38" i="27"/>
  <c r="AE38" i="27"/>
  <c r="AF38" i="27"/>
  <c r="Y39" i="27"/>
  <c r="Z39" i="27"/>
  <c r="AA39" i="27"/>
  <c r="AB39" i="27"/>
  <c r="AC39" i="27"/>
  <c r="AD39" i="27"/>
  <c r="AE39" i="27"/>
  <c r="AF39" i="27"/>
  <c r="Y40" i="27"/>
  <c r="Z40" i="27"/>
  <c r="AA40" i="27"/>
  <c r="AB40" i="27"/>
  <c r="AC40" i="27"/>
  <c r="AD40" i="27"/>
  <c r="AE40" i="27"/>
  <c r="AF40" i="27"/>
  <c r="AE9" i="27"/>
  <c r="AD9" i="27"/>
  <c r="AC9" i="27"/>
  <c r="AB9" i="27"/>
  <c r="AA9" i="27"/>
  <c r="Z9" i="27"/>
  <c r="Y9" i="27"/>
  <c r="AN17" i="25"/>
  <c r="AQ17" i="25" s="1"/>
  <c r="AL17" i="25"/>
  <c r="AK17" i="25"/>
  <c r="AJ17" i="25"/>
  <c r="AI17" i="25"/>
  <c r="AH17" i="25"/>
  <c r="AG17" i="25"/>
  <c r="AF17" i="25"/>
  <c r="AN16" i="25"/>
  <c r="AQ16" i="25" s="1"/>
  <c r="AL16" i="25"/>
  <c r="AK16" i="25"/>
  <c r="AJ16" i="25"/>
  <c r="AI16" i="25"/>
  <c r="AH16" i="25"/>
  <c r="AG16" i="25"/>
  <c r="AF16" i="25"/>
  <c r="AN15" i="25"/>
  <c r="AQ15" i="25" s="1"/>
  <c r="AL15" i="25"/>
  <c r="AK15" i="25"/>
  <c r="AJ15" i="25"/>
  <c r="AI15" i="25"/>
  <c r="AH15" i="25"/>
  <c r="AG15" i="25"/>
  <c r="AF15" i="25"/>
  <c r="AG11" i="25"/>
  <c r="AH11" i="25"/>
  <c r="AI11" i="25"/>
  <c r="AJ11" i="25"/>
  <c r="AK11" i="25"/>
  <c r="AL11" i="25"/>
  <c r="AN11" i="25"/>
  <c r="AQ11" i="25" s="1"/>
  <c r="AG12" i="25"/>
  <c r="AH12" i="25"/>
  <c r="AI12" i="25"/>
  <c r="AJ12" i="25"/>
  <c r="AK12" i="25"/>
  <c r="AL12" i="25"/>
  <c r="AN12" i="25"/>
  <c r="AQ12" i="25" s="1"/>
  <c r="AG13" i="25"/>
  <c r="AH13" i="25"/>
  <c r="AI13" i="25"/>
  <c r="AJ13" i="25"/>
  <c r="AK13" i="25"/>
  <c r="AL13" i="25"/>
  <c r="AN13" i="25"/>
  <c r="AQ13" i="25" s="1"/>
  <c r="AG14" i="25"/>
  <c r="AH14" i="25"/>
  <c r="AI14" i="25"/>
  <c r="AJ14" i="25"/>
  <c r="AK14" i="25"/>
  <c r="AL14" i="25"/>
  <c r="AN14" i="25"/>
  <c r="AQ14" i="25" s="1"/>
  <c r="AF11" i="25"/>
  <c r="AF12" i="25"/>
  <c r="AF13" i="25"/>
  <c r="AF14" i="25"/>
  <c r="AF28" i="25"/>
  <c r="AF29" i="25"/>
  <c r="AF30" i="25"/>
  <c r="AF31" i="25"/>
  <c r="AF32" i="25"/>
  <c r="AF33" i="25"/>
  <c r="AF34" i="25"/>
  <c r="BC11" i="23"/>
  <c r="BD11" i="23"/>
  <c r="BC12" i="23"/>
  <c r="BD12" i="23"/>
  <c r="BC13" i="23"/>
  <c r="BD13" i="23"/>
  <c r="BC14" i="23"/>
  <c r="BD14" i="23"/>
  <c r="BC15" i="23"/>
  <c r="BD15" i="23"/>
  <c r="BC16" i="23"/>
  <c r="BD16" i="23"/>
  <c r="BC17" i="23"/>
  <c r="BD17" i="23"/>
  <c r="BC18" i="23"/>
  <c r="BD18" i="23"/>
  <c r="BC19" i="23"/>
  <c r="BD19" i="23"/>
  <c r="BC20" i="23"/>
  <c r="BD20" i="23"/>
  <c r="BC21" i="23"/>
  <c r="BD21" i="23"/>
  <c r="BC22" i="23"/>
  <c r="BD22" i="23"/>
  <c r="BC23" i="23"/>
  <c r="BD23" i="23"/>
  <c r="BC24" i="23"/>
  <c r="BD24" i="23"/>
  <c r="BC25" i="23"/>
  <c r="BD25" i="23"/>
  <c r="BC26" i="23"/>
  <c r="BD26" i="23"/>
  <c r="BC27" i="23"/>
  <c r="BD27" i="23"/>
  <c r="BC28" i="23"/>
  <c r="BD28" i="23"/>
  <c r="BC29" i="23"/>
  <c r="BD29" i="23"/>
  <c r="BC30" i="23"/>
  <c r="BD30" i="23"/>
  <c r="BC31" i="23"/>
  <c r="BD31" i="23"/>
  <c r="BC32" i="23"/>
  <c r="BD32" i="23"/>
  <c r="BC33" i="23"/>
  <c r="BD33" i="23"/>
  <c r="BC34" i="23"/>
  <c r="BD34" i="23"/>
  <c r="BC35" i="23"/>
  <c r="BD35" i="23"/>
  <c r="BC36" i="23"/>
  <c r="BD36" i="23"/>
  <c r="BC37" i="23"/>
  <c r="BD37" i="23"/>
  <c r="BC38" i="23"/>
  <c r="BD38" i="23"/>
  <c r="BC39" i="23"/>
  <c r="BD39" i="23"/>
  <c r="BC40" i="23"/>
  <c r="BD40" i="23"/>
  <c r="BC41" i="23"/>
  <c r="BD41" i="23"/>
  <c r="BC42" i="23"/>
  <c r="BD42" i="23"/>
  <c r="BC43" i="23"/>
  <c r="BD43" i="23"/>
  <c r="BC44" i="23"/>
  <c r="BD44" i="23"/>
  <c r="BC45" i="23"/>
  <c r="BD45" i="23"/>
  <c r="BC46" i="23"/>
  <c r="BD46" i="23"/>
  <c r="BC47" i="23"/>
  <c r="BD47" i="23"/>
  <c r="BC48" i="23"/>
  <c r="BD48" i="23"/>
  <c r="BC49" i="23"/>
  <c r="BD49" i="23"/>
  <c r="BC50" i="23"/>
  <c r="BD50" i="23"/>
  <c r="BC51" i="23"/>
  <c r="BD51" i="23"/>
  <c r="BC52" i="23"/>
  <c r="BD52" i="23"/>
  <c r="BC53" i="23"/>
  <c r="BD53" i="23"/>
  <c r="BC54" i="23"/>
  <c r="BD54" i="23"/>
  <c r="BC55" i="23"/>
  <c r="BD55" i="23"/>
  <c r="BC56" i="23"/>
  <c r="BD56" i="23"/>
  <c r="BC57" i="23"/>
  <c r="BD57" i="23"/>
  <c r="BC58" i="23"/>
  <c r="BD58" i="23"/>
  <c r="BD10" i="23"/>
  <c r="BI24" i="17"/>
  <c r="P66" i="44" l="1"/>
  <c r="R86" i="44"/>
  <c r="P66" i="42"/>
  <c r="L68" i="34"/>
  <c r="M68" i="34" s="1" a="1"/>
  <c r="M68" i="34" s="1"/>
  <c r="Q37" i="34"/>
  <c r="Q37" i="44"/>
  <c r="Q37" i="42"/>
  <c r="T18" i="42"/>
  <c r="T18" i="44"/>
  <c r="T18" i="34"/>
  <c r="Q18" i="42"/>
  <c r="Q17" i="44"/>
  <c r="Q17" i="42"/>
  <c r="Q18" i="44"/>
  <c r="L60" i="44"/>
  <c r="P60" i="44" s="1"/>
  <c r="O55" i="27"/>
  <c r="L58" i="42"/>
  <c r="P58" i="42" s="1"/>
  <c r="Q18" i="34"/>
  <c r="Q17" i="34"/>
  <c r="D52" i="34"/>
  <c r="D64" i="34" s="1"/>
  <c r="H61" i="24"/>
  <c r="D51" i="44"/>
  <c r="L53" i="44" s="1"/>
  <c r="D52" i="44"/>
  <c r="E65" i="44" s="1"/>
  <c r="E63" i="42"/>
  <c r="L55" i="44"/>
  <c r="K74" i="44" l="1"/>
  <c r="L74" i="44" s="1"/>
  <c r="M74" i="44" s="1" a="1"/>
  <c r="M74" i="44" s="1"/>
  <c r="P53" i="44"/>
  <c r="P55" i="44"/>
  <c r="T39" i="44"/>
  <c r="T39" i="34"/>
  <c r="Q39" i="44"/>
  <c r="Q39" i="34"/>
  <c r="T37" i="42"/>
  <c r="T37" i="44"/>
  <c r="T37" i="34"/>
  <c r="K18" i="44"/>
  <c r="V18" i="44" s="1"/>
  <c r="K18" i="42"/>
  <c r="V18" i="42" s="1"/>
  <c r="K17" i="44"/>
  <c r="K17" i="42"/>
  <c r="V17" i="42" s="1"/>
  <c r="T17" i="44"/>
  <c r="T17" i="42"/>
  <c r="T17" i="34"/>
  <c r="Q40" i="44"/>
  <c r="P41" i="44"/>
  <c r="P41" i="34"/>
  <c r="L57" i="34"/>
  <c r="Q40" i="34"/>
  <c r="P61" i="42"/>
  <c r="L60" i="42"/>
  <c r="K18" i="34"/>
  <c r="V18" i="34" s="1"/>
  <c r="K17" i="34"/>
  <c r="V17" i="34" s="1"/>
  <c r="P54" i="42"/>
  <c r="E65" i="34"/>
  <c r="L54" i="34"/>
  <c r="P54" i="34" s="1"/>
  <c r="D64" i="44"/>
  <c r="D65" i="42"/>
  <c r="Q27" i="34"/>
  <c r="L56" i="34" s="1"/>
  <c r="V17" i="44" l="1"/>
  <c r="K77" i="42"/>
  <c r="L77" i="42" s="1"/>
  <c r="M77" i="42" s="1" a="1"/>
  <c r="M77" i="42" s="1"/>
  <c r="P60" i="42"/>
  <c r="L59" i="34"/>
  <c r="K73" i="42"/>
  <c r="K69" i="34"/>
  <c r="P57" i="34"/>
  <c r="Q38" i="44"/>
  <c r="Q38" i="34"/>
  <c r="K37" i="34"/>
  <c r="V37" i="34" s="1"/>
  <c r="K37" i="44"/>
  <c r="V37" i="44" s="1"/>
  <c r="K37" i="42"/>
  <c r="V37" i="42" s="1"/>
  <c r="J41" i="44"/>
  <c r="V41" i="44" s="1"/>
  <c r="J41" i="34"/>
  <c r="V41" i="34" s="1"/>
  <c r="P56" i="34"/>
  <c r="L62" i="34"/>
  <c r="P62" i="34" s="1"/>
  <c r="C4" i="34"/>
  <c r="AW40" i="17"/>
  <c r="AR11" i="23"/>
  <c r="AS11" i="23"/>
  <c r="AT11" i="23"/>
  <c r="AU11" i="23"/>
  <c r="AV11" i="23"/>
  <c r="AW11" i="23"/>
  <c r="AR12" i="23"/>
  <c r="AS12" i="23"/>
  <c r="AT12" i="23"/>
  <c r="AU12" i="23"/>
  <c r="AV12" i="23"/>
  <c r="AW12" i="23"/>
  <c r="AR13" i="23"/>
  <c r="AS13" i="23"/>
  <c r="AT13" i="23"/>
  <c r="AU13" i="23"/>
  <c r="AV13" i="23"/>
  <c r="AW13" i="23"/>
  <c r="AR14" i="23"/>
  <c r="AS14" i="23"/>
  <c r="AT14" i="23"/>
  <c r="AU14" i="23"/>
  <c r="AV14" i="23"/>
  <c r="AW14" i="23"/>
  <c r="AR15" i="23"/>
  <c r="AS15" i="23"/>
  <c r="AT15" i="23"/>
  <c r="AU15" i="23"/>
  <c r="AV15" i="23"/>
  <c r="AW15" i="23"/>
  <c r="AR16" i="23"/>
  <c r="AS16" i="23"/>
  <c r="AT16" i="23"/>
  <c r="AU16" i="23"/>
  <c r="AV16" i="23"/>
  <c r="AW16" i="23"/>
  <c r="AR17" i="23"/>
  <c r="AS17" i="23"/>
  <c r="AT17" i="23"/>
  <c r="AU17" i="23"/>
  <c r="AV17" i="23"/>
  <c r="AW17" i="23"/>
  <c r="AR18" i="23"/>
  <c r="AS18" i="23"/>
  <c r="AT18" i="23"/>
  <c r="AU18" i="23"/>
  <c r="AV18" i="23"/>
  <c r="AW18" i="23"/>
  <c r="AR19" i="23"/>
  <c r="AS19" i="23"/>
  <c r="AT19" i="23"/>
  <c r="AU19" i="23"/>
  <c r="AV19" i="23"/>
  <c r="AW19" i="23"/>
  <c r="AR20" i="23"/>
  <c r="AS20" i="23"/>
  <c r="AT20" i="23"/>
  <c r="AU20" i="23"/>
  <c r="AV20" i="23"/>
  <c r="AW20" i="23"/>
  <c r="AR21" i="23"/>
  <c r="AS21" i="23"/>
  <c r="AT21" i="23"/>
  <c r="AU21" i="23"/>
  <c r="AV21" i="23"/>
  <c r="AW21" i="23"/>
  <c r="AR22" i="23"/>
  <c r="AS22" i="23"/>
  <c r="AT22" i="23"/>
  <c r="AU22" i="23"/>
  <c r="AV22" i="23"/>
  <c r="AW22" i="23"/>
  <c r="AR23" i="23"/>
  <c r="AS23" i="23"/>
  <c r="AT23" i="23"/>
  <c r="AU23" i="23"/>
  <c r="AV23" i="23"/>
  <c r="AW23" i="23"/>
  <c r="AR24" i="23"/>
  <c r="AS24" i="23"/>
  <c r="AT24" i="23"/>
  <c r="AU24" i="23"/>
  <c r="AV24" i="23"/>
  <c r="AW24" i="23"/>
  <c r="AR25" i="23"/>
  <c r="AS25" i="23"/>
  <c r="AT25" i="23"/>
  <c r="AU25" i="23"/>
  <c r="AV25" i="23"/>
  <c r="AW25" i="23"/>
  <c r="AR26" i="23"/>
  <c r="AS26" i="23"/>
  <c r="AT26" i="23"/>
  <c r="AU26" i="23"/>
  <c r="AV26" i="23"/>
  <c r="AW26" i="23"/>
  <c r="AR27" i="23"/>
  <c r="AS27" i="23"/>
  <c r="AT27" i="23"/>
  <c r="AU27" i="23"/>
  <c r="AV27" i="23"/>
  <c r="AW27" i="23"/>
  <c r="AR28" i="23"/>
  <c r="AS28" i="23"/>
  <c r="AT28" i="23"/>
  <c r="AU28" i="23"/>
  <c r="AV28" i="23"/>
  <c r="AW28" i="23"/>
  <c r="AR29" i="23"/>
  <c r="AS29" i="23"/>
  <c r="AT29" i="23"/>
  <c r="AU29" i="23"/>
  <c r="AV29" i="23"/>
  <c r="AW29" i="23"/>
  <c r="AR30" i="23"/>
  <c r="AS30" i="23"/>
  <c r="AT30" i="23"/>
  <c r="AU30" i="23"/>
  <c r="AV30" i="23"/>
  <c r="AW30" i="23"/>
  <c r="AR31" i="23"/>
  <c r="AS31" i="23"/>
  <c r="AT31" i="23"/>
  <c r="AU31" i="23"/>
  <c r="AV31" i="23"/>
  <c r="AW31" i="23"/>
  <c r="AR32" i="23"/>
  <c r="AS32" i="23"/>
  <c r="AT32" i="23"/>
  <c r="AU32" i="23"/>
  <c r="AV32" i="23"/>
  <c r="AW32" i="23"/>
  <c r="AR33" i="23"/>
  <c r="AS33" i="23"/>
  <c r="AT33" i="23"/>
  <c r="AU33" i="23"/>
  <c r="AV33" i="23"/>
  <c r="AW33" i="23"/>
  <c r="AR34" i="23"/>
  <c r="AS34" i="23"/>
  <c r="AT34" i="23"/>
  <c r="AU34" i="23"/>
  <c r="AV34" i="23"/>
  <c r="AW34" i="23"/>
  <c r="AR35" i="23"/>
  <c r="AS35" i="23"/>
  <c r="AT35" i="23"/>
  <c r="AU35" i="23"/>
  <c r="AV35" i="23"/>
  <c r="AW35" i="23"/>
  <c r="AR36" i="23"/>
  <c r="AS36" i="23"/>
  <c r="AT36" i="23"/>
  <c r="AU36" i="23"/>
  <c r="AV36" i="23"/>
  <c r="AW36" i="23"/>
  <c r="AR37" i="23"/>
  <c r="AS37" i="23"/>
  <c r="AT37" i="23"/>
  <c r="AU37" i="23"/>
  <c r="AV37" i="23"/>
  <c r="AW37" i="23"/>
  <c r="AR38" i="23"/>
  <c r="AS38" i="23"/>
  <c r="AT38" i="23"/>
  <c r="AU38" i="23"/>
  <c r="AV38" i="23"/>
  <c r="AW38" i="23"/>
  <c r="AR39" i="23"/>
  <c r="AS39" i="23"/>
  <c r="AT39" i="23"/>
  <c r="AU39" i="23"/>
  <c r="AV39" i="23"/>
  <c r="AW39" i="23"/>
  <c r="AR40" i="23"/>
  <c r="AS40" i="23"/>
  <c r="AT40" i="23"/>
  <c r="AU40" i="23"/>
  <c r="AV40" i="23"/>
  <c r="AW40" i="23"/>
  <c r="AR41" i="23"/>
  <c r="AS41" i="23"/>
  <c r="AT41" i="23"/>
  <c r="AU41" i="23"/>
  <c r="AV41" i="23"/>
  <c r="AW41" i="23"/>
  <c r="AR42" i="23"/>
  <c r="AS42" i="23"/>
  <c r="AT42" i="23"/>
  <c r="AU42" i="23"/>
  <c r="AV42" i="23"/>
  <c r="AW42" i="23"/>
  <c r="AR43" i="23"/>
  <c r="AS43" i="23"/>
  <c r="AT43" i="23"/>
  <c r="AU43" i="23"/>
  <c r="AV43" i="23"/>
  <c r="AW43" i="23"/>
  <c r="AR44" i="23"/>
  <c r="AS44" i="23"/>
  <c r="AT44" i="23"/>
  <c r="AU44" i="23"/>
  <c r="AV44" i="23"/>
  <c r="AW44" i="23"/>
  <c r="AR45" i="23"/>
  <c r="AS45" i="23"/>
  <c r="AT45" i="23"/>
  <c r="AU45" i="23"/>
  <c r="AV45" i="23"/>
  <c r="AW45" i="23"/>
  <c r="AR46" i="23"/>
  <c r="AS46" i="23"/>
  <c r="AT46" i="23"/>
  <c r="AU46" i="23"/>
  <c r="AV46" i="23"/>
  <c r="AW46" i="23"/>
  <c r="AR47" i="23"/>
  <c r="AS47" i="23"/>
  <c r="AT47" i="23"/>
  <c r="AU47" i="23"/>
  <c r="AV47" i="23"/>
  <c r="AW47" i="23"/>
  <c r="AR48" i="23"/>
  <c r="AS48" i="23"/>
  <c r="AT48" i="23"/>
  <c r="AU48" i="23"/>
  <c r="AV48" i="23"/>
  <c r="AW48" i="23"/>
  <c r="AR49" i="23"/>
  <c r="AS49" i="23"/>
  <c r="AT49" i="23"/>
  <c r="AU49" i="23"/>
  <c r="AV49" i="23"/>
  <c r="AW49" i="23"/>
  <c r="AR50" i="23"/>
  <c r="AS50" i="23"/>
  <c r="AT50" i="23"/>
  <c r="AU50" i="23"/>
  <c r="AV50" i="23"/>
  <c r="AW50" i="23"/>
  <c r="AR51" i="23"/>
  <c r="AS51" i="23"/>
  <c r="AT51" i="23"/>
  <c r="AU51" i="23"/>
  <c r="AV51" i="23"/>
  <c r="AW51" i="23"/>
  <c r="AR52" i="23"/>
  <c r="AS52" i="23"/>
  <c r="AT52" i="23"/>
  <c r="AU52" i="23"/>
  <c r="AV52" i="23"/>
  <c r="AW52" i="23"/>
  <c r="AR53" i="23"/>
  <c r="AS53" i="23"/>
  <c r="AT53" i="23"/>
  <c r="AU53" i="23"/>
  <c r="AV53" i="23"/>
  <c r="AW53" i="23"/>
  <c r="AR54" i="23"/>
  <c r="AS54" i="23"/>
  <c r="AT54" i="23"/>
  <c r="AU54" i="23"/>
  <c r="AV54" i="23"/>
  <c r="AW54" i="23"/>
  <c r="AR55" i="23"/>
  <c r="AS55" i="23"/>
  <c r="AT55" i="23"/>
  <c r="AU55" i="23"/>
  <c r="AV55" i="23"/>
  <c r="AW55" i="23"/>
  <c r="AR56" i="23"/>
  <c r="AS56" i="23"/>
  <c r="AT56" i="23"/>
  <c r="AU56" i="23"/>
  <c r="AV56" i="23"/>
  <c r="AW56" i="23"/>
  <c r="AR57" i="23"/>
  <c r="AS57" i="23"/>
  <c r="AT57" i="23"/>
  <c r="AU57" i="23"/>
  <c r="AV57" i="23"/>
  <c r="AW57" i="23"/>
  <c r="AR58" i="23"/>
  <c r="AS58" i="23"/>
  <c r="AT58" i="23"/>
  <c r="AU58" i="23"/>
  <c r="AV58" i="23"/>
  <c r="AW58" i="23"/>
  <c r="AR59" i="23"/>
  <c r="AS59" i="23"/>
  <c r="AT59" i="23"/>
  <c r="AU59" i="23"/>
  <c r="AV59" i="23"/>
  <c r="AW59" i="23"/>
  <c r="AW10" i="23"/>
  <c r="AV10" i="23"/>
  <c r="AU10" i="23"/>
  <c r="AT10" i="23"/>
  <c r="AS10" i="23"/>
  <c r="AR10" i="23"/>
  <c r="AN9" i="25"/>
  <c r="AQ9" i="25" s="1"/>
  <c r="AL9" i="25"/>
  <c r="AK9" i="25"/>
  <c r="AJ9" i="25"/>
  <c r="AI9" i="25"/>
  <c r="AH9" i="25"/>
  <c r="AG9" i="25"/>
  <c r="AF9" i="25"/>
  <c r="AN10" i="25"/>
  <c r="AQ10" i="25" s="1"/>
  <c r="AL10" i="25"/>
  <c r="AK10" i="25"/>
  <c r="AJ10" i="25"/>
  <c r="AI10" i="25"/>
  <c r="AH10" i="25"/>
  <c r="AG10" i="25"/>
  <c r="AF10" i="25"/>
  <c r="BJ11" i="17"/>
  <c r="BK11" i="17"/>
  <c r="BL11" i="17"/>
  <c r="BM11" i="17"/>
  <c r="BJ12" i="17"/>
  <c r="BK12" i="17"/>
  <c r="BL12" i="17"/>
  <c r="BM12" i="17"/>
  <c r="BJ13" i="17"/>
  <c r="BK13" i="17"/>
  <c r="BL13" i="17"/>
  <c r="BM13" i="17"/>
  <c r="BJ14" i="17"/>
  <c r="BK14" i="17"/>
  <c r="BL14" i="17"/>
  <c r="BM14" i="17"/>
  <c r="BJ15" i="17"/>
  <c r="BK15" i="17"/>
  <c r="BL15" i="17"/>
  <c r="BM15" i="17"/>
  <c r="BJ16" i="17"/>
  <c r="BK16" i="17"/>
  <c r="BL16" i="17"/>
  <c r="BM16" i="17"/>
  <c r="BJ17" i="17"/>
  <c r="BK17" i="17"/>
  <c r="BL17" i="17"/>
  <c r="BM17" i="17"/>
  <c r="BJ18" i="17"/>
  <c r="BK18" i="17"/>
  <c r="BL18" i="17"/>
  <c r="BM18" i="17"/>
  <c r="BJ19" i="17"/>
  <c r="BK19" i="17"/>
  <c r="BL19" i="17"/>
  <c r="BM19" i="17"/>
  <c r="BJ20" i="17"/>
  <c r="BK20" i="17"/>
  <c r="BL20" i="17"/>
  <c r="BM20" i="17"/>
  <c r="BJ21" i="17"/>
  <c r="BK21" i="17"/>
  <c r="BL21" i="17"/>
  <c r="BM21" i="17"/>
  <c r="BJ22" i="17"/>
  <c r="BK22" i="17"/>
  <c r="BL22" i="17"/>
  <c r="BM22" i="17"/>
  <c r="BJ23" i="17"/>
  <c r="BK23" i="17"/>
  <c r="BL23" i="17"/>
  <c r="BM23" i="17"/>
  <c r="BJ24" i="17"/>
  <c r="BK24" i="17"/>
  <c r="BL24" i="17"/>
  <c r="BM24" i="17"/>
  <c r="BJ25" i="17"/>
  <c r="BK25" i="17"/>
  <c r="BL25" i="17"/>
  <c r="BM25" i="17"/>
  <c r="BJ26" i="17"/>
  <c r="BK26" i="17"/>
  <c r="BL26" i="17"/>
  <c r="BM26" i="17"/>
  <c r="BJ27" i="17"/>
  <c r="BK27" i="17"/>
  <c r="BL27" i="17"/>
  <c r="BM27" i="17"/>
  <c r="BJ28" i="17"/>
  <c r="BK28" i="17"/>
  <c r="BL28" i="17"/>
  <c r="BM28" i="17"/>
  <c r="BJ29" i="17"/>
  <c r="BK29" i="17"/>
  <c r="BL29" i="17"/>
  <c r="BM29" i="17"/>
  <c r="BJ30" i="17"/>
  <c r="BK30" i="17"/>
  <c r="BL30" i="17"/>
  <c r="BM30" i="17"/>
  <c r="BJ31" i="17"/>
  <c r="BK31" i="17"/>
  <c r="BL31" i="17"/>
  <c r="BM31" i="17"/>
  <c r="BJ32" i="17"/>
  <c r="BK32" i="17"/>
  <c r="BL32" i="17"/>
  <c r="BM32" i="17"/>
  <c r="BJ33" i="17"/>
  <c r="BK33" i="17"/>
  <c r="BL33" i="17"/>
  <c r="BM33" i="17"/>
  <c r="BJ34" i="17"/>
  <c r="BK34" i="17"/>
  <c r="BL34" i="17"/>
  <c r="BM34" i="17"/>
  <c r="BJ35" i="17"/>
  <c r="BK35" i="17"/>
  <c r="BL35" i="17"/>
  <c r="BM35" i="17"/>
  <c r="BJ36" i="17"/>
  <c r="BK36" i="17"/>
  <c r="BL36" i="17"/>
  <c r="BM36" i="17"/>
  <c r="BJ37" i="17"/>
  <c r="BK37" i="17"/>
  <c r="BL37" i="17"/>
  <c r="BM37" i="17"/>
  <c r="BJ38" i="17"/>
  <c r="BK38" i="17"/>
  <c r="BL38" i="17"/>
  <c r="BM38" i="17"/>
  <c r="BJ39" i="17"/>
  <c r="BK39" i="17"/>
  <c r="BL39" i="17"/>
  <c r="BM39" i="17"/>
  <c r="BJ40" i="17"/>
  <c r="BK40" i="17"/>
  <c r="BL40" i="17"/>
  <c r="BM40" i="17"/>
  <c r="BJ41" i="17"/>
  <c r="BK41" i="17"/>
  <c r="BL41" i="17"/>
  <c r="BM41" i="17"/>
  <c r="BM10" i="17"/>
  <c r="BL10" i="17"/>
  <c r="BK10" i="17"/>
  <c r="BJ10" i="17"/>
  <c r="BI11" i="17"/>
  <c r="BI12" i="17"/>
  <c r="BI13" i="17"/>
  <c r="BI14" i="17"/>
  <c r="BI15" i="17"/>
  <c r="BI16" i="17"/>
  <c r="BI17" i="17"/>
  <c r="BI18" i="17"/>
  <c r="BI19" i="17"/>
  <c r="BI20" i="17"/>
  <c r="BI21" i="17"/>
  <c r="BI22" i="17"/>
  <c r="BI23" i="17"/>
  <c r="BI25" i="17"/>
  <c r="BI26" i="17"/>
  <c r="BI27" i="17"/>
  <c r="BI28" i="17"/>
  <c r="BI29" i="17"/>
  <c r="BI30" i="17"/>
  <c r="BI31" i="17"/>
  <c r="BI32" i="17"/>
  <c r="BI33" i="17"/>
  <c r="BI34" i="17"/>
  <c r="BI35" i="17"/>
  <c r="BI36" i="17"/>
  <c r="BI37" i="17"/>
  <c r="BI38" i="17"/>
  <c r="BI39" i="17"/>
  <c r="BI40" i="17"/>
  <c r="BI41" i="17"/>
  <c r="BI10" i="17"/>
  <c r="BH11" i="17"/>
  <c r="BH12" i="17"/>
  <c r="BH13" i="17"/>
  <c r="BH14" i="17"/>
  <c r="BH15" i="17"/>
  <c r="BH16" i="17"/>
  <c r="BH17" i="17"/>
  <c r="BH18" i="17"/>
  <c r="BH19" i="17"/>
  <c r="BH20" i="17"/>
  <c r="BH21" i="17"/>
  <c r="BH22" i="17"/>
  <c r="BH23" i="17"/>
  <c r="BH24" i="17"/>
  <c r="BH25" i="17"/>
  <c r="BH26" i="17"/>
  <c r="BH27" i="17"/>
  <c r="BH28" i="17"/>
  <c r="BH29" i="17"/>
  <c r="BH30" i="17"/>
  <c r="BH31" i="17"/>
  <c r="BH32" i="17"/>
  <c r="BH33" i="17"/>
  <c r="BH34" i="17"/>
  <c r="BH35" i="17"/>
  <c r="BH36" i="17"/>
  <c r="BH37" i="17"/>
  <c r="BH38" i="17"/>
  <c r="BH39" i="17"/>
  <c r="BH40" i="17"/>
  <c r="BH41" i="17"/>
  <c r="BH10" i="17"/>
  <c r="BG11" i="17"/>
  <c r="BG12" i="17"/>
  <c r="BG13" i="17"/>
  <c r="BG14" i="17"/>
  <c r="BG15" i="17"/>
  <c r="BG16" i="17"/>
  <c r="BG17" i="17"/>
  <c r="BG18" i="17"/>
  <c r="BG19" i="17"/>
  <c r="BG20" i="17"/>
  <c r="BG21" i="17"/>
  <c r="BG22" i="17"/>
  <c r="BG23" i="17"/>
  <c r="BG24" i="17"/>
  <c r="BG25" i="17"/>
  <c r="BG26" i="17"/>
  <c r="BG27" i="17"/>
  <c r="BG28" i="17"/>
  <c r="BG29" i="17"/>
  <c r="BG30" i="17"/>
  <c r="BG31" i="17"/>
  <c r="BG32" i="17"/>
  <c r="BG33" i="17"/>
  <c r="BG34" i="17"/>
  <c r="BG35" i="17"/>
  <c r="BG36" i="17"/>
  <c r="BG37" i="17"/>
  <c r="BG38" i="17"/>
  <c r="BG39" i="17"/>
  <c r="BG40" i="17"/>
  <c r="BG41" i="17"/>
  <c r="BG10" i="17"/>
  <c r="AG16" i="17" l="1"/>
  <c r="AI16" i="17" s="1"/>
  <c r="AG15" i="17"/>
  <c r="AI15" i="17"/>
  <c r="AG17" i="17"/>
  <c r="AI17" i="17" s="1"/>
  <c r="AG18" i="17"/>
  <c r="AI18" i="17"/>
  <c r="AG19" i="17"/>
  <c r="AI19" i="17"/>
  <c r="M59" i="34"/>
  <c r="P59" i="34"/>
  <c r="L61" i="34"/>
  <c r="L63" i="34" s="1"/>
  <c r="L73" i="42"/>
  <c r="M73" i="42" s="1" a="1"/>
  <c r="M73" i="42" s="1"/>
  <c r="K70" i="34"/>
  <c r="L70" i="34" s="1"/>
  <c r="M70" i="34" s="1" a="1"/>
  <c r="M70" i="34" s="1"/>
  <c r="L69" i="34"/>
  <c r="M69" i="34" s="1" a="1"/>
  <c r="M69" i="34" s="1"/>
  <c r="K39" i="34"/>
  <c r="V39" i="34" s="1"/>
  <c r="K39" i="44"/>
  <c r="V39" i="44" s="1"/>
  <c r="V39" i="42"/>
  <c r="K16" i="44"/>
  <c r="K16" i="42"/>
  <c r="AG12" i="17"/>
  <c r="AI12" i="17" s="1"/>
  <c r="S65" i="17"/>
  <c r="V65" i="17" s="1"/>
  <c r="AG13" i="17"/>
  <c r="AI13" i="17" s="1"/>
  <c r="S66" i="17"/>
  <c r="V66" i="17" s="1"/>
  <c r="AG11" i="17"/>
  <c r="AI11" i="17" s="1"/>
  <c r="S64" i="17"/>
  <c r="AG14" i="17"/>
  <c r="AI14" i="17" s="1"/>
  <c r="S67" i="17"/>
  <c r="K16" i="34"/>
  <c r="AG10" i="17"/>
  <c r="AI10" i="17" s="1"/>
  <c r="S63" i="17"/>
  <c r="L61" i="44"/>
  <c r="K74" i="34" l="1"/>
  <c r="K75" i="34" s="1"/>
  <c r="P61" i="44"/>
  <c r="K78" i="44"/>
  <c r="L74" i="34"/>
  <c r="M74" i="34" s="1" a="1"/>
  <c r="M74" i="34" s="1"/>
  <c r="V38" i="42"/>
  <c r="K38" i="44"/>
  <c r="V38" i="44" s="1"/>
  <c r="K38" i="34"/>
  <c r="V38" i="34" s="1"/>
  <c r="L78" i="44" l="1"/>
  <c r="M78" i="44" s="1" a="1"/>
  <c r="M78" i="44" s="1"/>
  <c r="P61" i="34"/>
  <c r="M44" i="27"/>
  <c r="L44" i="27"/>
  <c r="S41" i="27"/>
  <c r="M41" i="27"/>
  <c r="N39" i="27"/>
  <c r="N38" i="27"/>
  <c r="N37" i="27"/>
  <c r="N36" i="27"/>
  <c r="N35" i="27"/>
  <c r="N34" i="27"/>
  <c r="N33" i="27"/>
  <c r="N32" i="27"/>
  <c r="N31" i="27"/>
  <c r="N30" i="27"/>
  <c r="N29" i="27"/>
  <c r="N28" i="27"/>
  <c r="N27" i="27"/>
  <c r="N26" i="27"/>
  <c r="N25" i="27"/>
  <c r="N24" i="27"/>
  <c r="N23" i="27"/>
  <c r="N22" i="27"/>
  <c r="N21" i="27"/>
  <c r="N20" i="27"/>
  <c r="N19" i="27"/>
  <c r="N18" i="27"/>
  <c r="N17" i="27"/>
  <c r="N16" i="27"/>
  <c r="N15" i="27"/>
  <c r="N14" i="27"/>
  <c r="N13" i="27"/>
  <c r="N12" i="27"/>
  <c r="AF12" i="27" s="1"/>
  <c r="N11" i="27"/>
  <c r="N10" i="27"/>
  <c r="N9" i="27"/>
  <c r="E5" i="27"/>
  <c r="E4" i="27"/>
  <c r="E3" i="27"/>
  <c r="K79" i="34" l="1"/>
  <c r="K80" i="34" s="1"/>
  <c r="P63" i="34"/>
  <c r="AF11" i="27"/>
  <c r="L50" i="27"/>
  <c r="AF10" i="27"/>
  <c r="M50" i="27"/>
  <c r="N50" i="27"/>
  <c r="AF9" i="27"/>
  <c r="O56" i="27"/>
  <c r="N41" i="27"/>
  <c r="N44" i="27"/>
  <c r="M62" i="27" l="1"/>
  <c r="O50" i="27"/>
  <c r="O51" i="27" s="1"/>
  <c r="M60" i="27"/>
  <c r="M67" i="27" l="1"/>
  <c r="Q26" i="42"/>
  <c r="Q26" i="44"/>
  <c r="Q26" i="34"/>
  <c r="L59" i="44"/>
  <c r="P59" i="44" s="1"/>
  <c r="L59" i="42"/>
  <c r="P59" i="42" s="1"/>
  <c r="M63" i="27"/>
  <c r="D5" i="25"/>
  <c r="D4" i="25"/>
  <c r="D3" i="25"/>
  <c r="K26" i="44" l="1"/>
  <c r="V26" i="44" s="1"/>
  <c r="K26" i="42"/>
  <c r="V26" i="42" s="1"/>
  <c r="K26" i="34"/>
  <c r="V26" i="34" s="1"/>
  <c r="N63" i="27"/>
  <c r="E64" i="44" l="1"/>
  <c r="E62" i="42"/>
  <c r="K51" i="25"/>
  <c r="S51" i="17" l="1"/>
  <c r="X76" i="17"/>
  <c r="W76" i="17"/>
  <c r="X75" i="17"/>
  <c r="W75" i="17"/>
  <c r="X74" i="17"/>
  <c r="W74" i="17"/>
  <c r="AZ53" i="23"/>
  <c r="AX53" i="23"/>
  <c r="AY53" i="23"/>
  <c r="AZ52" i="23"/>
  <c r="AX52" i="23"/>
  <c r="U52" i="23"/>
  <c r="AZ51" i="23"/>
  <c r="AX51" i="23"/>
  <c r="U51" i="23"/>
  <c r="AZ50" i="23"/>
  <c r="AX50" i="23"/>
  <c r="U50" i="23"/>
  <c r="AZ49" i="23"/>
  <c r="AX49" i="23"/>
  <c r="U49" i="23"/>
  <c r="AW41" i="17"/>
  <c r="C6" i="23"/>
  <c r="C5" i="23"/>
  <c r="C4" i="23"/>
  <c r="Q125" i="23"/>
  <c r="T119" i="23"/>
  <c r="V107" i="23"/>
  <c r="Q107" i="23"/>
  <c r="V106" i="23"/>
  <c r="AD106" i="23"/>
  <c r="Q106" i="23"/>
  <c r="V105" i="23"/>
  <c r="AF105" i="23"/>
  <c r="Q105" i="23"/>
  <c r="V104" i="23"/>
  <c r="AD104" i="23"/>
  <c r="Q104" i="23"/>
  <c r="V103" i="23"/>
  <c r="AD103" i="23"/>
  <c r="Q103" i="23"/>
  <c r="V102" i="23"/>
  <c r="AD102" i="23"/>
  <c r="Q102" i="23"/>
  <c r="V101" i="23"/>
  <c r="AD101" i="23"/>
  <c r="Q101" i="23"/>
  <c r="V100" i="23"/>
  <c r="AD100" i="23"/>
  <c r="Q100" i="23"/>
  <c r="V99" i="23"/>
  <c r="Q99" i="23"/>
  <c r="V98" i="23"/>
  <c r="AD98" i="23"/>
  <c r="Q98" i="23"/>
  <c r="V97" i="23"/>
  <c r="AF97" i="23"/>
  <c r="Q97" i="23"/>
  <c r="V96" i="23"/>
  <c r="V95" i="23"/>
  <c r="V94" i="23"/>
  <c r="V93" i="23"/>
  <c r="V92" i="23"/>
  <c r="V91" i="23"/>
  <c r="V90" i="23"/>
  <c r="N75" i="23"/>
  <c r="R75" i="23"/>
  <c r="Q75" i="23"/>
  <c r="P75" i="23"/>
  <c r="O75" i="23"/>
  <c r="R63" i="23"/>
  <c r="Q63" i="23"/>
  <c r="N85" i="23" s="1"/>
  <c r="P63" i="23"/>
  <c r="N63" i="23"/>
  <c r="M63" i="23"/>
  <c r="R60" i="23"/>
  <c r="Q60" i="23"/>
  <c r="P60" i="23"/>
  <c r="N60" i="23"/>
  <c r="M60" i="23"/>
  <c r="AZ59" i="23"/>
  <c r="AY59" i="23"/>
  <c r="AX59" i="23"/>
  <c r="AZ58" i="23"/>
  <c r="AX58" i="23"/>
  <c r="U58" i="23"/>
  <c r="AZ57" i="23"/>
  <c r="AX57" i="23"/>
  <c r="U57" i="23"/>
  <c r="AZ56" i="23"/>
  <c r="AX56" i="23"/>
  <c r="AY56" i="23"/>
  <c r="AZ55" i="23"/>
  <c r="AX55" i="23"/>
  <c r="AY55" i="23"/>
  <c r="AZ54" i="23"/>
  <c r="AX54" i="23"/>
  <c r="AY54" i="23"/>
  <c r="AZ48" i="23"/>
  <c r="AX48" i="23"/>
  <c r="U48" i="23"/>
  <c r="AZ47" i="23"/>
  <c r="AX47" i="23"/>
  <c r="U47" i="23"/>
  <c r="AZ46" i="23"/>
  <c r="AX46" i="23"/>
  <c r="U46" i="23"/>
  <c r="AZ45" i="23"/>
  <c r="AX45" i="23"/>
  <c r="U45" i="23"/>
  <c r="AZ44" i="23"/>
  <c r="AX44" i="23"/>
  <c r="AZ43" i="23"/>
  <c r="AX43" i="23"/>
  <c r="AY43" i="23"/>
  <c r="AZ42" i="23"/>
  <c r="AX42" i="23"/>
  <c r="U42" i="23"/>
  <c r="AZ41" i="23"/>
  <c r="AX41" i="23"/>
  <c r="U41" i="23"/>
  <c r="AZ40" i="23"/>
  <c r="AX40" i="23"/>
  <c r="AY40" i="23"/>
  <c r="AZ39" i="23"/>
  <c r="AX39" i="23"/>
  <c r="U39" i="23"/>
  <c r="AZ38" i="23"/>
  <c r="AX38" i="23"/>
  <c r="AY38" i="23"/>
  <c r="AZ37" i="23"/>
  <c r="AX37" i="23"/>
  <c r="AY37" i="23"/>
  <c r="AZ36" i="23"/>
  <c r="AX36" i="23"/>
  <c r="U36" i="23"/>
  <c r="AZ35" i="23"/>
  <c r="AX35" i="23"/>
  <c r="AY35" i="23"/>
  <c r="AZ34" i="23"/>
  <c r="AX34" i="23"/>
  <c r="AY34" i="23"/>
  <c r="AZ33" i="23"/>
  <c r="AX33" i="23"/>
  <c r="U33" i="23"/>
  <c r="AZ32" i="23"/>
  <c r="AX32" i="23"/>
  <c r="AY32" i="23"/>
  <c r="AZ31" i="23"/>
  <c r="AX31" i="23"/>
  <c r="AY31" i="23"/>
  <c r="AZ30" i="23"/>
  <c r="AX30" i="23"/>
  <c r="AY30" i="23"/>
  <c r="AZ29" i="23"/>
  <c r="AX29" i="23"/>
  <c r="U29" i="23"/>
  <c r="AZ28" i="23"/>
  <c r="AX28" i="23"/>
  <c r="AZ27" i="23"/>
  <c r="AX27" i="23"/>
  <c r="AY27" i="23"/>
  <c r="AZ26" i="23"/>
  <c r="AX26" i="23"/>
  <c r="AZ25" i="23"/>
  <c r="AX25" i="23"/>
  <c r="AZ24" i="23"/>
  <c r="AX24" i="23"/>
  <c r="AY24" i="23"/>
  <c r="AZ23" i="23"/>
  <c r="AX23" i="23"/>
  <c r="U23" i="23"/>
  <c r="AZ22" i="23"/>
  <c r="AX22" i="23"/>
  <c r="U22" i="23"/>
  <c r="AZ21" i="23"/>
  <c r="AX21" i="23"/>
  <c r="AY21" i="23"/>
  <c r="AZ20" i="23"/>
  <c r="AX20" i="23"/>
  <c r="AY20" i="23"/>
  <c r="AZ19" i="23"/>
  <c r="AX19" i="23"/>
  <c r="U19" i="23"/>
  <c r="AZ18" i="23"/>
  <c r="AX18" i="23"/>
  <c r="AY18" i="23"/>
  <c r="AZ17" i="23"/>
  <c r="AX17" i="23"/>
  <c r="AY17" i="23"/>
  <c r="AZ16" i="23"/>
  <c r="AX16" i="23"/>
  <c r="AZ15" i="23"/>
  <c r="AX15" i="23"/>
  <c r="AY15" i="23"/>
  <c r="AZ14" i="23"/>
  <c r="AX14" i="23"/>
  <c r="U14" i="23"/>
  <c r="AZ13" i="23"/>
  <c r="AX13" i="23"/>
  <c r="U13" i="23"/>
  <c r="AZ12" i="23"/>
  <c r="AX12" i="23"/>
  <c r="AY12" i="23"/>
  <c r="AZ11" i="23"/>
  <c r="AX11" i="23"/>
  <c r="U11" i="23"/>
  <c r="AZ10" i="23"/>
  <c r="AY10" i="23"/>
  <c r="AZ9" i="23"/>
  <c r="AX9" i="23"/>
  <c r="AY9" i="23"/>
  <c r="U30" i="23"/>
  <c r="BP41" i="17"/>
  <c r="BP40" i="17"/>
  <c r="BP39" i="17"/>
  <c r="BP38" i="17"/>
  <c r="BP37" i="17"/>
  <c r="BP36" i="17"/>
  <c r="BP35" i="17"/>
  <c r="BP34" i="17"/>
  <c r="BP33" i="17"/>
  <c r="BP32" i="17"/>
  <c r="BP31" i="17"/>
  <c r="BP30" i="17"/>
  <c r="BP29" i="17"/>
  <c r="BP28" i="17"/>
  <c r="BP27" i="17"/>
  <c r="BP26" i="17"/>
  <c r="BP25" i="17"/>
  <c r="BP24" i="17"/>
  <c r="BP23" i="17"/>
  <c r="BP22" i="17"/>
  <c r="BP21" i="17"/>
  <c r="BP20" i="17"/>
  <c r="BP19" i="17"/>
  <c r="BP18" i="17"/>
  <c r="BP17" i="17"/>
  <c r="BP16" i="17"/>
  <c r="BP15" i="17"/>
  <c r="BP14" i="17"/>
  <c r="BP13" i="17"/>
  <c r="BP12" i="17"/>
  <c r="BP11" i="17"/>
  <c r="BP10" i="17"/>
  <c r="BP9" i="17"/>
  <c r="W64" i="17"/>
  <c r="W63" i="17"/>
  <c r="BN9" i="17"/>
  <c r="BO10" i="17"/>
  <c r="X63" i="17" s="1"/>
  <c r="BO11" i="17"/>
  <c r="X64" i="17" s="1"/>
  <c r="BO12" i="17"/>
  <c r="BO13" i="17"/>
  <c r="BO14" i="17"/>
  <c r="BO15" i="17"/>
  <c r="BO16" i="17"/>
  <c r="BO17" i="17"/>
  <c r="BO18" i="17"/>
  <c r="BO19" i="17"/>
  <c r="BO20" i="17"/>
  <c r="BO21" i="17"/>
  <c r="BO22" i="17"/>
  <c r="BO23" i="17"/>
  <c r="BO24" i="17"/>
  <c r="BO25" i="17"/>
  <c r="BO26" i="17"/>
  <c r="BO27" i="17"/>
  <c r="BO28" i="17"/>
  <c r="BO29" i="17"/>
  <c r="BO30" i="17"/>
  <c r="BO31" i="17"/>
  <c r="BO32" i="17"/>
  <c r="BO33" i="17"/>
  <c r="BO34" i="17"/>
  <c r="BO35" i="17"/>
  <c r="BO36" i="17"/>
  <c r="BO37" i="17"/>
  <c r="BO38" i="17"/>
  <c r="BO39" i="17"/>
  <c r="BO40" i="17"/>
  <c r="BO41" i="17"/>
  <c r="BO9" i="17"/>
  <c r="AF42" i="17"/>
  <c r="AF45" i="17"/>
  <c r="S45" i="17"/>
  <c r="S42" i="17"/>
  <c r="S57" i="17"/>
  <c r="AA45" i="17"/>
  <c r="Z45" i="17"/>
  <c r="Y45" i="17"/>
  <c r="X45" i="17"/>
  <c r="W45" i="17"/>
  <c r="V45" i="17"/>
  <c r="U45" i="17"/>
  <c r="T45" i="17"/>
  <c r="R45" i="17"/>
  <c r="Q45" i="17"/>
  <c r="AA42" i="17"/>
  <c r="Z42" i="17"/>
  <c r="Y42" i="17"/>
  <c r="X42" i="17"/>
  <c r="W42" i="17"/>
  <c r="V42" i="17"/>
  <c r="U42" i="17"/>
  <c r="T42" i="17"/>
  <c r="R42" i="17"/>
  <c r="Q42" i="17"/>
  <c r="AC45" i="17"/>
  <c r="BE63" i="23" l="1"/>
  <c r="AG24" i="17"/>
  <c r="AI24" i="17" s="1"/>
  <c r="AG32" i="17"/>
  <c r="AI32" i="17" s="1"/>
  <c r="AG29" i="17"/>
  <c r="AI29" i="17" s="1"/>
  <c r="AG27" i="17"/>
  <c r="AI27" i="17" s="1"/>
  <c r="AG39" i="17"/>
  <c r="AI39" i="17" s="1"/>
  <c r="AG33" i="17"/>
  <c r="AI33" i="17"/>
  <c r="AG23" i="17"/>
  <c r="AI23" i="17"/>
  <c r="AG31" i="17"/>
  <c r="AI31" i="17"/>
  <c r="AG38" i="17"/>
  <c r="AI38" i="17" s="1"/>
  <c r="AG37" i="17"/>
  <c r="AI37" i="17" s="1"/>
  <c r="AG20" i="17"/>
  <c r="AI20" i="17"/>
  <c r="AG25" i="17"/>
  <c r="AI25" i="17" s="1"/>
  <c r="AG36" i="17"/>
  <c r="AI36" i="17" s="1"/>
  <c r="AG34" i="17"/>
  <c r="AI34" i="17" s="1"/>
  <c r="AG22" i="17"/>
  <c r="AI22" i="17"/>
  <c r="AG30" i="17"/>
  <c r="AI30" i="17"/>
  <c r="AG21" i="17"/>
  <c r="AI21" i="17"/>
  <c r="AG28" i="17"/>
  <c r="AI28" i="17" s="1"/>
  <c r="AG35" i="17"/>
  <c r="AI35" i="17"/>
  <c r="U16" i="23"/>
  <c r="AP102" i="23"/>
  <c r="U102" i="23"/>
  <c r="U105" i="23"/>
  <c r="AP105" i="23"/>
  <c r="AP97" i="23"/>
  <c r="U97" i="23"/>
  <c r="AP100" i="23"/>
  <c r="U100" i="23"/>
  <c r="AP103" i="23"/>
  <c r="U103" i="23"/>
  <c r="AP99" i="23"/>
  <c r="U99" i="23"/>
  <c r="U106" i="23"/>
  <c r="AP106" i="23"/>
  <c r="U98" i="23"/>
  <c r="AP98" i="23"/>
  <c r="U101" i="23"/>
  <c r="AP101" i="23"/>
  <c r="AP104" i="23"/>
  <c r="U104" i="23"/>
  <c r="AP107" i="23"/>
  <c r="U107" i="23"/>
  <c r="T16" i="42"/>
  <c r="T16" i="44"/>
  <c r="T16" i="34"/>
  <c r="Q16" i="42"/>
  <c r="Q16" i="44"/>
  <c r="K15" i="42"/>
  <c r="K15" i="44"/>
  <c r="T75" i="23"/>
  <c r="V75" i="23" s="1"/>
  <c r="BA10" i="23"/>
  <c r="BA12" i="23"/>
  <c r="Q127" i="23"/>
  <c r="Q16" i="34"/>
  <c r="K15" i="34"/>
  <c r="AX60" i="23"/>
  <c r="AZ60" i="23"/>
  <c r="AY58" i="23"/>
  <c r="BA58" i="23" s="1"/>
  <c r="BE58" i="23" s="1"/>
  <c r="BA53" i="23"/>
  <c r="Z63" i="17"/>
  <c r="BQ34" i="17"/>
  <c r="BS34" i="17" s="1"/>
  <c r="BQ35" i="17"/>
  <c r="BS35" i="17" s="1"/>
  <c r="BQ31" i="17"/>
  <c r="BS31" i="17" s="1"/>
  <c r="BQ12" i="17"/>
  <c r="BQ37" i="17"/>
  <c r="BS37" i="17" s="1"/>
  <c r="AG99" i="23"/>
  <c r="AY47" i="23"/>
  <c r="BA47" i="23" s="1"/>
  <c r="BE47" i="23" s="1"/>
  <c r="AG107" i="23"/>
  <c r="U56" i="23"/>
  <c r="U53" i="23"/>
  <c r="U17" i="23"/>
  <c r="AY45" i="23"/>
  <c r="BA45" i="23" s="1"/>
  <c r="BE45" i="23" s="1"/>
  <c r="U38" i="23"/>
  <c r="BA31" i="23"/>
  <c r="AY46" i="23"/>
  <c r="BA46" i="23" s="1"/>
  <c r="U31" i="23"/>
  <c r="AY13" i="23"/>
  <c r="BA13" i="23" s="1"/>
  <c r="AD99" i="23"/>
  <c r="AF98" i="23"/>
  <c r="AF106" i="23"/>
  <c r="AG104" i="23"/>
  <c r="AF99" i="23"/>
  <c r="AF107" i="23"/>
  <c r="AG97" i="23"/>
  <c r="AG105" i="23"/>
  <c r="AF92" i="23"/>
  <c r="AF100" i="23"/>
  <c r="AG98" i="23"/>
  <c r="AG106" i="23"/>
  <c r="AE98" i="23"/>
  <c r="AE106" i="23"/>
  <c r="AF101" i="23"/>
  <c r="AF102" i="23"/>
  <c r="AG92" i="23"/>
  <c r="AG100" i="23"/>
  <c r="AF103" i="23"/>
  <c r="AG101" i="23"/>
  <c r="AF104" i="23"/>
  <c r="AG102" i="23"/>
  <c r="AG103" i="23"/>
  <c r="AE97" i="23"/>
  <c r="AE105" i="23"/>
  <c r="AE99" i="23"/>
  <c r="AE107" i="23"/>
  <c r="AE100" i="23"/>
  <c r="AD97" i="23"/>
  <c r="AD105" i="23"/>
  <c r="AD107" i="23"/>
  <c r="AE101" i="23"/>
  <c r="AE102" i="23"/>
  <c r="AE103" i="23"/>
  <c r="AE104" i="23"/>
  <c r="AY16" i="23"/>
  <c r="BA16" i="23" s="1"/>
  <c r="BE16" i="23" s="1"/>
  <c r="BQ13" i="17"/>
  <c r="BQ14" i="17"/>
  <c r="U67" i="17" s="1"/>
  <c r="BQ15" i="17"/>
  <c r="BR15" i="17" s="1"/>
  <c r="BQ19" i="17"/>
  <c r="BS19" i="17" s="1"/>
  <c r="AC42" i="17"/>
  <c r="X77" i="17"/>
  <c r="BQ24" i="17"/>
  <c r="BR24" i="17" s="1"/>
  <c r="BQ36" i="17"/>
  <c r="BS36" i="17" s="1"/>
  <c r="BQ26" i="17"/>
  <c r="BS26" i="17" s="1"/>
  <c r="Z65" i="17"/>
  <c r="AQ65" i="17" s="1"/>
  <c r="BQ28" i="17"/>
  <c r="BS28" i="17" s="1"/>
  <c r="BQ18" i="17"/>
  <c r="BS18" i="17" s="1"/>
  <c r="BQ23" i="17"/>
  <c r="BS23" i="17" s="1"/>
  <c r="BQ20" i="17"/>
  <c r="BS20" i="17" s="1"/>
  <c r="BQ32" i="17"/>
  <c r="BR32" i="17" s="1"/>
  <c r="BQ10" i="17"/>
  <c r="T63" i="17" s="1"/>
  <c r="V63" i="17" s="1"/>
  <c r="BA43" i="23"/>
  <c r="AY50" i="23"/>
  <c r="BA50" i="23" s="1"/>
  <c r="BG50" i="23" s="1"/>
  <c r="AY52" i="23"/>
  <c r="BA52" i="23" s="1"/>
  <c r="BA27" i="23"/>
  <c r="AY49" i="23"/>
  <c r="BA49" i="23" s="1"/>
  <c r="BE49" i="23" s="1"/>
  <c r="AY51" i="23"/>
  <c r="BA51" i="23" s="1"/>
  <c r="BE51" i="23" s="1"/>
  <c r="BA40" i="23"/>
  <c r="Z108" i="23"/>
  <c r="AA102" i="23"/>
  <c r="AA105" i="23"/>
  <c r="BN45" i="17"/>
  <c r="BQ17" i="17"/>
  <c r="BS17" i="17" s="1"/>
  <c r="Z68" i="17"/>
  <c r="AQ68" i="17" s="1"/>
  <c r="Z64" i="17"/>
  <c r="BQ22" i="17"/>
  <c r="BS22" i="17" s="1"/>
  <c r="BQ11" i="17"/>
  <c r="T64" i="17" s="1"/>
  <c r="V64" i="17" s="1"/>
  <c r="Z71" i="17"/>
  <c r="AQ71" i="17" s="1"/>
  <c r="BQ41" i="17"/>
  <c r="BS41" i="17" s="1"/>
  <c r="BQ39" i="17"/>
  <c r="BS39" i="17" s="1"/>
  <c r="BQ33" i="17"/>
  <c r="BS33" i="17" s="1"/>
  <c r="BQ29" i="17"/>
  <c r="BS29" i="17" s="1"/>
  <c r="BQ27" i="17"/>
  <c r="BR27" i="17" s="1"/>
  <c r="BQ25" i="17"/>
  <c r="BS25" i="17" s="1"/>
  <c r="BQ30" i="17"/>
  <c r="BR30" i="17" s="1"/>
  <c r="Z73" i="17"/>
  <c r="AQ73" i="17" s="1"/>
  <c r="Z70" i="17"/>
  <c r="AQ70" i="17" s="1"/>
  <c r="Z67" i="17"/>
  <c r="AQ67" i="17" s="1"/>
  <c r="Z75" i="17"/>
  <c r="AQ75" i="17" s="1"/>
  <c r="Z74" i="17"/>
  <c r="AQ74" i="17" s="1"/>
  <c r="BQ38" i="17"/>
  <c r="BR38" i="17" s="1"/>
  <c r="Y77" i="17"/>
  <c r="BQ40" i="17"/>
  <c r="BS40" i="17" s="1"/>
  <c r="BO42" i="17"/>
  <c r="BP45" i="17"/>
  <c r="BQ21" i="17"/>
  <c r="BR21" i="17" s="1"/>
  <c r="Z72" i="17"/>
  <c r="AQ72" i="17" s="1"/>
  <c r="Z69" i="17"/>
  <c r="AQ69" i="17" s="1"/>
  <c r="Z66" i="17"/>
  <c r="AQ66" i="17" s="1"/>
  <c r="AY33" i="23"/>
  <c r="BA33" i="23" s="1"/>
  <c r="BG33" i="23" s="1"/>
  <c r="BH33" i="23" s="1"/>
  <c r="U34" i="23"/>
  <c r="U35" i="23"/>
  <c r="AY36" i="23"/>
  <c r="BA36" i="23" s="1"/>
  <c r="BE36" i="23" s="1"/>
  <c r="U37" i="23"/>
  <c r="AA100" i="23"/>
  <c r="AA101" i="23"/>
  <c r="AA103" i="23"/>
  <c r="AY22" i="23"/>
  <c r="BA22" i="23" s="1"/>
  <c r="AG94" i="23" s="1"/>
  <c r="AY23" i="23"/>
  <c r="BA23" i="23" s="1"/>
  <c r="U21" i="23"/>
  <c r="AY11" i="23"/>
  <c r="BA11" i="23" s="1"/>
  <c r="AY14" i="23"/>
  <c r="BA14" i="23" s="1"/>
  <c r="BA17" i="23"/>
  <c r="AY41" i="23"/>
  <c r="BA41" i="23" s="1"/>
  <c r="BG41" i="23" s="1"/>
  <c r="BH41" i="23" s="1"/>
  <c r="AY42" i="23"/>
  <c r="BA42" i="23" s="1"/>
  <c r="BE42" i="23" s="1"/>
  <c r="U43" i="23"/>
  <c r="BA21" i="23"/>
  <c r="AY48" i="23"/>
  <c r="BA48" i="23" s="1"/>
  <c r="BE48" i="23" s="1"/>
  <c r="BA9" i="23"/>
  <c r="H69" i="23"/>
  <c r="BA20" i="23"/>
  <c r="U32" i="23"/>
  <c r="U55" i="23"/>
  <c r="BA35" i="23"/>
  <c r="BA54" i="23"/>
  <c r="AA92" i="23"/>
  <c r="AA104" i="23"/>
  <c r="AA106" i="23"/>
  <c r="BA34" i="23"/>
  <c r="BA15" i="23"/>
  <c r="AA99" i="23"/>
  <c r="U27" i="23"/>
  <c r="AY19" i="23"/>
  <c r="BA19" i="23" s="1"/>
  <c r="BE19" i="23" s="1"/>
  <c r="U20" i="23"/>
  <c r="BA24" i="23"/>
  <c r="BA30" i="23"/>
  <c r="BG30" i="23" s="1"/>
  <c r="BH30" i="23" s="1"/>
  <c r="BA38" i="23"/>
  <c r="AY39" i="23"/>
  <c r="BA39" i="23" s="1"/>
  <c r="U40" i="23"/>
  <c r="BA55" i="23"/>
  <c r="AA97" i="23"/>
  <c r="AA98" i="23"/>
  <c r="BA18" i="23"/>
  <c r="AA107" i="23"/>
  <c r="AZ63" i="23"/>
  <c r="U26" i="23"/>
  <c r="AY26" i="23"/>
  <c r="BA26" i="23" s="1"/>
  <c r="BA37" i="23"/>
  <c r="U25" i="23"/>
  <c r="AY25" i="23"/>
  <c r="BA25" i="23" s="1"/>
  <c r="AG95" i="23" s="1"/>
  <c r="BA56" i="23"/>
  <c r="AY28" i="23"/>
  <c r="BA28" i="23" s="1"/>
  <c r="AF96" i="23" s="1"/>
  <c r="X108" i="23"/>
  <c r="AY29" i="23"/>
  <c r="BA29" i="23" s="1"/>
  <c r="BE29" i="23" s="1"/>
  <c r="U54" i="23"/>
  <c r="O63" i="23"/>
  <c r="O60" i="23"/>
  <c r="AY57" i="23"/>
  <c r="BA57" i="23" s="1"/>
  <c r="V108" i="23"/>
  <c r="V109" i="23" s="1"/>
  <c r="BA32" i="23"/>
  <c r="U44" i="23"/>
  <c r="AY44" i="23"/>
  <c r="BA44" i="23" s="1"/>
  <c r="BA59" i="23"/>
  <c r="AE42" i="17"/>
  <c r="AE45" i="17"/>
  <c r="BO45" i="17"/>
  <c r="BQ9" i="17"/>
  <c r="BS9" i="17" s="1"/>
  <c r="BP42" i="17"/>
  <c r="AG26" i="17"/>
  <c r="AI26" i="17" s="1"/>
  <c r="BN42" i="17"/>
  <c r="BQ16" i="17"/>
  <c r="U15" i="23" l="1"/>
  <c r="C71" i="23"/>
  <c r="C70" i="23"/>
  <c r="H70" i="23" s="1"/>
  <c r="V16" i="34"/>
  <c r="V16" i="44"/>
  <c r="V16" i="42"/>
  <c r="Q15" i="42"/>
  <c r="Q15" i="44"/>
  <c r="K12" i="42"/>
  <c r="E57" i="42" s="1"/>
  <c r="K12" i="44"/>
  <c r="AQ64" i="17"/>
  <c r="T77" i="17"/>
  <c r="U77" i="17"/>
  <c r="V67" i="17"/>
  <c r="V77" i="17" s="1"/>
  <c r="BG14" i="23"/>
  <c r="BH14" i="23" s="1"/>
  <c r="M69" i="23"/>
  <c r="T69" i="23" s="1"/>
  <c r="T70" i="23" s="1"/>
  <c r="R114" i="23"/>
  <c r="R91" i="23"/>
  <c r="R125" i="23"/>
  <c r="U12" i="23"/>
  <c r="Q126" i="23"/>
  <c r="BE13" i="23"/>
  <c r="R69" i="23"/>
  <c r="U10" i="23"/>
  <c r="Q124" i="23"/>
  <c r="R124" i="23"/>
  <c r="R113" i="23"/>
  <c r="R90" i="23"/>
  <c r="AQ63" i="17"/>
  <c r="Q15" i="34"/>
  <c r="BR11" i="17"/>
  <c r="X58" i="17" s="1"/>
  <c r="X53" i="17"/>
  <c r="S54" i="17" s="1"/>
  <c r="BR12" i="17"/>
  <c r="W58" i="17" s="1"/>
  <c r="W53" i="17"/>
  <c r="BR14" i="17"/>
  <c r="U58" i="17" s="1"/>
  <c r="U53" i="17"/>
  <c r="K12" i="34"/>
  <c r="BE10" i="23"/>
  <c r="Q96" i="23"/>
  <c r="U28" i="23"/>
  <c r="Q94" i="23"/>
  <c r="U24" i="23"/>
  <c r="Q92" i="23"/>
  <c r="U18" i="23"/>
  <c r="AY60" i="23"/>
  <c r="BR10" i="17"/>
  <c r="BS10" i="17"/>
  <c r="BE15" i="23"/>
  <c r="BG53" i="23"/>
  <c r="BH53" i="23" s="1"/>
  <c r="BG9" i="23"/>
  <c r="BH9" i="23" s="1"/>
  <c r="BG31" i="23"/>
  <c r="BH31" i="23" s="1"/>
  <c r="V53" i="17"/>
  <c r="BS13" i="17"/>
  <c r="Y53" i="17"/>
  <c r="BR26" i="17"/>
  <c r="BR19" i="17"/>
  <c r="BR37" i="17"/>
  <c r="BR31" i="17"/>
  <c r="BR34" i="17"/>
  <c r="BS15" i="17"/>
  <c r="BR9" i="17"/>
  <c r="BR33" i="17"/>
  <c r="BR41" i="17"/>
  <c r="BR35" i="17"/>
  <c r="BS12" i="17"/>
  <c r="BR28" i="17"/>
  <c r="BR36" i="17"/>
  <c r="BS24" i="17"/>
  <c r="BR18" i="17"/>
  <c r="BS27" i="17"/>
  <c r="BR13" i="17"/>
  <c r="V58" i="17" s="1"/>
  <c r="BS32" i="17"/>
  <c r="BS14" i="17"/>
  <c r="BR22" i="17"/>
  <c r="Q91" i="23"/>
  <c r="BG43" i="23"/>
  <c r="BH43" i="23" s="1"/>
  <c r="BE56" i="23"/>
  <c r="BE33" i="23"/>
  <c r="BE30" i="23"/>
  <c r="BG48" i="23"/>
  <c r="BH48" i="23" s="1"/>
  <c r="BE31" i="23"/>
  <c r="BG58" i="23"/>
  <c r="BH58" i="23" s="1"/>
  <c r="BE43" i="23"/>
  <c r="BG35" i="23"/>
  <c r="BH35" i="23" s="1"/>
  <c r="BE46" i="23"/>
  <c r="BG46" i="23"/>
  <c r="BH46" i="23" s="1"/>
  <c r="BG22" i="23"/>
  <c r="BH22" i="23" s="1"/>
  <c r="BE22" i="23"/>
  <c r="BE17" i="23"/>
  <c r="BG47" i="23"/>
  <c r="BH47" i="23" s="1"/>
  <c r="BH50" i="23"/>
  <c r="BE38" i="23"/>
  <c r="BG54" i="23"/>
  <c r="BH54" i="23" s="1"/>
  <c r="BE50" i="23"/>
  <c r="N69" i="23"/>
  <c r="F73" i="23" s="1"/>
  <c r="BE53" i="23"/>
  <c r="BG40" i="23"/>
  <c r="BH40" i="23" s="1"/>
  <c r="AG93" i="23"/>
  <c r="BG21" i="23"/>
  <c r="BH21" i="23" s="1"/>
  <c r="BG19" i="23"/>
  <c r="BH19" i="23" s="1"/>
  <c r="AG96" i="23"/>
  <c r="AA96" i="23"/>
  <c r="AD96" i="23"/>
  <c r="Y108" i="23"/>
  <c r="Q95" i="23"/>
  <c r="AF95" i="23"/>
  <c r="AA95" i="23"/>
  <c r="AA94" i="23"/>
  <c r="AF94" i="23"/>
  <c r="BE21" i="23"/>
  <c r="BE18" i="23"/>
  <c r="BG17" i="23"/>
  <c r="BH17" i="23" s="1"/>
  <c r="BG15" i="23"/>
  <c r="BH15" i="23" s="1"/>
  <c r="BE14" i="23"/>
  <c r="P69" i="23"/>
  <c r="AH105" i="23"/>
  <c r="AH106" i="23"/>
  <c r="AH98" i="23"/>
  <c r="AH103" i="23"/>
  <c r="BG12" i="23"/>
  <c r="BH12" i="23" s="1"/>
  <c r="AH97" i="23"/>
  <c r="AH100" i="23"/>
  <c r="AH102" i="23"/>
  <c r="AH104" i="23"/>
  <c r="BE11" i="23"/>
  <c r="O69" i="23"/>
  <c r="AH107" i="23"/>
  <c r="AH101" i="23"/>
  <c r="AH99" i="23"/>
  <c r="AD94" i="23"/>
  <c r="Q90" i="23"/>
  <c r="BE20" i="23"/>
  <c r="Q93" i="23"/>
  <c r="BG24" i="23"/>
  <c r="BH24" i="23" s="1"/>
  <c r="BG27" i="23"/>
  <c r="BH27" i="23" s="1"/>
  <c r="BG16" i="23"/>
  <c r="BE27" i="23"/>
  <c r="S77" i="17"/>
  <c r="S78" i="17" s="1"/>
  <c r="AG42" i="17"/>
  <c r="BR20" i="17"/>
  <c r="BS11" i="17"/>
  <c r="BR29" i="17"/>
  <c r="BR23" i="17"/>
  <c r="BS30" i="17"/>
  <c r="BR17" i="17"/>
  <c r="BE52" i="23"/>
  <c r="BG52" i="23"/>
  <c r="BH52" i="23" s="1"/>
  <c r="BG51" i="23"/>
  <c r="BH51" i="23" s="1"/>
  <c r="BG20" i="23"/>
  <c r="BH20" i="23" s="1"/>
  <c r="BG49" i="23"/>
  <c r="BH49" i="23" s="1"/>
  <c r="BG36" i="23"/>
  <c r="BH36" i="23" s="1"/>
  <c r="BE35" i="23"/>
  <c r="BR25" i="17"/>
  <c r="BR39" i="17"/>
  <c r="Z76" i="17"/>
  <c r="AQ76" i="17" s="1"/>
  <c r="BR40" i="17"/>
  <c r="BS38" i="17"/>
  <c r="BS21" i="17"/>
  <c r="BE44" i="23"/>
  <c r="BE41" i="23"/>
  <c r="BE26" i="23"/>
  <c r="BG10" i="23"/>
  <c r="BH10" i="23" s="1"/>
  <c r="BE12" i="23"/>
  <c r="BE24" i="23"/>
  <c r="BE39" i="23"/>
  <c r="BG39" i="23"/>
  <c r="BH39" i="23" s="1"/>
  <c r="BG18" i="23"/>
  <c r="BH18" i="23" s="1"/>
  <c r="BG11" i="23"/>
  <c r="BG38" i="23"/>
  <c r="BH38" i="23" s="1"/>
  <c r="BG55" i="23"/>
  <c r="BH55" i="23" s="1"/>
  <c r="BE55" i="23"/>
  <c r="BG13" i="23"/>
  <c r="BH13" i="23" s="1"/>
  <c r="BG25" i="23"/>
  <c r="BH25" i="23" s="1"/>
  <c r="BE34" i="23"/>
  <c r="BG34" i="23"/>
  <c r="BH34" i="23" s="1"/>
  <c r="BE40" i="23"/>
  <c r="BG29" i="23"/>
  <c r="BH29" i="23" s="1"/>
  <c r="BG45" i="23"/>
  <c r="BH45" i="23" s="1"/>
  <c r="BG28" i="23"/>
  <c r="BH28" i="23" s="1"/>
  <c r="BG44" i="23"/>
  <c r="BH44" i="23" s="1"/>
  <c r="BG23" i="23"/>
  <c r="BH23" i="23" s="1"/>
  <c r="BE23" i="23"/>
  <c r="BE57" i="23"/>
  <c r="BG57" i="23"/>
  <c r="BH57" i="23" s="1"/>
  <c r="BE25" i="23"/>
  <c r="BA63" i="23"/>
  <c r="BE28" i="23"/>
  <c r="BE32" i="23"/>
  <c r="BG32" i="23"/>
  <c r="BH32" i="23" s="1"/>
  <c r="BE59" i="23"/>
  <c r="BG59" i="23"/>
  <c r="BH59" i="23" s="1"/>
  <c r="T60" i="23"/>
  <c r="BG42" i="23"/>
  <c r="BH42" i="23" s="1"/>
  <c r="T63" i="23"/>
  <c r="BE37" i="23"/>
  <c r="BG37" i="23"/>
  <c r="BH37" i="23" s="1"/>
  <c r="BG26" i="23"/>
  <c r="BH26" i="23" s="1"/>
  <c r="BG56" i="23"/>
  <c r="BH56" i="23" s="1"/>
  <c r="BE54" i="23"/>
  <c r="BF63" i="23"/>
  <c r="BA60" i="23"/>
  <c r="BQ42" i="17"/>
  <c r="BS42" i="17" s="1"/>
  <c r="BQ45" i="17"/>
  <c r="BS16" i="17"/>
  <c r="BR16" i="17"/>
  <c r="AG45" i="17"/>
  <c r="W77" i="17"/>
  <c r="BG63" i="23" l="1"/>
  <c r="E58" i="42"/>
  <c r="E59" i="42" a="1"/>
  <c r="E59" i="42" s="1"/>
  <c r="E61" i="44" a="1"/>
  <c r="E61" i="44" s="1"/>
  <c r="E60" i="44"/>
  <c r="E59" i="44"/>
  <c r="E61" i="34" a="1"/>
  <c r="E61" i="34" s="1"/>
  <c r="E60" i="34"/>
  <c r="E59" i="34"/>
  <c r="H71" i="23"/>
  <c r="J22" i="44"/>
  <c r="J22" i="42"/>
  <c r="K20" i="44"/>
  <c r="K43" i="44" s="1"/>
  <c r="K20" i="42"/>
  <c r="K43" i="42" s="1"/>
  <c r="U93" i="23"/>
  <c r="AP93" i="23"/>
  <c r="P23" i="44"/>
  <c r="P23" i="42"/>
  <c r="P23" i="34"/>
  <c r="U91" i="23"/>
  <c r="AP91" i="23"/>
  <c r="T20" i="44"/>
  <c r="T20" i="42"/>
  <c r="N82" i="23"/>
  <c r="T20" i="34"/>
  <c r="G73" i="23"/>
  <c r="T109" i="23"/>
  <c r="Q113" i="23"/>
  <c r="AP90" i="23"/>
  <c r="U90" i="23"/>
  <c r="J21" i="42"/>
  <c r="J21" i="44"/>
  <c r="U92" i="23"/>
  <c r="AP92" i="23"/>
  <c r="AE95" i="23"/>
  <c r="AP95" i="23"/>
  <c r="U95" i="23"/>
  <c r="AE94" i="23"/>
  <c r="AH94" i="23" s="1"/>
  <c r="AP94" i="23"/>
  <c r="U94" i="23"/>
  <c r="AE96" i="23"/>
  <c r="AH96" i="23" s="1"/>
  <c r="AP96" i="23"/>
  <c r="U96" i="23"/>
  <c r="T15" i="34"/>
  <c r="V15" i="34" s="1"/>
  <c r="T15" i="42"/>
  <c r="V15" i="42" s="1"/>
  <c r="T15" i="44"/>
  <c r="V15" i="44" s="1"/>
  <c r="T12" i="42"/>
  <c r="T12" i="44"/>
  <c r="T12" i="34"/>
  <c r="P14" i="42"/>
  <c r="P14" i="44"/>
  <c r="U78" i="17"/>
  <c r="M74" i="23"/>
  <c r="R128" i="23"/>
  <c r="Q128" i="23"/>
  <c r="Q129" i="23" s="1"/>
  <c r="R119" i="23"/>
  <c r="L57" i="44"/>
  <c r="P57" i="44" s="1"/>
  <c r="L57" i="42"/>
  <c r="P57" i="42" s="1"/>
  <c r="E72" i="23"/>
  <c r="E73" i="23" s="1"/>
  <c r="N74" i="23"/>
  <c r="BH16" i="23"/>
  <c r="R74" i="23"/>
  <c r="N84" i="23"/>
  <c r="N81" i="23"/>
  <c r="Z53" i="17"/>
  <c r="S55" i="17"/>
  <c r="P14" i="34"/>
  <c r="P45" i="34" s="1"/>
  <c r="R77" i="34" s="1"/>
  <c r="D59" i="44"/>
  <c r="D60" i="44"/>
  <c r="D58" i="44"/>
  <c r="D59" i="34"/>
  <c r="D58" i="34"/>
  <c r="D60" i="34"/>
  <c r="D61" i="42"/>
  <c r="D59" i="42"/>
  <c r="D60" i="42"/>
  <c r="AE92" i="23"/>
  <c r="AD92" i="23"/>
  <c r="T126" i="23" s="1"/>
  <c r="K20" i="34"/>
  <c r="AF90" i="23"/>
  <c r="AA90" i="23"/>
  <c r="J22" i="34"/>
  <c r="J21" i="34"/>
  <c r="Y58" i="17"/>
  <c r="Z58" i="17" s="1"/>
  <c r="S53" i="17"/>
  <c r="AG90" i="23"/>
  <c r="R108" i="23"/>
  <c r="AA108" i="23" s="1"/>
  <c r="AF93" i="23"/>
  <c r="AE93" i="23"/>
  <c r="P74" i="23"/>
  <c r="AA93" i="23"/>
  <c r="D72" i="23"/>
  <c r="AD95" i="23"/>
  <c r="AE91" i="23"/>
  <c r="AF91" i="23"/>
  <c r="AG91" i="23"/>
  <c r="AD91" i="23"/>
  <c r="T125" i="23" s="1"/>
  <c r="AA91" i="23"/>
  <c r="Q108" i="23"/>
  <c r="Q109" i="23" s="1"/>
  <c r="AD90" i="23"/>
  <c r="T124" i="23" s="1"/>
  <c r="Q115" i="23"/>
  <c r="AD93" i="23"/>
  <c r="T127" i="23" s="1"/>
  <c r="Q116" i="23"/>
  <c r="Q114" i="23"/>
  <c r="Q118" i="23"/>
  <c r="Q117" i="23"/>
  <c r="BH11" i="23"/>
  <c r="O74" i="23"/>
  <c r="Q74" i="23"/>
  <c r="AE90" i="23"/>
  <c r="Z77" i="17"/>
  <c r="AQ77" i="17" s="1"/>
  <c r="BE60" i="23"/>
  <c r="BG60" i="23"/>
  <c r="BH60" i="23" s="1"/>
  <c r="BI63" i="23"/>
  <c r="BJ63" i="23" s="1"/>
  <c r="BR42" i="17"/>
  <c r="BR45" i="17"/>
  <c r="P45" i="44" l="1"/>
  <c r="R91" i="44" s="1"/>
  <c r="T40" i="34"/>
  <c r="V40" i="34" s="1"/>
  <c r="P45" i="42"/>
  <c r="R90" i="42" s="1"/>
  <c r="R92" i="42" s="1"/>
  <c r="R94" i="42" s="1"/>
  <c r="R85" i="34"/>
  <c r="AH95" i="23"/>
  <c r="N83" i="23"/>
  <c r="N86" i="23" s="1"/>
  <c r="P84" i="23"/>
  <c r="M68" i="27"/>
  <c r="Q20" i="42"/>
  <c r="V20" i="42" s="1"/>
  <c r="Q20" i="44"/>
  <c r="V20" i="44" s="1"/>
  <c r="AP108" i="23"/>
  <c r="T40" i="44"/>
  <c r="V40" i="44" s="1"/>
  <c r="T78" i="17"/>
  <c r="P13" i="44"/>
  <c r="Q12" i="44" s="1"/>
  <c r="E62" i="44" s="1"/>
  <c r="P13" i="42"/>
  <c r="Q12" i="42" s="1"/>
  <c r="E60" i="42" s="1"/>
  <c r="D73" i="23"/>
  <c r="L56" i="42"/>
  <c r="T74" i="23"/>
  <c r="L56" i="44"/>
  <c r="T128" i="23"/>
  <c r="R129" i="23"/>
  <c r="S56" i="17"/>
  <c r="S58" i="17" s="1"/>
  <c r="S59" i="17" s="1"/>
  <c r="D63" i="34"/>
  <c r="P13" i="34"/>
  <c r="Q12" i="34" s="1"/>
  <c r="E62" i="34" s="1"/>
  <c r="AH92" i="23"/>
  <c r="Q20" i="34"/>
  <c r="V20" i="34" s="1"/>
  <c r="Z59" i="17"/>
  <c r="Z54" i="17"/>
  <c r="AG108" i="23"/>
  <c r="P85" i="23" s="1"/>
  <c r="AF108" i="23"/>
  <c r="O85" i="23" s="1"/>
  <c r="M69" i="27" s="1"/>
  <c r="AH93" i="23"/>
  <c r="AE108" i="23"/>
  <c r="AH91" i="23"/>
  <c r="U108" i="23"/>
  <c r="Q119" i="23"/>
  <c r="Q120" i="23" s="1"/>
  <c r="AD108" i="23"/>
  <c r="AH90" i="23"/>
  <c r="U117" i="23"/>
  <c r="U116" i="23"/>
  <c r="Y114" i="23"/>
  <c r="U118" i="23"/>
  <c r="U113" i="23"/>
  <c r="U114" i="23"/>
  <c r="U115" i="23"/>
  <c r="R120" i="23"/>
  <c r="R109" i="23"/>
  <c r="D64" i="42" l="1"/>
  <c r="L63" i="44"/>
  <c r="P56" i="44"/>
  <c r="K75" i="44"/>
  <c r="M63" i="44"/>
  <c r="R83" i="44"/>
  <c r="R85" i="44" s="1"/>
  <c r="R87" i="44" s="1"/>
  <c r="R89" i="44" s="1"/>
  <c r="V78" i="17"/>
  <c r="T43" i="34"/>
  <c r="R93" i="44"/>
  <c r="R95" i="44" s="1"/>
  <c r="L63" i="42"/>
  <c r="P56" i="42"/>
  <c r="K74" i="42"/>
  <c r="R79" i="34"/>
  <c r="R81" i="34" s="1"/>
  <c r="R83" i="34" s="1"/>
  <c r="P63" i="44"/>
  <c r="N85" i="44" a="1"/>
  <c r="N85" i="44" s="1"/>
  <c r="P24" i="44"/>
  <c r="P24" i="42"/>
  <c r="P24" i="34"/>
  <c r="P25" i="42"/>
  <c r="P25" i="44"/>
  <c r="P25" i="34"/>
  <c r="M70" i="27"/>
  <c r="V40" i="42"/>
  <c r="V12" i="34"/>
  <c r="V12" i="44"/>
  <c r="V43" i="44" s="1"/>
  <c r="T43" i="44"/>
  <c r="V12" i="42"/>
  <c r="Y84" i="23"/>
  <c r="N87" i="23"/>
  <c r="L65" i="44"/>
  <c r="P65" i="44" s="1"/>
  <c r="D63" i="44"/>
  <c r="D61" i="34"/>
  <c r="AG109" i="23"/>
  <c r="AE109" i="23"/>
  <c r="U109" i="23"/>
  <c r="T129" i="23"/>
  <c r="U119" i="23"/>
  <c r="U120" i="23" s="1"/>
  <c r="Q43" i="44" l="1"/>
  <c r="L75" i="44"/>
  <c r="M75" i="44" s="1" a="1"/>
  <c r="M75" i="44" s="1"/>
  <c r="K80" i="44"/>
  <c r="L65" i="42"/>
  <c r="P65" i="42" s="1"/>
  <c r="R82" i="42"/>
  <c r="R97" i="44"/>
  <c r="K89" i="44" s="1"/>
  <c r="S95" i="44"/>
  <c r="M63" i="42"/>
  <c r="P63" i="42"/>
  <c r="L74" i="42"/>
  <c r="M74" i="42" s="1" a="1"/>
  <c r="M74" i="42" s="1"/>
  <c r="K79" i="42"/>
  <c r="K80" i="42" s="1"/>
  <c r="R87" i="34"/>
  <c r="R89" i="34" s="1"/>
  <c r="R91" i="34" s="1"/>
  <c r="K83" i="34" s="1"/>
  <c r="K85" i="34" s="1"/>
  <c r="S89" i="34"/>
  <c r="Q43" i="42"/>
  <c r="Q43" i="34"/>
  <c r="L67" i="44"/>
  <c r="K84" i="44" s="1"/>
  <c r="D61" i="44"/>
  <c r="D62" i="42"/>
  <c r="K81" i="44" l="1"/>
  <c r="L80" i="44"/>
  <c r="M80" i="44" s="1" a="1"/>
  <c r="M80" i="44" s="1"/>
  <c r="K86" i="34"/>
  <c r="K87" i="34" s="1"/>
  <c r="L87" i="34" s="1"/>
  <c r="M87" i="34" s="1" a="1"/>
  <c r="M87" i="34" s="1"/>
  <c r="P67" i="44"/>
  <c r="K85" i="44"/>
  <c r="K86" i="44" s="1"/>
  <c r="K91" i="44" s="1"/>
  <c r="K92" i="44" s="1"/>
  <c r="K93" i="44" s="1"/>
  <c r="L93" i="44" s="1"/>
  <c r="M93" i="44" s="1" a="1"/>
  <c r="M93" i="44" s="1"/>
  <c r="R84" i="42"/>
  <c r="R86" i="42" s="1"/>
  <c r="R88" i="42" s="1"/>
  <c r="R96" i="42" s="1"/>
  <c r="S94" i="42"/>
  <c r="L67" i="42"/>
  <c r="L79" i="42"/>
  <c r="M79" i="42" s="1" a="1"/>
  <c r="M79" i="42" s="1"/>
  <c r="P67" i="42" l="1"/>
  <c r="K83" i="42"/>
  <c r="K84" i="42" s="1"/>
  <c r="K85" i="42" s="1"/>
  <c r="K88" i="42"/>
  <c r="N97" i="44" a="1"/>
  <c r="N97" i="44" s="1"/>
  <c r="K90" i="42" l="1"/>
  <c r="K91" i="42" s="1"/>
  <c r="K92" i="42" s="1"/>
  <c r="L92" i="42" s="1"/>
  <c r="M92" i="42" s="1" a="1"/>
  <c r="M92" i="42" s="1"/>
  <c r="G43" i="24"/>
  <c r="E43" i="24"/>
  <c r="C72" i="23"/>
  <c r="H72" i="23" l="1"/>
  <c r="H73" i="23" s="1"/>
  <c r="H43" i="24"/>
  <c r="C73" i="23"/>
  <c r="I72" i="23" l="1"/>
  <c r="R62" i="25"/>
  <c r="K27" i="34"/>
  <c r="K43" i="34" s="1"/>
  <c r="E64" i="34" l="1"/>
  <c r="V27" i="34"/>
  <c r="V43" i="34" s="1"/>
  <c r="H50" i="24"/>
  <c r="H62" i="24" s="1"/>
  <c r="H63" i="24" s="1"/>
  <c r="D65" i="34"/>
  <c r="H51"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Andrei Ela M. Royo</author>
  </authors>
  <commentList>
    <comment ref="A25" authorId="0" shapeId="0" xr:uid="{E98E7D07-0339-4BED-9040-787A69273CEA}">
      <text>
        <r>
          <rPr>
            <b/>
            <sz val="11"/>
            <color indexed="81"/>
            <rFont val="Tahoma"/>
            <family val="2"/>
          </rPr>
          <t>Andrei Ela M. Royo:</t>
        </r>
        <r>
          <rPr>
            <sz val="11"/>
            <color indexed="81"/>
            <rFont val="Tahoma"/>
            <family val="2"/>
          </rPr>
          <t xml:space="preserve">
Writer, Director, Director of Photography, Production Designer, Costume Designer, Production Accountant, VFX Supervisor, Editor, Composer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tc={FF490CFD-7919-4973-A584-E034615E793D}</author>
    <author>tc={F93E0F60-BBDC-40A2-BC9D-D3B1CB027B0F}</author>
    <author>tc={F542B4CD-8470-4711-9EB4-252506D598E4}</author>
    <author>tc={F39DDE87-6800-4B10-99E4-02DDF185440C}</author>
    <author>tc={4E7B0B5C-28A3-4D1C-9819-3DC07D5DC572}</author>
    <author>tc={D204F8DB-6CAF-4A48-AD48-68970B84DBF8}</author>
    <author>tc={11C26499-2084-416D-AF15-4915A58785FE}</author>
    <author>tc={0FF108D0-F1D5-4578-B251-460485450F83}</author>
    <author>tc={0E85D857-EA2C-44C0-9705-E18A73245DE8}</author>
    <author>tc={760CDC35-CAB7-4038-BE51-566655AC2F73}</author>
    <author>tc={2FA0119F-B0DD-4954-83DF-EF97D4AC303D}</author>
    <author>tc={20112E98-4ED7-4C4F-B3B8-C2B4AB696CDE}</author>
    <author>tc={E39B44F1-0F79-48A4-868D-EE059D6FB47E}</author>
    <author>tc={FC9CBF1C-10CC-4EB4-8FE4-6FE854DA325B}</author>
    <author>tc={7D418CEE-161F-4AC4-BCCE-98D637F83C05}</author>
    <author>tc={8CC206CB-7368-4E2E-9535-9DF15365BFEF}</author>
    <author>tc={A9DC1B57-A672-4F0A-8928-E2CB3A9FF99D}</author>
    <author>tc={9CE0F2BF-1C51-416C-BCA6-65B982C90CDE}</author>
    <author>tc={0598CB4F-CE0C-4F39-AA0D-BD97B70BBA7A}</author>
    <author>tc={37169393-BEFC-4826-8118-C446525C190D}</author>
    <author>tc={0E7A49F9-EB4E-4DC6-A61E-CE179A84E51E}</author>
    <author>tc={AD1F3B2C-8668-4FF0-896F-89A4DE389220}</author>
    <author>tc={EB1C7BD3-35E3-43B4-AA35-15A9095EFA71}</author>
  </authors>
  <commentList>
    <comment ref="B12" authorId="0" shapeId="0" xr:uid="{FF490CFD-7919-4973-A584-E034615E793D}">
      <text>
        <t>[Threaded comment]
Your version of Excel allows you to read this threaded comment; however, any edits to it will get removed if the file is opened in a newer version of Excel. Learn more: https://go.microsoft.com/fwlink/?linkid=870924
Comment:
    Animation/ Live Action/ Still</t>
      </text>
    </comment>
    <comment ref="B13" authorId="1" shapeId="0" xr:uid="{F93E0F60-BBDC-40A2-BC9D-D3B1CB027B0F}">
      <text>
        <t>[Threaded comment]
Your version of Excel allows you to read this threaded comment; however, any edits to it will get removed if the file is opened in a newer version of Excel. Learn more: https://go.microsoft.com/fwlink/?linkid=870924
Comment:
    Copy here any notes from SF or other notes related to the job</t>
      </text>
    </comment>
    <comment ref="B14" authorId="2" shapeId="0" xr:uid="{F542B4CD-8470-4711-9EB4-252506D598E4}">
      <text>
        <t>[Threaded comment]
Your version of Excel allows you to read this threaded comment; however, any edits to it will get removed if the file is opened in a newer version of Excel. Learn more: https://go.microsoft.com/fwlink/?linkid=870924
Comment:
    Other locations (e.g. part of the shoot will be done in TX or CT)</t>
      </text>
    </comment>
    <comment ref="O14" authorId="3" shapeId="0" xr:uid="{F39DDE87-6800-4B10-99E4-02DDF185440C}">
      <text>
        <t xml:space="preserve">[Threaded comment]
Your version of Excel allows you to read this threaded comment; however, any edits to it will get removed if the file is opened in a newer version of Excel. Learn more: https://go.microsoft.com/fwlink/?linkid=870924
Comment:
    Max of 9 qualified
Writer, Director, Director of Photography, Production Designer, Costume Designer, Production Accountant, VFX Supervisor, Editor, Composer </t>
      </text>
    </comment>
    <comment ref="O23" authorId="4" shapeId="0" xr:uid="{4E7B0B5C-28A3-4D1C-9819-3DC07D5DC572}">
      <text>
        <t>[Threaded comment]
Your version of Excel allows you to read this threaded comment; however, any edits to it will get removed if the file is opened in a newer version of Excel. Learn more: https://go.microsoft.com/fwlink/?linkid=870924
Comment:
    Max 2 non-resident actors (Extras don't qualify)</t>
      </text>
    </comment>
    <comment ref="O29" authorId="5" shapeId="0" xr:uid="{D204F8DB-6CAF-4A48-AD48-68970B84DBF8}">
      <text>
        <t>[Threaded comment]
Your version of Excel allows you to read this threaded comment; however, any edits to it will get removed if the file is opened in a newer version of Excel. Learn more: https://go.microsoft.com/fwlink/?linkid=870924
Comment:
    Included in counting the max 9 OOS crew</t>
      </text>
    </comment>
    <comment ref="C38" authorId="6" shapeId="0" xr:uid="{11C26499-2084-416D-AF15-4915A58785FE}">
      <text>
        <t>[Threaded comment]
Your version of Excel allows you to read this threaded comment; however, any edits to it will get removed if the file is opened in a newer version of Excel. Learn more: https://go.microsoft.com/fwlink/?linkid=870924
Comment:
    1) Award Date from Agency's Calendar
2) Approval Date of Agency Estimate</t>
      </text>
    </comment>
    <comment ref="C39" authorId="7" shapeId="0" xr:uid="{0FF108D0-F1D5-4578-B251-460485450F83}">
      <text>
        <t>[Threaded comment]
Your version of Excel allows you to read this threaded comment; however, any edits to it will get removed if the file is opened in a newer version of Excel. Learn more: https://go.microsoft.com/fwlink/?linkid=870924
Comment:
    Application Date</t>
      </text>
    </comment>
    <comment ref="C41" authorId="8" shapeId="0" xr:uid="{0E85D857-EA2C-44C0-9705-E18A73245DE8}">
      <text>
        <t>[Threaded comment]
Your version of Excel allows you to read this threaded comment; however, any edits to it will get removed if the file is opened in a newer version of Excel. Learn more: https://go.microsoft.com/fwlink/?linkid=870924
Comment:
    Shoot Date</t>
      </text>
    </comment>
    <comment ref="C45" authorId="9" shapeId="0" xr:uid="{760CDC35-CAB7-4038-BE51-566655AC2F73}">
      <text>
        <t>[Threaded comment]
Your version of Excel allows you to read this threaded comment; however, any edits to it will get removed if the file is opened in a newer version of Excel. Learn more: https://go.microsoft.com/fwlink/?linkid=870924
Comment:
    Alphabetic order, include business/residence name</t>
      </text>
    </comment>
    <comment ref="C49" authorId="10" shapeId="0" xr:uid="{2FA0119F-B0DD-4954-83DF-EF97D4AC303D}">
      <text>
        <t>[Threaded comment]
Your version of Excel allows you to read this threaded comment; however, any edits to it will get removed if the file is opened in a newer version of Excel. Learn more: https://go.microsoft.com/fwlink/?linkid=870924
Comment:
    Link to PO Log</t>
      </text>
    </comment>
    <comment ref="J50" authorId="11" shapeId="0" xr:uid="{20112E98-4ED7-4C4F-B3B8-C2B4AB696CDE}">
      <text>
        <t>[Threaded comment]
Your version of Excel allows you to read this threaded comment; however, any edits to it will get removed if the file is opened in a newer version of Excel. Learn more: https://go.microsoft.com/fwlink/?linkid=870924
Comment:
    Use appropriate formula based on classification of Agency-ProdCo (Refer to Qualifying Amounts Tab)</t>
      </text>
    </comment>
    <comment ref="O52" authorId="12" shapeId="0" xr:uid="{E39B44F1-0F79-48A4-868D-EE059D6FB47E}">
      <text>
        <t>[Threaded comment]
Your version of Excel allows you to read this threaded comment; however, any edits to it will get removed if the file is opened in a newer version of Excel. Learn more: https://go.microsoft.com/fwlink/?linkid=870924
Comment:
    Link to CPA Workbook file and amounts</t>
      </text>
    </comment>
    <comment ref="C59" authorId="13" shapeId="0" xr:uid="{FC9CBF1C-10CC-4EB4-8FE4-6FE854DA325B}">
      <text>
        <t>[Threaded comment]
Your version of Excel allows you to read this threaded comment; however, any edits to it will get removed if the file is opened in a newer version of Excel. Learn more: https://go.microsoft.com/fwlink/?linkid=870924
Comment:
    ProdCo Vendors, Petty Cash, Prod CC, etc</t>
      </text>
    </comment>
    <comment ref="E60" authorId="14" shapeId="0" xr:uid="{7D418CEE-161F-4AC4-BCCE-98D637F83C05}">
      <text>
        <t xml:space="preserve">[Threaded comment]
Your version of Excel allows you to read this threaded comment; however, any edits to it will get removed if the file is opened in a newer version of Excel. Learn more: https://go.microsoft.com/fwlink/?linkid=870924
Comment:
    Should be at least 50% for Local-OOS
</t>
      </text>
    </comment>
    <comment ref="C63" authorId="15" shapeId="0" xr:uid="{8CC206CB-7368-4E2E-9535-9DF15365BFEF}">
      <text>
        <t>[Threaded comment]
Your version of Excel allows you to read this threaded comment; however, any edits to it will get removed if the file is opened in a newer version of Excel. Learn more: https://go.microsoft.com/fwlink/?linkid=870924
Comment:
     ProdCo Invoice, Agency Vendors, Project Fee, Talent, Agency Exp Report</t>
      </text>
    </comment>
    <comment ref="O63" authorId="16" shapeId="0" xr:uid="{A9DC1B57-A672-4F0A-8928-E2CB3A9FF99D}">
      <text>
        <t>[Threaded comment]
Your version of Excel allows you to read this threaded comment; however, any edits to it will get removed if the file is opened in a newer version of Excel. Learn more: https://go.microsoft.com/fwlink/?linkid=870924
Comment:
    Link amount to total amount from CPA workbook; do not use SUM formula</t>
      </text>
    </comment>
    <comment ref="Q63" authorId="17" shapeId="0" xr:uid="{9CE0F2BF-1C51-416C-BCA6-65B982C90CDE}">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R63" authorId="18" shapeId="0" xr:uid="{0598CB4F-CE0C-4F39-AA0D-BD97B70BBA7A}">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J71" authorId="19" shapeId="0" xr:uid="{37169393-BEFC-4826-8118-C446525C190D}">
      <text>
        <t>[Threaded comment]
Your version of Excel allows you to read this threaded comment; however, any edits to it will get removed if the file is opened in a newer version of Excel. Learn more: https://go.microsoft.com/fwlink/?linkid=870924
Comment:
    Link the rebate estimate file here, and the amounts from the rebate est. file</t>
      </text>
    </comment>
    <comment ref="J79" authorId="20" shapeId="0" xr:uid="{0E7A49F9-EB4E-4DC6-A61E-CE179A84E51E}">
      <text>
        <t>[Threaded comment]
Your version of Excel allows you to read this threaded comment; however, any edits to it will get removed if the file is opened in a newer version of Excel. Learn more: https://go.microsoft.com/fwlink/?linkid=870924
Comment:
    Link amount to Rebate Est. file; do not use SUM formula</t>
      </text>
    </comment>
    <comment ref="I84" authorId="21" shapeId="0" xr:uid="{AD1F3B2C-8668-4FF0-896F-89A4DE389220}">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 ref="I91" authorId="22" shapeId="0" xr:uid="{EB1C7BD3-35E3-43B4-AA35-15A9095EFA71}">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tc={46BFF946-E2AF-4C7D-ADE0-0F77C01210C6}</author>
    <author>tc={A13E25FB-F2E3-4A24-AEBB-0F24907FC71E}</author>
    <author>tc={5A690E2B-AA02-4314-862F-28FF3281CFF5}</author>
    <author>tc={BC8F0214-51BD-4923-BB66-D87DC116E92A}</author>
    <author>tc={46058899-83D3-459C-81EF-4984FFB86318}</author>
    <author>tc={08576BF4-42FB-4205-BEE5-7D64319A8C6F}</author>
    <author>tc={70A9B977-90FB-4DB7-9527-C44C006E8A5A}</author>
    <author>tc={32D9E32A-D6AB-45CA-9BFB-E2DA15D21089}</author>
    <author>tc={343D57A8-97ED-4CBF-A2C0-E5FC5050D0E3}</author>
    <author>tc={3981FA75-E59A-471C-9CE4-282A7E2ACC34}</author>
    <author>tc={E8529B46-D9DA-4B29-B102-50B35EC63F38}</author>
    <author>tc={F096F72E-B5F9-4AA7-B2E8-E999D546B5C1}</author>
    <author>tc={70FC5313-89C0-40B1-9BD1-612C2C13DB54}</author>
    <author>tc={CEABFA33-D61B-47E7-B4CD-515F0F21DA34}</author>
    <author>tc={BA420CF9-3C57-4782-85A3-C95E428DFF0B}</author>
    <author>tc={6B4CE92F-C13C-4038-AA2E-6BDC9CF19B10}</author>
    <author>tc={8E95D590-362A-4EDD-83E6-72692A41657B}</author>
    <author>tc={CD56F0F7-45F5-4647-BD2B-B0C9D12DE0D2}</author>
    <author>tc={FC4E5A98-C4ED-471B-B181-E877BA983884}</author>
    <author>tc={869D0964-41B4-43EE-B36E-FC2F177BE773}</author>
    <author>tc={1D17D04F-6495-4768-9506-6688C6AAAA71}</author>
    <author>tc={F9BCA874-BF1B-4AA0-A100-8F395FCA455C}</author>
    <author>tc={FDE7B91D-CBAD-4E37-ACD5-1C5EB24EE929}</author>
    <author>tc={9CF0BED5-E8B5-455A-B346-9683D907BB03}</author>
  </authors>
  <commentList>
    <comment ref="B12" authorId="0" shapeId="0" xr:uid="{46BFF946-E2AF-4C7D-ADE0-0F77C01210C6}">
      <text>
        <t>[Threaded comment]
Your version of Excel allows you to read this threaded comment; however, any edits to it will get removed if the file is opened in a newer version of Excel. Learn more: https://go.microsoft.com/fwlink/?linkid=870924
Comment:
    Animation/ Live Action/ Still</t>
      </text>
    </comment>
    <comment ref="B13" authorId="1" shapeId="0" xr:uid="{A13E25FB-F2E3-4A24-AEBB-0F24907FC71E}">
      <text>
        <t>[Threaded comment]
Your version of Excel allows you to read this threaded comment; however, any edits to it will get removed if the file is opened in a newer version of Excel. Learn more: https://go.microsoft.com/fwlink/?linkid=870924
Comment:
    Copy here any notes from SF or other notes related to the job</t>
      </text>
    </comment>
    <comment ref="B14" authorId="2" shapeId="0" xr:uid="{5A690E2B-AA02-4314-862F-28FF3281CFF5}">
      <text>
        <t>[Threaded comment]
Your version of Excel allows you to read this threaded comment; however, any edits to it will get removed if the file is opened in a newer version of Excel. Learn more: https://go.microsoft.com/fwlink/?linkid=870924
Comment:
    Other locations (e.g. part of the shoot will be done in TX or CT)</t>
      </text>
    </comment>
    <comment ref="O14" authorId="3" shapeId="0" xr:uid="{BC8F0214-51BD-4923-BB66-D87DC116E92A}">
      <text>
        <t xml:space="preserve">[Threaded comment]
Your version of Excel allows you to read this threaded comment; however, any edits to it will get removed if the file is opened in a newer version of Excel. Learn more: https://go.microsoft.com/fwlink/?linkid=870924
Comment:
    Max of 9 qualified
Writer, Director, Director of Photography, Production Designer, Costume Designer, Production Accountant, VFX Supervisor, Editor, Composer </t>
      </text>
    </comment>
    <comment ref="O23" authorId="4" shapeId="0" xr:uid="{46058899-83D3-459C-81EF-4984FFB86318}">
      <text>
        <t>[Threaded comment]
Your version of Excel allows you to read this threaded comment; however, any edits to it will get removed if the file is opened in a newer version of Excel. Learn more: https://go.microsoft.com/fwlink/?linkid=870924
Comment:
    Max 2 non-resident actors (Extras don't qualify)</t>
      </text>
    </comment>
    <comment ref="O29" authorId="5" shapeId="0" xr:uid="{08576BF4-42FB-4205-BEE5-7D64319A8C6F}">
      <text>
        <t>[Threaded comment]
Your version of Excel allows you to read this threaded comment; however, any edits to it will get removed if the file is opened in a newer version of Excel. Learn more: https://go.microsoft.com/fwlink/?linkid=870924
Comment:
    Included in counting the max 9 OOS crew</t>
      </text>
    </comment>
    <comment ref="C38" authorId="6" shapeId="0" xr:uid="{70A9B977-90FB-4DB7-9527-C44C006E8A5A}">
      <text>
        <t>[Threaded comment]
Your version of Excel allows you to read this threaded comment; however, any edits to it will get removed if the file is opened in a newer version of Excel. Learn more: https://go.microsoft.com/fwlink/?linkid=870924
Comment:
    1) Award Date from Agency's Calendar
2) Approval Date of Agency Estimate</t>
      </text>
    </comment>
    <comment ref="C39" authorId="7" shapeId="0" xr:uid="{32D9E32A-D6AB-45CA-9BFB-E2DA15D21089}">
      <text>
        <t>[Threaded comment]
Your version of Excel allows you to read this threaded comment; however, any edits to it will get removed if the file is opened in a newer version of Excel. Learn more: https://go.microsoft.com/fwlink/?linkid=870924
Comment:
    Application Date</t>
      </text>
    </comment>
    <comment ref="C41" authorId="8" shapeId="0" xr:uid="{343D57A8-97ED-4CBF-A2C0-E5FC5050D0E3}">
      <text>
        <t>[Threaded comment]
Your version of Excel allows you to read this threaded comment; however, any edits to it will get removed if the file is opened in a newer version of Excel. Learn more: https://go.microsoft.com/fwlink/?linkid=870924
Comment:
    Shoot Date</t>
      </text>
    </comment>
    <comment ref="C45" authorId="9" shapeId="0" xr:uid="{3981FA75-E59A-471C-9CE4-282A7E2ACC34}">
      <text>
        <t>[Threaded comment]
Your version of Excel allows you to read this threaded comment; however, any edits to it will get removed if the file is opened in a newer version of Excel. Learn more: https://go.microsoft.com/fwlink/?linkid=870924
Comment:
    Alphabetic order, include business/residence name</t>
      </text>
    </comment>
    <comment ref="C49" authorId="10" shapeId="0" xr:uid="{E8529B46-D9DA-4B29-B102-50B35EC63F38}">
      <text>
        <t>[Threaded comment]
Your version of Excel allows you to read this threaded comment; however, any edits to it will get removed if the file is opened in a newer version of Excel. Learn more: https://go.microsoft.com/fwlink/?linkid=870924
Comment:
    Link to PO Log</t>
      </text>
    </comment>
    <comment ref="J49" authorId="11" shapeId="0" xr:uid="{F096F72E-B5F9-4AA7-B2E8-E999D546B5C1}">
      <text>
        <t>[Threaded comment]
Your version of Excel allows you to read this threaded comment; however, any edits to it will get removed if the file is opened in a newer version of Excel. Learn more: https://go.microsoft.com/fwlink/?linkid=870924
Comment:
    Use appropriate formula based on classification of Agency-ProdCo (Refer to Qualifying Amounts Tab)</t>
      </text>
    </comment>
    <comment ref="O51" authorId="12" shapeId="0" xr:uid="{70FC5313-89C0-40B1-9BD1-612C2C13DB54}">
      <text>
        <t>[Threaded comment]
Your version of Excel allows you to read this threaded comment; however, any edits to it will get removed if the file is opened in a newer version of Excel. Learn more: https://go.microsoft.com/fwlink/?linkid=870924
Comment:
    Link to CPA Workbook Amounts</t>
      </text>
    </comment>
    <comment ref="C59" authorId="13" shapeId="0" xr:uid="{CEABFA33-D61B-47E7-B4CD-515F0F21DA34}">
      <text>
        <t>[Threaded comment]
Your version of Excel allows you to read this threaded comment; however, any edits to it will get removed if the file is opened in a newer version of Excel. Learn more: https://go.microsoft.com/fwlink/?linkid=870924
Comment:
    ProdCo Vendors, Petty Cash, Prod CC, etc</t>
      </text>
    </comment>
    <comment ref="E62" authorId="14" shapeId="0" xr:uid="{BA420CF9-3C57-4782-85A3-C95E428DFF0B}">
      <text>
        <t>[Threaded comment]
Your version of Excel allows you to read this threaded comment; however, any edits to it will get removed if the file is opened in a newer version of Excel. Learn more: https://go.microsoft.com/fwlink/?linkid=870924
Comment:
    Should be at least 50% for Local-OOS</t>
      </text>
    </comment>
    <comment ref="C63" authorId="15" shapeId="0" xr:uid="{6B4CE92F-C13C-4038-AA2E-6BDC9CF19B10}">
      <text>
        <t>[Threaded comment]
Your version of Excel allows you to read this threaded comment; however, any edits to it will get removed if the file is opened in a newer version of Excel. Learn more: https://go.microsoft.com/fwlink/?linkid=870924
Comment:
     ProdCo Invoice, Agency Vendors, Project Fee, Talent, Agency Exp Report</t>
      </text>
    </comment>
    <comment ref="O63" authorId="16" shapeId="0" xr:uid="{8E95D590-362A-4EDD-83E6-72692A41657B}">
      <text>
        <t>[Threaded comment]
Your version of Excel allows you to read this threaded comment; however, any edits to it will get removed if the file is opened in a newer version of Excel. Learn more: https://go.microsoft.com/fwlink/?linkid=870924
Comment:
    Link amount to total amount from CPA workbook; do not use SUM formula</t>
      </text>
    </comment>
    <comment ref="Q63" authorId="17" shapeId="0" xr:uid="{CD56F0F7-45F5-4647-BD2B-B0C9D12DE0D2}">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R63" authorId="18" shapeId="0" xr:uid="{FC4E5A98-C4ED-471B-B181-E877BA983884}">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K71" authorId="19" shapeId="0" xr:uid="{869D0964-41B4-43EE-B36E-FC2F177BE773}">
      <text>
        <t>[Threaded comment]
Your version of Excel allows you to read this threaded comment; however, any edits to it will get removed if the file is opened in a newer version of Excel. Learn more: https://go.microsoft.com/fwlink/?linkid=870924
Comment:
    Link the rebate estimate file here, and the amount for the totals</t>
      </text>
    </comment>
    <comment ref="J72" authorId="20" shapeId="0" xr:uid="{1D17D04F-6495-4768-9506-6688C6AAAA71}">
      <text>
        <t>[Threaded comment]
Your version of Excel allows you to read this threaded comment; however, any edits to it will get removed if the file is opened in a newer version of Excel. Learn more: https://go.microsoft.com/fwlink/?linkid=870924
Comment:
    Link the rebate estimate file here, and the amounts from the rebate est. file</t>
      </text>
    </comment>
    <comment ref="J80" authorId="21" shapeId="0" xr:uid="{F9BCA874-BF1B-4AA0-A100-8F395FCA455C}">
      <text>
        <t>[Threaded comment]
Your version of Excel allows you to read this threaded comment; however, any edits to it will get removed if the file is opened in a newer version of Excel. Learn more: https://go.microsoft.com/fwlink/?linkid=870924
Comment:
    Link amount to Rebate Est. file; do not use SUM formula</t>
      </text>
    </comment>
    <comment ref="I85" authorId="22" shapeId="0" xr:uid="{FDE7B91D-CBAD-4E37-ACD5-1C5EB24EE929}">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 ref="I92" authorId="23" shapeId="0" xr:uid="{9CF0BED5-E8B5-455A-B346-9683D907BB03}">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tc={F8C1013C-6E64-441F-BD9A-055A53A82030}</author>
    <author>tc={0C1CAF40-08D3-434A-9A74-9483399CE794}</author>
    <author>tc={17D1A1B6-3D0A-4106-99A4-10A800035484}</author>
    <author>tc={0FC7C391-8755-448B-A7C5-203CCD949109}</author>
    <author>tc={1AE9FF04-7398-4C22-B36E-9FE2F77C02A6}</author>
    <author>tc={13AD4272-4697-4F9B-B10D-FE62FD54FF91}</author>
    <author>tc={A632DA2F-87DC-4466-9E54-0E8D035A1142}</author>
    <author>tc={B6B0A08D-47A7-4463-9E91-745D80636278}</author>
    <author>tc={518D238B-73E6-4743-96F0-6D77FD5A4E18}</author>
    <author>tc={F03D0A3F-4133-4065-B44A-E71D31E18969}</author>
    <author>tc={566137DB-B37A-4D13-BAC4-DF38C50E9971}</author>
    <author>tc={12C81AFC-2FFE-4B55-87E8-79BEAB6EAA0A}</author>
    <author>tc={89D6C10A-5C81-4ECE-A087-22677A7039FB}</author>
    <author>tc={0CBA4ABC-EA58-4F36-86FD-46D97EE368B5}</author>
    <author>tc={98556962-46EB-40AF-810B-EDE7B6287774}</author>
    <author>tc={A2602AA6-CF20-4F74-8CBB-E1B2EB499175}</author>
    <author>tc={3AE1A0DA-40F8-4F8F-B7EC-F8B0C6EFE40A}</author>
    <author>tc={527BBB50-FDC0-4AA1-8027-AEA32F35627B}</author>
    <author>tc={8F7C1C1A-F8C1-48F9-ACB6-464491D0034C}</author>
    <author>tc={74F3357B-AFE0-4C25-8364-EC61D5F7280E}</author>
    <author>tc={F99C3D4F-5254-489C-8DBB-3144A2958D9C}</author>
    <author>tc={2C6C0AB4-99FC-4ED9-8453-F8B2FCA2645C}</author>
    <author>tc={695761AE-AF22-4C16-A209-91C9B2D54004}</author>
    <author>tc={DF55C068-7CB7-4864-B0D9-9A5542CC872A}</author>
  </authors>
  <commentList>
    <comment ref="B12" authorId="0" shapeId="0" xr:uid="{F8C1013C-6E64-441F-BD9A-055A53A82030}">
      <text>
        <t>[Threaded comment]
Your version of Excel allows you to read this threaded comment; however, any edits to it will get removed if the file is opened in a newer version of Excel. Learn more: https://go.microsoft.com/fwlink/?linkid=870924
Comment:
    Animation/ Live Action/ Still</t>
      </text>
    </comment>
    <comment ref="B13" authorId="1" shapeId="0" xr:uid="{0C1CAF40-08D3-434A-9A74-9483399CE794}">
      <text>
        <t>[Threaded comment]
Your version of Excel allows you to read this threaded comment; however, any edits to it will get removed if the file is opened in a newer version of Excel. Learn more: https://go.microsoft.com/fwlink/?linkid=870924
Comment:
    Copy here any notes from SF or other notes related to the job</t>
      </text>
    </comment>
    <comment ref="B14" authorId="2" shapeId="0" xr:uid="{17D1A1B6-3D0A-4106-99A4-10A800035484}">
      <text>
        <t>[Threaded comment]
Your version of Excel allows you to read this threaded comment; however, any edits to it will get removed if the file is opened in a newer version of Excel. Learn more: https://go.microsoft.com/fwlink/?linkid=870924
Comment:
    Other locations (e.g. part of the shoot will be done in TX or CT)</t>
      </text>
    </comment>
    <comment ref="O14" authorId="3" shapeId="0" xr:uid="{0FC7C391-8755-448B-A7C5-203CCD949109}">
      <text>
        <t xml:space="preserve">[Threaded comment]
Your version of Excel allows you to read this threaded comment; however, any edits to it will get removed if the file is opened in a newer version of Excel. Learn more: https://go.microsoft.com/fwlink/?linkid=870924
Comment:
    Max of 9 qualified
Writer, Director, Director of Photography, Production Designer, Costume Designer, Production Accountant, VFX Supervisor, Editor, Composer </t>
      </text>
    </comment>
    <comment ref="O23" authorId="4" shapeId="0" xr:uid="{1AE9FF04-7398-4C22-B36E-9FE2F77C02A6}">
      <text>
        <t>[Threaded comment]
Your version of Excel allows you to read this threaded comment; however, any edits to it will get removed if the file is opened in a newer version of Excel. Learn more: https://go.microsoft.com/fwlink/?linkid=870924
Comment:
    Max 2 non-resident actors (Extras don't qualify)</t>
      </text>
    </comment>
    <comment ref="O29" authorId="5" shapeId="0" xr:uid="{13AD4272-4697-4F9B-B10D-FE62FD54FF91}">
      <text>
        <t>[Threaded comment]
Your version of Excel allows you to read this threaded comment; however, any edits to it will get removed if the file is opened in a newer version of Excel. Learn more: https://go.microsoft.com/fwlink/?linkid=870924
Comment:
    Included in counting the max 9 OOS crew</t>
      </text>
    </comment>
    <comment ref="C38" authorId="6" shapeId="0" xr:uid="{A632DA2F-87DC-4466-9E54-0E8D035A1142}">
      <text>
        <t>[Threaded comment]
Your version of Excel allows you to read this threaded comment; however, any edits to it will get removed if the file is opened in a newer version of Excel. Learn more: https://go.microsoft.com/fwlink/?linkid=870924
Comment:
    1) Award Date from Agency's Calendar
2) Approval Date of Agency Estimate</t>
      </text>
    </comment>
    <comment ref="C39" authorId="7" shapeId="0" xr:uid="{B6B0A08D-47A7-4463-9E91-745D80636278}">
      <text>
        <t>[Threaded comment]
Your version of Excel allows you to read this threaded comment; however, any edits to it will get removed if the file is opened in a newer version of Excel. Learn more: https://go.microsoft.com/fwlink/?linkid=870924
Comment:
    Application Date</t>
      </text>
    </comment>
    <comment ref="C41" authorId="8" shapeId="0" xr:uid="{518D238B-73E6-4743-96F0-6D77FD5A4E18}">
      <text>
        <t>[Threaded comment]
Your version of Excel allows you to read this threaded comment; however, any edits to it will get removed if the file is opened in a newer version of Excel. Learn more: https://go.microsoft.com/fwlink/?linkid=870924
Comment:
    Shoot Date</t>
      </text>
    </comment>
    <comment ref="C45" authorId="9" shapeId="0" xr:uid="{F03D0A3F-4133-4065-B44A-E71D31E18969}">
      <text>
        <t>[Threaded comment]
Your version of Excel allows you to read this threaded comment; however, any edits to it will get removed if the file is opened in a newer version of Excel. Learn more: https://go.microsoft.com/fwlink/?linkid=870924
Comment:
    Alphabetic order, include business/residence name</t>
      </text>
    </comment>
    <comment ref="C49" authorId="10" shapeId="0" xr:uid="{566137DB-B37A-4D13-BAC4-DF38C50E9971}">
      <text>
        <t>[Threaded comment]
Your version of Excel allows you to read this threaded comment; however, any edits to it will get removed if the file is opened in a newer version of Excel. Learn more: https://go.microsoft.com/fwlink/?linkid=870924
Comment:
    Link to PO Log</t>
      </text>
    </comment>
    <comment ref="J50" authorId="11" shapeId="0" xr:uid="{12C81AFC-2FFE-4B55-87E8-79BEAB6EAA0A}">
      <text>
        <t>[Threaded comment]
Your version of Excel allows you to read this threaded comment; however, any edits to it will get removed if the file is opened in a newer version of Excel. Learn more: https://go.microsoft.com/fwlink/?linkid=870924
Comment:
    Use appropriate formula based on classification of Agency-ProdCo (Refer to Qualifying Amounts Tab)</t>
      </text>
    </comment>
    <comment ref="O52" authorId="12" shapeId="0" xr:uid="{89D6C10A-5C81-4ECE-A087-22677A7039FB}">
      <text>
        <t>[Threaded comment]
Your version of Excel allows you to read this threaded comment; however, any edits to it will get removed if the file is opened in a newer version of Excel. Learn more: https://go.microsoft.com/fwlink/?linkid=870924
Comment:
    Link to CPA Workbook Amounts</t>
      </text>
    </comment>
    <comment ref="J55" authorId="13" shapeId="0" xr:uid="{0CBA4ABC-EA58-4F36-86FD-46D97EE368B5}">
      <text>
        <t>[Threaded comment]
Your version of Excel allows you to read this threaded comment; however, any edits to it will get removed if the file is opened in a newer version of Excel. Learn more: https://go.microsoft.com/fwlink/?linkid=870924
Comment:
    Ineligible agency expenses itemized in client billings/ Zero if summary billing</t>
      </text>
    </comment>
    <comment ref="J56" authorId="14" shapeId="0" xr:uid="{98556962-46EB-40AF-810B-EDE7B6287774}">
      <text>
        <t>[Threaded comment]
Your version of Excel allows you to read this threaded comment; however, any edits to it will get removed if the file is opened in a newer version of Excel. Learn more: https://go.microsoft.com/fwlink/?linkid=870924
Comment:
    Add hours only if with separate retainer fee with POP</t>
      </text>
    </comment>
    <comment ref="C59" authorId="15" shapeId="0" xr:uid="{A2602AA6-CF20-4F74-8CBB-E1B2EB499175}">
      <text>
        <t>[Threaded comment]
Your version of Excel allows you to read this threaded comment; however, any edits to it will get removed if the file is opened in a newer version of Excel. Learn more: https://go.microsoft.com/fwlink/?linkid=870924
Comment:
    ProdCo Vendors, Petty Cash, Prod CC, etc</t>
      </text>
    </comment>
    <comment ref="Q59" authorId="16" shapeId="0" xr:uid="{3AE1A0DA-40F8-4F8F-B7EC-F8B0C6EFE40A}">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R59" authorId="17" shapeId="0" xr:uid="{527BBB50-FDC0-4AA1-8027-AEA32F35627B}">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E62" authorId="18" shapeId="0" xr:uid="{8F7C1C1A-F8C1-48F9-ACB6-464491D0034C}">
      <text>
        <t xml:space="preserve">[Threaded comment]
Your version of Excel allows you to read this threaded comment; however, any edits to it will get removed if the file is opened in a newer version of Excel. Learn more: https://go.microsoft.com/fwlink/?linkid=870924
Comment:
    Should be at least 50% for Local-OOS
</t>
      </text>
    </comment>
    <comment ref="C63" authorId="19" shapeId="0" xr:uid="{74F3357B-AFE0-4C25-8364-EC61D5F7280E}">
      <text>
        <t>[Threaded comment]
Your version of Excel allows you to read this threaded comment; however, any edits to it will get removed if the file is opened in a newer version of Excel. Learn more: https://go.microsoft.com/fwlink/?linkid=870924
Comment:
     ProdCo Invoice, Agency Vendors, Project Fee, Talent, Agency Exp Report</t>
      </text>
    </comment>
    <comment ref="J66" authorId="20" shapeId="0" xr:uid="{F99C3D4F-5254-489C-8DBB-3144A2958D9C}">
      <text>
        <t>[Threaded comment]
Your version of Excel allows you to read this threaded comment; however, any edits to it will get removed if the file is opened in a newer version of Excel. Learn more: https://go.microsoft.com/fwlink/?linkid=870924
Comment:
    Link the rebate estimate file here, and the amounts from the rebate est. file</t>
      </text>
    </comment>
    <comment ref="J74" authorId="21" shapeId="0" xr:uid="{2C6C0AB4-99FC-4ED9-8453-F8B2FCA2645C}">
      <text>
        <t>[Threaded comment]
Your version of Excel allows you to read this threaded comment; however, any edits to it will get removed if the file is opened in a newer version of Excel. Learn more: https://go.microsoft.com/fwlink/?linkid=870924
Comment:
    Link amount to Rebate Est. file; do not use SUM formula</t>
      </text>
    </comment>
    <comment ref="I79" authorId="22" shapeId="0" xr:uid="{695761AE-AF22-4C16-A209-91C9B2D54004}">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 ref="I86" authorId="23" shapeId="0" xr:uid="{DF55C068-7CB7-4864-B0D9-9A5542CC872A}">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tc={A454412B-1354-4768-92FD-4C0950039CE2}</author>
    <author>tc={36811332-9FAF-42B7-A6B1-213B75D11895}</author>
    <author>tc={4F1329AC-57A0-4699-85FC-676F38C5DF89}</author>
  </authors>
  <commentList>
    <comment ref="T7" authorId="0" shapeId="0" xr:uid="{A454412B-1354-4768-92FD-4C0950039CE2}">
      <text>
        <t>[Threaded comment]
Your version of Excel allows you to read this threaded comment; however, any edits to it will get removed if the file is opened in a newer version of Excel. Learn more: https://go.microsoft.com/fwlink/?linkid=870924
Comment:
    Process Date, not when the payment is cleared</t>
      </text>
    </comment>
    <comment ref="V7" authorId="1" shapeId="0" xr:uid="{36811332-9FAF-42B7-A6B1-213B75D11895}">
      <text>
        <t>[Threaded comment]
Your version of Excel allows you to read this threaded comment; however, any edits to it will get removed if the file is opened in a newer version of Excel. Learn more: https://go.microsoft.com/fwlink/?linkid=870924
Comment:
    If IL and no address on the invoice</t>
      </text>
    </comment>
    <comment ref="E49" authorId="2" shapeId="0" xr:uid="{4F1329AC-57A0-4699-85FC-676F38C5DF89}">
      <text>
        <t>[Threaded comment]
Your version of Excel allows you to read this threaded comment; however, any edits to it will get removed if the file is opened in a newer version of Excel. Learn more: https://go.microsoft.com/fwlink/?linkid=870924
Comment:
    Link to JCD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tc={2B81FB1A-39E1-4B06-B5FE-60D9009D9EFE}</author>
    <author>tc={0C9AAE4A-0C14-4BB6-B74B-C43F7E3D09AC}</author>
    <author>tc={939AFA79-01EE-4256-A80F-0DDE982980A4}</author>
    <author>tc={8A3B5E84-CF86-4918-9FD3-8A285364E6CE}</author>
    <author>Admin User</author>
  </authors>
  <commentList>
    <comment ref="G8" authorId="0" shapeId="0" xr:uid="{2B81FB1A-39E1-4B06-B5FE-60D9009D9EFE}">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I8" authorId="1" shapeId="0" xr:uid="{0C9AAE4A-0C14-4BB6-B74B-C43F7E3D09AC}">
      <text>
        <t>[Threaded comment]
Your version of Excel allows you to read this threaded comment; however, any edits to it will get removed if the file is opened in a newer version of Excel. Learn more: https://go.microsoft.com/fwlink/?linkid=870924
Comment:
    To encode if exact work dates are not on the fringe recap; can use date range only for continuous dates (not needed for freelance)</t>
      </text>
    </comment>
    <comment ref="AS8" authorId="2" shapeId="0" xr:uid="{939AFA79-01EE-4256-A80F-0DDE982980A4}">
      <text>
        <t>[Threaded comment]
Your version of Excel allows you to read this threaded comment; however, any edits to it will get removed if the file is opened in a newer version of Excel. Learn more: https://go.microsoft.com/fwlink/?linkid=870924
Comment:
    Check/ update data from "Legend" tab for the dropdown menu</t>
      </text>
    </comment>
    <comment ref="BI8" authorId="3" shapeId="0" xr:uid="{8A3B5E84-CF86-4918-9FD3-8A285364E6CE}">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BN8" authorId="4" shapeId="0" xr:uid="{00000000-0006-0000-0500-000001000000}">
      <text>
        <r>
          <rPr>
            <b/>
            <sz val="9"/>
            <color indexed="81"/>
            <rFont val="Tahoma"/>
            <family val="2"/>
          </rPr>
          <t>Admin User:</t>
        </r>
        <r>
          <rPr>
            <sz val="9"/>
            <color indexed="81"/>
            <rFont val="Tahoma"/>
            <family val="2"/>
          </rPr>
          <t xml:space="preserve">
Includes Taxable, Non-Taxable &amp; Corp -- Vac/Holiday Pay is included as a benefit</t>
        </r>
      </text>
    </comment>
    <comment ref="BO8" authorId="4" shapeId="0" xr:uid="{0368E5D2-0C38-4E5F-BD2F-7A88DDB96E5E}">
      <text>
        <r>
          <rPr>
            <b/>
            <sz val="9"/>
            <color indexed="81"/>
            <rFont val="Tahoma"/>
            <family val="2"/>
          </rPr>
          <t>Admin User:</t>
        </r>
        <r>
          <rPr>
            <sz val="9"/>
            <color indexed="81"/>
            <rFont val="Tahoma"/>
            <family val="2"/>
          </rPr>
          <t xml:space="preserve">
includes FICA, Medi, FUI, SUI </t>
        </r>
      </text>
    </comment>
    <comment ref="BP8" authorId="4" shapeId="0" xr:uid="{00000000-0006-0000-0500-000002000000}">
      <text>
        <r>
          <rPr>
            <b/>
            <sz val="9"/>
            <color indexed="81"/>
            <rFont val="Tahoma"/>
            <family val="2"/>
          </rPr>
          <t>Admin User:</t>
        </r>
        <r>
          <rPr>
            <sz val="9"/>
            <color indexed="81"/>
            <rFont val="Tahoma"/>
            <family val="2"/>
          </rPr>
          <t xml:space="preserve">
includes PH&amp;W &amp; Hoiday/Vacation Pay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tc={44FE74CE-047A-4707-A417-C2E033BEBA63}</author>
    <author>tc={C520CE7C-8260-48AC-964D-41348EF87B27}</author>
    <author>tc={DB449FC3-5605-4751-966F-BD5676222590}</author>
    <author>tc={1BBBCAAB-04F9-4A01-BDC2-5FEAB9040273}</author>
  </authors>
  <commentList>
    <comment ref="J8" authorId="0" shapeId="0" xr:uid="{44FE74CE-047A-4707-A417-C2E033BEBA63}">
      <text>
        <t>[Threaded comment]
Your version of Excel allows you to read this threaded comment; however, any edits to it will get removed if the file is opened in a newer version of Excel. Learn more: https://go.microsoft.com/fwlink/?linkid=870924
Comment:
    Actual dates worked</t>
      </text>
    </comment>
    <comment ref="AH8" authorId="1" shapeId="0" xr:uid="{C520CE7C-8260-48AC-964D-41348EF87B27}">
      <text>
        <t>[Threaded comment]
Your version of Excel allows you to read this threaded comment; however, any edits to it will get removed if the file is opened in a newer version of Excel. Learn more: https://go.microsoft.com/fwlink/?linkid=870924
Comment:
    For Agent, and when only loan out name is shown in the invoice</t>
      </text>
    </comment>
    <comment ref="BC8" authorId="2" shapeId="0" xr:uid="{DB449FC3-5605-4751-966F-BD5676222590}">
      <text>
        <t>[Threaded comment]
Your version of Excel allows you to read this threaded comment; however, any edits to it will get removed if the file is opened in a newer version of Excel. Learn more: https://go.microsoft.com/fwlink/?linkid=870924
Comment:
    Enter data in Column AD</t>
      </text>
    </comment>
    <comment ref="BD8" authorId="3" shapeId="0" xr:uid="{1BBBCAAB-04F9-4A01-BDC2-5FEAB9040273}">
      <text>
        <t>[Threaded comment]
Your version of Excel allows you to read this threaded comment; however, any edits to it will get removed if the file is opened in a newer version of Excel. Learn more: https://go.microsoft.com/fwlink/?linkid=870924
Comment:
    Actual dates worked</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tc={F4EC2FF6-2A0A-48F0-A849-467847CC358C}</author>
    <author>tc={D6EA9958-06F6-4FE6-9723-19A99C8C0A78}</author>
    <author>Admin User</author>
    <author>tc={F2A2F95D-CAA1-41AC-BFED-1C0A413A7034}</author>
    <author>tc={41E0744D-CE56-4B04-996D-9C1471E69A85}</author>
  </authors>
  <commentList>
    <comment ref="H8" authorId="0" shapeId="0" xr:uid="{F4EC2FF6-2A0A-48F0-A849-467847CC358C}">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AH8" authorId="1" shapeId="0" xr:uid="{D6EA9958-06F6-4FE6-9723-19A99C8C0A78}">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AO8" authorId="2" shapeId="0" xr:uid="{213E9E3E-8CF8-4CB7-B7DB-3EE7F31E0F49}">
      <text>
        <r>
          <rPr>
            <b/>
            <sz val="9"/>
            <color indexed="81"/>
            <rFont val="Tahoma"/>
            <family val="2"/>
          </rPr>
          <t>Admin User:</t>
        </r>
        <r>
          <rPr>
            <sz val="9"/>
            <color indexed="81"/>
            <rFont val="Tahoma"/>
            <family val="2"/>
          </rPr>
          <t xml:space="preserve">
includes FICA, Medi, FUI, SUI </t>
        </r>
      </text>
    </comment>
    <comment ref="AP8" authorId="2" shapeId="0" xr:uid="{F02873B7-B26D-40B1-B648-71234EDA5473}">
      <text>
        <r>
          <rPr>
            <b/>
            <sz val="9"/>
            <color indexed="81"/>
            <rFont val="Tahoma"/>
            <family val="2"/>
          </rPr>
          <t>Admin User:</t>
        </r>
        <r>
          <rPr>
            <sz val="9"/>
            <color indexed="81"/>
            <rFont val="Tahoma"/>
            <family val="2"/>
          </rPr>
          <t xml:space="preserve">
includes PH&amp;W &amp; Hoiday/Vacation Pay</t>
        </r>
      </text>
    </comment>
    <comment ref="B9" authorId="3" shapeId="0" xr:uid="{F2A2F95D-CAA1-41AC-BFED-1C0A413A7034}">
      <text>
        <t>[Threaded comment]
Your version of Excel allows you to read this threaded comment; however, any edits to it will get removed if the file is opened in a newer version of Excel. Learn more: https://go.microsoft.com/fwlink/?linkid=870924
Comment:
    Link to Hours Letter</t>
      </text>
    </comment>
    <comment ref="G43" authorId="4" shapeId="0" xr:uid="{41E0744D-CE56-4B04-996D-9C1471E69A85}">
      <text>
        <t>[Threaded comment]
Your version of Excel allows you to read this threaded comment; however, any edits to it will get removed if the file is opened in a newer version of Excel. Learn more: https://go.microsoft.com/fwlink/?linkid=870924
Comment:
    Should be higher than total Agency Hours submitted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<sst xmlns="http://schemas.openxmlformats.org/spreadsheetml/2006/main" count="33908" uniqueCount="8284">
  <si>
    <t>AGENCY</t>
  </si>
  <si>
    <t>Local</t>
  </si>
  <si>
    <t xml:space="preserve"> OOS</t>
  </si>
  <si>
    <t>Agency is the Applicant</t>
  </si>
  <si>
    <t>No Agency</t>
  </si>
  <si>
    <t>OOS</t>
  </si>
  <si>
    <t>PRODCO</t>
  </si>
  <si>
    <t xml:space="preserve">Local </t>
  </si>
  <si>
    <t>Crew Payroll Tab</t>
  </si>
  <si>
    <t>Enter all back up</t>
  </si>
  <si>
    <t xml:space="preserve">Crew Expenses Tab
</t>
  </si>
  <si>
    <t>Enter one line &amp; NO-IL</t>
  </si>
  <si>
    <r>
      <t xml:space="preserve">Enter one line &amp; NO-IL, except break out Receipts/Invoices </t>
    </r>
    <r>
      <rPr>
        <b/>
        <sz val="11"/>
        <color theme="1"/>
        <rFont val="Calibri"/>
        <family val="2"/>
      </rPr>
      <t>≥</t>
    </r>
    <r>
      <rPr>
        <b/>
        <sz val="11"/>
        <color theme="1"/>
        <rFont val="Calibri"/>
        <family val="2"/>
        <scheme val="minor"/>
      </rPr>
      <t>$200.00 paid with CC</t>
    </r>
  </si>
  <si>
    <t xml:space="preserve">Production Tab
</t>
  </si>
  <si>
    <t>Enter Vendor PO #, Name, Amount, Description, link &amp; NO-IL</t>
  </si>
  <si>
    <t xml:space="preserve">Prod CC Tab
</t>
  </si>
  <si>
    <t>Petty Cash Tab</t>
  </si>
  <si>
    <t xml:space="preserve">Client Billings
</t>
  </si>
  <si>
    <t>Request a Summary Invoice (s)</t>
  </si>
  <si>
    <t>Split Receipts</t>
  </si>
  <si>
    <t>û</t>
  </si>
  <si>
    <t>x</t>
  </si>
  <si>
    <t>Needed if qualified ProdCo exps are less than 50% of ProdCo billings</t>
  </si>
  <si>
    <t>ü</t>
  </si>
  <si>
    <t>Alcohol Split Receipts</t>
  </si>
  <si>
    <t>Hotel Charges Summary</t>
  </si>
  <si>
    <t>Needed if qualified ProdCo exps are less than 50% of ProdCo billings; when meals are $300 and above</t>
  </si>
  <si>
    <t>When meals are $300 and above</t>
  </si>
  <si>
    <t>Local Agency - will qualify client billings less deductions</t>
  </si>
  <si>
    <t>Local ProdCo - will qualify ProdCo billings</t>
  </si>
  <si>
    <t>Local Agency - OOS ProdCo  - can still qualify entire ProdCo billings, regardless of qualified ProdCo Vendors (at least 50%)</t>
  </si>
  <si>
    <t>WHAT'S INCLUDED IN THE CPA WORKBOOK?</t>
  </si>
  <si>
    <t>Client Billings - Agency</t>
  </si>
  <si>
    <t>Include, deduct OOS agency exps if detailed billings</t>
  </si>
  <si>
    <t>Exclude, submit billings in the State Sub Folder</t>
  </si>
  <si>
    <t>Exclude</t>
  </si>
  <si>
    <t>N/A</t>
  </si>
  <si>
    <t>Agency IL Vendors</t>
  </si>
  <si>
    <t>Include</t>
  </si>
  <si>
    <t>Agency Hours Letter</t>
  </si>
  <si>
    <t>Include, will increase qualified amount if with retainer fee</t>
  </si>
  <si>
    <t>Talent</t>
  </si>
  <si>
    <t>Include - PTIP amounts in Talent Tab; Qualify entire invoice amount if at least 1 talent qualifies in the Client Billing; will affect total amount if Client Billing is detailed</t>
  </si>
  <si>
    <t>Include, use PTIP report as reference</t>
  </si>
  <si>
    <t>Include - PTIP amounts in Talent Tab;
Qualify entire invoice amount if at least 1 talent qualifies in the Client Billing; will affect total amount if Client Billing is detailed</t>
  </si>
  <si>
    <t>Include, will increase amount qualified</t>
  </si>
  <si>
    <t>Agency Exp Reports</t>
  </si>
  <si>
    <t>Include if detailed billings; Exclude if summary billings</t>
  </si>
  <si>
    <t>OOS Crew - paid by Agency</t>
  </si>
  <si>
    <t>Include if detailed client billings; Exclude if summary billings</t>
  </si>
  <si>
    <t>ProdCo Billings</t>
  </si>
  <si>
    <t>Exclude, submit billings in the State Submission folder</t>
  </si>
  <si>
    <t>ProdCo IL Vendors</t>
  </si>
  <si>
    <t>Prod Crew Payroll</t>
  </si>
  <si>
    <t>Include, will be deducted from Total Vendor Expenses (CPA Presentation)</t>
  </si>
  <si>
    <t>Include, will increase qualified spend</t>
  </si>
  <si>
    <t>Prod CC</t>
  </si>
  <si>
    <t>Prod Petty Cash</t>
  </si>
  <si>
    <t>Crew Expenses</t>
  </si>
  <si>
    <t>Include (will be deducted from Total Vendor Expenses)</t>
  </si>
  <si>
    <t>OOS Crew - paid by ProdCo</t>
  </si>
  <si>
    <t>TPC Commercial Incentives Service</t>
  </si>
  <si>
    <t>Commercial Project Summary</t>
  </si>
  <si>
    <t>Project Description</t>
  </si>
  <si>
    <t>State:</t>
  </si>
  <si>
    <t>Illinois</t>
  </si>
  <si>
    <t>ECS Company code:</t>
  </si>
  <si>
    <t>Elite CIS</t>
  </si>
  <si>
    <t>Project Title:</t>
  </si>
  <si>
    <t>Award Date:</t>
  </si>
  <si>
    <t>Pre Pro Date:</t>
  </si>
  <si>
    <t>LIVE ACTION</t>
  </si>
  <si>
    <t>Rebate Estimate Analysis</t>
  </si>
  <si>
    <t>STILL</t>
  </si>
  <si>
    <t>Shoot Date:</t>
  </si>
  <si>
    <t>Production Wrap Date</t>
  </si>
  <si>
    <t>SUBMITTED EXPENSES</t>
  </si>
  <si>
    <t>QUALIFIED EXPENSES</t>
  </si>
  <si>
    <t>Pending</t>
  </si>
  <si>
    <t>DNQ</t>
  </si>
  <si>
    <t>Amount</t>
  </si>
  <si>
    <t>Difference</t>
  </si>
  <si>
    <t>Post Production Date:</t>
  </si>
  <si>
    <t>PRODUCTION COMPANY</t>
  </si>
  <si>
    <t>To have additional columns here if there's another shoot/ production (to not create another workbook)</t>
  </si>
  <si>
    <t>ProdCo Job Type(s):</t>
  </si>
  <si>
    <t>Crew Payroll</t>
  </si>
  <si>
    <t>Total Crew Payroll</t>
  </si>
  <si>
    <t>Create Crew Payroll, Production, and other applicable tabs and create formulas to get total Submitted and Qualified costs.</t>
  </si>
  <si>
    <t>ProdCo Job Notes:</t>
  </si>
  <si>
    <t>IL Crew Payroll</t>
  </si>
  <si>
    <t>OOS Shoot Job Type &amp; Location</t>
  </si>
  <si>
    <t>OOS Crew</t>
  </si>
  <si>
    <t>OOS Shoot Date(s):</t>
  </si>
  <si>
    <t>ProdCo Sub-Vendors</t>
  </si>
  <si>
    <t>Prod - Petty Cash</t>
  </si>
  <si>
    <t>Client:</t>
  </si>
  <si>
    <t>Prod - Credit Card</t>
  </si>
  <si>
    <t>Client Brand &amp; Product:</t>
  </si>
  <si>
    <t>Prod - Exp Reports</t>
  </si>
  <si>
    <t>Agency:</t>
  </si>
  <si>
    <t>Production Company:</t>
  </si>
  <si>
    <t>OOS Agency or No Agency</t>
  </si>
  <si>
    <t>Total Talent</t>
  </si>
  <si>
    <t>Subcontracted ProdCo:</t>
  </si>
  <si>
    <t>Local ProdCo (Motion)</t>
  </si>
  <si>
    <t>Talent Payroll</t>
  </si>
  <si>
    <t>OOS Shoot Prod Company:</t>
  </si>
  <si>
    <t>Local ProdCo (Still)</t>
  </si>
  <si>
    <t>Extras Payroll</t>
  </si>
  <si>
    <t>Crew Payroll Company:</t>
  </si>
  <si>
    <t>Two (2) OOS Talent</t>
  </si>
  <si>
    <t>Celebrity Payroll Company:</t>
  </si>
  <si>
    <t>Handling Fees</t>
  </si>
  <si>
    <t>Talent Payroll Company:</t>
  </si>
  <si>
    <t>Agency Fees</t>
  </si>
  <si>
    <t>Production Insurance:</t>
  </si>
  <si>
    <t>Agency Sub-Vendors</t>
  </si>
  <si>
    <t>Total Sub-Vendors</t>
  </si>
  <si>
    <t>Other Payor 2:</t>
  </si>
  <si>
    <t>Agency Hours</t>
  </si>
  <si>
    <t>Normal Agency Hours</t>
  </si>
  <si>
    <t>Other Payor 3:</t>
  </si>
  <si>
    <t>IL Crew</t>
  </si>
  <si>
    <t>Celebrity Name(s):</t>
  </si>
  <si>
    <t>Retainer Billings</t>
  </si>
  <si>
    <t>Agency Job Description:</t>
  </si>
  <si>
    <t>Agency Job Name:</t>
  </si>
  <si>
    <t>Prod Agency Hours</t>
  </si>
  <si>
    <t>Production Agency Hours</t>
  </si>
  <si>
    <t>Agency Job Number:</t>
  </si>
  <si>
    <t>AICP Bid</t>
  </si>
  <si>
    <t>Agency Estimate</t>
  </si>
  <si>
    <t>Agency Exp. Report</t>
  </si>
  <si>
    <t>Final Script/Storyboard Date</t>
  </si>
  <si>
    <t>Client - Crew</t>
  </si>
  <si>
    <t>Client</t>
  </si>
  <si>
    <t>Application &amp; Boards</t>
  </si>
  <si>
    <t>Client - Sub-Vendors</t>
  </si>
  <si>
    <t>APC</t>
  </si>
  <si>
    <t>Consultant</t>
  </si>
  <si>
    <t>Pre-Production Book</t>
  </si>
  <si>
    <t>Consultant Retainer Fee</t>
  </si>
  <si>
    <t>Call Sheet</t>
  </si>
  <si>
    <t>CPA Fee</t>
  </si>
  <si>
    <t>Diversity Tracking Sheet (Including Agency)</t>
  </si>
  <si>
    <t>Total Submitted costs:</t>
  </si>
  <si>
    <t>Total Qualified costs:</t>
  </si>
  <si>
    <t>Vendor Diversity Summary</t>
  </si>
  <si>
    <t>Shoot Location/s:</t>
  </si>
  <si>
    <t>All Qualified OOS</t>
  </si>
  <si>
    <t>Spots:</t>
  </si>
  <si>
    <t>PO Log</t>
  </si>
  <si>
    <t>Job Cost Detail</t>
  </si>
  <si>
    <t>QUALIFIED AMOUNT FOR CPA</t>
  </si>
  <si>
    <t>Total ProdCo Billings</t>
  </si>
  <si>
    <t>Total Client Billings</t>
  </si>
  <si>
    <t>OOS-Local/ None-Local</t>
  </si>
  <si>
    <t>CPA Workbook</t>
  </si>
  <si>
    <t>Audit Adjustment</t>
  </si>
  <si>
    <t>Tax Credit</t>
  </si>
  <si>
    <t>Total Amount Spent on Project</t>
  </si>
  <si>
    <t>%</t>
  </si>
  <si>
    <t>IL Agency Expenses</t>
  </si>
  <si>
    <t>Non-Resident Labor</t>
  </si>
  <si>
    <t>AICP vs ProdCo Submitted</t>
  </si>
  <si>
    <t>Extras</t>
  </si>
  <si>
    <t xml:space="preserve">PO Log vs ProdCo Amount Entered </t>
  </si>
  <si>
    <t>ProdCo Submitted vs ProdCo Billings</t>
  </si>
  <si>
    <t>Agency Exps</t>
  </si>
  <si>
    <t>ProdCo Qualified vs ProdCo Billings</t>
  </si>
  <si>
    <t>Consultant Hours</t>
  </si>
  <si>
    <t>JCD vs Agency Amount Entered</t>
  </si>
  <si>
    <t>QUALIFIED SPEND</t>
  </si>
  <si>
    <t>of rebate estimate</t>
  </si>
  <si>
    <t>Agency Estimate vs Client Billings</t>
  </si>
  <si>
    <t>Tax Incentive Amount</t>
  </si>
  <si>
    <t>Add'l 15%</t>
  </si>
  <si>
    <t>UPLIFTS</t>
  </si>
  <si>
    <t>Total Tax Credit Amount</t>
  </si>
  <si>
    <t>Green Sustainability Uplift</t>
  </si>
  <si>
    <t>Rural Area Uplift</t>
  </si>
  <si>
    <t>REBATE ESTIMATE</t>
  </si>
  <si>
    <t>CPA QUALIFIED</t>
  </si>
  <si>
    <t>ProdCo Materials Entered by:</t>
  </si>
  <si>
    <t>Reviewed by:</t>
  </si>
  <si>
    <t>ProdCo</t>
  </si>
  <si>
    <t>Agency Materials Entered by:</t>
  </si>
  <si>
    <t>Project Fee</t>
  </si>
  <si>
    <t>CPA</t>
  </si>
  <si>
    <t>TOTAL QUALIFIED SPEND</t>
  </si>
  <si>
    <t>CPA Prepped by:</t>
  </si>
  <si>
    <t>IL Transfer Fee</t>
  </si>
  <si>
    <t>((((Qualified Spend - Non Resident Labor) * 0.3) + Bonus Incentive Amount ) * 0.0025) + ((Non Resident Labor * 0.3) * 0.025)</t>
  </si>
  <si>
    <t>CPA Review by:</t>
  </si>
  <si>
    <t>Tax Credit (30%)</t>
  </si>
  <si>
    <t>Qualified Spend No OOS</t>
  </si>
  <si>
    <t>Gross Rebate</t>
  </si>
  <si>
    <t>State Rebate %</t>
  </si>
  <si>
    <t>Est. Transfer Costs (11.00%)</t>
  </si>
  <si>
    <t>Net Proceeds</t>
  </si>
  <si>
    <t>Bonus Incentive</t>
  </si>
  <si>
    <t>Reimbursable Expenses</t>
  </si>
  <si>
    <t>Admin Fee</t>
  </si>
  <si>
    <t xml:space="preserve">Net Rebate </t>
  </si>
  <si>
    <t>Qualified Spend OOS</t>
  </si>
  <si>
    <t>TPC Fee (22.50%)</t>
  </si>
  <si>
    <t>Net to Brand</t>
  </si>
  <si>
    <t>Reported range</t>
  </si>
  <si>
    <t>IL Transfer Fee Total</t>
  </si>
  <si>
    <t>"2022 Q3 Eggo Liege TV"</t>
  </si>
  <si>
    <t>Digitas</t>
  </si>
  <si>
    <t>Local Agency or Agency is Applicant</t>
  </si>
  <si>
    <t>AICP less identified OOS</t>
  </si>
  <si>
    <t>Picrow, Inc</t>
  </si>
  <si>
    <t>Gabe Sanchez</t>
  </si>
  <si>
    <t>Greenslate</t>
  </si>
  <si>
    <t>Extreme Reach Talent, Inc</t>
  </si>
  <si>
    <t>Agency is the applicant - Local ProdCo</t>
  </si>
  <si>
    <t>Crew Paid by Agency</t>
  </si>
  <si>
    <t>Transfer Costs (11.00%)</t>
  </si>
  <si>
    <t>Local Agency</t>
  </si>
  <si>
    <t>Local or OOS (State) - Motion or Still</t>
  </si>
  <si>
    <t>Local-Local/ Local-OOS</t>
  </si>
  <si>
    <t>Client Billings</t>
  </si>
  <si>
    <t>Less: OOS Exp on Client Billings</t>
  </si>
  <si>
    <t>Client Billings vs Agency Amount Entered</t>
  </si>
  <si>
    <t>Commercial Project Billings Summary</t>
  </si>
  <si>
    <t>ITEM</t>
  </si>
  <si>
    <t>Qualify</t>
  </si>
  <si>
    <t>Vendor Name</t>
  </si>
  <si>
    <t>Vendor Type</t>
  </si>
  <si>
    <t>Job Type</t>
  </si>
  <si>
    <t>State</t>
  </si>
  <si>
    <t>Description</t>
  </si>
  <si>
    <t>Details</t>
  </si>
  <si>
    <t>Invoice Date</t>
  </si>
  <si>
    <t>Invoice #</t>
  </si>
  <si>
    <t>Eligible Total</t>
  </si>
  <si>
    <t>Address</t>
  </si>
  <si>
    <t xml:space="preserve">City </t>
  </si>
  <si>
    <t>Zip</t>
  </si>
  <si>
    <t>Received Invoice</t>
  </si>
  <si>
    <t>POP</t>
  </si>
  <si>
    <t>Payment Date</t>
  </si>
  <si>
    <t>Payment Method</t>
  </si>
  <si>
    <t>W-9</t>
  </si>
  <si>
    <t>Job Number</t>
  </si>
  <si>
    <t>Notes</t>
  </si>
  <si>
    <t>VENDOR NAME</t>
  </si>
  <si>
    <t>DESCRIPTION</t>
  </si>
  <si>
    <t>ADDRESS</t>
  </si>
  <si>
    <t>CITY</t>
  </si>
  <si>
    <t>ZIP</t>
  </si>
  <si>
    <t>INVOICE DATE</t>
  </si>
  <si>
    <t>INVOICE NUMBER</t>
  </si>
  <si>
    <t>AMOUNT</t>
  </si>
  <si>
    <t>PAYMENT DATE</t>
  </si>
  <si>
    <t>PAYMENT METHOD</t>
  </si>
  <si>
    <t>Total Billings</t>
  </si>
  <si>
    <t>Job Name</t>
  </si>
  <si>
    <t>Qualified 
Total</t>
  </si>
  <si>
    <t>Pending Total</t>
  </si>
  <si>
    <t>Agency</t>
  </si>
  <si>
    <t>Sub-ProdCo</t>
  </si>
  <si>
    <t>Agency - Job Number</t>
  </si>
  <si>
    <t>Production</t>
  </si>
  <si>
    <t xml:space="preserve">Amount Entered </t>
  </si>
  <si>
    <t>Talent Residuals</t>
  </si>
  <si>
    <t>Total Amount</t>
  </si>
  <si>
    <t>Total Amount Entered</t>
  </si>
  <si>
    <t>Production Tax Incentives
PRODUCTION COMPANY CREW PAYROLL</t>
  </si>
  <si>
    <t xml:space="preserve"> </t>
  </si>
  <si>
    <t>1st Shoot Day</t>
  </si>
  <si>
    <t>Kellogg Company  "2022 Q3 Eggo Liege TV"</t>
  </si>
  <si>
    <t>Last Shoot Day</t>
  </si>
  <si>
    <t>FILL-OUT TABLES BELOW THE DATA AFTER ENCODING (TIE-OUTS)</t>
  </si>
  <si>
    <t>Covid End Date</t>
  </si>
  <si>
    <t>Work State:</t>
  </si>
  <si>
    <t>Automated: in case data is not reflected add it to this masterfile</t>
  </si>
  <si>
    <t>Don't edit this part; with formulas</t>
  </si>
  <si>
    <t>Vac/Hol    with</t>
  </si>
  <si>
    <t>ER BENEFITS / PH&amp;W</t>
  </si>
  <si>
    <t>Exclude  (Loan Out names)</t>
  </si>
  <si>
    <t>Use acronym, as will be used in CPA</t>
  </si>
  <si>
    <t>INVOICE/ W9</t>
  </si>
  <si>
    <t>PROOF OF PAYMENT</t>
  </si>
  <si>
    <t>RESIDENCY</t>
  </si>
  <si>
    <t>DIVERSITY</t>
  </si>
  <si>
    <t>ITEM_No</t>
  </si>
  <si>
    <t>Work_State</t>
  </si>
  <si>
    <t>Crew_Name</t>
  </si>
  <si>
    <t>Crew_Position</t>
  </si>
  <si>
    <t>Position_Category</t>
  </si>
  <si>
    <t>No_of_Days_Worked</t>
  </si>
  <si>
    <t>Work Dates</t>
  </si>
  <si>
    <t>W_Dates_Worked_on_Invoice</t>
  </si>
  <si>
    <t>Gap_1</t>
  </si>
  <si>
    <t xml:space="preserve"> Invoice_Date</t>
  </si>
  <si>
    <t>PO_No</t>
  </si>
  <si>
    <t>Invoice_No</t>
  </si>
  <si>
    <t>Taxable_Wages</t>
  </si>
  <si>
    <t>Kit Rental</t>
  </si>
  <si>
    <t>Mileage Fee</t>
  </si>
  <si>
    <t>Reimbursement</t>
  </si>
  <si>
    <t>Rental</t>
  </si>
  <si>
    <t>Corporate</t>
  </si>
  <si>
    <t>FICA</t>
  </si>
  <si>
    <t>Medi</t>
  </si>
  <si>
    <t>FUI</t>
  </si>
  <si>
    <t>SUI</t>
  </si>
  <si>
    <t>W_C</t>
  </si>
  <si>
    <t>PH_W</t>
  </si>
  <si>
    <t>Vac_Hol</t>
  </si>
  <si>
    <t>Other</t>
  </si>
  <si>
    <t>Hand</t>
  </si>
  <si>
    <t>Sub_Total</t>
  </si>
  <si>
    <t>Non_Eligible</t>
  </si>
  <si>
    <t>Total_Eligible</t>
  </si>
  <si>
    <t>Received_Invoice</t>
  </si>
  <si>
    <t>Loan Out / 1099</t>
  </si>
  <si>
    <t>Loan_Out_Name</t>
  </si>
  <si>
    <t>W9_and_Valid_Date</t>
  </si>
  <si>
    <t>Pymt_Method</t>
  </si>
  <si>
    <t>Pymt_No</t>
  </si>
  <si>
    <t>Proof_of_Payment</t>
  </si>
  <si>
    <t>Payment_Entity</t>
  </si>
  <si>
    <t>Document_Type</t>
  </si>
  <si>
    <t>Issue_Date</t>
  </si>
  <si>
    <t>Expiration_Date</t>
  </si>
  <si>
    <t>Residency</t>
  </si>
  <si>
    <t>Home_Address</t>
  </si>
  <si>
    <t>City</t>
  </si>
  <si>
    <t>Diversity</t>
  </si>
  <si>
    <t>Sex</t>
  </si>
  <si>
    <t>Invoice No.</t>
  </si>
  <si>
    <t>CPA_Crew_Name</t>
  </si>
  <si>
    <t>CPA_Crew_Position</t>
  </si>
  <si>
    <t>CPA_Position_Category</t>
  </si>
  <si>
    <t>CPA_Home_Address</t>
  </si>
  <si>
    <t>CPA_City</t>
  </si>
  <si>
    <t>CPA_Zip</t>
  </si>
  <si>
    <t>CPA_No_of_Days_Worked</t>
  </si>
  <si>
    <t xml:space="preserve">CPA_GROSS_WAGES </t>
  </si>
  <si>
    <t xml:space="preserve">CPA_ER_TAXES </t>
  </si>
  <si>
    <t>CPA_ER_BENEFITS_PH_W</t>
  </si>
  <si>
    <t>CPA_CPA_TOTAL</t>
  </si>
  <si>
    <t>Ineligible1</t>
  </si>
  <si>
    <t>Ineligible2</t>
  </si>
  <si>
    <t/>
  </si>
  <si>
    <t>Number of YES-OOS</t>
  </si>
  <si>
    <t>ELIGIBLE TOTAL</t>
  </si>
  <si>
    <t>PENDING</t>
  </si>
  <si>
    <t>NO-OOS</t>
  </si>
  <si>
    <t>NO-IL</t>
  </si>
  <si>
    <t>YES-OOS</t>
  </si>
  <si>
    <t>YES</t>
  </si>
  <si>
    <t>Total Eligible</t>
  </si>
  <si>
    <t>Two OOS Crew</t>
  </si>
  <si>
    <t>Total Ineligible</t>
  </si>
  <si>
    <t>INELIGIBLE TOTAL</t>
  </si>
  <si>
    <t>PAs</t>
  </si>
  <si>
    <t>Total Expenses</t>
  </si>
  <si>
    <t>Payroll &amp; Crew Invoice No.</t>
  </si>
  <si>
    <t>Invoice Amount</t>
  </si>
  <si>
    <t>Qualified Amount</t>
  </si>
  <si>
    <t>Ineligible Amount</t>
  </si>
  <si>
    <t>Gross</t>
  </si>
  <si>
    <t>ER Taxes</t>
  </si>
  <si>
    <t>Benefits
(P, H &amp; W)</t>
  </si>
  <si>
    <t>Total Qualified</t>
  </si>
  <si>
    <t>Hours Letter</t>
  </si>
  <si>
    <t>Total</t>
  </si>
  <si>
    <t xml:space="preserve">All Freelance </t>
  </si>
  <si>
    <t>Production Tax Incentives
Talent &amp; Extras</t>
  </si>
  <si>
    <t>DELETE SAMPLE DATA FOR ACTUAL PROJECTS</t>
  </si>
  <si>
    <t>(Handling Fees &amp; W/C)</t>
  </si>
  <si>
    <t>INVOICE/ PROOF OF PAYMENT</t>
  </si>
  <si>
    <t>Ineligible</t>
  </si>
  <si>
    <t>ITEM #</t>
  </si>
  <si>
    <t>Qualify?</t>
  </si>
  <si>
    <t>Included on PTIP Report?</t>
  </si>
  <si>
    <t>Amount Included on PTIP Report</t>
  </si>
  <si>
    <t>Work State</t>
  </si>
  <si>
    <t>Talent Name</t>
  </si>
  <si>
    <t>Title</t>
  </si>
  <si>
    <t>No. of Work Days</t>
  </si>
  <si>
    <t>Wages $</t>
  </si>
  <si>
    <t>Misc Pymt/ Agent Fee</t>
  </si>
  <si>
    <t>ER Payroll Tax</t>
  </si>
  <si>
    <t>Worker's Comp</t>
  </si>
  <si>
    <t>Handling</t>
  </si>
  <si>
    <t>SAG (P&amp;H) $</t>
  </si>
  <si>
    <t>PTIP_Check</t>
  </si>
  <si>
    <t>Pymt Method</t>
  </si>
  <si>
    <t>Payment Entity</t>
  </si>
  <si>
    <t>Type</t>
  </si>
  <si>
    <t>Document Type</t>
  </si>
  <si>
    <t>Issue Date</t>
  </si>
  <si>
    <t>Expiration Date</t>
  </si>
  <si>
    <t>Home Address</t>
  </si>
  <si>
    <t>NO-IL 
Residency Status</t>
  </si>
  <si>
    <t>Notes:</t>
  </si>
  <si>
    <t>Job No.</t>
  </si>
  <si>
    <t>Client Billing No.</t>
  </si>
  <si>
    <t>Commercial Id</t>
  </si>
  <si>
    <t>Commercial Title</t>
  </si>
  <si>
    <t>CPA Tab</t>
  </si>
  <si>
    <t>GROSS</t>
  </si>
  <si>
    <t>PAYROLL TAXES</t>
  </si>
  <si>
    <t>BENEFITS (P, H &amp; W)</t>
  </si>
  <si>
    <t>CPA TOTAL</t>
  </si>
  <si>
    <t>YES-AGENCY FEE</t>
  </si>
  <si>
    <t>Extra</t>
  </si>
  <si>
    <t>Vendor</t>
  </si>
  <si>
    <t>Handling Fee</t>
  </si>
  <si>
    <t>Qualifed</t>
  </si>
  <si>
    <t>Total Pending</t>
  </si>
  <si>
    <t>Total Agency Fees</t>
  </si>
  <si>
    <t>(For CPA Use only)</t>
  </si>
  <si>
    <t>Total Handling Fees</t>
  </si>
  <si>
    <t>Invoice 
Amount</t>
  </si>
  <si>
    <t>Qualified 
Amount</t>
  </si>
  <si>
    <t>Pending Amount</t>
  </si>
  <si>
    <t>Ineligible 
Amount</t>
  </si>
  <si>
    <t>Handling 
Fees</t>
  </si>
  <si>
    <t>Qualified Wages/Misc</t>
  </si>
  <si>
    <t>Qualified Taxes</t>
  </si>
  <si>
    <t>Qualified Benefits</t>
  </si>
  <si>
    <t>CPA Qualified</t>
  </si>
  <si>
    <t>CPA DNQ</t>
  </si>
  <si>
    <t>CPA Handling</t>
  </si>
  <si>
    <t>CPA DNQ 
Handling</t>
  </si>
  <si>
    <t>Invoice</t>
  </si>
  <si>
    <t>Talent Sessions</t>
  </si>
  <si>
    <t>Artists Taxes</t>
  </si>
  <si>
    <t xml:space="preserve">Handling &amp; Fulfillment </t>
  </si>
  <si>
    <t>SAG</t>
  </si>
  <si>
    <t>State Submission Table Entry Reconcile</t>
  </si>
  <si>
    <t>Job #</t>
  </si>
  <si>
    <t>Client Billing</t>
  </si>
  <si>
    <t>Qualified Billing Amount</t>
  </si>
  <si>
    <t>Amount Removed</t>
  </si>
  <si>
    <t>Ties to CPA workbook</t>
  </si>
  <si>
    <t>A</t>
  </si>
  <si>
    <t>B</t>
  </si>
  <si>
    <t>C</t>
  </si>
  <si>
    <t>D</t>
  </si>
  <si>
    <t>CPA Columns  - State Submission Entered Amounts Reconcile</t>
  </si>
  <si>
    <t>A1</t>
  </si>
  <si>
    <t>B1</t>
  </si>
  <si>
    <t>C1</t>
  </si>
  <si>
    <t>D1</t>
  </si>
  <si>
    <t>Production Tax Incentives
Hours Letter</t>
  </si>
  <si>
    <t>Follow CPA Diversity Format (WHITE, HISP, AA…)</t>
  </si>
  <si>
    <t>Proof of Payment</t>
  </si>
  <si>
    <t>Crew  Name</t>
  </si>
  <si>
    <t>Job Description</t>
  </si>
  <si>
    <t>Position Category</t>
  </si>
  <si>
    <t xml:space="preserve">State </t>
  </si>
  <si>
    <t>Agency Hours Amount</t>
  </si>
  <si>
    <t>Agency Retainer Billing Amount</t>
  </si>
  <si>
    <t>Hours Letter Type</t>
  </si>
  <si>
    <t>Pymt/Check</t>
  </si>
  <si>
    <t>Crew Name</t>
  </si>
  <si>
    <t>Crew Position</t>
  </si>
  <si>
    <t>Home address</t>
  </si>
  <si>
    <t># of Hours Worked</t>
  </si>
  <si>
    <t>Dates Worked</t>
  </si>
  <si>
    <t>Agency Hours Amount $</t>
  </si>
  <si>
    <t xml:space="preserve">ER TAXES </t>
  </si>
  <si>
    <t>AGENCY Retainer Fee</t>
  </si>
  <si>
    <t>AGENCY PRODUCTION HOURS</t>
  </si>
  <si>
    <t>Normal Hours TOTALS</t>
  </si>
  <si>
    <t>Invoice_Number</t>
  </si>
  <si>
    <t>Total
Amount</t>
  </si>
  <si>
    <t>Qualified
Amount</t>
  </si>
  <si>
    <t>Retainer Billings TOTALS</t>
  </si>
  <si>
    <t>Total Retainer Billings</t>
  </si>
  <si>
    <t>Total Agency Hours $</t>
  </si>
  <si>
    <t>&lt;-- Notify If Red</t>
  </si>
  <si>
    <t>Production Hours TOTALS</t>
  </si>
  <si>
    <t>Normal Eligible</t>
  </si>
  <si>
    <t>Normal OOS Eligible</t>
  </si>
  <si>
    <t>Normal Pending</t>
  </si>
  <si>
    <t>Normal Ineligible</t>
  </si>
  <si>
    <t>Production Hours Eligible</t>
  </si>
  <si>
    <t>Production Hours  OOS Eligible</t>
  </si>
  <si>
    <t>Production Hours  Pending</t>
  </si>
  <si>
    <t>Production Hours  Ineligible</t>
  </si>
  <si>
    <t>Total OOS Eligible</t>
  </si>
  <si>
    <t>Award Date</t>
  </si>
  <si>
    <t>Pre Pro Date</t>
  </si>
  <si>
    <t>Shoot Date</t>
  </si>
  <si>
    <t>Post Production Date</t>
  </si>
  <si>
    <t>Employee</t>
  </si>
  <si>
    <t>Employee Title</t>
  </si>
  <si>
    <t>Pre-Production (Insert Date Range)</t>
  </si>
  <si>
    <t>Production (Insert Date Range)</t>
  </si>
  <si>
    <t>Post-Production (Insert Date Range)</t>
  </si>
  <si>
    <t>Total Hours</t>
  </si>
  <si>
    <t>Pre-production: Describe the specific work done during this hase of production.</t>
  </si>
  <si>
    <t>Production:  Describe the specific work done during this hase of production.</t>
  </si>
  <si>
    <t>Post-production: Describe the specific work done during this hase of production.</t>
  </si>
  <si>
    <t>employee_title</t>
  </si>
  <si>
    <t>time</t>
  </si>
  <si>
    <t>single_description</t>
  </si>
  <si>
    <t>Approved</t>
  </si>
  <si>
    <t>case_analysis</t>
  </si>
  <si>
    <t>ending_analysis</t>
  </si>
  <si>
    <t xml:space="preserve">Take the following input sentence, remove any specific names and locations, and rewrite it in the past tense. If the sentence mentions multiple people, start the output with "Part of the team that" and focus on condensing the core action described. Ensure the output does not contain any names, specific locations, or mention who the action was done with.  Input Sentence Starts Here: </t>
  </si>
  <si>
    <t>Acct Dir</t>
  </si>
  <si>
    <t>post_production</t>
  </si>
  <si>
    <t>Attended all internal agency reviews</t>
  </si>
  <si>
    <t>Capital</t>
  </si>
  <si>
    <t>Neither</t>
  </si>
  <si>
    <t>Attended all internal agency reviews with Producer &amp; Creative Team</t>
  </si>
  <si>
    <t>Attended all internal reviews with Producers and Creative Team</t>
  </si>
  <si>
    <t>Captured all client feedback and relayed to internal agency teams</t>
  </si>
  <si>
    <t>Captured client feedback and relayed to internal agency teams</t>
  </si>
  <si>
    <t>Coordinated &amp; attended all client meetings for rough cut reviews/approvals</t>
  </si>
  <si>
    <t>Coordinated all client meetings for rough cut review/approvals</t>
  </si>
  <si>
    <t>Coordinated all client meetings for updates on production</t>
  </si>
  <si>
    <t>Coordinated client meetings for rough cut review/approvals</t>
  </si>
  <si>
    <t>Coordinated client meetings for updates on production</t>
  </si>
  <si>
    <t>Ensured all invoices/payments had been made on the project</t>
  </si>
  <si>
    <t>Ensured invoices/payments had been made on the project</t>
  </si>
  <si>
    <t>Ensured quality of production outputs prior to client review</t>
  </si>
  <si>
    <t>Managed budget expectations</t>
  </si>
  <si>
    <t>Obtained and submitted legal clearance</t>
  </si>
  <si>
    <t>Part of Account Team that captured all client feedback and relayed to internal agency teams</t>
  </si>
  <si>
    <t>Provided timely production status reports for clients</t>
  </si>
  <si>
    <t>Provided timely production status reports for clients &amp; coordinated all client meetings for updates on production</t>
  </si>
  <si>
    <t>Relayed and explained additional costs to clients and managed revised estimate of costs</t>
  </si>
  <si>
    <t>Relayed and explained additional overage costs to clients and obtained their approval</t>
  </si>
  <si>
    <t>Responsible for obtaining and submitting legal clearance and substantiation</t>
  </si>
  <si>
    <t>Scheduled &amp; attended meeting with client, producer, creative &amp; account teams for final review/approval of spot</t>
  </si>
  <si>
    <t>Scheduled &amp; attended meeting with client, producer, creative &amp; account teams for obtaining and submitting legal clearance and substantiation</t>
  </si>
  <si>
    <t>Scheduled client review for talent casting</t>
  </si>
  <si>
    <t>Scheduled meeting with client, Producers, Creative Team, Business Affairs &amp; Account teams for final review/approval of spot</t>
  </si>
  <si>
    <t>Submitted revised estimates of costs to client &amp; obtained their approval</t>
  </si>
  <si>
    <t>Was responsible for obtaining and submitting legal clearance and substantiation</t>
  </si>
  <si>
    <t>Worked closely with agency internal teams to ensure quality of production outputs prior to client review</t>
  </si>
  <si>
    <t>Worked with agency internal teams to ensure quality of production outputs prior to client review</t>
  </si>
  <si>
    <t>Worked with internal agency Team to manage budget expectations</t>
  </si>
  <si>
    <t>pre_production</t>
  </si>
  <si>
    <t>Coordinated schedules of internal agency meeting for production budget &amp; timeline review</t>
  </si>
  <si>
    <t>Coordinated with and scheduled internal agency meeting for production budget &amp; timeline review</t>
  </si>
  <si>
    <t>Ensured client had signed off on all production items prior to shoot</t>
  </si>
  <si>
    <t>Ensured client had signed off on all production items prior to shoot including shoot location, set design, props &amp; wardrobe selections</t>
  </si>
  <si>
    <t>Facilitated client’s schedule during shoot</t>
  </si>
  <si>
    <t>Met with clients &amp; communicated updates on production</t>
  </si>
  <si>
    <t>Met with internal agency team &amp; communicated updates/feedback on production from client</t>
  </si>
  <si>
    <t>Presented client with production timeline &amp; initial agency estimate for approval</t>
  </si>
  <si>
    <t>Scheduled internal agency meeting for production budget &amp; timeline review</t>
  </si>
  <si>
    <t>Scheduled meeting with client for production budget &amp; timeline review</t>
  </si>
  <si>
    <t>Submitted client approved estimate &amp; production timeline to internal agency production and finance teams for invoicing &amp; budget management</t>
  </si>
  <si>
    <t>Submitted client approved estimate &amp; production timeline to internal agency production and finance teams to begin invoicing &amp; budget management</t>
  </si>
  <si>
    <t>Submitted client approved estimate &amp; production timeline to internal agency to begin invoicing &amp; budget management</t>
  </si>
  <si>
    <t>Worked with agency teams and client on production requirements and budgets</t>
  </si>
  <si>
    <t>Worked with client on items that needed client’s approvals including cast selections &amp; insurance documents</t>
  </si>
  <si>
    <t>Worked with client on paperwork that needed client’s approvals including product substantiation &amp; insurance documents</t>
  </si>
  <si>
    <t>Worked with client on travel arrangements &amp; to organize client's schedule during shoot</t>
  </si>
  <si>
    <t>Worked with internal agency teams and client on production requirements and budgets</t>
  </si>
  <si>
    <t>production</t>
  </si>
  <si>
    <t>A direct partner on set with client to ensure footage being captured was based on approved storyboards &amp; met the client’s needs</t>
  </si>
  <si>
    <t>Acted as liaison between the agency, production company, and the client</t>
  </si>
  <si>
    <t>Attended shoot as client liaison for Production Company, Producer and Creative Team</t>
  </si>
  <si>
    <t>Attended shoot as client liaison for production company, Sr Producer and Creative Team</t>
  </si>
  <si>
    <t>Attended shoot day as main contact for client</t>
  </si>
  <si>
    <t>Direct partner on set with client to ensure footage being captured was based on approved storyboards &amp; met the client’s needs</t>
  </si>
  <si>
    <t>Direct partner on set with client to ensure footage captured was based on approved storyboards &amp; met the client’s needs</t>
  </si>
  <si>
    <t>Helped ensure that the shoot is on schedule and within budget</t>
  </si>
  <si>
    <t>Interfaced with Producers, Creative Team and Client to sign off on set design, props &amp; wardrobe</t>
  </si>
  <si>
    <t>Interfaced with the client to sign off on production selections for shoot</t>
  </si>
  <si>
    <t>Interfaced with the client to sign off on set design, props &amp; wardrobe selections for shoot</t>
  </si>
  <si>
    <t>Obtained clients' approval for changes in artwork</t>
  </si>
  <si>
    <t>Was a direct partner on set with client to ensure footage captured was based on approved storyboards &amp; met the client’s needs</t>
  </si>
  <si>
    <t>Worked with Producer to keep shoot on schedule and within budget</t>
  </si>
  <si>
    <t>Acct Executive</t>
  </si>
  <si>
    <t>Attended all client reviews with Producer, Creative &amp; Business Affairs Teams including review for final approval of spots</t>
  </si>
  <si>
    <t>Attended all internal agency reviews with Creative, Producer, Social Media, Strategy &amp; Business Affairs Teams</t>
  </si>
  <si>
    <t>Attended all internal reviews with Creative, Production &amp; Business teams</t>
  </si>
  <si>
    <t>Attended casting sessions &amp; selected principal talent and backup for client review</t>
  </si>
  <si>
    <t>Coordinated all client meetings for job updates &amp; reviews/approvals</t>
  </si>
  <si>
    <t>Coordinated meeting for final review/approval of spot</t>
  </si>
  <si>
    <t>Ensure audio/music specifications were met</t>
  </si>
  <si>
    <t>Ensure edit specifications were met</t>
  </si>
  <si>
    <t>Ensure spot deliverables met timeline for client review</t>
  </si>
  <si>
    <t>Managed budgets &amp; ensured all invoices and payments had been made on the project</t>
  </si>
  <si>
    <t>Presented client with rough cut of spots, noted client revisions &amp; ensured feedback was communicated to agency teams</t>
  </si>
  <si>
    <t>Production &amp; visual effect specifications were met for motion graphics, color correction &amp; VFX compositing</t>
  </si>
  <si>
    <t>Responsible for capturing all client feedback and relaying it to internal teams</t>
  </si>
  <si>
    <t>Responsible for obtaining and submitting legal clearances</t>
  </si>
  <si>
    <t>Supervised assembly of all versions of final spot</t>
  </si>
  <si>
    <t>Supervised designers/editors on all post production</t>
  </si>
  <si>
    <t>post</t>
  </si>
  <si>
    <t>Supervised music selection, sound design/mixing &amp; recording</t>
  </si>
  <si>
    <t>Worked closely with Editor, Producers &amp; Lead Creative Team to ensure post production</t>
  </si>
  <si>
    <t>Worked with Business Affairs &amp; Creative Teams to actualize and close out production job within budget</t>
  </si>
  <si>
    <t>Approved talent &amp; backups for client's approval</t>
  </si>
  <si>
    <t>Assisted in evaluating terms of all production, audio/music, post/visual effects, casting &amp; editorial bids</t>
  </si>
  <si>
    <t>Attended talent casting auditions &amp; callbacks along with Producer &amp; Creative Teams to select on</t>
  </si>
  <si>
    <t xml:space="preserve">Ensured client signed off on all production items prior to shoot </t>
  </si>
  <si>
    <t>Met with clients &amp; communicated updates on production prep</t>
  </si>
  <si>
    <t>Obtained insurance policy with necessary &amp; proper coverage amounts</t>
  </si>
  <si>
    <t>Provided overview of job specifications for all vendors based on discussions with client</t>
  </si>
  <si>
    <t>Reviewed talent demo reels</t>
  </si>
  <si>
    <t xml:space="preserve">Worked on creation of contracts for talent </t>
  </si>
  <si>
    <t>Worked on specifications for shoot locations, set design, cast, props &amp; wardrobe selections</t>
  </si>
  <si>
    <t>Worked with client &amp; agency teams regarding all components of production</t>
  </si>
  <si>
    <t>Worked with client to organize client's schedule during shoot</t>
  </si>
  <si>
    <t>Worked with internal agency teams and client on production requirements &amp; budgets</t>
  </si>
  <si>
    <t>Attended Prelight &amp; shoot as client liaison between Creative Team, Project Manager &amp; Production Company</t>
  </si>
  <si>
    <t>Attended Pre-Light and Shoot</t>
  </si>
  <si>
    <t>Client liaison between Producer &amp; Creative Teams &amp; Production Company</t>
  </si>
  <si>
    <t>Interfaced with agency team and clients to sign off on set design</t>
  </si>
  <si>
    <t>Interfaced with agency team and clients to sign off on set design, props &amp; lighting</t>
  </si>
  <si>
    <t>Partner on set with client to ensure footage captured was based on approved storyboards &amp; met the client’s needs</t>
  </si>
  <si>
    <t>Worked with agency Teams to keep shoot on schedule and within budget</t>
  </si>
  <si>
    <t>Acct Executive, Client Leadership</t>
  </si>
  <si>
    <t>Attended internal reviews with creative/production teams and coordinated client meetings and reviews/approvals.</t>
  </si>
  <si>
    <t>Captured client feedback and relay to internal teams and obtained final approval on spots prior to shipping.</t>
  </si>
  <si>
    <t>Oversaw quality of production outputs prior to client review.</t>
  </si>
  <si>
    <t>Ensured client has signed off on all preproduction documentation (storyboards, talent, locations, etc.)</t>
  </si>
  <si>
    <t>Submitted all estimates to agency production and finance team for approvals and invoicing.</t>
  </si>
  <si>
    <t>Worked with agency teams and client on production requirements and budgets.</t>
  </si>
  <si>
    <t>Ensured productions are delivered on time and within budget.</t>
  </si>
  <si>
    <t>Acct Manager</t>
  </si>
  <si>
    <t>Approved and facilitated invoice approvals and payment.</t>
  </si>
  <si>
    <t>Approved production</t>
  </si>
  <si>
    <t>Ensured final shipping, traffic, and all invoices/payments have been made on the project</t>
  </si>
  <si>
    <t>Related vendor invoices before submitting to finance.</t>
  </si>
  <si>
    <t>Revised estimates as necessary to report additional costs and/or overages.</t>
  </si>
  <si>
    <t>Monitor production budgets</t>
  </si>
  <si>
    <t>Supervised business teams involved in pre production</t>
  </si>
  <si>
    <t>pre</t>
  </si>
  <si>
    <t>Updated estimates and processed overages, as needed</t>
  </si>
  <si>
    <t>Acct Managing Dir</t>
  </si>
  <si>
    <t>Attended client meetings for rough cut review/approvals</t>
  </si>
  <si>
    <t>Attended client meetings for updates on production</t>
  </si>
  <si>
    <t>Attended internal reviews with Producers, Creative Team &amp; Sr Business Mgr</t>
  </si>
  <si>
    <t>Attended meeting with Client for final review/approval of spot</t>
  </si>
  <si>
    <t>Acct Mgr</t>
  </si>
  <si>
    <t>Approved production related vendor invoices before submitting to finance</t>
  </si>
  <si>
    <t>Monitored production budgets</t>
  </si>
  <si>
    <t>Acct Supervisor</t>
  </si>
  <si>
    <t>Actualize and close out production job within budget</t>
  </si>
  <si>
    <t>Attended all client reviews along with the  Creative Team</t>
  </si>
  <si>
    <t>Attended all internal reviews with Producers &amp; Prod Business Mgr</t>
  </si>
  <si>
    <t>Attended internal reviews with Creative, Production &amp; Business teams</t>
  </si>
  <si>
    <t>Attended meeting for final review/approval of spot</t>
  </si>
  <si>
    <t>Attended meeting for obtaining and submitting legal clearance and substantiation</t>
  </si>
  <si>
    <t>Coordinated all client meetings and reviews/approvals</t>
  </si>
  <si>
    <t>Ensure edit specifications were met for color grading/correction, compositing &amp; finishing of spots</t>
  </si>
  <si>
    <t>Ensure quality of production outputs prior to client review</t>
  </si>
  <si>
    <t>Ensured audio/music specifications were met</t>
  </si>
  <si>
    <t>Ensured spot deliverables met timeline for client review</t>
  </si>
  <si>
    <t>Obtaining and submitting legal clearance and substantiation</t>
  </si>
  <si>
    <t>Presented client with rough cut of spots, noted client revisions &amp; communicated revisions Art Team</t>
  </si>
  <si>
    <t>Scheduled client review for voice over talent casting</t>
  </si>
  <si>
    <t>Scheduled meeting with client, producers &amp; account team for final review/approval of spot</t>
  </si>
  <si>
    <t>Supervised  internal agency Art Team on all editorial services</t>
  </si>
  <si>
    <t>Supervised assembly of all versions of final broadcast, programmatic online video &amp; social media spots for client review</t>
  </si>
  <si>
    <t>Supervised assembly of final spots, and all versioning of spots for client review</t>
  </si>
  <si>
    <t>Supervised designers on all post production</t>
  </si>
  <si>
    <t>Worked with internal agency team to manage budget expectations</t>
  </si>
  <si>
    <t>Worked with Producer &amp; Lead Creative Teams to supervise designers/editors on all post production</t>
  </si>
  <si>
    <t xml:space="preserve">Worked with Producer &amp; Lead Creative Teams to supervise music selection, sound design/mixing &amp; recording of all voice over sessions </t>
  </si>
  <si>
    <t>Attended talent casting auditions &amp; callbacks</t>
  </si>
  <si>
    <t xml:space="preserve">Coordinated schedules of internal agency meeting for talent &amp; backups </t>
  </si>
  <si>
    <t>Coordinated with client on availability for meetings &amp; schedule during shoot</t>
  </si>
  <si>
    <t>Coordinated with internal agency on scheduling meeting for production budget &amp; timeline review</t>
  </si>
  <si>
    <t>Danielle presented client and cost consultant with agency estimate for approval</t>
  </si>
  <si>
    <t>Direct to client contact that manages agency teams to ensure success and client sign</t>
  </si>
  <si>
    <t>Ensured client had signed off on all shoot</t>
  </si>
  <si>
    <t>Evaluated terms of all production, audio/music, post/visual effects, casting &amp; editorial bids</t>
  </si>
  <si>
    <t>Helped ensure that client signed off on all production elements</t>
  </si>
  <si>
    <t>Met with internal agency team &amp; communicated updates on production from client</t>
  </si>
  <si>
    <t>Presented client with agency estimate for approval</t>
  </si>
  <si>
    <t>Provided client feedback on approved estimate &amp; production timeline to internal agency production team</t>
  </si>
  <si>
    <t>Regularly met with clients &amp; communicated updates on production prep</t>
  </si>
  <si>
    <t>Reviewed talent demo reels provided by the casting director to determine potential talent selects that would attend auditions</t>
  </si>
  <si>
    <t>Submitted client approved estimate to agency production and finance teams to begin invoicing &amp; budget management</t>
  </si>
  <si>
    <t>Worked with client on paperwork that needed client’s approvals</t>
  </si>
  <si>
    <t>Worked with client on paperwork that needed client’s approvals including product substantiation, background checks &amp; legal documents</t>
  </si>
  <si>
    <t>Worked with internal agency on creation of contracts for talent for legal to review</t>
  </si>
  <si>
    <t>Worked with internal agency team</t>
  </si>
  <si>
    <t>Worked with internal agency team on finalization of budgets</t>
  </si>
  <si>
    <t>Worked with Producer &amp; Creative Teams on specifications for shoot locations, set design, cast, props &amp; wardrobe selections</t>
  </si>
  <si>
    <t>Works with agency teams and client on production requirements and budgets.</t>
  </si>
  <si>
    <t>Attended Prelight &amp; Shoot as main contact for client</t>
  </si>
  <si>
    <t>Attended shoot as client liaison for production company, Producer and Creative Team</t>
  </si>
  <si>
    <t>Attends production shoots as client liaison for production company and creative teams</t>
  </si>
  <si>
    <t>Day Shoot as client liaison between Producer &amp; Creative Teams &amp; Production Company</t>
  </si>
  <si>
    <t>Interfaced with agency team and clients to sign off on production items</t>
  </si>
  <si>
    <t>Interfaced with clients to sign off on production items for shoot</t>
  </si>
  <si>
    <t>Interfaced with production company and clients to sign off on production items for shoot</t>
  </si>
  <si>
    <t>Kept shoot on schedule and within budget</t>
  </si>
  <si>
    <t>Liaison between client, Production Company &amp; Producer</t>
  </si>
  <si>
    <t>Obtained clients' approval for last minute changes</t>
  </si>
  <si>
    <t>Was direct partner on set with client to ensure footage captured was based on approved storyboards &amp; met the client’s needs</t>
  </si>
  <si>
    <t>Animation Dir</t>
  </si>
  <si>
    <t>Directed the style of animation use</t>
  </si>
  <si>
    <t>Reviewed and approved version of spots</t>
  </si>
  <si>
    <t>Art Director</t>
  </si>
  <si>
    <t>Attended all client reviews along with Account Team</t>
  </si>
  <si>
    <t>Attended internal agency reviews regarding edits</t>
  </si>
  <si>
    <t>Ensured edit specifications were met</t>
  </si>
  <si>
    <t>Managed internal agency Art Team on design, layout and creation of graphic supers on all versions of cinemagraphs/spots</t>
  </si>
  <si>
    <t>Presented client with rough cut of spots, noted client revisions &amp; communicated revisions to internal agency Art Team</t>
  </si>
  <si>
    <t>Supervised editors on all post production</t>
  </si>
  <si>
    <t>Supervised internal agency Art Team on all editorial services</t>
  </si>
  <si>
    <t>Worked on all finishing services including color grading/correction, compositing &amp; finishing of spots</t>
  </si>
  <si>
    <t>Worked on design, layout and creation of graphic supers on all versions of broadcast</t>
  </si>
  <si>
    <t>Worked on design, layout and creation of graphic supers on all versions of cinemagraphs/spots</t>
  </si>
  <si>
    <t>Worked on timing of visual &amp; graphic supers to ensure they were aligned in all versions of broadcast &amp; social media spots</t>
  </si>
  <si>
    <t>Worked on timing of visual &amp; graphic supers to ensure they were aligned in all versions of cinemagraphs/spots</t>
  </si>
  <si>
    <t>Worked with designers on all post production</t>
  </si>
  <si>
    <t>Worked with editors on all finishing services including color correction/grading, compositing &amp; finishing for all versions of broadcast &amp; social media spots</t>
  </si>
  <si>
    <t>Worked with internal agency Art Team to ensure timing of visual &amp; graphic supers were aligned in all versions of cinemagraphs/spots</t>
  </si>
  <si>
    <t>Attended all meetings with production company regarding shoot prep &amp; pre-production meetings with clients prior to shoot</t>
  </si>
  <si>
    <t>Created artwork for prepro book that included images/art references for props &amp; set dressing, wardrobe and stylings</t>
  </si>
  <si>
    <t>Created artwork for shot list &amp; Pre-Pro Book</t>
  </si>
  <si>
    <t>Was part of Creative Team that attended all pre-production meetings with internal agency teams</t>
  </si>
  <si>
    <t>Was part of Creative Team that attended pre-production meetings with internal agency teams regarding shoot prep</t>
  </si>
  <si>
    <t>Was part of Creative Team that supervised production company with preproduction prep</t>
  </si>
  <si>
    <t>Worked with internal agency members on artwork specifications for shot list/prepro book</t>
  </si>
  <si>
    <t>Approved set design, lighting &amp; product/props prior to shooting</t>
  </si>
  <si>
    <t>Approved wardrobe, hair &amp; makeup for celebrity &amp; on camera talent prior to shooting</t>
  </si>
  <si>
    <t>Attended Prelight &amp; Shoot that led all creative decisions, visual and copy aspects throughout production</t>
  </si>
  <si>
    <t>Attended Prelight, Wardrobe Fitting Session and Shoot</t>
  </si>
  <si>
    <t>Attended shoot day and part of doing creative decisions, visual and copy aspects throughout production</t>
  </si>
  <si>
    <t>Ensured client, agency teams &amp; production company were aligned with production decisions</t>
  </si>
  <si>
    <t>Managed production workflow to ensure all footage captured was based on storyboards/scripts</t>
  </si>
  <si>
    <t>Part of Creative Team that led all creative decisions, visual and copy aspects throughout shoot</t>
  </si>
  <si>
    <t>Was part of Creative Team that worked with the director &amp; line producer on set direction, lighting &amp; props</t>
  </si>
  <si>
    <t>Worked with Producers on managing production workflow to ensure all footage captured was based on storyboards/scripts</t>
  </si>
  <si>
    <t>Worked with Producers to ensure client, agency teams &amp; production company were aligned with production decisions</t>
  </si>
  <si>
    <t>Worked with Producers, Director &amp; Line Producer on set direction, lighting &amp; props</t>
  </si>
  <si>
    <t>Yi was part of Creative Team that worked with Chloe Micek (Acct Supervisor), director &amp; line producer on set direction, lighting &amp; props</t>
  </si>
  <si>
    <t>Assistant Program Mgr</t>
  </si>
  <si>
    <t>Assisted in the organization and management of post-production schedules, ensuring timely completion of editing and revisions.</t>
  </si>
  <si>
    <t>Collaborated with the editing team to gather and catalog raw footage, ensuring all necessary clips were available for review.</t>
  </si>
  <si>
    <t>Facilitated communication between the creative team and clients to gather feedback on the initial cut of the commercial.</t>
  </si>
  <si>
    <t>Maintained a project tracking system to monitor the status of edits, visual effects, and sound design, ensuring deadlines were met.</t>
  </si>
  <si>
    <t>Prepared final project deliverables for client review and distribution, ensuring all materials were formatted according to specifications.</t>
  </si>
  <si>
    <t>Assisted in coordinating project timelines and schedules, ensuring that all pre-production activities were completed on time.</t>
  </si>
  <si>
    <t>Collaborated with the program manager to prepare and distribute project briefs that outlined objectives and deliverables to the creative team.</t>
  </si>
  <si>
    <t>Conducted research to identify potential production vendors and facilitated initial outreach for quotes and availability.</t>
  </si>
  <si>
    <t>Organized and maintained project documentation, including contracts, scripts, and meeting notes, to ensure all stakeholders had access to relevant information.</t>
  </si>
  <si>
    <t>Participated in brainstorming sessions with the creative team to contribute ideas and feedback on concepts and strategies for the commercial.</t>
  </si>
  <si>
    <t>Assisted in coordinating logistics for the shoot, including location scouting, transportation arrangements, and catering services.</t>
  </si>
  <si>
    <t>Communicated with crew members to relay important updates and ensure that everyone was aligned on the production goals.</t>
  </si>
  <si>
    <t>Helped manage on-site supplies and resources, ensuring that all materials were available and ready for use during the shoot.</t>
  </si>
  <si>
    <t>Monitored the progress of the shoot, documenting any changes to the schedule or script to keep the project on track.</t>
  </si>
  <si>
    <t>Supported the production team by tracking daily schedules and ensuring that all necessary equipment and personnel were present on set.</t>
  </si>
  <si>
    <t>Assistant Video Editor</t>
  </si>
  <si>
    <t>Applied basic transitions, effects, and color adjustments to rough edits before passing them on for final refinement.</t>
  </si>
  <si>
    <t>Assembled initial rough cuts based on the creative direction provided by the lead editor and director.</t>
  </si>
  <si>
    <t>Exported finalized video files in the required formats, ensuring they met technical specifications for various platforms and distribution channels.</t>
  </si>
  <si>
    <t>Reviewed final edits to ensure technical quality, including correct resolution, frame rate, and audio levels.</t>
  </si>
  <si>
    <t>Synced, edited, and incorporated audio tracks, including dialogue, sound effects, and background music, into the video timeline.</t>
  </si>
  <si>
    <t>Assisted the post-production supervisor in preparing editing software, templates, and workflows for the upcoming project.</t>
  </si>
  <si>
    <t>Collaborated with the production team to understand the creative brief and ensure all assets were aligned with the project’s goals.</t>
  </si>
  <si>
    <t>Coordinated with the camera and sound teams to ensure proper syncing of video and audio files for smooth post-production.</t>
  </si>
  <si>
    <t>Organized and managed media files, ensuring all footage was properly logged and stored for easy access during the editing phase.</t>
  </si>
  <si>
    <t>Set up file structures and backup systems to ensure the safe storage of all raw footage and media files.</t>
  </si>
  <si>
    <t>Assisted the director and lead editor on set by organizing shot lists and tracking takes for later editing.</t>
  </si>
  <si>
    <t>Downloaded and organized daily footage from the shoot, ensuring all files were backed up and properly labeled.</t>
  </si>
  <si>
    <t>Monitored video quality for any issues such as exposure, focus, or audio sync, and flagged any necessary reshoots to the production team.</t>
  </si>
  <si>
    <t>Provided rough assembly edits of footage to assist the lead editor in reviewing the shoot’s progress.</t>
  </si>
  <si>
    <t>Synced audio and video files, preparing them for the editing process to ensure smooth integration into the final cut.</t>
  </si>
  <si>
    <t>Assoc Bus Affairs Mgr</t>
  </si>
  <si>
    <t>Compiled a comprehensive report on production costs and any variances from the budget, presenting findings to stakeholders.</t>
  </si>
  <si>
    <t>Coordinated with legal counsel to finalize agreements related to music licensing and any other outstanding rights issues.</t>
  </si>
  <si>
    <t>Facilitated the approval process for the commercial's distribution by ensuring all necessary documentation was completed and submitted.</t>
  </si>
  <si>
    <t>Organized and maintained all project files, including contracts, agreements, and correspondence, for future reference and audits.</t>
  </si>
  <si>
    <t>Reviewed final cut of the commercial to ensure all contractual obligations regarding talent and materials were satisfied before release.</t>
  </si>
  <si>
    <t>Collaborated with the finance team to establish the production budget, ensuring all costs were accurately projected and aligned with the overall campaign strategy.</t>
  </si>
  <si>
    <t>Conducted rights clearances for all script elements, including music, images, and brand references, to mitigate legal risks.</t>
  </si>
  <si>
    <t>Coordinated with the creative team to secure necessary permits and licenses for shooting locations, ensuring all legal requirements were met.</t>
  </si>
  <si>
    <t>Developed detailed production schedules that outlined key milestones and deadlines for deliverables throughout the project lifecycle.</t>
  </si>
  <si>
    <t>Reviewed and negotiated contracts with talent and production companies to ensure compliance with legal and budgetary guidelines.</t>
  </si>
  <si>
    <t>Assisted in the documentation of production expenses to ensure accurate reporting and accountability for the project budget.</t>
  </si>
  <si>
    <t>Facilitated communication between the production team and external vendors, resolving any contractual issues that arose during filming.</t>
  </si>
  <si>
    <t>Managed any unexpected legal issues that occurred on set, providing immediate solutions to ensure the production timeline was maintained.</t>
  </si>
  <si>
    <t>Monitored production activities to ensure adherence to contractual obligations and compliance with industry regulations.</t>
  </si>
  <si>
    <t>Reviewed call sheets and daily production reports to verify that all contractual terms were being upheld by involved parties.</t>
  </si>
  <si>
    <t>Assoc Creative Dir</t>
  </si>
  <si>
    <t>Managed internal agency on design, layout and creation of graphic supers on all versions of cinemagraphs/spots</t>
  </si>
  <si>
    <t>Part of Creative Team that ensured edit specifications were met</t>
  </si>
  <si>
    <t>Part of Creative Team that worked with internal agency to ensure timing of visual &amp; graphic supers were aligned in all versions of cinemagraphs/spots</t>
  </si>
  <si>
    <t>Presented client with rough cut of spots, noted client revisions &amp; communicated revisions to internal agency team</t>
  </si>
  <si>
    <t>Supervised  internal agency on all editorial services including edits of graphics/titles/end cards &amp; finishing of cinemagraphs/spots</t>
  </si>
  <si>
    <t>Along with client, has final approval on all setups and shot completion.</t>
  </si>
  <si>
    <t>Attended preproduction meetings with internal agency teams</t>
  </si>
  <si>
    <t>Ensured client, agency and vendors are aligned with the production decisions.</t>
  </si>
  <si>
    <t>Led creative decisions &amp; visual or copy aspects throughout production.</t>
  </si>
  <si>
    <t>Led director, talent, location search with creative team and producer.</t>
  </si>
  <si>
    <t>Managed shoot/production to ensure creative follows storyboards.</t>
  </si>
  <si>
    <t>Oversaw creative team that executes the approved creative.</t>
  </si>
  <si>
    <t>Presented director/talent/location options and any other items from preproduction book to client for review/approval Manage teams of creatives.</t>
  </si>
  <si>
    <t>Ensure client, agency teams &amp; production company were aligned with production decisions</t>
  </si>
  <si>
    <t xml:space="preserve">Part of Creative Team that worked on set direction, lighting &amp; props </t>
  </si>
  <si>
    <t>Assoc Dir, Bus Affairs</t>
  </si>
  <si>
    <t>Approve and facilitate invoice approvals and payment.</t>
  </si>
  <si>
    <t>Approve production related vendor invoices before submitting to finance.</t>
  </si>
  <si>
    <t>Approved vendor invoices &amp; sent to Accounting Dept for payment</t>
  </si>
  <si>
    <t>Ensured all job files were complete with all requisite production paperwork</t>
  </si>
  <si>
    <t>Ensured all job files were complete with all the necessary production paperwork</t>
  </si>
  <si>
    <t>Finalized costs and closed out job</t>
  </si>
  <si>
    <t>Manage talent payment, residual projections, and contract renewals when necessary.</t>
  </si>
  <si>
    <t>Revise estimates as necessary to report additional costs and/or overages.</t>
  </si>
  <si>
    <t>Set up new vendors. Issue vendor purchase orders.</t>
  </si>
  <si>
    <t>Update and process overages with producer.</t>
  </si>
  <si>
    <t>Worked closely with the Production Company to ensure specifications were met</t>
  </si>
  <si>
    <t>Liaison between client, agency, and production company regarding the components of production</t>
  </si>
  <si>
    <t>Oversight of the hiring process for vendors</t>
  </si>
  <si>
    <t>Prepared production budget &amp; timeline for spot deliverables for client review</t>
  </si>
  <si>
    <t>Prepared specifications for all vendors</t>
  </si>
  <si>
    <t>Assoc Dir, Business Affairs</t>
  </si>
  <si>
    <t>Approve post production related vendor invoices before submitting to finance.</t>
  </si>
  <si>
    <t>Managed all payments of contracted vendors</t>
  </si>
  <si>
    <t>Reviewed all versions of spots</t>
  </si>
  <si>
    <t>Scheduled &amp; attended all meetings with client &amp; producer</t>
  </si>
  <si>
    <t>Negotiated terms of all bids</t>
  </si>
  <si>
    <t>Oversaw the hiring process for all vendors</t>
  </si>
  <si>
    <t>Prepared budget &amp; timeline for spot deliverables &amp; obtained approvals from client</t>
  </si>
  <si>
    <t>Prepared contracts</t>
  </si>
  <si>
    <t>Assoc Dir, Exec Prod</t>
  </si>
  <si>
    <t>Attended all internal and client reviews and coordinated final client approval of spots</t>
  </si>
  <si>
    <t>Ensure all job files were complete with all requisite production paperwork</t>
  </si>
  <si>
    <t>Ensure editorial specifications were met</t>
  </si>
  <si>
    <t>Ensure post specifications were met</t>
  </si>
  <si>
    <t>Ensure post specifications were met for color grading, 2D motion graphics, VFX compositing &amp; VFX rig removal for all spots</t>
  </si>
  <si>
    <t>Ensured music specifications were met</t>
  </si>
  <si>
    <t>Issued sessions and final cast reports</t>
  </si>
  <si>
    <t>Made sure hard drives of shoot footage were delivered to editors &amp; briefed editors on shoot details</t>
  </si>
  <si>
    <t>Presented client with rough cut of spots, noted client revisions &amp; communicated revisions to Editorial Company</t>
  </si>
  <si>
    <t>Supervised designers on all post production &amp; edits including sound design, graphics &amp; finishing of spots</t>
  </si>
  <si>
    <t>Supervised editors on edits &amp; finishing of spots</t>
  </si>
  <si>
    <t>Supervised mixing of audio, footage edits and all versioning of spots, including assembly of final spots for client review</t>
  </si>
  <si>
    <t>Supervised music production</t>
  </si>
  <si>
    <t xml:space="preserve">Supervised sound design/mixing with audio engineer </t>
  </si>
  <si>
    <t>Worked closely with audio engineer to ensure audio specifications were met</t>
  </si>
  <si>
    <t>Engaged producers and production companies based on approved storyboards &amp; job specifications</t>
  </si>
  <si>
    <t>Ensure that no unecessary costs have been added to the estimate, that all mark up costs on production estimates have the correct percentage based on the client's bid specifications and timely signing of all budgets/estimates</t>
  </si>
  <si>
    <t>Liaison between client, agency, and production companies regarding all components of production</t>
  </si>
  <si>
    <t>Oversight of the hiring process for all vendors including production/animation, music, audio &amp; edit vendors</t>
  </si>
  <si>
    <t>Prepare production budget &amp; timeline for spot deliverables for cost consultant &amp; client review</t>
  </si>
  <si>
    <t>Prepared job specifications for production company and music, audio &amp; edit vendors</t>
  </si>
  <si>
    <t>Worked on production/shooting schedules</t>
  </si>
  <si>
    <t>Acted as gatekeeper during shoot to ensure client, agency &amp; production/animation company were aligned with production decisions</t>
  </si>
  <si>
    <t>Managed production workflow to ensure VFX footage was captured based on storyboards/scripts</t>
  </si>
  <si>
    <t>Obtained clients approval for last minute changes in artwork</t>
  </si>
  <si>
    <t>Responsible for keeping production on time and within budget</t>
  </si>
  <si>
    <t>Assoc Dir, Proj Mgt</t>
  </si>
  <si>
    <t>Maintained group calendars and scheduled &amp; attended postproduction hours for all agency personnel</t>
  </si>
  <si>
    <t>Responsible for product substantiation &amp; for obtaining and submitting legal clearance</t>
  </si>
  <si>
    <t>Reviewed and finalized costs and closed out the job</t>
  </si>
  <si>
    <t>Reviewed versions of spots to resolve legal clearance issues to ensure all footage was cleared for use</t>
  </si>
  <si>
    <t>Tracked post production hours for all agency personnel</t>
  </si>
  <si>
    <t>Added client review/meeting dates to group calendars to ensure timelines were met</t>
  </si>
  <si>
    <t>Established group calendars and scheduled &amp; attended internal agency meetings</t>
  </si>
  <si>
    <t>Reviewed agency personnel hours that worked on the job during preproduction</t>
  </si>
  <si>
    <t>Reviewed bids &amp; agency estimates for accuracy prior to sending to client for approval</t>
  </si>
  <si>
    <t>Was involved in researching legal clearance issues to ensure all potential spot contents were cleared for use</t>
  </si>
  <si>
    <t>Tracked production/shoot hours for all agency personnel to ensure hours were within range for the project based on client specifications</t>
  </si>
  <si>
    <t>Worked closely across all agency teams to help ensure successful production completion (on time &amp; within budget)</t>
  </si>
  <si>
    <t>Assoc Dir, Sr Prod</t>
  </si>
  <si>
    <t>Actualize and closed out job</t>
  </si>
  <si>
    <t>Approved vendor invoices &amp; sent to Accounting Dept for payment.</t>
  </si>
  <si>
    <t>Attended internal and client reviews and coordinated final client approval of spots</t>
  </si>
  <si>
    <t>Ensured all job files were complete with all requisite production paperwork.</t>
  </si>
  <si>
    <t>Ensured post production &amp; edit specifications were met</t>
  </si>
  <si>
    <t xml:space="preserve">Ensured spots ship. </t>
  </si>
  <si>
    <t>Finalized costs and closed out job.</t>
  </si>
  <si>
    <t>Finalized costs, overages, job, actuals, etc.</t>
  </si>
  <si>
    <t>License music search with audio engineer.</t>
  </si>
  <si>
    <t>Made sure hard drives of shoot footage were delivered to  &amp; briefed editors on shoot details</t>
  </si>
  <si>
    <t>Oversaw post production edits.</t>
  </si>
  <si>
    <t>Oversees all post production edits and additional asset creation.</t>
  </si>
  <si>
    <t>Presented client with rough cut of spots and noted client revisions</t>
  </si>
  <si>
    <t>Responsible for making air dates and obtaining legal clearance when needed.</t>
  </si>
  <si>
    <t>Responsible for scheduling and ensuring agency and clients meet client or post house approval deadlines.</t>
  </si>
  <si>
    <t>Reviewed and ensured post production &amp; edit specifications were met</t>
  </si>
  <si>
    <t>Reviewed clean up of film and additional fixes to final picture</t>
  </si>
  <si>
    <t>Reviewedl AD ID's and versions, legal on spots, etc.</t>
  </si>
  <si>
    <t>Supervised additional asset creation</t>
  </si>
  <si>
    <t>Supervised additional asset creation (sound design and graphics)</t>
  </si>
  <si>
    <t>Supervised final color and grading of film.</t>
  </si>
  <si>
    <t>Supervised final edits/assembly of final spots, and all versioning of spots.</t>
  </si>
  <si>
    <t>Supervised final mixing of audio.</t>
  </si>
  <si>
    <t>Supervised mixing of audio, footage edits &amp; assembly of final spots, and all versioning of spots for client review</t>
  </si>
  <si>
    <t>Supervises final color and grading of film.</t>
  </si>
  <si>
    <t>Supervises final mixing of audio.</t>
  </si>
  <si>
    <t>Uploaded assets to media company.</t>
  </si>
  <si>
    <t>Worked on sounds design with creative team and audio engineer.</t>
  </si>
  <si>
    <t>Worked to ensure spot deliverables met timeline for client review</t>
  </si>
  <si>
    <t>Worked with audio engineer, records rough scratch tracks.</t>
  </si>
  <si>
    <t>Worked with editor on edits and versions with creative team.</t>
  </si>
  <si>
    <t>Worked with music company and composers on music tracks.</t>
  </si>
  <si>
    <t>Works on sounds design with creative team and audio engineer.</t>
  </si>
  <si>
    <t>Works with audio engineer, records rough scratch tracks.</t>
  </si>
  <si>
    <t>Works with editor on a daily basis.</t>
  </si>
  <si>
    <t>Works with music company and composers on music tracks.</t>
  </si>
  <si>
    <t>Attended all pre production meetings with internal agency teams</t>
  </si>
  <si>
    <t>Attended casting sessions &amp; selected talent for client's approval</t>
  </si>
  <si>
    <t>Created budgets</t>
  </si>
  <si>
    <t>Engaged directors, production companies &amp; vendors for job based on approved storyboards</t>
  </si>
  <si>
    <t>Liaison between client, agency team and production companies regarding all components of production</t>
  </si>
  <si>
    <t>Liaison between client, agency, and production companies regarding all components of production including shoot location, cast &amp; wardrobe selections</t>
  </si>
  <si>
    <t>Oversaw the creation of production/shooting schedules</t>
  </si>
  <si>
    <t>Oversight of creation of production/shooting schedules</t>
  </si>
  <si>
    <t>Runs pre pro meeting and approves final preproduction book</t>
  </si>
  <si>
    <t>Assoc Dir/Rights Mgr</t>
  </si>
  <si>
    <t>Assisted in tracking talent usage for finalized spots</t>
  </si>
  <si>
    <t>Created budgets and timelines to ensure production comes in on time and on target</t>
  </si>
  <si>
    <t>Manage production workflow to ensure creative is captured</t>
  </si>
  <si>
    <t>Assoc Motion Designer</t>
  </si>
  <si>
    <t>Assisted in preparing the final project files for archiving and documentation.</t>
  </si>
  <si>
    <t>Compiled a portfolio piece showcasing the work completed on the commercial for future reference.</t>
  </si>
  <si>
    <t>Created promotional graphics and social media assets derived from the commercial animations.</t>
  </si>
  <si>
    <t>Made necessary adjustments to animations based on director feedback after the initial screening.</t>
  </si>
  <si>
    <t>Reviewed the final cut of the commercial to ensure all animations were correctly implemented.</t>
  </si>
  <si>
    <t>Assisted in creating mood boards to visualize the desired aesthetic and tone of the commercial.</t>
  </si>
  <si>
    <t>Collaborated with the creative team to conceptualize and develop storyboards for the commercial.</t>
  </si>
  <si>
    <t>Participated in team meetings to discuss project timelines and deliverables.</t>
  </si>
  <si>
    <t>Prepared asset lists based on the storyboard for the animation production phase.</t>
  </si>
  <si>
    <t>Researched design trends and gathered reference materials to inform the animation style.</t>
  </si>
  <si>
    <t>Assisted in setting up and managing project files within the animation software.</t>
  </si>
  <si>
    <t>Collaborated with other designers and animators to refine animations and ensure consistency.</t>
  </si>
  <si>
    <t>Developed animated graphics and visual effects according to the approved storyboard.</t>
  </si>
  <si>
    <t>Exported and delivered animation files to the production team for integration into the final edit.</t>
  </si>
  <si>
    <t>Implemented feedback from the lead designer during the animation review process.</t>
  </si>
  <si>
    <t>Assoc Program Dir, Content &amp; Packaging</t>
  </si>
  <si>
    <t>Collaborated with editors to provide feedback on pacing, transitions, and overall narrative structure of the commercial.</t>
  </si>
  <si>
    <t>Conducted post-mortem evaluations with the team to analyze project outcomes and identify areas for improvement in future productions.</t>
  </si>
  <si>
    <t>Ensured all assets, including video files and production notes, were archived and organized for future use and reference.</t>
  </si>
  <si>
    <t>Prepared presentation materials for client review, highlighting key elements of the commercial and rationales for creative choices made.</t>
  </si>
  <si>
    <t>Reviewed edited content to ensure alignment with the original creative vision and adherence to client specifications before final approval.</t>
  </si>
  <si>
    <t>Assisted in the selection of production vendors and resources, evaluating proposals to ensure quality and cost-effectiveness.</t>
  </si>
  <si>
    <t>Collaborated with the creative team to develop the initial concept and narrative for the commercial, aligning it with client goals and target audience insights.</t>
  </si>
  <si>
    <t>Conducted research on competitive content and market trends to inform creative direction and enhance the commercial’s impact.</t>
  </si>
  <si>
    <t>Coordinated with stakeholders to establish project timelines and deliverables, ensuring all parties were aligned on expectations and deadlines.</t>
  </si>
  <si>
    <t>Created content briefs that outlined key messages, target demographics, and branding guidelines to inform the production process.</t>
  </si>
  <si>
    <t>Coordinated logistics for talent, crew, and equipment on set, ensuring all necessary resources were in place for a smooth production process.</t>
  </si>
  <si>
    <t>Documented production notes and feedback during filming sessions to inform post-production editing and revisions.</t>
  </si>
  <si>
    <t>Managed communication between the production crew and client representatives, ensuring transparency and timely updates on project progress.</t>
  </si>
  <si>
    <t>Oversaw daily production activities to ensure adherence to the established schedule and quality standards, facilitating problem-solving as needed.</t>
  </si>
  <si>
    <t>Worked closely with the director and cinematographer to provide guidance on content alignment and adherence to the creative vision during filming.</t>
  </si>
  <si>
    <t>Associate Creative Director</t>
  </si>
  <si>
    <t>Addresses client revisions.</t>
  </si>
  <si>
    <t>Approves music search with audio engineer.</t>
  </si>
  <si>
    <t>Reviews clean up of film and additional fixes to final picture.</t>
  </si>
  <si>
    <t>Supervises creative team and audio engineer, records rough scratch tracks.</t>
  </si>
  <si>
    <t>Supervises creative team with edits and versions.</t>
  </si>
  <si>
    <t>Presents examples of art direction for locations.</t>
  </si>
  <si>
    <t>Attends shoot and communicates on set with agency team, and with clients.</t>
  </si>
  <si>
    <t>Ensures client, agency and vendors are aligned with the production decisions.</t>
  </si>
  <si>
    <t>Manages shoot/production to ensure creative follows storyboards.</t>
  </si>
  <si>
    <t>Associate Creative Director, Art Director</t>
  </si>
  <si>
    <t>Approved all post production edits and additional asset creation</t>
  </si>
  <si>
    <t>Approved music search with audio engineer.</t>
  </si>
  <si>
    <t>Oversaw all post production edits and additional asset creation</t>
  </si>
  <si>
    <t>Reviews clean up of film and additional fixes to final picture</t>
  </si>
  <si>
    <t>Supervises final color and grading of picture.</t>
  </si>
  <si>
    <t>Supervises final edits/assembly of final spots, and all versioning of spots.</t>
  </si>
  <si>
    <t>Works with creative team and animators on graphics/titles/end cards/mnemonics.</t>
  </si>
  <si>
    <t>Assists with director, talent, location search within creative team and producer.</t>
  </si>
  <si>
    <t>Cleans up and/or approves packaging files for product</t>
  </si>
  <si>
    <t>Leads all creative decisions &amp; visual or copy aspects throughout production.</t>
  </si>
  <si>
    <t>Leads director, talent, location search with creative team and producer.</t>
  </si>
  <si>
    <t>Manage teams of creatives.</t>
  </si>
  <si>
    <t>Oversees creative team that executes the approved creative.</t>
  </si>
  <si>
    <t>Present director/talent/location options and any other items from preproduction book to client for review/approval</t>
  </si>
  <si>
    <t>Present examples of art direction for locations</t>
  </si>
  <si>
    <t>Along with client, has final approval on set</t>
  </si>
  <si>
    <t>Communicates on set with agency team, and with clients.</t>
  </si>
  <si>
    <t>Ensured creative followed storyboards.</t>
  </si>
  <si>
    <t>Ensures all shots are captured on set.</t>
  </si>
  <si>
    <t>Associate Director, Business Affairs</t>
  </si>
  <si>
    <t>Issued vendor purchase orders.</t>
  </si>
  <si>
    <t>Set up new vendors.</t>
  </si>
  <si>
    <t>Oversaw the hiring process for all vendors including production, music, audio &amp; edit vendors</t>
  </si>
  <si>
    <t>Prepared specifications for all vendors including production company, music, audio &amp; edit vendors</t>
  </si>
  <si>
    <t>Associate Director, Senior Producer</t>
  </si>
  <si>
    <t>Faciliates VO talent contracts, and signs.</t>
  </si>
  <si>
    <t>May do license music search with audio engineer.</t>
  </si>
  <si>
    <t>Oversees all post production edits and additional asset creation</t>
  </si>
  <si>
    <t>Worked with editor on a daily basis on edits and versions with creative team.</t>
  </si>
  <si>
    <t>Liaison between client, creative team, agency team and production companies regarding all components of production including production budget, shoot location, set design &amp; prop selections</t>
  </si>
  <si>
    <t>Runs pre pro meeting and approves final pre production book</t>
  </si>
  <si>
    <t>Asst Account Exec</t>
  </si>
  <si>
    <t>Attended all internal reviews with creative/production teams and coordinated client meetings and reviews/approvals</t>
  </si>
  <si>
    <t>Captured client feedback and relayed to internal teams</t>
  </si>
  <si>
    <t>Communicated status with internal teams including agency leadership</t>
  </si>
  <si>
    <t>Managed account team that coordinates with client for approval of post production shoot footage and final edits</t>
  </si>
  <si>
    <t>Obtained and submited legal clearance and substantiation</t>
  </si>
  <si>
    <t>Obtained final approval on spot(s) prior to shipping</t>
  </si>
  <si>
    <t>Oversaw quality of production outputs prior to client review</t>
  </si>
  <si>
    <t>Asst Account Executive</t>
  </si>
  <si>
    <t>Was part of Account Team that worked to actualize and close out production job within budget</t>
  </si>
  <si>
    <t>Was part of team responsible for obtaining and submitting legal clearance</t>
  </si>
  <si>
    <t>Was part of the Account Team that coordinated all client meetings for job updates &amp; reviews/approvals</t>
  </si>
  <si>
    <t>Was part of the Account Team that managed budgets &amp; ensured all invoices and payments had been made on the project</t>
  </si>
  <si>
    <t>Was part of the Account Team that supervised designers/editors on post production &amp; editorial services</t>
  </si>
  <si>
    <t>Was part of the Account Team that was responsible for capturing all client feedback and relaying it to internal teams</t>
  </si>
  <si>
    <t>Worked closely with Creative Team to ensure edit specifications were met</t>
  </si>
  <si>
    <t>Worked closely with Creative Team to ensure post production specifications were met</t>
  </si>
  <si>
    <t>Worked with agency teams &amp; Editorial Company to ensure spot deliverables met timeline for client review</t>
  </si>
  <si>
    <t>Attended internal agency meetings for production budget &amp; timeline review prior to submitting to client</t>
  </si>
  <si>
    <t>Ensured client signed off on all production items prior to shoot including set design, props, insurance documents &amp; prepro book</t>
  </si>
  <si>
    <t>Was part of Account Team that regularly met with clients &amp; communicated updates on production prep</t>
  </si>
  <si>
    <t>Was part of Account Team that worked with Producer &amp; Creative Teams on specifications for shoot locations, set design, cast, props &amp; wardrobe selections</t>
  </si>
  <si>
    <t>Was part of Account Team that worked with Producer and Creative &amp; Business Affairs Teams to provide overview of job specifications for all vendors based on discussions with client</t>
  </si>
  <si>
    <t>Was part of Account Team that regularly met with internal agency team &amp; communicated updates/feedback on production from client</t>
  </si>
  <si>
    <t>Was part of Account Team that worked with client &amp; agency teams regarding all components of production including production budget, shoot locations, set design, cast, props &amp; wardrobe selections</t>
  </si>
  <si>
    <t>Was part of the Account Team that acted as client liaison between Producer &amp; Creative Teams &amp; Production Company</t>
  </si>
  <si>
    <t>Was part of the Account Team that was a direct partner on set with client to ensure footage captured was based on approved storyboards &amp; met the client’s needs</t>
  </si>
  <si>
    <t>Was part of the Account Team that worked with agency teams to keep shoot on schedule and within budget</t>
  </si>
  <si>
    <t>Asst Acct Exec, Client Leadership</t>
  </si>
  <si>
    <t>Presented client and cost consultant with agency estimate for approval</t>
  </si>
  <si>
    <t>Regularly met with internal agency team &amp; communicated updates on pre production from client</t>
  </si>
  <si>
    <t>Related items prior to shoot including shoot location, set design, &amp; props selection</t>
  </si>
  <si>
    <t>Was the liaison between client and the Production Company</t>
  </si>
  <si>
    <t>Worked on keeping shoot on schedule and within budget</t>
  </si>
  <si>
    <t>Asst Designer</t>
  </si>
  <si>
    <t>Assisted with FX of shoot footage</t>
  </si>
  <si>
    <t>Met with design team regarding design and animation requirements for cinemagraphs/spots</t>
  </si>
  <si>
    <t>Asst Editor</t>
  </si>
  <si>
    <t>Attended internal and client reviews</t>
  </si>
  <si>
    <t>Was part of the team that presented client with rough cut of spots, &amp; noted client revisions</t>
  </si>
  <si>
    <t>Was part of the team that supervised assembly of rough draft of spots for client review</t>
  </si>
  <si>
    <t>Audio Engineer</t>
  </si>
  <si>
    <t>Edited tracks for spots and enhanced quality</t>
  </si>
  <si>
    <t>Set up and tested sound equipments</t>
  </si>
  <si>
    <t>BBA Coordinator</t>
  </si>
  <si>
    <t>Assisted in reviewing versions of spots to ensure rights</t>
  </si>
  <si>
    <t>Issued session and final cast reports</t>
  </si>
  <si>
    <t>Managed items were not captured to avoid potential lawsuits (Included rough cut, revisions &amp; final spots)</t>
  </si>
  <si>
    <t xml:space="preserve">Managed usage payments for talent </t>
  </si>
  <si>
    <t>Brand Designer</t>
  </si>
  <si>
    <t>Collaborated with the sound and editing teams to ensure that brand guidelines were adhered to in all final assets.</t>
  </si>
  <si>
    <t>Delivered final branded assets, including logos and design elements, for inclusion in the finished commercial.</t>
  </si>
  <si>
    <t>Provided feedback on font choices, graphics, and other design elements added during the editing process.</t>
  </si>
  <si>
    <t>Reviewed the final edit to ensure that the overall design and branding were consistent throughout the commercial.</t>
  </si>
  <si>
    <t>Worked with the post-production team to ensure that color grading and visual effects remained true to the brand's visual identity.</t>
  </si>
  <si>
    <t>Collaborated with the creative team to develop visual concepts and brand guidelines for the commercial.</t>
  </si>
  <si>
    <t>Designed initial mockups, storyboards, and mood boards to guide the creative direction of the production.</t>
  </si>
  <si>
    <t>Presented design ideas and brand concepts to the client for approval, ensuring alignment with their vision and brand identity.</t>
  </si>
  <si>
    <t>Provided detailed design briefs to vendors and external teams, ensuring consistency across all pre-production assets.</t>
  </si>
  <si>
    <t>Worked closely with the production team to ensure that set designs, props, and wardrobe choices reflected the brand’s aesthetics.</t>
  </si>
  <si>
    <t>Collaborated with the director and production designer to ensure that every scene captured the intended brand look and feel.</t>
  </si>
  <si>
    <t>Communicated any necessary changes to the design or visual style to the production team during filming.</t>
  </si>
  <si>
    <t>Monitored the use of props, set pieces, and wardrobe to ensure they aligned with the brand’s guidelines.</t>
  </si>
  <si>
    <t>Oversaw the implementation of brand elements on set, ensuring that the commercial adhered to the established visual identity.</t>
  </si>
  <si>
    <t>Provided on-set art direction, offering adjustments to visual elements as needed to maintain brand consistency.</t>
  </si>
  <si>
    <t>Broadcast Support</t>
  </si>
  <si>
    <t>Presented client with rough cut of spots, noted client revisions</t>
  </si>
  <si>
    <t>Broadcast Talent Mgr</t>
  </si>
  <si>
    <t>Ensured all extras contracts/paperwork were signed &amp; executed properly before submitting to paymaster</t>
  </si>
  <si>
    <t>Bus Affairs Mgr</t>
  </si>
  <si>
    <t>Managed all payments of contracted vendors including Production Companies &amp; Post Vendors</t>
  </si>
  <si>
    <t>Reviewed all versions of spots to ensure rights managed items were not captured to avoid potential lawsuits (Included rough cut, revisions &amp; final spots)</t>
  </si>
  <si>
    <t>Scheduled &amp; attended all meetings with client &amp; producer for job updates &amp; to review all versions of spots including Included rough cut, revisions &amp; final spots</t>
  </si>
  <si>
    <t>Scheduled &amp; attended meetings with client &amp; producer for job updates &amp; to review all versions of spots</t>
  </si>
  <si>
    <t>Oversaw the hiring process for all vendors including production, music, and graphic design</t>
  </si>
  <si>
    <t>Ensure schedules were met throughout production so that no overages were incurred without client approval</t>
  </si>
  <si>
    <t>Provide timely updates of production/shoot &amp; noted client feedback</t>
  </si>
  <si>
    <t>Worked with Accounting Dept on schedule of initial payments for production company &amp; other vendors</t>
  </si>
  <si>
    <t>Business Affairs</t>
  </si>
  <si>
    <t>Approved vendor invoices and managed production budget</t>
  </si>
  <si>
    <t>Reviewed spots to ensure rights managed items were not captured to avoid potential lawsuits</t>
  </si>
  <si>
    <t>Worked with Executive Producer to issue session and final cast reports</t>
  </si>
  <si>
    <t>Business Affairs Dir</t>
  </si>
  <si>
    <t>Reviewed production/post expenses to ensure job closed within budget</t>
  </si>
  <si>
    <t>Reviewed revised production budget to report revisions of costs prior to submitting to the client for approval</t>
  </si>
  <si>
    <t>Assisted in evaluating and negotiating terms of production, music, audio &amp; editorial bids</t>
  </si>
  <si>
    <t>Assisted in preparing specifications for vendors including the production company and music, audio &amp; edit vendors</t>
  </si>
  <si>
    <t>Reviewed production budget &amp; timeline for spot deliverables</t>
  </si>
  <si>
    <t>Helped ensure that schedules were met throughout production so that no overages were incurred without client approval</t>
  </si>
  <si>
    <t>Business Affairs Mgr</t>
  </si>
  <si>
    <t>Actualized costs and close out job</t>
  </si>
  <si>
    <t>Approved remaining vendor invoices, sent to Accounting Dept for payment and managed production budget</t>
  </si>
  <si>
    <t>Ensured all job files were complete with all requisite production paperwork through her departure from the agency</t>
  </si>
  <si>
    <t>Ensured all remaining job files were complete with all requisite production paperwork</t>
  </si>
  <si>
    <t>Scheduled &amp; attended all meetings with client &amp; producer for job updates &amp; to review all versions of spots including Included rough cut, revisions &amp; final</t>
  </si>
  <si>
    <t>Scheduled &amp; attended initial meetings with client &amp; producer for job updates</t>
  </si>
  <si>
    <t>Scheduled post production sessions for music production &amp; finishing of spots</t>
  </si>
  <si>
    <t>Scheduled voice over session with recording studio</t>
  </si>
  <si>
    <t>Submitted talent paperwork to payroll company &amp; managed session payments</t>
  </si>
  <si>
    <t>Prepare job specifications for productio company and audio vendors</t>
  </si>
  <si>
    <t>Prepared job specifications for production company and audio vendors</t>
  </si>
  <si>
    <t>Prepared production budget &amp; timeline for spot deliverables &amp; obtained approvals from client</t>
  </si>
  <si>
    <t>Prepared Production Company contract</t>
  </si>
  <si>
    <t>Researched legal clearance issues to ensure all potential spot content was cleared for use</t>
  </si>
  <si>
    <t>Reviewed and negotiated terms for all audio and post vendor bids</t>
  </si>
  <si>
    <t>Reviewed and negotiating terms for all vendor bids</t>
  </si>
  <si>
    <t>Ensured schedules were met throughout production so that no overages were incurred without client approval</t>
  </si>
  <si>
    <t>Met with Producer for updates regarding production</t>
  </si>
  <si>
    <t>Scheduled &amp; attended meetings with client to provide timely updates of production &amp; noted client feedback</t>
  </si>
  <si>
    <t>Scheduled audio sessions</t>
  </si>
  <si>
    <t>Scheduled post production sessions with with editorial company for Producer to attend</t>
  </si>
  <si>
    <t>Worked with Accounting Dept on schedule of initial payments for production company &amp; audio vendor</t>
  </si>
  <si>
    <t>Business Analyst</t>
  </si>
  <si>
    <t>Attended all internal agency meetings regarding stock images for use in spots</t>
  </si>
  <si>
    <t>Researched stock images for use in all spots</t>
  </si>
  <si>
    <t>Business Manager</t>
  </si>
  <si>
    <t>Ensured final shipping, traffic, and all invoices/payments have been made on the project.</t>
  </si>
  <si>
    <t>Assisted in evaluating and negotiating terms of all production and casting</t>
  </si>
  <si>
    <t>Prepared Production Company &amp; talent contracts</t>
  </si>
  <si>
    <t>Supervise business teams involved in pre production with talent contracts</t>
  </si>
  <si>
    <t>Worked with producers to prepare job specifications</t>
  </si>
  <si>
    <t>Attend production shoot</t>
  </si>
  <si>
    <t>Business Mgr</t>
  </si>
  <si>
    <t>Attended meeting with client, producers &amp; account supervisor for final review/approval of spot</t>
  </si>
  <si>
    <t>Coordinated schedules with recording studio</t>
  </si>
  <si>
    <t>Managed payments of contracted vendors</t>
  </si>
  <si>
    <t>Worked with producers to actualize and close out job</t>
  </si>
  <si>
    <t>Coordinated with Producers to ensure schedules were met throughout production so that no overages were incurred</t>
  </si>
  <si>
    <t>Monitored production budgets on set</t>
  </si>
  <si>
    <t>Worked with producers to evaluate creative and to assess talent, copyright, and intellectual property issues</t>
  </si>
  <si>
    <t>CGI Prod</t>
  </si>
  <si>
    <t>Analyzed post-launch audience responses and performance metrics, gathering insights to inform future CGI projects and improve production workflows.</t>
  </si>
  <si>
    <t>Collaborated with editors to integrate CGI seamlessly into the final cut of the commercial.</t>
  </si>
  <si>
    <t>Coordinated with sound designers to align audio elements with CGI visuals</t>
  </si>
  <si>
    <t>Managed client feedback sessions, incorporating revisions and ensuring that the final CGI work met client expectations and objectives.</t>
  </si>
  <si>
    <t>Reviewed final CGI composites and animations, ensuring all elements met the project's quality standards and artistic direction before delivery.</t>
  </si>
  <si>
    <t>Collaborated with the creative team to define the visual style and requirements for CGI elements in the commercial, ensuring alignment with the overall project vision.</t>
  </si>
  <si>
    <t>Coordinated with clients to gather necessary assets and specifications, ensuring all requirements for CGI integration were clearly understood.</t>
  </si>
  <si>
    <t>Created and presented pitch materials and concepts to stakeholders, effectively communicating the intended use of CGI in enhancing the commercial narrative.</t>
  </si>
  <si>
    <t>Developed detailed project schedules and budgets for CGI production, accounting for resources, technology needs, and time constraints.</t>
  </si>
  <si>
    <t>Supervised the selection and onboarding of CGI artists and technical staff, ensuring the team possessed the required skills and expertise for the project.</t>
  </si>
  <si>
    <t>Collaborated closely with directors and cinematographers to integrate CGI seamlessly with live-action footage, ensuring visual coherence and realism.</t>
  </si>
  <si>
    <t>Conducted regular reviews of CGI assets and animations, providing constructive feedback to artists to enhance quality and adherence to the project vision.</t>
  </si>
  <si>
    <t>Ensured the implementation of best practices for rendering and file management, maintaining efficiency and organization throughout the production phase.</t>
  </si>
  <si>
    <t>Facilitated daily stand-up meetings with the CGI team to address challenges, track progress, and adjust priorities as necessary.</t>
  </si>
  <si>
    <t>Managed the CGI production workflow, overseeing the progress of 3D modeling, animation, and rendering to ensure timelines were met.</t>
  </si>
  <si>
    <t>Chief Creative</t>
  </si>
  <si>
    <t>Addressed client revisions.</t>
  </si>
  <si>
    <t>Oversaw post production edits and additional asset creation.</t>
  </si>
  <si>
    <t>Supervised final color and grading of picture.</t>
  </si>
  <si>
    <t>Worked on all finishing services for all versions of broadcast</t>
  </si>
  <si>
    <t>Worked on all post production for all versions of broadcast</t>
  </si>
  <si>
    <t>Worked on timing of visual &amp; graphic supers to ensure they were aligned in all versions of broadcast</t>
  </si>
  <si>
    <t>Worked with creative team and animators on graphics/titles/end cards/mnemonics.</t>
  </si>
  <si>
    <t>Was part of Creative Team that evaluated production &amp; editorial bids</t>
  </si>
  <si>
    <t>Was part of Creative Team that prepared job specifications for vendors including production &amp; edit vendors</t>
  </si>
  <si>
    <t>Was part of Creative Team that supervised production company with pre production prep</t>
  </si>
  <si>
    <t>Was part of Creative Team that worked on specifications for shoot locations, set design &amp; props selection</t>
  </si>
  <si>
    <t>Was part of Creative Team that worked on set direction, lighting &amp; props</t>
  </si>
  <si>
    <t>Was part of Creative Team that worked to ensure client, agency teams &amp; production company were aligned with production decisions</t>
  </si>
  <si>
    <t>Chief Creative/ Design Officer</t>
  </si>
  <si>
    <t>Supervised creative team and audio engineer, records rough scratch tracks.</t>
  </si>
  <si>
    <t>Supervised creative team with edits and versions.</t>
  </si>
  <si>
    <t>Along with client, had final approval on all set ups and shot completion.</t>
  </si>
  <si>
    <t>Led all creative decisions &amp; visual or copy aspects throughout production.</t>
  </si>
  <si>
    <t>Managed teams of creatives.</t>
  </si>
  <si>
    <t>Present pre production book items to client for review/approval</t>
  </si>
  <si>
    <t>Communicated on set with agency team, and with clients.</t>
  </si>
  <si>
    <t>Client Mgmt Dir</t>
  </si>
  <si>
    <t>Assisted in preparing job specifications for vendors including production &amp; casting companies, audio, post/special effects &amp; edit vendors</t>
  </si>
  <si>
    <t>Reviewed Production Company contract prior to submitting to Legal</t>
  </si>
  <si>
    <t>Supervised team that negotiated &amp; prepare all talent contracts including on camera principal, stand ins &amp; extras</t>
  </si>
  <si>
    <t>Attended Pre light, Wardrobe Fitting Session &amp; shoot days as part of Management Team that worked directly with client</t>
  </si>
  <si>
    <t>Ensured required paperwork for payroll processing for talent was complete</t>
  </si>
  <si>
    <t>Colorist</t>
  </si>
  <si>
    <t>Designed color schemes for spots</t>
  </si>
  <si>
    <t>Ensured color consistencies for all spots</t>
  </si>
  <si>
    <t>Connections Strategist</t>
  </si>
  <si>
    <t>Analyzed initial edits of the commercial to ensure messaging clarity and alignment with strategic objectives, providing feedback for revisions.</t>
  </si>
  <si>
    <t>Collaborated with the analytics team to assess viewer engagement data and determine the effectiveness of the chosen media channels.</t>
  </si>
  <si>
    <t>Conducted audience feedback sessions to gauge reactions to the commercial, synthesizing insights to inform future strategies.</t>
  </si>
  <si>
    <t>Participated in strategy meetings to discuss outcomes and refine approaches for future campaigns based on analytical findings and market trends.</t>
  </si>
  <si>
    <t>Presented final campaign performance reports to stakeholders, highlighting key learnings and recommendations for future projects.</t>
  </si>
  <si>
    <t>Collaborated with the creative team to develop integrated messaging strategies that aligned with the overall campaign objectives.</t>
  </si>
  <si>
    <t>Conducted audience segmentation analysis to identify key demographics and psychographics for targeting in the commercial campaign.</t>
  </si>
  <si>
    <t>Coordinated with stakeholders to establish KPIs and performance metrics for measuring the success of the campaign across various platforms.</t>
  </si>
  <si>
    <t>Created detailed media plans that outlined the timing, placement, and budget for each channel to maximize campaign effectiveness.</t>
  </si>
  <si>
    <t>Researched and recommended media channels based on audience insights, ensuring the optimal reach and engagement for the campaign.</t>
  </si>
  <si>
    <t>Collaborated with media buyers to negotiate placement opportunities, optimizing visibility for the commercial during its airing.</t>
  </si>
  <si>
    <t>Facilitated real-time adjustments during production to enhance audience engagement strategies based on emerging insights.</t>
  </si>
  <si>
    <t>Monitored live shoots to ensure that the content captured was aligned with the intended messaging and brand voice.</t>
  </si>
  <si>
    <t>Provided input on talent selection, ensuring that the chosen actors aligned with the brand's target audience and overall campaign strategy.</t>
  </si>
  <si>
    <t>Worked alongside the production team to ensure that the commercial's messaging was consistently represented across all elements during filming.</t>
  </si>
  <si>
    <t>Copywriter</t>
  </si>
  <si>
    <t>Assisted on crafting content for all versions of spots</t>
  </si>
  <si>
    <t>Assisted on crafting content for versions of social media spots</t>
  </si>
  <si>
    <t>Attended additional talent voiceover sessions as well as voiceover edit sessions for additional spots &amp; cutdowns that client requested</t>
  </si>
  <si>
    <t>Attended additional talent voiceover sessions as well as voiceover edit sessions for additional spots &amp; cutdowns that client requested to direct talent according to client feedback</t>
  </si>
  <si>
    <t>Attended additional talent voiceover sessions as well as voiceover edit sessions for additional spots, revisions &amp; cutdowns that client requested</t>
  </si>
  <si>
    <t>Attended internal agency meetings regarding content/graphic supers for all versions of social media spots</t>
  </si>
  <si>
    <t>Attended internal agency meetings regarding content/graphic supers for post production</t>
  </si>
  <si>
    <t>Attended internal agency meetings regarding content/graphic supers for select versions of social media spots</t>
  </si>
  <si>
    <t>Attended talent voiceover sessions as well as voiceover edit sessions spots &amp; cutdowns that client requested</t>
  </si>
  <si>
    <t>Attended voiceover casting sessions &amp; was lead on hiring voice over talent</t>
  </si>
  <si>
    <t>Crafed content for all versions of social media spots</t>
  </si>
  <si>
    <t>Creative Team that attended internal agency reviews</t>
  </si>
  <si>
    <t>Creative Team that helped ensure that post/editorial specifications were met for motion graphics and color correction for all spots</t>
  </si>
  <si>
    <t>Ensured post/editorial specifications were met for motion graphics, color correction, VFX compositing &amp; VFX rig removal for all spots</t>
  </si>
  <si>
    <t>James worked with other copywriter, Art Director to ensure timing of visual, audio &amp; graphic supers were aligned in all versions of spots</t>
  </si>
  <si>
    <t>Lead on Creative team that was responsible for design, layout and creation/changes to graphic supers</t>
  </si>
  <si>
    <t>Outlined post specifications based on client's feedback</t>
  </si>
  <si>
    <t>Part of Creative Team that attended all internal agency reviews with Business Mgr, Project Manager &amp; Account Team</t>
  </si>
  <si>
    <t>Part of Creative Team that outlined post specifications based on client's feedback</t>
  </si>
  <si>
    <t>Part of Creative Team that outlined post specifications for editorial company's based on client's feedback</t>
  </si>
  <si>
    <t>Part of Creative Team that worked with Producer to ensure audio/music specifications were met</t>
  </si>
  <si>
    <t>Part of Creative Team that worked with Producer to ensure post/editorial specifications were met for motion graphics, color correction, VFX compositing &amp; VFX rig removal for all spots</t>
  </si>
  <si>
    <t>Part of Creative Team that worked with Producer to supervise designers on all post production</t>
  </si>
  <si>
    <t>Part of Creative Team that worked with Producer to supervise editors on all edits &amp; finishing of spots</t>
  </si>
  <si>
    <t>Part of Creative Team that worked with Producer to supervise mixing of audio, music selection &amp; recording of all voiceover sessions</t>
  </si>
  <si>
    <t>Part of Creative Team that worked with Producer to supervise recording of all voice over sessions with audio engineer</t>
  </si>
  <si>
    <t>Part of Creative Team that worked with Producer to supervise sound design/mixing with audio engineer</t>
  </si>
  <si>
    <t>Part of team that presented client with rough cut of spots, noted client revisions &amp; communicated revisions to Editorial Company</t>
  </si>
  <si>
    <t>Part of team that supervised assembly of final spots, and all versioning of spots for client review</t>
  </si>
  <si>
    <t>Presented client with rough cut of spots, noted client revisions &amp; communicated revisions</t>
  </si>
  <si>
    <t>Responsible for design, layout and creation/changes to graphic supers on all versions of spots</t>
  </si>
  <si>
    <t>Reviewed graphics/titles/end cards on all versioning of final spots</t>
  </si>
  <si>
    <t>Supervised editors on all edits &amp; finishing of spots</t>
  </si>
  <si>
    <t>Supervised mixing of audio, music selection &amp; recording of all voiceover sessions</t>
  </si>
  <si>
    <t>Supervised sound design/mixing with audio engineer</t>
  </si>
  <si>
    <t>Was part of Creative Team that supervised designers on all post production</t>
  </si>
  <si>
    <t>Was part of Creative Team that supervised editors on all edits &amp; finishing of spots</t>
  </si>
  <si>
    <t>Was part of Creative team that was responsible for design, layout and creation/changes on all versions spots including additional spots &amp; cutdowns that client requested</t>
  </si>
  <si>
    <t>Was part of team that presented client with rough cut of spots and noted client revisions</t>
  </si>
  <si>
    <t>Was part of team that supervised assembly of final spots, and all versioning of spots for client review</t>
  </si>
  <si>
    <t>Worked on crafting content for all versions cinemagraphs/social spots</t>
  </si>
  <si>
    <t>Worked on graphic supers</t>
  </si>
  <si>
    <t>Worked with Art Director to ensure timing of visual, audio &amp; graphic supers were aligned in all versions of spots</t>
  </si>
  <si>
    <t>Worked with graphic supers on all versions of cinemagraphs/social spots</t>
  </si>
  <si>
    <t>Worked with Producer to ensure audio/music specifications were met</t>
  </si>
  <si>
    <t>Worked with Producer to supervise designers on all post production</t>
  </si>
  <si>
    <t>Worked with Producer to supervise recording of all voice over sessions with audio engineer to ensure scripts were adhered to</t>
  </si>
  <si>
    <t>Part of Creative Team that attended all pre production meetings with clients prior to shoot</t>
  </si>
  <si>
    <t>Part of Creative Team that attended all pre production meetings with clients prior to shoot along with the Account Team &amp; Producer</t>
  </si>
  <si>
    <t>Part of Creative Team that evaluated all production, audio &amp; editorial/post bids to ensure job specifications were met</t>
  </si>
  <si>
    <t>Part of Creative Team that supervised production company with pre production</t>
  </si>
  <si>
    <t>Part of Creative Team that supervised production company with pre production meetings with clients prior to shoot along with the Account Team &amp; Producer</t>
  </si>
  <si>
    <t>Part of Creative Team that was responsible for execution of approved script/storyboards</t>
  </si>
  <si>
    <t>Part of Creative Team that worked with Producer &amp; Bus Affairs to prepare job specifications for all vendors</t>
  </si>
  <si>
    <t>Part of Creative Team that wrote specifications for music search</t>
  </si>
  <si>
    <t>production meetings with clients prior to shoot along with the Account Team &amp; Producer (Mark Ginski)</t>
  </si>
  <si>
    <t>Lowercase</t>
  </si>
  <si>
    <t>production prep (creation of animation files/shot list for production)</t>
  </si>
  <si>
    <t xml:space="preserve"> James was part of Creative Team that reviewed pencil tests/preliminary animation direction and shared feedback with producer</t>
  </si>
  <si>
    <t xml:space="preserve"> Ricardo was part of Creative Team that reviewed pencil tests/preliminary animation direction and shared feedback with producer</t>
  </si>
  <si>
    <t>Wrote casting specifications for talent casting</t>
  </si>
  <si>
    <t xml:space="preserve">Wrote casting specifications for voice over talent casting </t>
  </si>
  <si>
    <t>Part of Creative Team that worked with Producer on managing production workflow to ensure all artwork &amp; footage captured was based on storyboards/scripts &amp; Creative Team's direction</t>
  </si>
  <si>
    <t>Part of Creative Team that worked with Producer to ensure client, agency teams &amp; production company were aligned with production decisions</t>
  </si>
  <si>
    <t>Part of Creative Team that worked with Producer to obtain approval on last minute changes in artwork &amp; text graphics</t>
  </si>
  <si>
    <t>Creative</t>
  </si>
  <si>
    <t>Attended client reviews</t>
  </si>
  <si>
    <t>Ensured timing of visual, audio &amp; graphic supers were aligned in all version of spots</t>
  </si>
  <si>
    <t>Was part of agency team that presented client with rough cut of spots, &amp; noted client revisions</t>
  </si>
  <si>
    <t>Worked on ensuring edit specifications were met</t>
  </si>
  <si>
    <t>Attended pre production meetings with internal agency teams and with client</t>
  </si>
  <si>
    <t>Responsible for execution of approved script/storyboards</t>
  </si>
  <si>
    <t>Worked on specifications for shoot locations, set design, props &amp; wardrobe selections</t>
  </si>
  <si>
    <t>Was at the shoot and led creative decisions, visual and copy aspects throughout production</t>
  </si>
  <si>
    <t>Worked on ensuring that client, agency teams &amp; production company were aligned with production decisions</t>
  </si>
  <si>
    <t>Worked on managing production workflow to ensure all footage captured was based on storyboards/scripts</t>
  </si>
  <si>
    <t>Creative Dir</t>
  </si>
  <si>
    <t>production specifications were met for motion graphics, color correction</t>
  </si>
  <si>
    <t>Reviewed animation on graphics/titles/end cards/mnemonics.</t>
  </si>
  <si>
    <t>Reviews all final spots to ensure scripts are adhered to and provides closed caption scripts for shipping.</t>
  </si>
  <si>
    <t>Rewrite scripts based on feedback.</t>
  </si>
  <si>
    <t>Worked ensure post production specifications were met for motion graphics, color correction</t>
  </si>
  <si>
    <t>Worked on assembly of rough cut of spots, revisions &amp; final spots</t>
  </si>
  <si>
    <t>Worked on design, layout and creation/changes to graphic supers</t>
  </si>
  <si>
    <t>Worked on design, layout and creation/changes to graphic supers (text in spots) on versions of spots including cutdowns &amp; additional spots &amp; that the client requested</t>
  </si>
  <si>
    <t>Worked to ensure audio/music specifications were met</t>
  </si>
  <si>
    <t>Worked to ensure edit specifications were met</t>
  </si>
  <si>
    <t>Worked to supervise music selection</t>
  </si>
  <si>
    <t>Assisted with director, talent, location search within creative team and producer.</t>
  </si>
  <si>
    <t>Assisted with the creation of shot list for pre production book/production company</t>
  </si>
  <si>
    <t>Cleaned up and approved packaging files for hero product.</t>
  </si>
  <si>
    <t>Evaluated all production, audio, post/special effects, casting &amp; editorial bids</t>
  </si>
  <si>
    <t>Managed Creative Team that evaluated all production, audio &amp; editorial/post bids to ensure job specifications were met</t>
  </si>
  <si>
    <t>Managed Creative Team that worked with Producer &amp; Bus Affairs to prepare job specifications for all vendors</t>
  </si>
  <si>
    <t>Managed Creative Team that wrote specifications for music search</t>
  </si>
  <si>
    <t>Part of creative team that executes the approved creative.</t>
  </si>
  <si>
    <t>Presented examples of art direction for locations.</t>
  </si>
  <si>
    <t>Reviewed casting specifications for talent casting, provided feedback to Creative Team to implement changes</t>
  </si>
  <si>
    <t>Reviewed on camera casting/auditions</t>
  </si>
  <si>
    <t>Reviewed pencil tests/preliminary animation direction and shared feedback with producer</t>
  </si>
  <si>
    <t>Supervised production company with pre production prep</t>
  </si>
  <si>
    <t>Supervised production company with preproduction meetings with clients prior to shoot</t>
  </si>
  <si>
    <t>Worked to prepare job specifications for all vendors including production &amp; casting companies, audio, post/special effects &amp; edit vendors</t>
  </si>
  <si>
    <t>Attended shoot. Communicated on set with agency team, and with clients.</t>
  </si>
  <si>
    <t>Attended shoots to help detect vital disconnects with scripts and revises copy based on internal and client feedback/direction.</t>
  </si>
  <si>
    <t>Ensured shots are captured on set.</t>
  </si>
  <si>
    <t>Creative Dir, Art</t>
  </si>
  <si>
    <t>Attended all meetings with production company regarding shoot prep &amp; Pre</t>
  </si>
  <si>
    <t>Attended all pre production meetings with internal agency teams regarding shoot prep</t>
  </si>
  <si>
    <t>Created artwork for shot list &amp; preproduction meetings with internal agency teams regarding shoot prep</t>
  </si>
  <si>
    <t>Worked  on artwork specifications for shot list/pre pro book</t>
  </si>
  <si>
    <t>Creative Dir, Copy</t>
  </si>
  <si>
    <t>Part of agency team that presented client with rough cut of spots, noted client revisions &amp; communicated revisions to Post/Editorial companies</t>
  </si>
  <si>
    <t>Part of Creative Team that attended all client reviews with Producer, Business Mgr &amp; Business Affairs</t>
  </si>
  <si>
    <t>Part of Creative Team that attended all internal agency reviews with Producers, Business Mgr &amp; Affairs Teams</t>
  </si>
  <si>
    <t>Part of Creative Team that was responsible for design, layout and creation/changes to graphic supers on all versions of spots</t>
  </si>
  <si>
    <t>Part of Creative Team that worked Producer &amp; audio engineer to ensure audio/music specifications were met</t>
  </si>
  <si>
    <t>Part of Creative Team that worked with Producer and editorial company to ensure post production specifications were met for motion graphics, color correction &amp; SFX compositing</t>
  </si>
  <si>
    <t xml:space="preserve">Part of Creative Team that worked with Producer to supervise sound design/mixing &amp; recording of all voice over sessions with audio engineer </t>
  </si>
  <si>
    <t>Part of Creative Team worked with editorial company to ensure timing of visual, audio &amp; graphic supers were aligned in all versions of spots</t>
  </si>
  <si>
    <t>Supervised designers on all post production including special effects/animation/graphics/titles/end cards</t>
  </si>
  <si>
    <t>Supervised editors at editorial company on all edits &amp; finishing of spots</t>
  </si>
  <si>
    <t>Was part of Creative Team that worked with Producer &amp; editorial company to ensure edit specifications were met</t>
  </si>
  <si>
    <t>Was part of Creative Team that worked with Producer to supervise music selection</t>
  </si>
  <si>
    <t>Creative Dir, Copywriter</t>
  </si>
  <si>
    <t>Creative Dir, Creative Development</t>
  </si>
  <si>
    <t>Worked on design, layout and creation/changes to graphic supers on spots that the client requested</t>
  </si>
  <si>
    <t>Attended shoot,  Communicated on set with agency team, and with clients.</t>
  </si>
  <si>
    <t>Creative Dir/Animator</t>
  </si>
  <si>
    <t>Attended talent voiceover sessions as well as voiceover edit sessions for spots, revisions &amp; cutdowns that client requested</t>
  </si>
  <si>
    <t>Worked on all post production including graphics/titles/end cards &amp; VFX finishing</t>
  </si>
  <si>
    <t>Worked on design, layout and creation/changes to graphic supers on all versions of spots that client requested</t>
  </si>
  <si>
    <t>Worked with agency team on mixing of audio, music selection &amp; recording of all voiceover sessions</t>
  </si>
  <si>
    <t>Worked with agency team to ensure timing of visual, audio &amp; graphic supers were aligned in all versions of spots</t>
  </si>
  <si>
    <t>Worked with internal agency team on assembly of rough cut of spots, revisions &amp; final spots</t>
  </si>
  <si>
    <t>Worked with internal agency team to ensure post/editorial specifications were met for motion graphics, color correction, VFX compositing &amp; VFX rig removal for all spots</t>
  </si>
  <si>
    <t>Created preliminary animation sketches/files and shared feedback with Producer</t>
  </si>
  <si>
    <t>Met with Producer regarding creative/script direction of production based on specifications provided agency team</t>
  </si>
  <si>
    <t>Revised preliminary animation files based on feedback provided to Producer by agency team</t>
  </si>
  <si>
    <t>Worked with Producer on pre production prep (creation of animation files/shot list for production)</t>
  </si>
  <si>
    <t>Worked to implement changes in artwork &amp; text graphics based on feedback from agency team</t>
  </si>
  <si>
    <t>Worked with Producer &amp; agency team on production workflow to ensure all artwork &amp; footage captured was based on storyboards/scripts</t>
  </si>
  <si>
    <t>Creative Director</t>
  </si>
  <si>
    <t>Attended voiceover casting sessions &amp; along with Producer selected principal voice over talent and backup for client review</t>
  </si>
  <si>
    <t>Had final approval of all creative decisions &amp; visual aspects of all versions of spots from beginning of post production through approval of final edits</t>
  </si>
  <si>
    <t>Managed Creative Team that supervised post production on all edits &amp; finishing of spots</t>
  </si>
  <si>
    <t>Managed Creative Team that worked on ensuring editorial specifications were met</t>
  </si>
  <si>
    <t>Managed Creative Team that worked with Producer to ensure audio/music specifications were met</t>
  </si>
  <si>
    <t>Managed Creative Team that worked with Producer to ensure post/editorial specifications were met for motion graphics, color grading/correction, VFX compositing &amp; VFX rig removal for all spots</t>
  </si>
  <si>
    <t>Managed Creative Team that worked with Producer to supervise designers on all post production</t>
  </si>
  <si>
    <t>Managed Creative Team that worked with Producer to supervise editors on all edits &amp; finishing of spots</t>
  </si>
  <si>
    <t>Managed Creative Team that worked with Producer to supervise mixing of audio, music selection &amp; recording of all voiceover sessions</t>
  </si>
  <si>
    <t>Managed Creative Team that worked with Producer to supervise sound design/mixing with audio engineer</t>
  </si>
  <si>
    <t>Part of agency team that presented client with rough cut of spots, noted and communicated client revisions</t>
  </si>
  <si>
    <t>Part of Creative Team that attended all client reviews with Producers &amp; Business Affairs Teams</t>
  </si>
  <si>
    <t>Part of Creative Team that attended all internal agency reviews with Business Affairs, Project Manager &amp; Account Team</t>
  </si>
  <si>
    <t>Part of Creative Team that attended all internal agency reviews with Producers, Sr Business Mgr &amp; Account &amp; Business Affairs Teams</t>
  </si>
  <si>
    <t>Part of Creative Team that was responsible for design, layout and creation/changes to all versions of spots</t>
  </si>
  <si>
    <t>Part of Creative Team that was responsible for design, layout and creation/changes to graphic supers on all versions of spots including additional spots &amp; cutdowns that client requested</t>
  </si>
  <si>
    <t>Part of Creative Team that worked to ensure post production specifications were met</t>
  </si>
  <si>
    <t>Part of Creative Team that worked with Director to obtain approval on last minute changes in artwork &amp; text graphics</t>
  </si>
  <si>
    <t>Part of Creative Team worked to ensure timing of visual in all versions of spots</t>
  </si>
  <si>
    <t>production including animation/graphics/titles/end cards &amp; VFX finishing</t>
  </si>
  <si>
    <t>production on all edits &amp; finishing of spots</t>
  </si>
  <si>
    <t>production specifications were met</t>
  </si>
  <si>
    <t>production through approval of final edits</t>
  </si>
  <si>
    <t>Reviewed post specifications created by Creative Team based on client's feedback</t>
  </si>
  <si>
    <t>Was part of agency team that presented client with rough cut of spots, noted client revisions &amp; communicated revisions</t>
  </si>
  <si>
    <t>Was part of agency team that presented client with rough cut of spots, noted client revisions &amp; communicated revisions to Editorial Company</t>
  </si>
  <si>
    <t>Was part of agency team that supervised assembly of final spots, and all versioning of spots for client review</t>
  </si>
  <si>
    <t>Was part of Creative Team that attended internal agency reviews</t>
  </si>
  <si>
    <t>Managed Creative Team &amp; attended all pre production meetings with clients prior to shoot along with the Account Team &amp; Producer</t>
  </si>
  <si>
    <t>Managed Creative Team &amp; attended pre production prep (creation of shot list for production)</t>
  </si>
  <si>
    <t>Managed Creative Team that evaluated production &amp; editorial bids to ensure job specifications were met</t>
  </si>
  <si>
    <t>Managed Creative Team that evaluates all production, audio &amp; editorial to ensure job specifications were met</t>
  </si>
  <si>
    <t>Managed Creative Team that supervised production company with pre production prep</t>
  </si>
  <si>
    <t>Managed Creative Team that was responsible for execution of approved script/storyboards</t>
  </si>
  <si>
    <t>Managed Creative Team that worked on preparing job specifications for all vendors</t>
  </si>
  <si>
    <t>Managed Creative Team that worked with Producer &amp; Bus Affairs to prepare job specifications for all vendors including production company, audio &amp; edit vendors</t>
  </si>
  <si>
    <t>Managed Creative Team to prepare job specifications for all vendors including production company, audio &amp; edit vendors</t>
  </si>
  <si>
    <t>Part of Creative Team that attended casting auditions &amp; callbacks to select on camera talent &amp; backups for client's approval</t>
  </si>
  <si>
    <t>Part of Creative Team that evaluated all production, audio, post/special effects, casting &amp; editorial bids</t>
  </si>
  <si>
    <t>Part of Creative Team that worked on specifications for shoot locations, set design, cast, props &amp; wardrobe selections</t>
  </si>
  <si>
    <t>Part of Creative Team that worked to prepare job specifications for all vendors including production &amp; casting companies, audio, post/special effects &amp; edit vendors</t>
  </si>
  <si>
    <t>Part of Creative Team that worked to supervise production company with pre production prep</t>
  </si>
  <si>
    <t>Reviewed casting specifications for voice over talent casting, provided feedback to Creative Team to implement changes</t>
  </si>
  <si>
    <t>Attended Pre light &amp; Shoot that led all creative decisions, visual and copy aspects throughout production</t>
  </si>
  <si>
    <t>Part of Creative Team that approved talent wardrobe &amp; makeup prior to shooting</t>
  </si>
  <si>
    <t>Part of Creative Team that attended Pre light &amp; Shoot that led all creative decisions, visual and copy aspects throughout production</t>
  </si>
  <si>
    <t>Part of Creative Team that on managing production workflow to ensure all footage captured was based on storyboards/scripts</t>
  </si>
  <si>
    <t>Part of Creative Team that worked on set direction, lighting &amp; props</t>
  </si>
  <si>
    <t>Part of Creative Team that worked to ensure client, agency teams &amp; production company were aligned with production decisions</t>
  </si>
  <si>
    <t>Part of Creative Team that worked with Sr Producer on managing production workflow to ensure all footage captured was based on storyboards/scripts</t>
  </si>
  <si>
    <t>Part of Creative Team that worked with Sr Producer to ensure client, agency teams &amp; production company are aligned with production decisions</t>
  </si>
  <si>
    <t>Was part of Creative Team that worked on ensuring client, agency teams &amp; production company were aligned with production decisions</t>
  </si>
  <si>
    <t>Was part of Creative Team that worked on managing production workflow to ensure all artwork &amp; footage captured was based on storyboards/scripts &amp; Creative Team's direction</t>
  </si>
  <si>
    <t>Was part of Creative Team that worked on obtaining approval on changes in artwork &amp; text graphics</t>
  </si>
  <si>
    <t>Was part of Creative Team that worked with Producer to ensure client, agency teams &amp; production company were aligned with production decisions</t>
  </si>
  <si>
    <t>Was part of Creative Team that worked with Producer to obtain approval on last minute changes in artwork &amp; text graphics</t>
  </si>
  <si>
    <t>Creative Director, Art</t>
  </si>
  <si>
    <t>Attended additional talent voiceover sessions and voiceover edit sessions for extra spots and cutdowns requested.</t>
  </si>
  <si>
    <t>Attended voiceover casting sessions and selected principal voiceover talent and backup for client review.</t>
  </si>
  <si>
    <t>Chris attended voiceover casting sessions &amp; along with other Creative Director (Rob White) &amp; Sarah Tomick (Sr Producer) selected principal voice over talent and backup for client review</t>
  </si>
  <si>
    <t>Collaborated with a post-production company to ensure the timing of visual, audio, and graphic supers were aligned in all versions of spots.</t>
  </si>
  <si>
    <t>Collaborated with a producer and a creative team to ensure post-production and special effect specifications were met for motion graphics, color correction, and SFX compositing.</t>
  </si>
  <si>
    <t>Collaborated with a producer and a creative team to ensure post-production, including special effects, animation, graphics, titles, and end cards.</t>
  </si>
  <si>
    <t>Collaborated with a producer and a post-production company to ensure edit specifications were met.</t>
  </si>
  <si>
    <t>Collaborated with a producer and another team to ensure audio and music specifications were met.</t>
  </si>
  <si>
    <t>Contributed to the design, layout, and creation of graphic supers on all versions of spots, including additional spots and cutdowns requested.</t>
  </si>
  <si>
    <t>Participated in all internal agency reviews with Producers and contributed to discussions with the Account and Business Affairs Teams.</t>
  </si>
  <si>
    <t>Participated in client reviews with Producers and selected options for further discussion.</t>
  </si>
  <si>
    <t>Supervised designers at the post-production company on all post-production work.</t>
  </si>
  <si>
    <t>Supervised editors at the post-production company on all edits and finishing of spots.</t>
  </si>
  <si>
    <t>Supervised music selection in collaboration with a producer and a music clearance consultant.</t>
  </si>
  <si>
    <t>Supervised sound design, mixing, and recording of all voiceover sessions with an audio engineer.</t>
  </si>
  <si>
    <t>Supervised the assembly of final spots and all versioning of spots for client review.</t>
  </si>
  <si>
    <t>Creative Director, Copywriter</t>
  </si>
  <si>
    <t>Addresses client revisions with creative team.</t>
  </si>
  <si>
    <t>Assists with all post production edits and/or asset creation.</t>
  </si>
  <si>
    <t>If changes are needed 'directs  VO with rerecords.</t>
  </si>
  <si>
    <t>Presents deliverables to internal team and clients.</t>
  </si>
  <si>
    <t>Reviews animation on graphics/titles/end cards/mnemonics.</t>
  </si>
  <si>
    <t>Reviews edits for legal lines and language.</t>
  </si>
  <si>
    <t>Supervises final layouts/edits/assembly of final spots, and all versioning of assets.</t>
  </si>
  <si>
    <t>Works with art director and editor on a daily basis on edits and versions with copywriter.</t>
  </si>
  <si>
    <t>Assists with creation of shot list for preproduction book/production/animation company.</t>
  </si>
  <si>
    <t>Reviews on camera casting/auditions.</t>
  </si>
  <si>
    <t>Reviews VO casting/auditions.</t>
  </si>
  <si>
    <t>Writes specs for music search or music composing.</t>
  </si>
  <si>
    <t>Attends all  shoots to help detect vital disconnects with scripts and revises copy based on internal and client feedback/direction.</t>
  </si>
  <si>
    <t>Creative Director, Creative Development</t>
  </si>
  <si>
    <t>Part of agency team that presented client with rough cut of spots, noted client revisions &amp; communicated revisions to Post Production Companies</t>
  </si>
  <si>
    <t>Part of Creative Team that attended all client reviews</t>
  </si>
  <si>
    <t>Part of Creative Team that attended all internal agency reviews</t>
  </si>
  <si>
    <t>Managed Creative Team &amp; attended all pre production meetings with clients prior to shoot</t>
  </si>
  <si>
    <t>Managed Creative Team that evaluated all production, audio &amp; editorial to ensure job specifications were met</t>
  </si>
  <si>
    <t>Managed Creative Team that supervised production company with preproduction prep (creation of shot list for production)</t>
  </si>
  <si>
    <t>Managed Creative Team that worked to prepare job specifications for all vendors including production company, audio &amp; edit vendors</t>
  </si>
  <si>
    <t>Part of Creative Team that attended Prelight &amp; Shoot that led all creative decisions, visual and copy aspects throughout production</t>
  </si>
  <si>
    <t>Part of Creative Team that worked on managing production workflow to ensure all footage captured was based on storyboards/scripts</t>
  </si>
  <si>
    <t>Creative Strategist</t>
  </si>
  <si>
    <t>Analyzed audience feedback and performance metrics to assess the commercial's effectiveness, identifying areas for improvement in future projects.</t>
  </si>
  <si>
    <t>Collaborated with the editor and sound designer to ensure that the final cut effectively conveyed the intended message and emotional tone.</t>
  </si>
  <si>
    <t>Developed and presented the final commercial to clients, highlighting the creative strategies employed and their alignment with campaign objectives.</t>
  </si>
  <si>
    <t>Participated in post-mortem meetings to discuss successes and challenges, contributing insights to enhance the creative process for upcoming campaigns.</t>
  </si>
  <si>
    <t>Reviewed the initial edit of the commercial to assess alignment with the creative strategy and provided constructive feedback for revisions.</t>
  </si>
  <si>
    <t>Brainstormed innovative ideas and concepts in collaboration with the creative team, ensuring alignment with the overall brand strategy.</t>
  </si>
  <si>
    <t>Collaborated with the account management team to define campaign objectives and key performance indicators (KPIs) for the project.</t>
  </si>
  <si>
    <t>Conducted market research to identify target audience insights and trends that informed the creative direction of the commercial.</t>
  </si>
  <si>
    <t>Developed and presented creative briefs that outlined strategic concepts, messaging, and execution plans to internal teams and clients.</t>
  </si>
  <si>
    <t>Established a creative timeline that outlined milestones and deliverables, facilitating a smooth workflow throughout the pre-production phase.</t>
  </si>
  <si>
    <t>Collaborated with the cinematographer to discuss shot composition and lighting to ensure the final visuals matched the intended aesthetic.</t>
  </si>
  <si>
    <t>Facilitated communication between the creative team and the production crew to ensure a cohesive understanding of the project goals.</t>
  </si>
  <si>
    <t>Monitored the production process, addressing any creative concerns or adjustments needed to maintain the project’s vision.</t>
  </si>
  <si>
    <t>Provided on-set direction and feedback to ensure that performances and visual elements aligned with the established creative strategy.</t>
  </si>
  <si>
    <t>Worked closely with the director and production team to ensure that the creative vision was accurately translated during the shoot.</t>
  </si>
  <si>
    <t>Design Dir</t>
  </si>
  <si>
    <t>Approved the final edit and delivered the commercial, ensuring that all design elements met the technical and creative requirements.</t>
  </si>
  <si>
    <t>Collaborated with the editing team to ensure that transitions, pacing, and overall visual flow aligned with the commercial’s aesthetic and brand identity.</t>
  </si>
  <si>
    <t>Led the post-production design process, reviewing and approving all visual effects, motion graphics, and color grading to ensure consistency with the original design vision.</t>
  </si>
  <si>
    <t>Provided detailed feedback on design elements such as typography, graphics, and animations used in the final cut.</t>
  </si>
  <si>
    <t>Worked with sound designers to ensure that audio elements complemented the visual style and reinforced the brand’s identity.</t>
  </si>
  <si>
    <t>Approved pre-visualizations and mockups, ensuring all creative assets were aligned with the intended visual direction and client expectations.</t>
  </si>
  <si>
    <t>Collaborated with the client and creative teams to finalize design concepts, including storyboards, style frames, and mood boards.</t>
  </si>
  <si>
    <t>Led the creative team in developing the visual strategy and design direction for the commercial, ensuring alignment with the overall brand vision.</t>
  </si>
  <si>
    <t>Oversaw the selection of key creative partners, such as production designers and costume designers, to ensure design cohesion across all aspects of the production.</t>
  </si>
  <si>
    <t>Provided clear design briefs to production teams, ensuring all set designs, props, and visual elements adhered to brand guidelines.</t>
  </si>
  <si>
    <t>Communicated directly with the production team to resolve any design-related issues that arose during filming.</t>
  </si>
  <si>
    <t>Monitored costume, set, and prop choices to ensure they remained in line with the approved creative and brand guidelines.</t>
  </si>
  <si>
    <t>Provided on-the-spot design direction and adjustments to maintain brand consistency across all scenes and assets.</t>
  </si>
  <si>
    <t>Supervised the execution of the creative vision on set, ensuring that all visual elements—from lighting to set design—reflected the approved design direction.</t>
  </si>
  <si>
    <t>Worked closely with the director and cinematographer to ensure that each shot adhered to the established visual tone and style.</t>
  </si>
  <si>
    <t>Designer</t>
  </si>
  <si>
    <t>Addressed client revisions communicated by the agency team as part of a design team.</t>
  </si>
  <si>
    <t>Led the animation of shoot footage as part of a design team.</t>
  </si>
  <si>
    <t>Met with a team regarding design and animation requirements for cinemagraphs and spots.</t>
  </si>
  <si>
    <t>Met with the client team regarding design and animation requirements for cinemagraphs/spots</t>
  </si>
  <si>
    <t>Was part of a team of designers that addressed client revisions communicated by agency team</t>
  </si>
  <si>
    <t>Was part of a team of designers that met with agency team regarding design and animation requirements for cinemagraphs/spots</t>
  </si>
  <si>
    <t>Dir of Business Affairs</t>
  </si>
  <si>
    <t>Ensured all contracts and paperwork for principal on-camera talent and extras were signed and executed properly before submitting to legal.</t>
  </si>
  <si>
    <t>Managed talent contracts and ensured compliance with SAG and non-SAG requirements.</t>
  </si>
  <si>
    <t>Negotiated and prepared talent contracts and paperwork in collaboration with a senior producer.</t>
  </si>
  <si>
    <t>Reviewed all final versions of spots to ensure talent was paid according to contract terms and collaborated with talent agents to make necessary contract adjustments for any changes or upgrades.</t>
  </si>
  <si>
    <t>Sent contracts to legal to address potential union issues to ensure compliance</t>
  </si>
  <si>
    <t>Dir of Finish</t>
  </si>
  <si>
    <t>Reviewed final spots to help ensure that client requirements were met</t>
  </si>
  <si>
    <t>Was involved in actualizing and closing out jobs and ensured all job files were complete</t>
  </si>
  <si>
    <t>Dir Strategic Planning</t>
  </si>
  <si>
    <t>Attended internal meetings &amp; assisted with feedback and selection of final edits to ensured spots were on brief</t>
  </si>
  <si>
    <t>Managed team that provided sizing specifications for cinemagraphs/social media spots</t>
  </si>
  <si>
    <t>Was part of the team that reviewed final versions of cinemagraphs/spots to ensure aspect ratios, specs and visuals met specified requirements</t>
  </si>
  <si>
    <t>Dir, Business Affairs</t>
  </si>
  <si>
    <t>Maintained group calendars and scheduled &amp; attended internal agency meetings for production/talent</t>
  </si>
  <si>
    <t>Reviewed all versions of spots to ensure rights</t>
  </si>
  <si>
    <t>Reviewed revised production budget to report revisions of costs prior to submitting to the cost consultant/client for approval</t>
  </si>
  <si>
    <t>Reviewed talent budget tha to reflect additional edit sessions &amp; usage costs prior to submitting client for approval</t>
  </si>
  <si>
    <t>Supervised talent contract renewals &amp; reviewed production/post expenses to ensure job closed within budget</t>
  </si>
  <si>
    <t>Dir, Creative Resource Mgmt</t>
  </si>
  <si>
    <t>Oversaw all post production edits and additional asset creation.</t>
  </si>
  <si>
    <t>Oversaw creative team that executed the approved creative.</t>
  </si>
  <si>
    <t>Attended shoot.</t>
  </si>
  <si>
    <t>Director of Prod</t>
  </si>
  <si>
    <t>Attended some internal agency reviews with Producers, Creative Team, Account &amp; Business Affairs Teams</t>
  </si>
  <si>
    <t>EP/Managing Dir</t>
  </si>
  <si>
    <t>Liaison regarding all facets of post production</t>
  </si>
  <si>
    <t>Supervised internal team on assembly of rough cut of spots, revisions &amp; final spots</t>
  </si>
  <si>
    <t>Worked on project management of budgets to ensure timeline of deliverables were met</t>
  </si>
  <si>
    <t>Managed production workflow to ensure all artwork &amp; footage captured was based on storyboards/scripts</t>
  </si>
  <si>
    <t>Project management of budgets and timelines</t>
  </si>
  <si>
    <t>Worked with the team to implement last minute changes in artwork &amp; text graphics</t>
  </si>
  <si>
    <t>EVP, Group Mgmt Dir</t>
  </si>
  <si>
    <t>Attended all Business Affairs Team meetings during post production for job updates</t>
  </si>
  <si>
    <t>Attended internal agency reviews of spots &amp; meetings regarding budget management</t>
  </si>
  <si>
    <t>Carolyn worked with producer to actualize and close out production job within budget</t>
  </si>
  <si>
    <t>Ensured talent was paid according to terms in their contract</t>
  </si>
  <si>
    <t>Prepare production budget to report overage costs</t>
  </si>
  <si>
    <t>Reviewed all versions of spots to ensure rights managed items were not captured to avoid potential lawsuits</t>
  </si>
  <si>
    <t>Worked with Producer to ensure spot deliverables met timeline for client review</t>
  </si>
  <si>
    <t>Assisted in evaluating and negotiating terms of all audio/music, post/visual effects &amp; editorial bids</t>
  </si>
  <si>
    <t>Assisted in evaluating and negotiating terms of lnsurance bid</t>
  </si>
  <si>
    <t>Attended all meetings with Account Team regarding insurance</t>
  </si>
  <si>
    <t>Part of team that prepare job specifications for audio, post/special effects &amp; edit vendors</t>
  </si>
  <si>
    <t>Part of team that prepared production budget &amp; timeline for spot deliverables for internal agency review prior to submitting to client for review</t>
  </si>
  <si>
    <t>Scheduled meeting with Production Company and Producers, Creative &amp; Lead Account Teams to review &amp; select shoot location options</t>
  </si>
  <si>
    <t>Was part of team that prepare job specifications for location search</t>
  </si>
  <si>
    <t>Worked with Account Team to prepare insurance specifications based on client brief</t>
  </si>
  <si>
    <t>Worked with the Account Teamto obtain Insurance policy with necessary &amp; proper coverage amounts</t>
  </si>
  <si>
    <t>Attended shoot</t>
  </si>
  <si>
    <t>Exec Broadcast Producer</t>
  </si>
  <si>
    <t>Attended a internal reviews with Creative &amp; Account teams</t>
  </si>
  <si>
    <t>Attended some internal agency reviews with Producer, Creative, Account &amp; Business Affairs Teams regarding edit changes to provide feedback</t>
  </si>
  <si>
    <t>Exec Bus Lead</t>
  </si>
  <si>
    <t xml:space="preserve">Reviewed versions of spots to ensure rights managed items were not captured to avoid potential lawsuits </t>
  </si>
  <si>
    <t>Assisted in evaluating and negotiating terms of production and casting</t>
  </si>
  <si>
    <t>Exec Creative Dir</t>
  </si>
  <si>
    <t>Attended all  shoots to help detect vital disconnects with scripts and revised copy based on internal and client feedback/direction.</t>
  </si>
  <si>
    <t>Part of creative team that executed the approved creative</t>
  </si>
  <si>
    <t>Reviewed on camera casting/auditions.</t>
  </si>
  <si>
    <t>Was part of Creative Team that evaluated production, audio, post/special effects, casting &amp; editorial bids</t>
  </si>
  <si>
    <t>Exec Creative Dir, Creative Development</t>
  </si>
  <si>
    <t>Worked with internal agency team to ensure timing of visual, audio &amp; graphic supers were aligned in all versions of spots</t>
  </si>
  <si>
    <t>Executed the approved creative.</t>
  </si>
  <si>
    <t>Presented director/talent/location options and any other items from preproduction book to client for review/approval.</t>
  </si>
  <si>
    <t>Final approval on all setups and shot completion.</t>
  </si>
  <si>
    <t>Led creative decisions &amp; visual aspects throughout production.</t>
  </si>
  <si>
    <t>Managed teams of creatives, including attending productions to ensure creative is on brief throughout development.</t>
  </si>
  <si>
    <t>Exec Creative Dir, Creative Devt</t>
  </si>
  <si>
    <t xml:space="preserve">Was part of Creative Team that supervised production company with preproduction prep </t>
  </si>
  <si>
    <t>Led all creative decisions, visual and copy aspects throughout production</t>
  </si>
  <si>
    <t xml:space="preserve">Was part of Creative Team that attended Pre light &amp; Shoot </t>
  </si>
  <si>
    <t>Was part of Creative Team that worked on managing production workflow to ensure all footage captured was based on storyboards/scripts</t>
  </si>
  <si>
    <t>Exec Mgmt</t>
  </si>
  <si>
    <t>Supervise business teams involved in pre production with talent contracts, client budgets, estimates,etc.</t>
  </si>
  <si>
    <t>Exec Print Producer</t>
  </si>
  <si>
    <t>Attended internal agency meetings regarding retouching of shoot footage/asset selection for spots</t>
  </si>
  <si>
    <t>Supervised  on retouching of shoot footage including cleanup of images, removing elements and lighting adjustments</t>
  </si>
  <si>
    <t>Worked with Creative Team on selection of images for insertion into spots &amp; for cinemagraphs</t>
  </si>
  <si>
    <t>Exec Prod</t>
  </si>
  <si>
    <t>Approved all agency personnel hours that worked on the production</t>
  </si>
  <si>
    <t>Helped ensure edit specifications were met</t>
  </si>
  <si>
    <t>Helped ensure post production specifications were met</t>
  </si>
  <si>
    <t>Direct contact to client that managed agency teams to ensure success and client signoff.</t>
  </si>
  <si>
    <t>Ensured client has signed off on all preproduction documentation (props, talent, locations, etc.) and estimates prior to shoot</t>
  </si>
  <si>
    <t>Helped ensure that client, agency and on set vendors were aligned with the production decisions</t>
  </si>
  <si>
    <t>Helped keep shoot on schedule and within budget</t>
  </si>
  <si>
    <t>Exec Producer</t>
  </si>
  <si>
    <t>Along with Creative Team, supervised designers on post production</t>
  </si>
  <si>
    <t>Along with Creative Team, supervised editors on all edits &amp; finishing of spots</t>
  </si>
  <si>
    <t>Attended client reviews with Creative Team and coordinated final client approval of spots</t>
  </si>
  <si>
    <t>Attended edit sessions for additional spots &amp; cutdowns that the client requested</t>
  </si>
  <si>
    <t>Attended internal agency reviews</t>
  </si>
  <si>
    <t>Ensure client's audio/music specifications were met</t>
  </si>
  <si>
    <t>Ensured hard drives of shoot footage were delivered &amp; briefed editors on shoot details</t>
  </si>
  <si>
    <t>Ensured spots ship.</t>
  </si>
  <si>
    <t>Helped ensure spot deliverables met timeline for cost consultant &amp; client review</t>
  </si>
  <si>
    <t>Helped ensure that actualized and closed out production job is within budget</t>
  </si>
  <si>
    <t>Jonathan supervised additional talent voiceover sessions as well as voiceover edit sessions for additional spots, revisions &amp; cutdowns that client requested</t>
  </si>
  <si>
    <t>Jonathan supervised internal Optimus team on assembly of rough cut of spots, revisions &amp; final spots</t>
  </si>
  <si>
    <t>Jonathan was liaison between Optimus team &amp; Havas Annex LLC agency team regarding all facets of post production</t>
  </si>
  <si>
    <t>Oversaw post production edits and additional asset creation</t>
  </si>
  <si>
    <t>Reviewed clean up of film and additional fixes to final picture.</t>
  </si>
  <si>
    <t>Supervise editors on all edits &amp; finishing of spots</t>
  </si>
  <si>
    <t>Supervised internal team on design, layout and creation/changes to graphic superson all versions of spots</t>
  </si>
  <si>
    <t>Was part of agency team that presented client with rough cut of spots and noted client revisions</t>
  </si>
  <si>
    <t>Worked on mixing of audio, music selection &amp; recording of all voiceover sessions</t>
  </si>
  <si>
    <t>Worked to actualize talent costs and close out talent job</t>
  </si>
  <si>
    <t>Worked to ensure that job files were complete with all requisite production paperwork</t>
  </si>
  <si>
    <t>Worked with agency team on project management of budgets and to ensure timeline of deliverables were met</t>
  </si>
  <si>
    <t>Worked with agency team to outline post specifications based on client's feedback</t>
  </si>
  <si>
    <t>Worked with agency team to supervise sound design/mixing with audio engineer</t>
  </si>
  <si>
    <t>Assisted in evaluating and negotiating terms of all production, audio, post, casting &amp; editorial bids</t>
  </si>
  <si>
    <t>Attended all client meetings with creative &amp; account teams to discuss shoot prep</t>
  </si>
  <si>
    <t>Attended all internal meetings with creative team &amp; production company to discuss shoot prep</t>
  </si>
  <si>
    <t>Attended casting auditions &amp; callbacks along with Creative Team &amp; Director to select on camera talent &amp; backups for client's approval</t>
  </si>
  <si>
    <t>Engaged with directors and production companies based on storyboards &amp; job specifications</t>
  </si>
  <si>
    <t>Engaged with production company based on approved storyboards &amp; job specifications</t>
  </si>
  <si>
    <t>Helped ensure that creative/script direction was being executed accordingly</t>
  </si>
  <si>
    <t>Liaison between client, agency team and production company</t>
  </si>
  <si>
    <t>Oversight of the hiring process for all vendors</t>
  </si>
  <si>
    <t>Prepared job specifications for production company and music, audio, and graphic design</t>
  </si>
  <si>
    <t>Worked on budgets and timelines throughout full project timeline</t>
  </si>
  <si>
    <t>Worked on preparation of production budget &amp; timeline for spot deliverables for cost consultant &amp; client review</t>
  </si>
  <si>
    <t>Worked with Creative Team on specifications for shoot locations, set design, cast, props &amp; wardrobe selections</t>
  </si>
  <si>
    <t>Worked with Director to prepare production budget &amp; timeline for spot deliverables for client review</t>
  </si>
  <si>
    <t>Acted as gatekeeper during shoot to ensure client, agency &amp; production company were aligned with production decisions</t>
  </si>
  <si>
    <t>Implement last minute changes in artwork &amp; text graphics</t>
  </si>
  <si>
    <t>Liaison between client &amp; agency team regarding all facets of production</t>
  </si>
  <si>
    <t>Managed production workflow to ensure green screen/VFX footage were captured based on storyboards/scripts</t>
  </si>
  <si>
    <t>Was responsible for keeping production on time and within budget</t>
  </si>
  <si>
    <t>Worked with agency team budgets and timelines throughout full project timeline</t>
  </si>
  <si>
    <t>Worked with agency team on managing production workflow to ensure all artwork &amp; footage captured was based on storyboards/scripts</t>
  </si>
  <si>
    <t>Exec VP, Exec Creative Dir</t>
  </si>
  <si>
    <t>Executive Creative Director</t>
  </si>
  <si>
    <t>Attends all client reviews with Producers &amp; Business Affairs Teams</t>
  </si>
  <si>
    <t>Part of creative team that supervised designers on all post production including special effects/graphics/titles/end cards</t>
  </si>
  <si>
    <t>Part of creative team that supervised editors on all edits &amp; finishing of spots</t>
  </si>
  <si>
    <t>Presented client with rough cut of spots, noted client revisions &amp; communicated revisions to Post/Editorial companies</t>
  </si>
  <si>
    <t>Presents client with rough cut of spots, makes notes of client revisions &amp; communicates revisions to Post/Editorial companies</t>
  </si>
  <si>
    <t>Supervises assembly of final spots, and all versioning of spots for client review</t>
  </si>
  <si>
    <t>Worked to ensure post-production and special effect specifications were met for motion graphics and color correction.</t>
  </si>
  <si>
    <t>Attended all pre production meetings with clients prior to shoot</t>
  </si>
  <si>
    <t>Attended casting auditions &amp; callback to select on camera talent &amp; backups for client's approval</t>
  </si>
  <si>
    <t>Developed specifications for shoot locations, set design, cast, props and wardrobe selections.</t>
  </si>
  <si>
    <t>Manages Creative Team that is responsible for execution of approved script/storyboards</t>
  </si>
  <si>
    <t>Manages Creative Team that supervised production company with pre production prep</t>
  </si>
  <si>
    <t>Prepared job specifications for all vendors</t>
  </si>
  <si>
    <t>Supervised production company with pre-production preparation.</t>
  </si>
  <si>
    <t>Was responsible for execution of approved script/storyboards</t>
  </si>
  <si>
    <t>Approved talent wardrobe &amp; makeup prior to shooting</t>
  </si>
  <si>
    <t>Attends Shoot and makes creative decisions, visual and copy aspects throughout production</t>
  </si>
  <si>
    <t>Managed production workflow to ensure all footage captured aligned with storyboards and scripts.</t>
  </si>
  <si>
    <t>Part of team that ensured alignment between client, agency teams and production company on production decisions.</t>
  </si>
  <si>
    <t>Executive Creative Director,</t>
  </si>
  <si>
    <t>Part of Creative Team that worked to ensure audio/music specifications were met</t>
  </si>
  <si>
    <t>Creative Development</t>
  </si>
  <si>
    <t>Part of Creative Team that worked to ensure edit specifications were met</t>
  </si>
  <si>
    <t>Part of Creative Team that worked to supervise music selection</t>
  </si>
  <si>
    <t>Part of team that designed, created, and modified graphic supers for all versions of spots, including additional requests and cutdowns.</t>
  </si>
  <si>
    <t>Part of team that ensured post-production and special effect specifications were met for motion graphics and color correction.</t>
  </si>
  <si>
    <t>Executive Producer</t>
  </si>
  <si>
    <t>Along with Creative Team supervises designers on all postproduction including graphics/titles/end cards</t>
  </si>
  <si>
    <t>Ensured all spots ship. Uploads assets to media company.</t>
  </si>
  <si>
    <t>Ensures that all job files are complete with all requisite production paperwork</t>
  </si>
  <si>
    <t>Oversaw post production edits and additional asset creation (animation, sound design and graphics).</t>
  </si>
  <si>
    <t>Reviewed AD ID's and versions, legal on spots, etc.</t>
  </si>
  <si>
    <t>Worked on finalizing costs, overages, job, actuals, etc.</t>
  </si>
  <si>
    <t>Worked on making air dates and obtaining legal clearance when needed.</t>
  </si>
  <si>
    <t>Works closely with Creative Team to ensure that postproduction &amp; special effect specifications are met for motion graphics and color correction.</t>
  </si>
  <si>
    <t>Works with Agency Team to issue session and final cast reports</t>
  </si>
  <si>
    <t>Works with Creative Team to ensure that audio/music specifications are met</t>
  </si>
  <si>
    <t>Works with Creative Team to supervise sound design/mixing &amp; recording sessions with audio engineer</t>
  </si>
  <si>
    <t>Works with Post/Editorial companies to ensure spot deliverables met timeline for cost consultant &amp; client review</t>
  </si>
  <si>
    <t>Bids production companies.</t>
  </si>
  <si>
    <t>Created budgets and timelines to ensure production comes in on time and on target.</t>
  </si>
  <si>
    <t>Discusses specs for location scouting, casting, production design for sets and locations.</t>
  </si>
  <si>
    <t>Discusses wardrobe direction with Production Company.</t>
  </si>
  <si>
    <t>Facilitated product from client to shoot site for shoot.</t>
  </si>
  <si>
    <t>Helped negotiate vendor contracts</t>
  </si>
  <si>
    <t>Liaised between client, agency, and production companies regarding all components of production.</t>
  </si>
  <si>
    <t>Negotiated costs and finalized estimate for client approval.</t>
  </si>
  <si>
    <t>Prepared materials for pre pro meeting with clients</t>
  </si>
  <si>
    <t>Runs pre pro meeting and approves final preproduction book.</t>
  </si>
  <si>
    <t>Set up communication between director/prodco and agency team.</t>
  </si>
  <si>
    <t>Helps ensure that client, agency and onset vendors were aligned with the production decisions</t>
  </si>
  <si>
    <t>Was responsible for keeping shoot on schedule and within budget</t>
  </si>
  <si>
    <t>Group Acct Dir</t>
  </si>
  <si>
    <t>Managed &amp; worked closely with agency internal teams to ensure quality of production outputs prior to client review</t>
  </si>
  <si>
    <t>Managed internal agency team that was responsible for capturing all client feedback and relaying it to internal teams</t>
  </si>
  <si>
    <t>Attended internal agency meeting for production budget &amp; timeline review prior to submitting to client</t>
  </si>
  <si>
    <t>Supervised internal agency team to ensure client signed off on all production items prior to shoot including set design, props, insurance documents &amp; pre pro book</t>
  </si>
  <si>
    <t>Supervised internal agency teams to ensure production requirements and budgets are met</t>
  </si>
  <si>
    <t>Group Creative Dir</t>
  </si>
  <si>
    <t>Oversaw all postproduction edits and additional asset creation</t>
  </si>
  <si>
    <t>Reviewed cleanup of film and additional fixes to final picture.</t>
  </si>
  <si>
    <t>Assisted creative team with executing the approved creative.</t>
  </si>
  <si>
    <t>Assisted with creation of shot list for pre production book/production</t>
  </si>
  <si>
    <t>Cleaned up and/or approved packaging files for product.</t>
  </si>
  <si>
    <t>Cleaned up packaging files for product.</t>
  </si>
  <si>
    <t>Prepped examples of art direction</t>
  </si>
  <si>
    <t>Prepped examples of art direction for locations.</t>
  </si>
  <si>
    <t>Presented examples for set design and/or props.</t>
  </si>
  <si>
    <t>Supplied examples of wardrobe direction for stylist.</t>
  </si>
  <si>
    <t>Ensure footage captured was based on approved storyboards &amp; met the client’s needs</t>
  </si>
  <si>
    <t>Group Creative Dir, Art</t>
  </si>
  <si>
    <t>Part of team that attended internal agency reviews with producers, business managers, and account and business affairs teams.</t>
  </si>
  <si>
    <t>Part of team that supervised assembly of final spots and all versioning for client review.</t>
  </si>
  <si>
    <t>Group Exec Producer</t>
  </si>
  <si>
    <t>Worked with Business Affairs to finalize costs and close out job</t>
  </si>
  <si>
    <t>Head of Brand Design</t>
  </si>
  <si>
    <t>Approved the final version of the commercial after reviewing all post-production elements, including audio, graphics, and branding.</t>
  </si>
  <si>
    <t>Archived all final creative assets, ensuring proper documentation and storage for future brand projects.</t>
  </si>
  <si>
    <t>Coordinated with the media team to ensure that the final deliverables met technical requirements for various distribution channels.</t>
  </si>
  <si>
    <t>Provided detailed feedback on rough cuts, ensuring that the final product aligned with both the creative vision and brand standards.</t>
  </si>
  <si>
    <t>Worked with the post-production team to ensure that editing, color grading, and visual effects stayed true to the brand’s design principles.</t>
  </si>
  <si>
    <t>Coordinated with external vendors to ensure all pre-production materials, including wardrobe and set pieces, adhered to brand standards.</t>
  </si>
  <si>
    <t>Developed the overarching creative vision and brand guidelines for the commercial.</t>
  </si>
  <si>
    <t>Led brainstorming sessions with the creative team to finalize concept designs and visual themes.</t>
  </si>
  <si>
    <t>Reviewed and approved storyboards, ensuring brand consistency and alignment with campaign objectives.</t>
  </si>
  <si>
    <t>Worked closely with production teams to secure the right locations, props, and set designs that aligned with the brand identity.</t>
  </si>
  <si>
    <t>Collaborated with the Director and Cinematographer to ensure that shot compositions and lighting reflected the intended visual style.</t>
  </si>
  <si>
    <t>Liaised between the client and the production team to ensure that the creative vision was properly communicated and executed.</t>
  </si>
  <si>
    <t>Monitored production progress to ensure that the brand’s creative direction was adhered to at every stage.</t>
  </si>
  <si>
    <t>Oversaw the visual execution of the commercial, ensuring that all creative elements aligned with the brand’s identity.</t>
  </si>
  <si>
    <t>Provided real-time feedback on set design, wardrobe, and props to maintain brand consistency throughout the shoot.</t>
  </si>
  <si>
    <t>Head of Production</t>
  </si>
  <si>
    <t>Ensures final shipping, traffic, and all invoices/payments have been made on the project.</t>
  </si>
  <si>
    <t>Reviewed estimates to ensure that no unecessary costs have been added to the estimate</t>
  </si>
  <si>
    <t>Integrated Creative Dir</t>
  </si>
  <si>
    <t>Analyzed post-launch performance metrics and audience feedback, using insights to inform future campaigns and enhance overall creative strategy.</t>
  </si>
  <si>
    <t>Coordinated with sound designers and visual effects teams to enhance the final cut, ensuring that all elements contributed to a cohesive and impactful commercial.</t>
  </si>
  <si>
    <t>Facilitated feedback sessions with clients and stakeholders, incorporating their insights into final revisions while maintaining creative integrity.</t>
  </si>
  <si>
    <t>Prepared creative presentations for clients, showcasing the final commercial and explaining the rationale behind key creative decisions and visual choices.</t>
  </si>
  <si>
    <t>Reviewed and approved the initial edits of the commercial, collaborating closely with editors to ensure that pacing, transitions, and overall storytelling aligned with the creative vision.</t>
  </si>
  <si>
    <t>Collaborated with account managers and clients to finalize project briefs, establishing clear goals, key messages, and timelines for the campaign.</t>
  </si>
  <si>
    <t>Coordinated the selection of talent, locations, and production partners, ensuring alignment with the creative vision and budget constraints.</t>
  </si>
  <si>
    <t>Developed comprehensive creative concepts for the commercial, integrating client objectives with innovative storytelling techniques to engage the target audience.</t>
  </si>
  <si>
    <t>Led brainstorming sessions with the creative team to generate diverse ideas, ensuring a collaborative environment that fostered creativity and originality.</t>
  </si>
  <si>
    <t>Reviewed and approved storyboards and scripts, providing constructive feedback to enhance the narrative and visual elements before production began.</t>
  </si>
  <si>
    <t>Communicated effectively with the director and production team, facilitating adjustments to on-set activities to ensure creative objectives were met.</t>
  </si>
  <si>
    <t>Conducted daily briefings with the production team to address any challenges or changes, fostering a collaborative and responsive working environment.</t>
  </si>
  <si>
    <t>Monitored the production schedule and budget, ensuring efficient use of resources while maintaining quality standards throughout the filming process.</t>
  </si>
  <si>
    <t>Oversaw the creative direction during filming, ensuring that the execution aligned with the established vision and maintained brand integrity.</t>
  </si>
  <si>
    <t>Provided real-time feedback to actors and crew during shoots, guiding performances and visual compositions to enhance the final product.</t>
  </si>
  <si>
    <t>Jr Art Buyer</t>
  </si>
  <si>
    <t>Attended all agency internal meetings regarding production budget &amp; legal clearance</t>
  </si>
  <si>
    <t>Scheduled all edit sessions for in house agency team to attend</t>
  </si>
  <si>
    <t>Scheduled pos sessions with editor for Creative Team to attend</t>
  </si>
  <si>
    <t>Worked with Project Mgr to actualize costs and close out job</t>
  </si>
  <si>
    <t>Worked with Project Mgr to ensure all job files were complete with all requisite production paperwork</t>
  </si>
  <si>
    <t>Jr Art Director</t>
  </si>
  <si>
    <t>Was part of internal agency Team that attended internal agency reviews regarding edits</t>
  </si>
  <si>
    <t>Was part of internal agency team that worked on all editorial services including editing of graphics/titles/end cards</t>
  </si>
  <si>
    <t>Was part of internal agency Team that worked on design, layout and creation of graphic super son all versions of cinemagraphs/spots</t>
  </si>
  <si>
    <t>Was part of internal agency Team that worked on timing of visual &amp; graphic supers to ensure they were aligned in all versions of cinemagraphs/spots</t>
  </si>
  <si>
    <t>Manager-BBA</t>
  </si>
  <si>
    <t>Approved and facilitated production related vendor invoice approvals and payment</t>
  </si>
  <si>
    <t>Managed all payments of contracted vendors including Production Company, Casting Company, in addition to Post Vendors</t>
  </si>
  <si>
    <t>Researched stock images for use in spot</t>
  </si>
  <si>
    <t>Submitted talent paperwork &amp; managed talent payments</t>
  </si>
  <si>
    <t>Worked with Producer &amp; Creative Team on casting specifications for talent</t>
  </si>
  <si>
    <t>Worked with producer to actualize costs and close out job</t>
  </si>
  <si>
    <t>Worked with Producer to issue session and final cast reports</t>
  </si>
  <si>
    <t>Worked with Producer to prepare revised production budget to report revisions of costs</t>
  </si>
  <si>
    <t>Worked with Supervisor to prepare revised versions of talent estimates based on additional edit sessions &amp; usage costs</t>
  </si>
  <si>
    <t>Assisted in evaluating and negotiating terms of all production, audio, post/special effects, casting &amp; editorial bids</t>
  </si>
  <si>
    <t>Managed initial payments of contracted vendors including Production Company</t>
  </si>
  <si>
    <t>Worked with producer &amp; Creative Team to prepare job specifications for all vendors</t>
  </si>
  <si>
    <t>Coordinated with Producer to ensure schedules were met throughout production so that no overages were incurred</t>
  </si>
  <si>
    <t>Researched Legal clearance for on set items to ensure all footage captured was cleared for usage</t>
  </si>
  <si>
    <t>Mgmt Director</t>
  </si>
  <si>
    <t>Attended all internal agency reviews with Producers and Account, Creative Team, Social Media &amp; Strategy &amp; Teams during entire post production</t>
  </si>
  <si>
    <t>Managed Business Team that managed all Purchase Orders &amp; payments of contracted vendors</t>
  </si>
  <si>
    <t>Managed Business Team that researched stock images for use in spot</t>
  </si>
  <si>
    <t>Managed Business Team that reviewed all versions of spots to ensure rights managed items were not captured to avoid potential lawsuits</t>
  </si>
  <si>
    <t>Managed Business Team that scheduled all post/visual effects/audio/editing sessions</t>
  </si>
  <si>
    <t>Managed Business Team that scheduled talent edit sessions with recording studio</t>
  </si>
  <si>
    <t>Managed Business Team that worked Account Teams to actualize and close out production job within budget</t>
  </si>
  <si>
    <t>Managed Business Team that worked with Creative Team on casting specifications for talent</t>
  </si>
  <si>
    <t>Managed Business Team that worked with creative team that issue session and final cast reports</t>
  </si>
  <si>
    <t>Managed Business Team that worked with producer to prepare revised production budget to report overage costs</t>
  </si>
  <si>
    <t>Supervised entire Business Affairs Team &amp; met with team regularly during post production to receive job updates &amp; provide direction &amp; feedback from internal agency &amp; client meetings</t>
  </si>
  <si>
    <t>Was part of agency team that presented client with rough cut of spots, noted client revisions &amp; communicated revisions to agency teams</t>
  </si>
  <si>
    <t>Was part of agency team that supervised assembly of all versions of final broadcast, programmatic online video &amp; media spots for client review</t>
  </si>
  <si>
    <t>Was part of agency team that supervised assembly of all versions of final broadcast, programmatic online video &amp; social media spots for client review</t>
  </si>
  <si>
    <t>Was part of Business Affairs Team that attended all client reviews with Creative &amp; Account Teams, including review for final approval of spots</t>
  </si>
  <si>
    <t>Worked with Business Affairs &amp; Account Teams to prepare insurance specifications for Insurance vendor based on client brief</t>
  </si>
  <si>
    <t>Worked with Business Affairs Team to actualize talent costs and close out talent job</t>
  </si>
  <si>
    <t>Worked with Business Affairs Team to issue session and final cast reports</t>
  </si>
  <si>
    <t>Worked with Business Team to prepare revised versions of talent estimates based on additional edit sessions &amp; usage costs</t>
  </si>
  <si>
    <t>Worked with Editorial Company to ensure spot deliverables met timeline for client review</t>
  </si>
  <si>
    <t>Worked with the Business Affairs Team &amp; Insurance Company to obtain Insurance policy with necessary &amp; proper coverage amounts</t>
  </si>
  <si>
    <t>Assisted in evaluating and negotiating terms of all production, audio/music, post/visual effects, casting &amp; editorial bids</t>
  </si>
  <si>
    <t>Prepared required paperwork for payroll processing for celebrity talent to complete</t>
  </si>
  <si>
    <t>Prepared talent contracts &amp; sent to legal for review</t>
  </si>
  <si>
    <t>Reviewed legal clearance issues to ensure all potential spot content was cleared for use</t>
  </si>
  <si>
    <t>Reviewed Production Company contract prior to submitting to legal</t>
  </si>
  <si>
    <t>Supervised Business Affairs Team &amp; met with team during pre production to receive job updates &amp; provide direction &amp; feedback from internal agency &amp; client meetings</t>
  </si>
  <si>
    <t xml:space="preserve">supervised Business Affairs Team that negotiated &amp; prepared all talent contracts </t>
  </si>
  <si>
    <t>Was part of Business Affairs Team that prepared production budget &amp; timeline for spot deliverables for internal agency review prior to submitting to client for review</t>
  </si>
  <si>
    <t>Worked with Account Team to prepare initial draft of talent estimate</t>
  </si>
  <si>
    <t>Worked with Account Team to prepare insurance specifications for Insurance vendor based on client brief</t>
  </si>
  <si>
    <t>Worked with Creative &amp; Account Teams to prepare job specifications for all vendors</t>
  </si>
  <si>
    <t>Attended Pre light, Wardrobe Fitting Session &amp; Shoot</t>
  </si>
  <si>
    <t>Mgr, Business Affairs</t>
  </si>
  <si>
    <t>Actualized expenses and closed out job within budget</t>
  </si>
  <si>
    <t>Conveyed to client the amount of editorial overages due to changes requested by client</t>
  </si>
  <si>
    <t>Managed all payments of contracted vendors including Production Companies Society Inc and Carbon VFX in addition to Post Vendors (Another Country, Earhole Studios, LLC, Shutterstock, Inc &amp; Whitehouse Post Productions, LLC)</t>
  </si>
  <si>
    <t>Scheduled all edit sessions producer to attend</t>
  </si>
  <si>
    <t>Scheduled music production sessions producer to attend</t>
  </si>
  <si>
    <t>Submitted talent paperwork &amp; managed payment</t>
  </si>
  <si>
    <t>Assisted in evaluating and negotiating terms of all production, music, audio &amp; editorial bids</t>
  </si>
  <si>
    <t>Courtney worked with Carrie (Executive Producer) to prepare specifications for all vendors including production/animation company and music, audio &amp; edit vendors</t>
  </si>
  <si>
    <t>Researched legal clearance issues to ensure all animated items were cleared for use.</t>
  </si>
  <si>
    <t>Worked with producer to prepare production budget &amp; timeline for spot deliverables &amp; obtained approvals from cost consultant &amp; client</t>
  </si>
  <si>
    <t>Scheduled audio production sessions for producer to attend</t>
  </si>
  <si>
    <t>Scheduled post sessions producer to attend</t>
  </si>
  <si>
    <t>PM / Producer</t>
  </si>
  <si>
    <t>Assisted in evaluating and negotiating terms of production bids</t>
  </si>
  <si>
    <t>Attended client meetings with creative &amp; account teams to discuss shoot prep</t>
  </si>
  <si>
    <t>Attended internal meetings with creative team &amp; production company to discuss shoot prep</t>
  </si>
  <si>
    <t>Engaged directors and production companies based on approved storyboards &amp; job specifications</t>
  </si>
  <si>
    <t>Helped prepare production budget &amp; timeline for spot deliverables for cost consultant &amp; client review</t>
  </si>
  <si>
    <t>Acted as gatekeeper during shoot to ensure client, creative team, director and on set vendors were aligned with all production decisions</t>
  </si>
  <si>
    <t>Attended shoot day</t>
  </si>
  <si>
    <t>Managed workflow of shoot to ensure all footage captured was based on storyboards/scripts</t>
  </si>
  <si>
    <t>Worked with creative team, director &amp; line producer on set direction, lighting &amp; props</t>
  </si>
  <si>
    <t>Post Producer</t>
  </si>
  <si>
    <t>Conducted a final review with the client and creative team, addressing any last-minute changes or adjustments before the commercial's release.</t>
  </si>
  <si>
    <t>Coordinated sound design and music scoring, ensuring that audio elements enhanced the overall impact of the commercial.</t>
  </si>
  <si>
    <t>Managed the final delivery of the commercial, ensuring all formats and specifications were met for various distribution channels.</t>
  </si>
  <si>
    <t>Reviewed color grading and visual effects, ensuring they met the desired aesthetic and were consistent with the brand’s identity.</t>
  </si>
  <si>
    <t>Supervised the editing process, providing creative input and feedback to ensure the final cut aligned with the project’s vision and client expectations.</t>
  </si>
  <si>
    <t>Collaborated with the production team to determine the necessary post-production resources, including editors, sound designers, and colorists.</t>
  </si>
  <si>
    <t>Coordinated with the creative team to understand the vision for the commercial and discussed the required post-production techniques to achieve that vision.</t>
  </si>
  <si>
    <t>Developed detailed post-production schedules that outlined timelines for editing, sound design, and visual effects.</t>
  </si>
  <si>
    <t>Established budgets for post-production activities, ensuring alignment with overall project costs and financial constraints.</t>
  </si>
  <si>
    <t>Prepared logistics for the transfer of footage and files from the production team to the post-production team, ensuring smooth workflow continuity.</t>
  </si>
  <si>
    <t>Assisted in the organization and management of raw footage, ensuring all assets were properly labeled and accessible for the editing team.</t>
  </si>
  <si>
    <t>Communicated with the director and other stakeholders to gather feedback on initial edits and integrate their notes into the editing process.</t>
  </si>
  <si>
    <t>Facilitated communication between the production and post-production teams to address any issues or adjustments needed during the editing phase.</t>
  </si>
  <si>
    <t>Monitored the progress of the edit, ensuring that the project stayed on schedule and met the quality standards set during pre-production.</t>
  </si>
  <si>
    <t>Oversaw the daily workflow of the post-production team, ensuring that editing and sound work began promptly after filming concluded.</t>
  </si>
  <si>
    <t>Pres, Digital &amp; Social Media</t>
  </si>
  <si>
    <t>Worked with Creative Team to select final assets for Cinemagraphs/Gifs</t>
  </si>
  <si>
    <t>Prod Business Mgr</t>
  </si>
  <si>
    <t>Submitted on camera talent paperwork to payroll company &amp; managed payments</t>
  </si>
  <si>
    <t>Worked with producer to issue session and final cast reports</t>
  </si>
  <si>
    <t>Assisted in evaluating and negotiating terms of all production, casting &amp; post vendor bids</t>
  </si>
  <si>
    <t>Booked on camera talent upon approval from Producers &amp; client</t>
  </si>
  <si>
    <t>Worked with producers to prepare job specifications for Production Company, Casting Company and Post/Edit &amp; Music Licensing vendors</t>
  </si>
  <si>
    <t>Ensured all talent contracts were signed and executed properly</t>
  </si>
  <si>
    <t>Monitored production budget on set</t>
  </si>
  <si>
    <t>Prod Mgr</t>
  </si>
  <si>
    <t>Maintained group calendars and scheduled &amp; attended all post production internal agency meetings</t>
  </si>
  <si>
    <t>Producer</t>
  </si>
  <si>
    <t>Assisted agency team to ensure rights managed items were not captured to avoid potential lawsuits</t>
  </si>
  <si>
    <t>Assisted with oversight of editor to ensure post production &amp; edit specifications were met</t>
  </si>
  <si>
    <t>Attended internal agency reviews regarding music &amp; audio production</t>
  </si>
  <si>
    <t>Attended internal reviews with Creative &amp; Account teams</t>
  </si>
  <si>
    <t>Conducted search of music search licenses</t>
  </si>
  <si>
    <t>Ensure post production &amp; edit specifications were met</t>
  </si>
  <si>
    <t>Ensured hard drives of shoot footage were delivered &amp; briefed post staff on shoot details</t>
  </si>
  <si>
    <t>Ensured hard drives of shoot footage were delivered to Editorial Company &amp; briefed editors on shoot details</t>
  </si>
  <si>
    <t>Ensured spot deliverables met timeline for cost consultant &amp; client review</t>
  </si>
  <si>
    <t>Helped ensure that spot deliverables met timeline for cost consultant &amp; client review</t>
  </si>
  <si>
    <t>Obtained creative team/client approvals</t>
  </si>
  <si>
    <t>Oversaw all postproduction edits.</t>
  </si>
  <si>
    <t xml:space="preserve">Oversight of assembly of all versions of spots for client review </t>
  </si>
  <si>
    <t>Presented client with rough cut of spots and noted client comments for revision</t>
  </si>
  <si>
    <t>Worked account team to actualize and close out job within budget</t>
  </si>
  <si>
    <t>Worked account team to ensure all job files were complete with all requisite production paperwork</t>
  </si>
  <si>
    <t>Worked account team to ensure spot deliverables met timeline for cost consultant &amp; client review</t>
  </si>
  <si>
    <t>Worked closely with Creative &amp; Account Teams to ensure music specifications were met</t>
  </si>
  <si>
    <t>Worked closely with editor to ensure post production &amp; edit specifications were met</t>
  </si>
  <si>
    <t>Worked on closing out job within budget</t>
  </si>
  <si>
    <t>Worked with animators on graphics, titles, end cards on social spots</t>
  </si>
  <si>
    <t>Worked with Creative Team &amp; audio engineers on music production for spots</t>
  </si>
  <si>
    <t xml:space="preserve">Worked with editor &amp; designers on additional post production edits </t>
  </si>
  <si>
    <t>Worked with editor daily on edits and versions with creative team.</t>
  </si>
  <si>
    <t>Worked with the editor daily on edits and versions with the creative team.</t>
  </si>
  <si>
    <t>Discussed specs for location scouting, casting, production design for sets and locations.</t>
  </si>
  <si>
    <t>Discussed wardrobe direction with prodco.</t>
  </si>
  <si>
    <t>Ensured everything that was being filmed was cleared for usage and resolved potential production liabilities</t>
  </si>
  <si>
    <t>Executed production contracts and declared insurance in coordination with legal to ensure compliance with client SOWs</t>
  </si>
  <si>
    <t>Helped prepare job specifications for Production Company, Casting Company and Post/Edit &amp; Music Licensing vendors</t>
  </si>
  <si>
    <t>Oversight of the hiring process for all production vendors including production, casting &amp; post companies</t>
  </si>
  <si>
    <t>Prepared production budget &amp; timeline for spot deliverables for cost consultant &amp; client review</t>
  </si>
  <si>
    <t>Ran pre pro meeting and approved final pre production book.</t>
  </si>
  <si>
    <t>Reviewed casting sessions &amp; selected talent for client's approval</t>
  </si>
  <si>
    <t>Worked on outside counsel needed for copyright issues &amp; legal clearance</t>
  </si>
  <si>
    <t>Worked on preparing job specifications for Production Company, Casting Company and Post/Edit &amp; Music Licensing vendors</t>
  </si>
  <si>
    <t>Acted as gatekeeper to ensure client, agency and on set vendors are aligned with the production decisions</t>
  </si>
  <si>
    <t>Approved talent wardrobe &amp; makeup prior to shoot</t>
  </si>
  <si>
    <t>Attended Pre light and shoot</t>
  </si>
  <si>
    <t>Ensured clients approved food product on set</t>
  </si>
  <si>
    <t>Led Production Meeting at Prelight and Shoot</t>
  </si>
  <si>
    <t>Managed production workflow of shoot to ensure all footage was captured based on storyboards/scripts</t>
  </si>
  <si>
    <t>Signed talent contracts on set &amp; managed talent hours</t>
  </si>
  <si>
    <t>Worked with director &amp; line producer on set direction, lighting &amp; props</t>
  </si>
  <si>
    <t>Producer - Executive</t>
  </si>
  <si>
    <t>Oversight of assembly of all versions of spots for client review</t>
  </si>
  <si>
    <t>Presented client with rough cut of spots &amp; noted client revisions</t>
  </si>
  <si>
    <t>Scheduled meeting with client, producer &amp; creative team for final review/approval of spot</t>
  </si>
  <si>
    <t>Submitted talent paperwork to pay master &amp; managed talent payments</t>
  </si>
  <si>
    <t>Worked on actualizing and closing out job within budget</t>
  </si>
  <si>
    <t>Worked on ensuring all job files were complete with all requisite production paperwork</t>
  </si>
  <si>
    <t>Worked on ensuring post production &amp; edit specifications were met</t>
  </si>
  <si>
    <t>Worked on ensuring spot deliverables met timeline for cost consultant &amp; client review</t>
  </si>
  <si>
    <t>Engaged production company based on approved storyboards &amp; job specifications</t>
  </si>
  <si>
    <t>Oversight of the hiring process for all production vendors</t>
  </si>
  <si>
    <t>Worked on preparing job specifications for Production Company and Edit vendors</t>
  </si>
  <si>
    <t>Worked on preparing production budget &amp; timeline for spot deliverables for cost consultant &amp; client review</t>
  </si>
  <si>
    <t>Acted as gatekeeper to ensure client, agency and on set vendors were aligned with all production decisions</t>
  </si>
  <si>
    <t>Producer Intern</t>
  </si>
  <si>
    <t>Helped ensure all job files were complete with all requisite production paperwork</t>
  </si>
  <si>
    <t>Producer, Integrated Production</t>
  </si>
  <si>
    <t>Attended presentation of client with rough cut of spots, noted client revisions &amp; communicated sound design &amp; graphic changes</t>
  </si>
  <si>
    <t>Managed specific elements of post production including sound design and graphics</t>
  </si>
  <si>
    <t>Worked on sounds design with creative team and audio engineer</t>
  </si>
  <si>
    <t>Worked with designers on graphics/titles/end cards</t>
  </si>
  <si>
    <t>Bid editorial houses.</t>
  </si>
  <si>
    <t>Bid production companies.</t>
  </si>
  <si>
    <t>Facilitated hero packaging being created and shipped.</t>
  </si>
  <si>
    <t>Helped negotiate vendor and talent contracts and worked with internal team.</t>
  </si>
  <si>
    <t>Prepared materials for pre pro meeting with clients and ran pre pro meeting.</t>
  </si>
  <si>
    <t>Ran pre pro meeting and approves final pre production book.</t>
  </si>
  <si>
    <t>Reviewed casting with on camera.</t>
  </si>
  <si>
    <t>Sent casting specs to production company for on camera talent.</t>
  </si>
  <si>
    <t>Helped ensure that client, agency and on set vendors were aligned with the production decisions.</t>
  </si>
  <si>
    <t>Obtained creative team/client approvals.</t>
  </si>
  <si>
    <t>Was responsible for keeping shoot on schedule and within budget.</t>
  </si>
  <si>
    <t>Production Designer</t>
  </si>
  <si>
    <t>Assisted in all creative decisions &amp; and visual aspects throughout production and approval of final edits.</t>
  </si>
  <si>
    <t>Assists in all creative decisions &amp; visual aspects throughout production and approval of final edits.</t>
  </si>
  <si>
    <t>Attend internal and client reviews in regard to design/visual requirements and needs for the final spots.</t>
  </si>
  <si>
    <t>Review post production edits and additional asset creation</t>
  </si>
  <si>
    <t>Reviewed clean up of film and additional fixes to the final picture.</t>
  </si>
  <si>
    <t>Assists creative team with executing the approved creative.</t>
  </si>
  <si>
    <t>Cleans up and/or approves packaging files for hero product.</t>
  </si>
  <si>
    <t>Facilitates hero packaging files for animators.</t>
  </si>
  <si>
    <t>Preps examples of art direction for locations.</t>
  </si>
  <si>
    <t>Present examples for set design and/or props.</t>
  </si>
  <si>
    <t>Supplies examples of wardrobe direction for stylist.</t>
  </si>
  <si>
    <t>Program Mgr, Integrated Campaigns</t>
  </si>
  <si>
    <t>Coordinated with editors and creative teams to review rough cuts and provide feedback based on client expectations.</t>
  </si>
  <si>
    <t>Ensured that all final assets are delivered on time and meet the required technical specifications for media placement.</t>
  </si>
  <si>
    <t>Managed rounds of revisions and feedback between the agency, client, and post-production teams to finalize deliverables.</t>
  </si>
  <si>
    <t>Oversaw the post-production process, ensuring that editing, sound design, and visual effects align with the campaign’s goals.</t>
  </si>
  <si>
    <t>Reviewed and archives all final files and documentation, ensuring compliance with agency and client standards.</t>
  </si>
  <si>
    <t>Collaborated with the creative and strategy teams to develop a clear vision for the campaign’s messaging and objectives.</t>
  </si>
  <si>
    <t>Coordinated pre-production meetings with key stakeholders, ensuring all creative, logistical, and technical requirements are met.</t>
  </si>
  <si>
    <t>Developed comprehensive production schedules and timelines, coordinating across internal and external teams.</t>
  </si>
  <si>
    <t>Oversaw the creation and approval of detailed budgets, ensuring financial alignment with client expectations.</t>
  </si>
  <si>
    <t>Secured necessary resources, including production companies, talent, and locations, ensuring alignment with the project scope.</t>
  </si>
  <si>
    <t>Acted as the primary point of contact between the agency, client, and production crew to ensure smooth communication.</t>
  </si>
  <si>
    <t>Managed on-set operations, ensuring that all production activities are executed on time and in accordance with the plan.</t>
  </si>
  <si>
    <t>Monitors the shoot to ensure creative objectives are being met and facilitates any necessary adjustments.</t>
  </si>
  <si>
    <t>Provided regular updates to clients and internal teams on production status, addressing any concerns promptly.</t>
  </si>
  <si>
    <t>Tracked production progress and expenses, ensuring that the project remains within budget and timeline constraints.</t>
  </si>
  <si>
    <t>Project Mgr</t>
  </si>
  <si>
    <t>Finalize costs and close out job</t>
  </si>
  <si>
    <t>Maintained group calendars and scheduled &amp; attended interdepartmental agency meetings &amp; reviews</t>
  </si>
  <si>
    <t>Monitored production budget across internal agency teams</t>
  </si>
  <si>
    <t>Reviewed final versions of spots to resolve legal clearance issues to ensure all footage was cleared for use</t>
  </si>
  <si>
    <t>Tracked &amp; approved all post production hours for all agency personnel</t>
  </si>
  <si>
    <t xml:space="preserve">Worked closely across all agency teams to ensure successful production completion </t>
  </si>
  <si>
    <t>Retoucher</t>
  </si>
  <si>
    <t>Attended all internal agency meetings regarding retouching of shoot footage</t>
  </si>
  <si>
    <t>Responsible for retouching of shoot footage to improve/enhance representation of product images</t>
  </si>
  <si>
    <t>Background compositing, adjustment of tone, color, saturation and brightness &amp; comprehensive cleanup/edit of shoot footage</t>
  </si>
  <si>
    <t>Senior Associate, CX</t>
  </si>
  <si>
    <t>Adds client meeting dates to group calendars to ensure timelines are met</t>
  </si>
  <si>
    <t>Senior Copy Writer</t>
  </si>
  <si>
    <t>Attends internal agency meetings regarding content/graphic supers for spots</t>
  </si>
  <si>
    <t>Works on crafting content for all versions cinemagraphs/social spots</t>
  </si>
  <si>
    <t>Senior Manager,</t>
  </si>
  <si>
    <t>Ensure schedules were met throughout production so that no overages were incurred</t>
  </si>
  <si>
    <t>Business Affairs &amp;</t>
  </si>
  <si>
    <t>Talent Management</t>
  </si>
  <si>
    <t>Senior Producer</t>
  </si>
  <si>
    <t>Ensures all spots ship. Uploads assets to media company.</t>
  </si>
  <si>
    <t>Finalizes costs, overages, job, actuals, etc.</t>
  </si>
  <si>
    <t>Oversees all post production edits.</t>
  </si>
  <si>
    <t>Reviews all AD ID's and versions, legal on spots, etc.</t>
  </si>
  <si>
    <t>Reviews clean up of film and additional fixes to final picture. (ie. remove lightswitch from wall, dust on film, etc. ).</t>
  </si>
  <si>
    <t>Supervises final edits/assembly of final spots, and all versioning of spots. .</t>
  </si>
  <si>
    <t>Works closely with Business Affairs on making air dates and obtaining legal clearance when needed.</t>
  </si>
  <si>
    <t>Works with animators on graphics/titles/end cards/mnemonics.</t>
  </si>
  <si>
    <t>Works with Business Affairs to finalize costs, overages, job, actuals, etc.</t>
  </si>
  <si>
    <t>Works with editor on a daily basis on edits and versions with creative team.</t>
  </si>
  <si>
    <t>Attends pre pro metting</t>
  </si>
  <si>
    <t>Bids editorial houses.</t>
  </si>
  <si>
    <t>Bids music companies.</t>
  </si>
  <si>
    <t>Creates budgets and timelines to ensure production comes in on time and on target.</t>
  </si>
  <si>
    <t>Discusses wardrobe direction with prodco.</t>
  </si>
  <si>
    <t>Facilitates hero packaging being created. and shipped.</t>
  </si>
  <si>
    <t>Facilitates product from client to shoot site for shoot.</t>
  </si>
  <si>
    <t>Helps negotiate vendor and talent contracts and works with Business Affairs  and outside counsel and/or internal team.</t>
  </si>
  <si>
    <t>Negotiates costs and finalizes estimate for client approval.</t>
  </si>
  <si>
    <t>Prepare job specifications for Production Company, Casting Company &amp; Post/Edit vendors</t>
  </si>
  <si>
    <t>Preps all materials for pre pro meeting with clients and runs pre pro meeting.</t>
  </si>
  <si>
    <t>Preps all materials for pre pro meeting with clients.</t>
  </si>
  <si>
    <t>Reviews all casting with creative team</t>
  </si>
  <si>
    <t>Reviews all casting with on camera</t>
  </si>
  <si>
    <t>Runs pre pro meeting and approves final pre production book.</t>
  </si>
  <si>
    <t>Sends casting specs to production company for on camera talent.</t>
  </si>
  <si>
    <t>Sets up communication between director/prodco and agency team.</t>
  </si>
  <si>
    <t>Starts casting for voice over talent.</t>
  </si>
  <si>
    <t>Works with food stylist to align on how product will be made and look.</t>
  </si>
  <si>
    <t>Acted as gatekeeper to ensure client, agency and on set vendors were aligned with the production decisions</t>
  </si>
  <si>
    <t>Attended Pre light</t>
  </si>
  <si>
    <t>Attends shoot.</t>
  </si>
  <si>
    <t>Facilitates any script changes with director.</t>
  </si>
  <si>
    <t>Gatekeeper to ensure client, agency and vendors are aligned with the production decisions.</t>
  </si>
  <si>
    <t>Helps ensure that client, agency and on</t>
  </si>
  <si>
    <t>Makes sure creative and clients approved food or product on set.</t>
  </si>
  <si>
    <t>Makes sure shoot day is running on time.</t>
  </si>
  <si>
    <t>Responsible for color correct packaging on set.</t>
  </si>
  <si>
    <t>Responsible for keeping things on track and within budget.</t>
  </si>
  <si>
    <t>Signs talent contracts.</t>
  </si>
  <si>
    <t>Senior Producer,</t>
  </si>
  <si>
    <t>Actualized and close out production job within budget</t>
  </si>
  <si>
    <t>Integrated Production</t>
  </si>
  <si>
    <t>Actualized talent costs and closed out talent job</t>
  </si>
  <si>
    <t>Along with Creative Team supervised designers on all post production</t>
  </si>
  <si>
    <t>Along with Creative Team supervised editors on all edits &amp; finishing of spots</t>
  </si>
  <si>
    <t>Attended all client reviews with Creative &amp; Account Team and coordinated final client approval of spots</t>
  </si>
  <si>
    <t>Attended all internal agency reviews with team</t>
  </si>
  <si>
    <t>Was part of agency team that presented client with rough cut of spots, noted client revisions &amp; communicated revisions to Post/Editorial companies</t>
  </si>
  <si>
    <t>Worked closely with Creative Team to ensure audio/music specifications were met</t>
  </si>
  <si>
    <t>Worked with Creative Team to ensure spot deliverables met timeline for client review</t>
  </si>
  <si>
    <t>Worked with Creative Team to issue session and final cast reports</t>
  </si>
  <si>
    <t>Worked with Creative Team to supervise sound design/mixing &amp; recording sessions with audio engineer</t>
  </si>
  <si>
    <t>Liaison between client, agency team, and production company regarding all components of production</t>
  </si>
  <si>
    <t>Oversight of the hiring process for all production vendors including production company &amp; audio, post &amp; edit vendors</t>
  </si>
  <si>
    <t>Worked on copyright issues &amp; legal clearance; ensured everything that was filmed was cleared for usage and resolved potential production liabilities</t>
  </si>
  <si>
    <t>Worked to prepare insurance specifications for Insurance vendor based on client statement of work</t>
  </si>
  <si>
    <t>Worked to prepare job specifications for all vendors including production &amp; casting companies, audio, post &amp; edit vendors</t>
  </si>
  <si>
    <t>Worked to prepare production budget &amp; timeline for spot deliverables for cost consultant &amp; client review</t>
  </si>
  <si>
    <t>Along with creative team &amp; client approved talent wardrobe &amp; makeup prior to shoot</t>
  </si>
  <si>
    <t>Attended Pre light &amp; Shoot and led Pre Pre Pro Meeting</t>
  </si>
  <si>
    <t>Senior Production, Business Affairs Manager</t>
  </si>
  <si>
    <t>Attend production shoots</t>
  </si>
  <si>
    <t>Manage talent contracts</t>
  </si>
  <si>
    <t>Senior Vice President, Account Director</t>
  </si>
  <si>
    <t>Obtain final approval on spot(s) prior to shipping.</t>
  </si>
  <si>
    <t>Direct to client contact that manages agency teams to ensure success and client signoff</t>
  </si>
  <si>
    <t>Ensure client has signed off on all preproduction documentation and estimates prior to shoot</t>
  </si>
  <si>
    <t>Social Director</t>
  </si>
  <si>
    <t>Attended internal agency meetings &amp; assisted with feedback and selection of final edits to ensure spots were on brief</t>
  </si>
  <si>
    <t>Collaborated with Creative Team on selection of visual assets for social media spots</t>
  </si>
  <si>
    <t>Used knowledge of trends &amp; expertise of social media trends to ensure optimal creation of social media spots</t>
  </si>
  <si>
    <t>Part of Social Media Team that provided sizing specifications for social media spots</t>
  </si>
  <si>
    <t>Was part of the team that reviewed final versions of social media spots to ensure all specified requirements were met</t>
  </si>
  <si>
    <t>Worked with creative team on captions &amp; hashtags for various social media spots</t>
  </si>
  <si>
    <t>Secured images to incorporate in artwork for shot list &amp; pre pro book</t>
  </si>
  <si>
    <t xml:space="preserve">Part of Strategy Team that attended all pre production meetings </t>
  </si>
  <si>
    <t>Worked with Creative Team on artwork specifications for shot list/prepro book for broadcast &amp; programmatic online video spots</t>
  </si>
  <si>
    <t>Part of Social Media Team that attended Pre light &amp; Shoot to collaborate with agency teams on direction of shoot &amp; footage captured for broadcast &amp; programmatic online video spots</t>
  </si>
  <si>
    <t>Social Media Mgr</t>
  </si>
  <si>
    <t>Analyzed engagement metrics and audience feedback to assess the effectiveness of the social media campaign.</t>
  </si>
  <si>
    <t>Was part of the team that reviewed final versions of social media spots to ensure aspect ratios, specs and visuals met specified requirements</t>
  </si>
  <si>
    <t>Worked with Creative Team on captions &amp; hashtags for various social media spots</t>
  </si>
  <si>
    <t>Collaborated with the customer service team to address viewer inquiries and comments related to the commercial.</t>
  </si>
  <si>
    <t>Developed and executed follow-up posts and stories to maintain audience engagement after the commercial launch.</t>
  </si>
  <si>
    <t>Edited and published the final commercial across all designated social media platforms.</t>
  </si>
  <si>
    <t>Reported on social media performance to stakeholders, highlighting key insights and recommendations for future campaigns.</t>
  </si>
  <si>
    <t>Collaborated with influencers and brand ambassadors to outline partnership opportunities for promoting the commercial.</t>
  </si>
  <si>
    <t>Conducted research on trending hashtags and topics relevant to the commercial to optimize engagement.</t>
  </si>
  <si>
    <t>Coordinated with the creative team to ensure brand consistency across all social media platforms.</t>
  </si>
  <si>
    <t>Created a content calendar to schedule posts and promotional activities surrounding the commercial’s release.</t>
  </si>
  <si>
    <t>Developed a social media strategy that outlined key messaging and target audience for the commercial launch.</t>
  </si>
  <si>
    <t>Captured behind-the-scenes content during the filming of the commercial for use on social media channels.</t>
  </si>
  <si>
    <t>Coordinated with the production team to ensure timely access to visual assets for social media use.</t>
  </si>
  <si>
    <t>Created and scheduled posts featuring teasers and sneak peeks of the commercial.</t>
  </si>
  <si>
    <t>Engaged with followers in real-time during the production phase to generate excitement and anticipation for the commercial.</t>
  </si>
  <si>
    <t>Monitored social media conversations and feedback related to the commercial production.</t>
  </si>
  <si>
    <t>Social Strategist, Influencer</t>
  </si>
  <si>
    <t>Analyzed influencer-generated content and its performance metrics post-launch.</t>
  </si>
  <si>
    <t>Compiled and presented a report summarizing influencer impact on the campaign's overall performance.</t>
  </si>
  <si>
    <t>Coordinated follow-up campaigns with influencers to sustain audience engagement after the commercial aired.</t>
  </si>
  <si>
    <t>Gathered testimonials and feedback from influencers regarding their experience with the campaign.</t>
  </si>
  <si>
    <t>Managed relationships with influencers for potential future collaborations.</t>
  </si>
  <si>
    <t>Coordinated with the creative team to integrate influencer content into the overall campaign strategy.</t>
  </si>
  <si>
    <t>Created a detailed influencer brief outlining campaign goals, messaging, and deliverables.</t>
  </si>
  <si>
    <t>Developed outreach strategies to engage selected influencers for the campaign.</t>
  </si>
  <si>
    <t>Established metrics for measuring influencer performance and campaign success.</t>
  </si>
  <si>
    <t>Identified and researched potential influencers to align with the commercial's target audience and brand values.</t>
  </si>
  <si>
    <t>Captured real-time feedback from influencers on the production experience for future reference.</t>
  </si>
  <si>
    <t>Collaborated with influencers during the production phase to ensure alignment with the commercial's vision.</t>
  </si>
  <si>
    <t>Facilitated communication between influencers and the production team for any necessary adjustments.</t>
  </si>
  <si>
    <t>Monitored influencer posts during production to engage with audiences and amplify reach.</t>
  </si>
  <si>
    <t>Provided influencers with content guidelines and assets needed for their promotions.</t>
  </si>
  <si>
    <t>Sr Account Director</t>
  </si>
  <si>
    <t>Helped ensured that invoices/payments had been made on the project</t>
  </si>
  <si>
    <t>Sr Acct Director</t>
  </si>
  <si>
    <t>Attended internal reviews with agency internal teams to ensure quality of production outputs prior to client review</t>
  </si>
  <si>
    <t>Submitted client approved estimate &amp; production timeline to internal agency production, business affairs and finance teams to begin invoicing &amp; budget management</t>
  </si>
  <si>
    <t>Was part of Account Team that regularly met with clients &amp; communicated updates on production</t>
  </si>
  <si>
    <t>Worked with client on items that needed client’s approvals</t>
  </si>
  <si>
    <t>Was part of Account Team that interfaced with Producer, Creative Team, and client to sign off on set design, props &amp; wardrobe selections for shoot</t>
  </si>
  <si>
    <t>Was part of Account Team that was a direct partner on set with client to ensure footage captured was based on approved storyboards &amp; met the client’s needs</t>
  </si>
  <si>
    <t>Was part of Account Team that worked in keeping shoot on schedule and within budget</t>
  </si>
  <si>
    <t>Sr Art Dir</t>
  </si>
  <si>
    <t>Attended all internal agency reviews with, Sr. Business Affairs Mgr &amp; Account Team</t>
  </si>
  <si>
    <t>Oversaw post production edits</t>
  </si>
  <si>
    <t>Part of Creative team that was responsible for design &amp; layout on all versions of spots including additional spots &amp; cutdowns that client requested</t>
  </si>
  <si>
    <t>Part of Creative Team that worked to ensure postproduction specifications were met</t>
  </si>
  <si>
    <t>Rensure timing of visual, audio &amp; graphic supers were aligned in all versions of spots</t>
  </si>
  <si>
    <t>Was part of Creative Team that worked with Producer to ensure post/editorial specifications were met for graphics/color correction for all spots</t>
  </si>
  <si>
    <t xml:space="preserve">Aattended all pre production meetings with clients prior to shoot </t>
  </si>
  <si>
    <t>Lead on Creative Team that reviewed pencil tests/preliminary animation direction and shared feedback with producer</t>
  </si>
  <si>
    <t>Once production company was contracted, was part of Creative Team that was responsible for execution of visual aspects of approved storyboards</t>
  </si>
  <si>
    <t>Supervised production company with pre production prep production prep</t>
  </si>
  <si>
    <t>Was lead on Creative Team that reviewed pencil tests/preliminary animation direction and shared feedback with producer</t>
  </si>
  <si>
    <t>Was part of Creative Team that evaluated all production &amp; editorial/post bids to ensure job specifications were met</t>
  </si>
  <si>
    <t>Was part of Creative Team that worked with the Sr Producer &amp; Sr Bus Affairs Mgr to prepare job specifications for production company &amp; edit vendors</t>
  </si>
  <si>
    <t xml:space="preserve">Was part of Lead Creative Team that attended all pre production meetings with clients prior to shoot </t>
  </si>
  <si>
    <t>Was part of Lead Creative Team that evaluated all production, audio/music, post/visual effects, casting &amp; editorial bids</t>
  </si>
  <si>
    <t>Was part of Lead Creative Team that supervised production company with pre production prep</t>
  </si>
  <si>
    <t>Was part of Lead Creative Team that worked with Producers &amp; Account Team on specifications for shoot locations, set design, cast, &amp; props elections</t>
  </si>
  <si>
    <t>Was part of Lead Creative Team that worked with Producers, Business Affairs &amp; Account Teams to prepare job specifications for all vendors including production &amp; casting companies, audio, post/special effects &amp; edit vendors</t>
  </si>
  <si>
    <t>Was part of Lead Creative Team that wrote casting specifications</t>
  </si>
  <si>
    <t>Was part of Lead Creative Team that wrote specifications for music search</t>
  </si>
  <si>
    <t>Was part of Creative Team that approved set design, lighting &amp; product/props prior to shooting</t>
  </si>
  <si>
    <t>Was part of Creative Team that attended shoot days and led creative decisions, visual and copy aspects throughout production</t>
  </si>
  <si>
    <t>Was part of Creative Team that worked with Producer to ensure client, agency teams &amp; production were aligned with production decisions</t>
  </si>
  <si>
    <t>Worked with Producer on managing production workflow to ensure all artwork &amp; footage captured was based on storyboards/scripts &amp; Creative Team's direction</t>
  </si>
  <si>
    <t>Worked with Producer to obtain approval on last minute changes in artwork &amp; text graphics</t>
  </si>
  <si>
    <t>Sr Art Director</t>
  </si>
  <si>
    <t>Assisted with editing of stock images used for social media spots</t>
  </si>
  <si>
    <t>Edward was part of internal agency Art Team that attended internal agency reviews regarding edits</t>
  </si>
  <si>
    <t xml:space="preserve">Part of Creative team that was responsible for design &amp; layout on all versions of spots </t>
  </si>
  <si>
    <t>Part of internal agency Art Team that worked on design, layout and creation of graphic supers on all versions of cinemagraphs/spots</t>
  </si>
  <si>
    <t>Part of internal agency Art Team that worked with designers on all post production</t>
  </si>
  <si>
    <t>Part of Team that worked on all editorial services including editing of graphics/titles/end cards</t>
  </si>
  <si>
    <t>Part of the team that assisted with editing stock images for broadcast and online video spots.</t>
  </si>
  <si>
    <t>Part of the team that assisted with image cleanup and element removal from various versions of social media spots.</t>
  </si>
  <si>
    <t>Was part of Creative Team that attended client reviews, including review for final approval of spots</t>
  </si>
  <si>
    <t>Was part of Creative Team that ensured timing of visual and audio were aligned in all version of spots</t>
  </si>
  <si>
    <t>Was part of Creative Team that outlined post specifications based on client's feedback</t>
  </si>
  <si>
    <t>Was part of Creative Team that was responsible for design, layout and creation/changes on all versions of spots including additional spots &amp; cutdowns that client requested</t>
  </si>
  <si>
    <t>Was part of Creative Team that worked on ensuring post specifications were met</t>
  </si>
  <si>
    <t>Was part of internal agency Art Team that attended internal agency reviews regarding edits</t>
  </si>
  <si>
    <t>Was part of internal agency Art Team that worked on all editorial services including editing of graphics/titles/end cards</t>
  </si>
  <si>
    <t>Was part of internal agency Art Team that worked on all finishing services including color grading/correction, compositing &amp; finishing of spots</t>
  </si>
  <si>
    <t>Was part of internal agency Art Team that worked on design, layout and creation of graphic supers (text in spots) on all versions of spots</t>
  </si>
  <si>
    <t>Was part of internal agency Art Team that worked on editorial services including editing of graphics/titles/end cards</t>
  </si>
  <si>
    <t>Was part of internal agency Art Team that worked on finishing services including color grading/correction, compositing &amp; finishing of spots</t>
  </si>
  <si>
    <t>Was part of internal agency Art Team that worked on timing of visual &amp; graphic supers to ensure they were aligned in all versions of spots</t>
  </si>
  <si>
    <t>Was part of team that presented client with rough cut of spots, noted client revisions &amp; communicated revisions to Editorial Company</t>
  </si>
  <si>
    <t>Evaluated all production &amp; editorial/post bids to ensure job specifications were met</t>
  </si>
  <si>
    <t>Evaluated all production, audio/music, post/visual effects, casting &amp; editorial bids</t>
  </si>
  <si>
    <t>Part of Lead Creative Team that attended casting auditions &amp; callbacks to select on camera talent &amp; backups for client's approval</t>
  </si>
  <si>
    <t>Part of Lead Creative Team that wrote casting specifications for talent casting</t>
  </si>
  <si>
    <t>Was part of Creative Team that worked on preparing job specifications for production company &amp; edit vendors</t>
  </si>
  <si>
    <t>Was part of Lead Creative Team that attended all pre production meetings with clients prior to shoot</t>
  </si>
  <si>
    <t>Was part of Lead Creative Team that was responsible for execution of approved script/storyboards</t>
  </si>
  <si>
    <t>Wrote specifications for music search</t>
  </si>
  <si>
    <t>Approved wardrobe, hair &amp; makeup for on camera talent</t>
  </si>
  <si>
    <t>Led all creative decisions, visual and copy aspects throughout shoot</t>
  </si>
  <si>
    <t>Sr Assoc, Project Mgmt</t>
  </si>
  <si>
    <t>Monitored and reporedt on out of pocket costs and profitability across production teams</t>
  </si>
  <si>
    <t>Scheduled all creative and internal reviews.</t>
  </si>
  <si>
    <t>Sent notes and feedback internally.</t>
  </si>
  <si>
    <t>Approved all estimates and document out of pocket costs based on client sign off.</t>
  </si>
  <si>
    <t>Reviewed and finalized estimates and timelines prior to sending to client for approval.</t>
  </si>
  <si>
    <t>Work with account team and producer to review and finalize estimates and timelines prior to sending to client for approval.</t>
  </si>
  <si>
    <t>Work with Business Affairs and finance teams to approve all estimates and document out of pocket costs based on client sign off.</t>
  </si>
  <si>
    <t>Sr Assoc, Project Mgt</t>
  </si>
  <si>
    <t>Responsible product substantiation &amp; for obtaining and submitting legal clearance</t>
  </si>
  <si>
    <t>Established group calendars and scheduled &amp; attended all production</t>
  </si>
  <si>
    <t>Sr Asst Editor</t>
  </si>
  <si>
    <t>Ensured post production &amp; visual effect specifications were met for motion graphics, color correction &amp; VFX compositing</t>
  </si>
  <si>
    <t>Supervised and ensured edit specifications were met</t>
  </si>
  <si>
    <t>Sr Audio Engr</t>
  </si>
  <si>
    <t>Reviewed and edited audio tracks for spots</t>
  </si>
  <si>
    <t>Sr Broadcast Bus Mgr</t>
  </si>
  <si>
    <t>Actualize talent costs and close out talent job</t>
  </si>
  <si>
    <t>Assisted with preparing revised versions of talent estimates</t>
  </si>
  <si>
    <t>Assisted with preparing revised versions of talent estimates based on additional edit sessions &amp; usage costs</t>
  </si>
  <si>
    <t>Attended all Business Affairs Team meetings during post production</t>
  </si>
  <si>
    <t>Attended all internal agency reviews with Producers and Account, Creative Team &amp; Strategy &amp; Teams during entire post production</t>
  </si>
  <si>
    <t>Attended internal agency reviews with during entire Post</t>
  </si>
  <si>
    <t>Attended meetings during post production</t>
  </si>
  <si>
    <t>Issued session and final cost reports</t>
  </si>
  <si>
    <t>Managed all purchase orders, approved vendor invoices &amp; payments of contracted vendors</t>
  </si>
  <si>
    <t>Managed purchase orders, approved vendor invoices &amp; payments of contracted vendors</t>
  </si>
  <si>
    <t>Production phase regarding post production changes to provide feedback</t>
  </si>
  <si>
    <t>Scheduled all post/visual effects/audio/editing sessions for producer &amp; creative team to attend</t>
  </si>
  <si>
    <t>Scheduled post/editing sessions</t>
  </si>
  <si>
    <t>Scheduled talent edit sessions with recording studio for producer) &amp; creative team to attend</t>
  </si>
  <si>
    <t>Worked on actualizing talent costs and close out talent job</t>
  </si>
  <si>
    <t>Worked with Creative Team on casting specifications for talent</t>
  </si>
  <si>
    <t>Assisted in evaluating and negotiating terms of all production &amp; casting bids</t>
  </si>
  <si>
    <t>Assisted in evaluating and negotiating terms of all production company &amp; editorial bids</t>
  </si>
  <si>
    <t>Assisted in preparation of all talent contracts &amp; required paperwork for payroll processing for on camera talent</t>
  </si>
  <si>
    <t>Assisted in preparation of all talent contracts &amp; required paperwork for payroll processing for talent</t>
  </si>
  <si>
    <t>Created purchase orders for all contracted vendors</t>
  </si>
  <si>
    <t>Declared insurance in coordination with legal to ensure compliance with client statement of work</t>
  </si>
  <si>
    <t>Evaluated and negotiated terms of insurance bid for client review</t>
  </si>
  <si>
    <t>Part of Business Affairs Team that worked with Producers, Creative &amp; Lead Account Teams to prepare job specifications for production &amp; casting vendors</t>
  </si>
  <si>
    <t>Prepared initial draft of talent estimate</t>
  </si>
  <si>
    <t>Prepared insurance specifications for insurance vendor based on client statement of work</t>
  </si>
  <si>
    <t>Prepared Production Company contract for legal to review &amp; handled execution of contracts</t>
  </si>
  <si>
    <t>Reviewed Production Company contract</t>
  </si>
  <si>
    <t>Scheduled casting auditions &amp; callback session for talent</t>
  </si>
  <si>
    <t>Worked in preparing production budget &amp; timeline for spot deliverables for internal agency review prior to submitting to cost consultant &amp; client for review</t>
  </si>
  <si>
    <t>Worked with Account Team in obtaining insurance policy with necessary &amp; proper coverage amounts</t>
  </si>
  <si>
    <t>Worked with Producers, Creative &amp; Lead Account Teams to prepare job specifications for production &amp; casting vendors</t>
  </si>
  <si>
    <t>Worked with various talent agencies to book on</t>
  </si>
  <si>
    <t>Worked with various talent agencies to book on camera talent</t>
  </si>
  <si>
    <t>Attended Prelight &amp; shoot to collect talent contracts, minor permits &amp; paperwork needed</t>
  </si>
  <si>
    <t>Attended Prelight &amp; shoot to collect talent contracts, minor permits &amp; paperwork needed for paymaster</t>
  </si>
  <si>
    <t xml:space="preserve">Attended shoot days to collect talent contracts &amp; paperwork needed </t>
  </si>
  <si>
    <t>Responsible for managing talent hours during Prelight &amp; shoot</t>
  </si>
  <si>
    <t>Scheduled all post/visual effects/audio/editing sessions for Creative Team to attend</t>
  </si>
  <si>
    <t>Was responsible for managing talent hours during shoot</t>
  </si>
  <si>
    <t>Worked on actualization of talent costs and close out talent job</t>
  </si>
  <si>
    <t>Sr Broadcast Business Mgr</t>
  </si>
  <si>
    <t>Approved production related vendor invoices before submitting to finance.</t>
  </si>
  <si>
    <t>Managed talent payment, residual projections, and contract renewals when necessary.</t>
  </si>
  <si>
    <t>Set up new vendors. Issued vendor purchase orders.</t>
  </si>
  <si>
    <t>Updated and processed overages with producer.</t>
  </si>
  <si>
    <t>Prepared production budget &amp; timeline for spot deliverables for internal agency review prior to submitting to cost consultant &amp; client for review</t>
  </si>
  <si>
    <t>Worked in obtaining insurance policy with necessary &amp; proper coverage amounts</t>
  </si>
  <si>
    <t>Attended production shoots</t>
  </si>
  <si>
    <t>Managed talent contracts</t>
  </si>
  <si>
    <t>Sr Broadcast Producer</t>
  </si>
  <si>
    <t>Attended client reviews with Creative Team, Sr Business Mgr &amp; Account Team and coordinated final client approval of spots</t>
  </si>
  <si>
    <t>Attended internal agency reviews regarding post production changes to provide feedback</t>
  </si>
  <si>
    <t>Ensured all spots ship, uploaded assets to media company</t>
  </si>
  <si>
    <t>Helped actualize and close out production job within budget</t>
  </si>
  <si>
    <t>Helped actualize talent costs and close out talent job</t>
  </si>
  <si>
    <t>Helped ensure that all job files were complete with all requisite production paperwork</t>
  </si>
  <si>
    <t>Oversaw all post production edits and additional asset creation (sound design and graphics)</t>
  </si>
  <si>
    <t>Oversaw asset creation (sound design and graphics)</t>
  </si>
  <si>
    <t>Reviewed all AD ID's and versions, legal on spots, etc</t>
  </si>
  <si>
    <t>Reviewed clean up of film and additional fixes to final picture (removed lightswitch from wall, dust on film, etc.)</t>
  </si>
  <si>
    <t>Supervised designers on post production</t>
  </si>
  <si>
    <t>Supervised final color and grading of film</t>
  </si>
  <si>
    <t>Supervised final edits/assembly of final spots, and all versioning of spots</t>
  </si>
  <si>
    <t>Supervised final mixing of audio</t>
  </si>
  <si>
    <t>Was responsible for scheduling and ensuring agency and clients meet client deadlines</t>
  </si>
  <si>
    <t>Was responsible for scheduling and ensuring agency and clients meet client or post house approval deadlines</t>
  </si>
  <si>
    <t>Worked closely with Business Affairs on obtaining legal clearance when needed</t>
  </si>
  <si>
    <t>Worked on license music search with audio engineer</t>
  </si>
  <si>
    <t>Worked to ensure spot deliverables met timeline for cost consultant &amp; client review</t>
  </si>
  <si>
    <t>Worked with audio engineer, records rough scratch tracks</t>
  </si>
  <si>
    <t>Worked with Business Affairs Team to finalize costs, overages, job, actuals, etc.</t>
  </si>
  <si>
    <t>Worked with editor on a daily basis on edits and versions with creative team</t>
  </si>
  <si>
    <t>Worked with music company and composers on music tracks</t>
  </si>
  <si>
    <t>Approved Bids for production companies, editorial houses and music companies</t>
  </si>
  <si>
    <t>Arranged communication between director/prodco and agency team</t>
  </si>
  <si>
    <t>Created budgets and timelines to ensure production comes in on time and on target. Liaison between client, agency, and production companies regarding all components of production</t>
  </si>
  <si>
    <t>Discussed specs for location scouting, casting, production design for sets and locations</t>
  </si>
  <si>
    <t>Discussed wardrobe direction with Production Company</t>
  </si>
  <si>
    <t>Facilitated hero packaging being created and shipped</t>
  </si>
  <si>
    <t>Helped negotiate vendor and talent contracts and works with Business Affairs  and outside counsel and/or internal team</t>
  </si>
  <si>
    <t>Negotiated costs and finalizes estimate for client approval</t>
  </si>
  <si>
    <t>Prepared all materials for pre pro meeting with clients</t>
  </si>
  <si>
    <t>Ran pre pro meeting and approved final pre production book</t>
  </si>
  <si>
    <t>Reviewed all casting with creative team and on camera</t>
  </si>
  <si>
    <t>Sent casting specs to production company for on camera talent</t>
  </si>
  <si>
    <t>Communicated on set with Agency Team, and with client</t>
  </si>
  <si>
    <t>Communicated on set with Agency Team, and with clients</t>
  </si>
  <si>
    <t>Ensured all shots are captured on set</t>
  </si>
  <si>
    <t>Facilitated any script changes with Director</t>
  </si>
  <si>
    <t>Gatekeeper to ensure client, agency and vendors were aligned with the production decisions</t>
  </si>
  <si>
    <t>Managed production to ensure creative follows storyboards/scripts.</t>
  </si>
  <si>
    <t>Sr Bus Affairs Mgr</t>
  </si>
  <si>
    <t>Sr Bus Affairs Talent Mgr</t>
  </si>
  <si>
    <t>Ensured all talent contract was signed and executed properly before submitting to payroll for payment</t>
  </si>
  <si>
    <t>Submitted talent paperwork to payroll &amp; managed all session &amp; usage payments</t>
  </si>
  <si>
    <t>Worked with Talent Agency to book talent upon approval from Producer, Creative Team &amp; client</t>
  </si>
  <si>
    <t>Worked with Talent Agency to secure talent contracts &amp; paperwork needed for payroll</t>
  </si>
  <si>
    <t>Sr Business Mgr</t>
  </si>
  <si>
    <t>Alica attended all meetings with client &amp; producer for job updates &amp; to review all versions of spots including Included rough cut, revisions &amp; final</t>
  </si>
  <si>
    <t>Ensured all talent contracts were signed and executed properly before submitting</t>
  </si>
  <si>
    <t>Ensured talent contract for voice over/announcer was signed and executed properly before submitting to pay master</t>
  </si>
  <si>
    <t>Prepared revised versions of talent estimates based on edit sessions &amp; usage costs</t>
  </si>
  <si>
    <t>Scheduled additional post/special effects sessions for Creative Team to attend</t>
  </si>
  <si>
    <t>Scheduled all edit sessions for Creative Team to attend</t>
  </si>
  <si>
    <t>Scheduled talent edit sessions with recording studio for Creative Team to attend</t>
  </si>
  <si>
    <t>Submitted talent paperwork &amp; managed payments</t>
  </si>
  <si>
    <t>Worked with producer to actualize and close out jobs and ensured all job files were complete with all requisite production paperwork</t>
  </si>
  <si>
    <t>Worked with Producer to actualize costs and close out job</t>
  </si>
  <si>
    <t>Worked with producer to issue session reports and final cast reports</t>
  </si>
  <si>
    <t>Worked withproducers to issue session and final cast reports</t>
  </si>
  <si>
    <t>Assisted in evaluating and negotiating terms of all production &amp; post vendor bids</t>
  </si>
  <si>
    <t xml:space="preserve">Managed initial payments of contracted vendors </t>
  </si>
  <si>
    <t>Prepared production budget &amp; timelines &amp; obtained approvals from cost consultant &amp; client</t>
  </si>
  <si>
    <t>Screened directors for shoot by reviewing director reels</t>
  </si>
  <si>
    <t>Worked with producer to prepare specifications for all vendors including Production Company, Casting Company &amp; Post/Edit vendors</t>
  </si>
  <si>
    <t>Attended Pre light &amp; Shoot remotely</t>
  </si>
  <si>
    <t>Sr CGI Look Devt Artist</t>
  </si>
  <si>
    <t>Assisted in compositing efforts by integrating CGI elements seamlessly into live-action footage.</t>
  </si>
  <si>
    <t>Compiled a breakdown of the look development process to be included in the project portfolio.</t>
  </si>
  <si>
    <t>Prepared and delivered final look development files for archiving and future reference.</t>
  </si>
  <si>
    <t>Provided final texture and shading tweaks based on feedback from the director and producers.</t>
  </si>
  <si>
    <t>Reviewed rendered scenes for color accuracy and material fidelity, making adjustments as needed.</t>
  </si>
  <si>
    <t>Collaborated with the creative team to establish the visual style and tone for the commercial.</t>
  </si>
  <si>
    <t>Conducted research on materials and textures relevant to the commercial's themes.</t>
  </si>
  <si>
    <t>Created prototypes of lighting setups to showcase the intended atmosphere.</t>
  </si>
  <si>
    <t>Developed detailed look development sketches and color palettes for key assets.</t>
  </si>
  <si>
    <t>Participated in concept reviews, presenting visual ideas and receiving feedback from directors.</t>
  </si>
  <si>
    <t>Collaborated with animators to provide feedback on how materials reacted to movement.</t>
  </si>
  <si>
    <t>Conducted tests and iterations on CGI elements to meet the project specifications.</t>
  </si>
  <si>
    <t>Generated high-quality textures and shaders for 3D models according to the established look.</t>
  </si>
  <si>
    <t>Implemented lighting setups in the CGI environment to achieve desired visual effects.</t>
  </si>
  <si>
    <t>Worked closely with modelers to refine asset details and ensure consistency in style.</t>
  </si>
  <si>
    <t>Sr Copywriter</t>
  </si>
  <si>
    <t>Assisted on crafting content for some versions of programmatic online video spots.</t>
  </si>
  <si>
    <t>Attended additional talent voiceover sessions and voiceover edit sessions for additional spots and cutdowns requested by the client.</t>
  </si>
  <si>
    <t>Attended agency team meetings that presented the client with a rough cut of spots, noted client revisions, and communicated revisions to the audio/post/editorial company.</t>
  </si>
  <si>
    <t>Attended internal agency meetings regarding content and graphic supers for all versions of programmatic online video spots.</t>
  </si>
  <si>
    <t>Attended internal agency meetings regarding content and graphic supers for all versions of social media spots.</t>
  </si>
  <si>
    <t>Ensured timing of visual, audio &amp; graphic supers were aligned in all versions of spots</t>
  </si>
  <si>
    <t>Part of Creative Team that supervised music selection</t>
  </si>
  <si>
    <t>Part of team that attended all client reviews, including review for final approval of spots.</t>
  </si>
  <si>
    <t>Part of team that attended all internal agency reviews with Producers and Account, Social Media, Strategy, and Business Affairs Teams.</t>
  </si>
  <si>
    <t>Part of team that attended voiceover casting sessions and selected principal voiceover talent and backups for client review."</t>
  </si>
  <si>
    <t>Part of team that supervised sound design/mixing and recording of all voice over sessions with audio engineer.</t>
  </si>
  <si>
    <t>Part of team that was responsible for design, layout, and creation/changes to graphic supers on all versions of spots, including additional spots and cutdowns requested by the client.</t>
  </si>
  <si>
    <t>Part of team that worked on crafting content for all versions of programmatic online video spots.</t>
  </si>
  <si>
    <t>Part of team that worked on crafting content for all versions of social media spots.</t>
  </si>
  <si>
    <t>Part of team that worked on graphic supers for all versions of programmatic online video spots.</t>
  </si>
  <si>
    <t>Part of team that worked on graphic supers for all versions of social media spots.</t>
  </si>
  <si>
    <t>Part of team that worked on insertion and edits of graphics, titles, and end cards on all versions of cinemagraphs/social spots.</t>
  </si>
  <si>
    <t>Part of team that worked to ensure audio/music specifications were met.</t>
  </si>
  <si>
    <t>Part of team that worked to ensure edit specifications were met.</t>
  </si>
  <si>
    <t>Part of team that worked to ensure postproduction and visual effect specifications were met for motion graphics, color correction, and VFX compositing.</t>
  </si>
  <si>
    <t>Part of team that worked to ensure timing of visual, audio, and graphic supers were aligned in all versions of spots.</t>
  </si>
  <si>
    <t>Reviewed all versions of spots to ensure timing of visual and graphic supers were aligned in all versions of cinemagraphs/spots.</t>
  </si>
  <si>
    <t>Supervised editors on all edits and finishing of spots.</t>
  </si>
  <si>
    <t>Supervised the assembly of all versions of final spots for client review, including multiple broadcast, programmatic online video, and social media spots.</t>
  </si>
  <si>
    <t>Was lead on Creative team that was responsible for design, layout and creation/changes to graphic supers on all versions of spots</t>
  </si>
  <si>
    <t>Was part of Creative Team that ensured post/editorial specifications were met for motion graphics, color correction, VFX compositing &amp; VFX rig removal for all spots</t>
  </si>
  <si>
    <t>Was part of team that presented client with rough cut of spots, noted &amp; communicated client revisions</t>
  </si>
  <si>
    <t>Worked on crafting content for all versions of cinemagraphs/social spots.</t>
  </si>
  <si>
    <t>Worked with graphic supers on all versions of cinemagraphs/social spots.</t>
  </si>
  <si>
    <t>Part of team that attended all preproduction meetings with clients prior to shoot.</t>
  </si>
  <si>
    <t>Part of team that attended casting auditions and callbacks to select on-camera talent and backups for client's approval.</t>
  </si>
  <si>
    <t>Part of team that evaluated all production, audio/music, post/visual effects, casting and editorial bids.</t>
  </si>
  <si>
    <t>Part of team that prepared job specifications for all vendors including production, casting, audio, post/special effects, and edit vendors.</t>
  </si>
  <si>
    <t>Part of team that reviewed talent demo reels to determine potential talent selects for auditions.</t>
  </si>
  <si>
    <t>Part of team that was responsible for execution of approved script/storyboards after production company was contracted.</t>
  </si>
  <si>
    <t>Part of team that worked on specifications for shoot locations, set design, cast, props and wardrobe selections.</t>
  </si>
  <si>
    <t>Part of team that worked to supervise production company with preproduction prep.</t>
  </si>
  <si>
    <t>Part of team that wrote casting specifications for voice over talent casting.</t>
  </si>
  <si>
    <t>Part of team that wrote specifications for music search.</t>
  </si>
  <si>
    <t>Was part of Creative Team that attended all preproduction meetings with clients prior to shoot along with the Account Team &amp; Producers</t>
  </si>
  <si>
    <t>Was part of Creative Team that evaluated all production, audio &amp; editorial/post bids to ensure job specifications were met</t>
  </si>
  <si>
    <t>Was part of Creative Team that reviewed preliminary direction and shared feedback with producer</t>
  </si>
  <si>
    <t>Was part of Creative Team that worked on preparing job specifications for all vendors including production company, audio &amp; edit vendors</t>
  </si>
  <si>
    <t>Was part of Creative Team that wrote specifications for music search</t>
  </si>
  <si>
    <t>Detected vital disconnects with scripts and revised copy based on internal team and client's feedback and direction.</t>
  </si>
  <si>
    <t>Ensured alignment between client, agency teams and production company on production decisions.</t>
  </si>
  <si>
    <t>Ensured client, agency teams and production company were aligned with production decisions.</t>
  </si>
  <si>
    <t>Led all creative decisions, visual and copy aspects throughout shoot.</t>
  </si>
  <si>
    <t>Managed production workflow to ensure all artwork and footage captured aligned with storyboards/scripts and creative direction.</t>
  </si>
  <si>
    <t>Managed production workflow to ensure all footage captured was based on storyboards/scripts.</t>
  </si>
  <si>
    <t>Obtained approval for last-minute changes in artwork and text graphics.</t>
  </si>
  <si>
    <t>Part of team that approved wardrobe, hair and makeup for celebrity and on-camera talent prior to shooting.</t>
  </si>
  <si>
    <t>Part of team that attended prelight and wardrobe fitting sessions.</t>
  </si>
  <si>
    <t>Worked on set direction, lighting and props during production.</t>
  </si>
  <si>
    <t>Sr Editor</t>
  </si>
  <si>
    <t>Worked on pre production prep (shot list for production)</t>
  </si>
  <si>
    <t>Sr Integrated Prod</t>
  </si>
  <si>
    <t>Managed specific elements of post production to ensure the efficient/timely/cost</t>
  </si>
  <si>
    <t>Worked closely with internal agency team on all aspects of post production including sound design and graphics</t>
  </si>
  <si>
    <t>Collaborated with production company on creation of production/shooting schedules</t>
  </si>
  <si>
    <t>Discussed specifications with production company for location scouting &amp; set design</t>
  </si>
  <si>
    <t>Worked closely with Producer on all aspects of preproduction including budgeting, supervision of tasks &amp; creative decision making</t>
  </si>
  <si>
    <t>Assisted as gatekeeper to ensure client, agency and on set vendors were aligned with all production decisions</t>
  </si>
  <si>
    <t>Assisted with management of production workflow of shoot to ensure all footage was captured based on storyboards/scripts</t>
  </si>
  <si>
    <t>Was responsible for keeping shoot on time and within budget</t>
  </si>
  <si>
    <t>Sr Mgr, Bus Affairs &amp; Talent Mgmt</t>
  </si>
  <si>
    <t>Ensured all talent contract was signed and executed properly</t>
  </si>
  <si>
    <t>Prepared specifications for all vendors including production company, and music vendors</t>
  </si>
  <si>
    <t>Managed talent payment, residual projections, and contract renewals.</t>
  </si>
  <si>
    <t>Sr Motion Graphics Designer</t>
  </si>
  <si>
    <t>Conducted final quality checks on motion graphics, ensuring they were polished and error-free before delivery.</t>
  </si>
  <si>
    <t>Created and animated high-quality motion graphics using industry-standard software, ensuring they met the project’s aesthetic and technical requirements.</t>
  </si>
  <si>
    <t>Delivered all final motion graphic assets in required formats for various distribution channels, ensuring compliance with client specifications.</t>
  </si>
  <si>
    <t>Integrated motion graphics into the final edit, collaborating with the editing team to achieve seamless transitions and visual effects.</t>
  </si>
  <si>
    <t>Reviewed and refined animations based on feedback from the creative team and clients, ensuring alignment with the original vision.</t>
  </si>
  <si>
    <t>Collaborated with the creative team to conceptualize motion graphics that aligned with the overall vision for the commercial.</t>
  </si>
  <si>
    <t>Coordinated with the production team to understand the filming schedule and identify opportunities for integrating motion graphics in real-time.</t>
  </si>
  <si>
    <t>Designed storyboards that illustrated the sequence and flow of motion graphics, ensuring clarity in visual storytelling.</t>
  </si>
  <si>
    <t>Developed style frames to present design concepts and visual styles for approval from stakeholders and clients.</t>
  </si>
  <si>
    <t>Established technical specifications for motion graphics, including resolution, frame rate, and aspect ratio, to guide production efforts.</t>
  </si>
  <si>
    <t>Collaborated with the sound design team to ensure that audio elements complemented the motion graphics during production.</t>
  </si>
  <si>
    <t>Monitored the quality of motion graphics during filming, making adjustments to ensure consistency with the creative direction.</t>
  </si>
  <si>
    <t>Provided on-set support to ensure that live-action footage captured aligned with the planned motion graphic elements.</t>
  </si>
  <si>
    <t>Recorded live-action elements and gathered necessary assets, such as textures and backgrounds, to enhance motion graphic designs.</t>
  </si>
  <si>
    <t>Worked closely with the director and cinematographer to communicate the integration of motion graphics into specific shots, ensuring cohesive visual flow.</t>
  </si>
  <si>
    <t>Sr Prod Affairs Mgr</t>
  </si>
  <si>
    <t>Supervise business teams involved in preproduction with talent contracts, client budgets, estimates,etc.</t>
  </si>
  <si>
    <t>Sr Prod Bus Affairs Mgr</t>
  </si>
  <si>
    <t>Actualized costs and closed out job</t>
  </si>
  <si>
    <t xml:space="preserve">Prepared production budget </t>
  </si>
  <si>
    <t>Reviewed invoices, approved &amp; sent to Accounting Dept for payment</t>
  </si>
  <si>
    <t>Reviewed overage bids prior to approval</t>
  </si>
  <si>
    <t>Scheduled all audio &amp; edit/post sessions for Creative Team to attend</t>
  </si>
  <si>
    <t>Assisted in evaluating and negotiating terms of all production, audio &amp; editorial/post bids</t>
  </si>
  <si>
    <t>Prepared contracts that contained components of production, audio &amp; editorial/post</t>
  </si>
  <si>
    <t>Researched legal clearance issues to ensure all items were cleared for use</t>
  </si>
  <si>
    <t xml:space="preserve">Worked with Creative Team to prepare job specifications for all vendors </t>
  </si>
  <si>
    <t>Worked with producer to prepare production budget &amp; timeline for spot deliverables for internal agency review prior to submitting to client for review</t>
  </si>
  <si>
    <t>Sr Producer</t>
  </si>
  <si>
    <t>Actualized and close out job</t>
  </si>
  <si>
    <t>Addressed client revisions</t>
  </si>
  <si>
    <t>Ensure post-production specifications were met.</t>
  </si>
  <si>
    <t>Ensure spot deliverables met the timeline for cost consultant and client review.</t>
  </si>
  <si>
    <t>Ensured all job files were complete with the requisite production paperwork.</t>
  </si>
  <si>
    <t>Ensured all spots ship.</t>
  </si>
  <si>
    <t>Faciliated talent contracts and signs</t>
  </si>
  <si>
    <t>Finalized costs and closed out the job.</t>
  </si>
  <si>
    <t>Made sure hard drives of shoot footage were delivered to Editorial/Post Company &amp; briefed editors on shoot details</t>
  </si>
  <si>
    <t>Managed sounds design with creative team and audio engineer</t>
  </si>
  <si>
    <t>Part of the team that attended additional talent sessions and voiceover edit sessions for requested spots and cutdowns.</t>
  </si>
  <si>
    <t>Part of the team that attended additional talent voiceover sessions and edit sessions for spots and cutdowns requested by the client.</t>
  </si>
  <si>
    <t>Part of the team that attended all client reviews and coordinated final client approval of spots.</t>
  </si>
  <si>
    <t>Part of the team that attended all internal agency reviews and coordinated with various teams.</t>
  </si>
  <si>
    <t>Part of the team that attended all internal agency reviews with the Creative Team and Account Team.</t>
  </si>
  <si>
    <t>Part of the team that attended casting sessions and selected principal talent and backups for review.</t>
  </si>
  <si>
    <t>Part of the team that attended internal agency reviews with Producers, Creative Team, and Account &amp; Business Affairs Teams.</t>
  </si>
  <si>
    <t>Part of the team that attended voiceover casting sessions and selected principal voiceover talent and backup for client review.</t>
  </si>
  <si>
    <t>Part of the team that ensured all job files were complete with the requisite production paperwork.</t>
  </si>
  <si>
    <t>Part of the team that ensured delivery of shoot footage and briefed editors on shoot details.</t>
  </si>
  <si>
    <t>Part of the team that presented a rough cut to the client, noted revisions, and communicated changes to post-production teams.</t>
  </si>
  <si>
    <t>Part of the team that presented the client with a rough cut of spots, noted client revisions, and communicated revisions.</t>
  </si>
  <si>
    <t>Part of the team that supervised designers on all post production.</t>
  </si>
  <si>
    <t>Part of the team that supervised designerson all post.</t>
  </si>
  <si>
    <t>Part of the team that supervised editors on all edits and finishing of spots.</t>
  </si>
  <si>
    <t>Part of the team that supervised sound design and mixing with an audio engineer.</t>
  </si>
  <si>
    <t>Part of the team that supervised the assembly and versioning of final spots for client review.</t>
  </si>
  <si>
    <t>Part of the team that supervised the mixing of audio, music selection, and recording of all voiceover sessions.</t>
  </si>
  <si>
    <t>Part of the team that worked closely to ensure audio and music specifications were met.</t>
  </si>
  <si>
    <t>Part of the team that worked on casting specifications for talent.</t>
  </si>
  <si>
    <t>Part of the team that worked to actualize talent costs and close out talent jobs.</t>
  </si>
  <si>
    <t>Part of the team that worked to issue session and final cast reports.</t>
  </si>
  <si>
    <t>Part of the team that worked with a Music Clearance Consultant to review music clearance agreements.</t>
  </si>
  <si>
    <t>Presented client with rough cut of spots, noted client revisions &amp; communicated to post production</t>
  </si>
  <si>
    <t>Reviewed all AD ID's and versions, legal on spots, etc.</t>
  </si>
  <si>
    <t>Reviewed all overage bids prior to approval.</t>
  </si>
  <si>
    <t>Reviewed all versions and legal on spots, etc.</t>
  </si>
  <si>
    <t>Supervised final color grading of spots with Creative Team</t>
  </si>
  <si>
    <t>Supervised the assembly of final spots and all versioning for client review.</t>
  </si>
  <si>
    <t>Uploads assets to media company</t>
  </si>
  <si>
    <t>Worked closely with the creative team on all post.</t>
  </si>
  <si>
    <t>Worked on making air dates and obtaining legal clearance when needed</t>
  </si>
  <si>
    <t>Worked to actualize and close out the job.</t>
  </si>
  <si>
    <t>Worked to ensure audio and music specifications were met.</t>
  </si>
  <si>
    <t>Worked to ensure post and editorial specifications were met for motion graphics, color correction, VFX compositing, and VFX rig removal for all spots.</t>
  </si>
  <si>
    <t>Worked with animators on graphics/titles/end cards/mnemonics</t>
  </si>
  <si>
    <t>Worked with creative team and talent to record final voiceover</t>
  </si>
  <si>
    <t>Approved final pre pro book</t>
  </si>
  <si>
    <t>Attended all internal meetings with creative team &amp; production/animation company to discuss shoot prep</t>
  </si>
  <si>
    <t>Attended pre pro meeting with clients and ran pre pro meeting</t>
  </si>
  <si>
    <t>Engaged producers and production companies based on approved storyboards and job specifications.</t>
  </si>
  <si>
    <t>Facilitated communication between Production Company &amp; Agency Creative Team for discussion on specifications on set design and studio location</t>
  </si>
  <si>
    <t>Facilitates hero packaging being created and shipped.</t>
  </si>
  <si>
    <t>Helped negotiate vendor and talent contracts and works with internal team.</t>
  </si>
  <si>
    <t>Part of the team that addressed copyright issues and legal clearance.</t>
  </si>
  <si>
    <t>Part of the team that assisted in evaluating and negotiating terms for all production, audio, music, post, visual effects, casting, and editorial bids.</t>
  </si>
  <si>
    <t>Part of the team that attended client meetings to discuss shoot preparation.</t>
  </si>
  <si>
    <t>Part of the team that attended internal meetings to discuss shoot preparation, including the shoot list and items for pre-production approval.</t>
  </si>
  <si>
    <t>Part of the team that attended talent casting auditions and callbacks to select on-camera principals.</t>
  </si>
  <si>
    <t>Part of the team that developed specifications for shoot locations, set design, cast, props, and wardrobe selections.</t>
  </si>
  <si>
    <t>Part of the team that engaged directors and production companies based on approved storyboards and job specifications.</t>
  </si>
  <si>
    <t>Part of the team that facilitated communication among stakeholders regarding all components of production.</t>
  </si>
  <si>
    <t>Part of the team that managed all components of production, including budget, travel, locations, set design, and selections for cast, props, and wardrobe.</t>
  </si>
  <si>
    <t>Part of the team that negotiated and prepared all talent contracts</t>
  </si>
  <si>
    <t>Part of the team that oversaw the hiring process for all production vendors, including production and post companies.</t>
  </si>
  <si>
    <t>Part of the team that prepared job specifications for all vendors,</t>
  </si>
  <si>
    <t>Part of the team that prepared job specifications for production and post/edit vendors.</t>
  </si>
  <si>
    <t>Part of the team that prepared job specifications for production, casting, and post/edit vendors.</t>
  </si>
  <si>
    <t>Part of the team that prepared the production budget and timeline for spot deliverables for review by the cost consultant and client.</t>
  </si>
  <si>
    <t>Part of the team that prepared the production budget and timeline of deliverables for internal agency review before submission to the client.</t>
  </si>
  <si>
    <t>Part of the team that reviewed talent demo reels to determine potential selects for auditions.</t>
  </si>
  <si>
    <t>Prepared job specifications for all vendors, including production, animation, audio, and editing.</t>
  </si>
  <si>
    <t>Prepared job specifications for production and post/edit vendors.</t>
  </si>
  <si>
    <t>Prepared materials for pre production meetings with internal agency teams</t>
  </si>
  <si>
    <t>Prepared the production budget and timeline for spot deliverables for client review.</t>
  </si>
  <si>
    <t>Sent casting specs to production company</t>
  </si>
  <si>
    <t>Helped ensure that client, agency and on set vendors were aligned with all production decisions</t>
  </si>
  <si>
    <t>Managed production to ensure creative followed storyboards/scripts</t>
  </si>
  <si>
    <t>Valerie led Pre</t>
  </si>
  <si>
    <t>Worked with creative team and production company on set direction, lighting &amp; props</t>
  </si>
  <si>
    <t>Sr Project Mgr</t>
  </si>
  <si>
    <t>Monitored production budget across all internal agency teams</t>
  </si>
  <si>
    <t>Resolve legal clearance issues to ensure all footage was cleared for use</t>
  </si>
  <si>
    <t>Review post overage bids prior to sending to client for approval</t>
  </si>
  <si>
    <t xml:space="preserve">Reviewed all version of spots </t>
  </si>
  <si>
    <t>Worked with all internal agency teams to finalize costs and close out job</t>
  </si>
  <si>
    <t>Approved all agency personnel hours that worked on job during pre production</t>
  </si>
  <si>
    <t>Review bid &amp; agency estimate for accuracy prior to sending to client for approval</t>
  </si>
  <si>
    <t xml:space="preserve">Scheduled and attended all internal meetings with Producers and Creative, Business Affairs, Strategy &amp; Account Teams to review all production items prior to shoot </t>
  </si>
  <si>
    <t>Worked with Lead Account Team to review Production Company estimate for accuracy prior to sending to client for approval</t>
  </si>
  <si>
    <t>Worked with legal on clearance issues to ensure all potential spot content was cleared for use</t>
  </si>
  <si>
    <t>Attended Prelight, Wardrobe Fitting Session &amp; Shoot</t>
  </si>
  <si>
    <t>Worked closely across all agency teams to ensure successful production completion</t>
  </si>
  <si>
    <t>Sr Rights Mgr</t>
  </si>
  <si>
    <t>Assist in tracking talent usage for finalized spots and ensure residual/buyout payments are processed based on final contracts as well as for future usage/renewals.</t>
  </si>
  <si>
    <t>Assisted in tracking talent usage for finalized spots and ens.ured buyout payments are processed based on final contracts</t>
  </si>
  <si>
    <t>Manage talent payment, residual projections, and contract renewals.</t>
  </si>
  <si>
    <t>Presented deliverables to internal team and clients.</t>
  </si>
  <si>
    <t>Reviewed all final spots to ensure scripts are adhered to and provides closed caption scripts for shipping.</t>
  </si>
  <si>
    <t>Reviewed edits for legal lines and language.</t>
  </si>
  <si>
    <t>Tracked talent usage for finalized spots and ensured buyout payments are processed based on final contracts as well as for future usage/renewals.</t>
  </si>
  <si>
    <t>Work with producers and talent agents to negotiate and prepare talent contracts.</t>
  </si>
  <si>
    <t>Sr Strategic Planner</t>
  </si>
  <si>
    <t>Collaborated with Creative Team on selection of visual assets for programmatic online video spots</t>
  </si>
  <si>
    <t>Collaborated with Creative Team on selection of visual assets for spots</t>
  </si>
  <si>
    <t>Used knowledge of trends &amp; expertise of brand to ensure optimal creation of spots</t>
  </si>
  <si>
    <t>Was part of the team that attended all internal meetings &amp; assisted with feedback and selection of final edits to ensured spots were on brief</t>
  </si>
  <si>
    <t>Was part of the team that provided sizing specifications (aspect ratio, size, length) for cinemagraphs/social media spots</t>
  </si>
  <si>
    <t>Was part of the team that reviewed final versions of spots to ensure aspect ratios, specs and visuals met specified requirements</t>
  </si>
  <si>
    <t>Worked with copywriters &amp; Creative Team on captions for various programmatic online video spots</t>
  </si>
  <si>
    <t>Collaborated on final artwork with Creative team for shot list &amp; pre pro book</t>
  </si>
  <si>
    <t>Was part of Strategy Team that attended all pre production meetings with internal agency teams regarding shoot prep &amp; pre pro book</t>
  </si>
  <si>
    <t>Worked with Creative team on artwork specifications for shot list/pre pro book</t>
  </si>
  <si>
    <t>Was part of Strategy Team that attended Pre light &amp; Shoot to collaborate with agency teams on direction of shoot &amp; footage captured for broadcast &amp; programmatic online video spots</t>
  </si>
  <si>
    <t>Worked with Creative Team during shoot to ensure that image sizing specifications requirements were met</t>
  </si>
  <si>
    <t>Sr Strategy</t>
  </si>
  <si>
    <t>Managed team that provided sizing specifications (aspect ratio, size, length)</t>
  </si>
  <si>
    <t>Used knowledge of trends &amp; expertise of brand to ensure optimal creation of video spots</t>
  </si>
  <si>
    <t>Sr Talent Mgr, Bus Affairs</t>
  </si>
  <si>
    <t>Supervises business teams involved in post production on contract renewals, invoicing, overages, etc.</t>
  </si>
  <si>
    <t>Supervises business teams involved in pre production on talent contracts, client budgets, estimates etc.</t>
  </si>
  <si>
    <t>Work with creative team &amp; producers to procure talent options based on final scripts/storyboards.</t>
  </si>
  <si>
    <t>Attends production shoots to manage talent contracts.</t>
  </si>
  <si>
    <t>Sr Video Editor</t>
  </si>
  <si>
    <t>Collaborated with the sound design team to synchronize audio elements, ensuring that sound effects and music complemented the visual components.</t>
  </si>
  <si>
    <t>Conducted color grading to achieve the desired aesthetic, ensuring that the visual tone matched the brand’s identity and project goals.</t>
  </si>
  <si>
    <t>Delivered the final edited commercial in multiple formats and resolutions, preparing it for distribution across various platforms.</t>
  </si>
  <si>
    <t>Edited raw footage into a cohesive commercial, incorporating transitions, effects, and graphics to enhance storytelling.</t>
  </si>
  <si>
    <t>Implemented client feedback into revisions, making necessary adjustments to ensure satisfaction with the final edit.</t>
  </si>
  <si>
    <t>Collaborated with the creative team to define the editing style and narrative structure of the commercial.</t>
  </si>
  <si>
    <t>Developed an editing timeline that outlined project milestones, ensuring alignment with production schedules and client deadlines.</t>
  </si>
  <si>
    <t>Established a folder structure and asset management system for organizing raw footage and project files to streamline the editing workflow.</t>
  </si>
  <si>
    <t>Participated in pre-production meetings to provide insights on editing techniques and the feasibility of visual effects.</t>
  </si>
  <si>
    <t>Reviewed the script and shot list to identify key scenes and elements requiring special attention during the editing process.</t>
  </si>
  <si>
    <t>Assisted in capturing behind-the-scenes footage for promotional use, contributing to the agency’s marketing efforts.</t>
  </si>
  <si>
    <t>Coordinated with the director and cinematographer to address any immediate editing considerations during filming, ensuring all necessary elements were recorded.</t>
  </si>
  <si>
    <t>Gathered and cataloged production assets, including B-roll and additional footage, to ensure a comprehensive library for editing.</t>
  </si>
  <si>
    <t>Monitored audio quality during production to ensure that dialogue and sound effects were clear for later editing.</t>
  </si>
  <si>
    <t>Provided on-set guidance to ensure that footage was captured in a way that would facilitate smooth editing, including necessary camera angles and shot compositions.</t>
  </si>
  <si>
    <t>Sr VP, Acct Dir</t>
  </si>
  <si>
    <t>Sr VP, Exec Producer</t>
  </si>
  <si>
    <t>Obtained final approval on spot(s) prior to shipping.</t>
  </si>
  <si>
    <t>Responsible for scheduling and ensuring agency meet client deadlines.</t>
  </si>
  <si>
    <t>Was involved in finalizing costs, overages, job, actuals, etc.</t>
  </si>
  <si>
    <t>Worked closely with Business Affairs on making air dates and obtaining legal clearance when needed.</t>
  </si>
  <si>
    <t>Direct to client contact that managed agency teams to ensure success and client sign off</t>
  </si>
  <si>
    <t>Ensured client has signed off on all pre production documentation and estimates prior to shoot</t>
  </si>
  <si>
    <t>Attended production shoots as client liaison for production company and creative teams</t>
  </si>
  <si>
    <t>SVP, Acct Dir</t>
  </si>
  <si>
    <t>Attended shoot as client liaison between Creative Team, Project Manager &amp; Production Company</t>
  </si>
  <si>
    <t>Interfaced with agency team and clients to sign off on set design, on set product, props &amp; lighting</t>
  </si>
  <si>
    <t>SVP, Acct Director</t>
  </si>
  <si>
    <t>Supervised internal agency team to ensure client signed off on all production items prior to shoot</t>
  </si>
  <si>
    <t>SVP, Creative Dir, Art Dir</t>
  </si>
  <si>
    <t>SVP, Group Mgmt Dir</t>
  </si>
  <si>
    <t>Managed Account Team &amp; worked closely with agency internal teams to ensure quality of production outputs prior to client review</t>
  </si>
  <si>
    <t>Managed Account Team that was responsible for capturing all client feedback and relaying it to internal teams</t>
  </si>
  <si>
    <t>Part of the Account Team  that was a direct partner on set with client to ensure footage captured was based on approved storyboards &amp; met the client’s needs</t>
  </si>
  <si>
    <t>Part of the Account Team that attended Prelight &amp; shoot as client liaison between Creative Team, Project Manager &amp; Production Company</t>
  </si>
  <si>
    <t>Part of the Account Team that interfaced with agency team and clients to sign off on set design, on set product, props &amp; lighting</t>
  </si>
  <si>
    <t>Part of the Account Team that worked with agency Teams to keep shoot on schedule and within budget</t>
  </si>
  <si>
    <t>Talent Mgr</t>
  </si>
  <si>
    <t>Ensured all talent contract was signed and executed properly before submitting to Extreme Reach for payment</t>
  </si>
  <si>
    <t>Submitted voice over talent paperwork to Extreme Reach &amp; managed all session &amp; usage payments</t>
  </si>
  <si>
    <t>Managed talent payment, residual projections, and contract renewals</t>
  </si>
  <si>
    <t>Talent Supervisor</t>
  </si>
  <si>
    <t>Ensured all talent job files were complete with all requisite talent paperwork</t>
  </si>
  <si>
    <t>Managed talent contracts and ensured talent SAG and non SAG requirements were being met</t>
  </si>
  <si>
    <t>Reviewed &amp; approved all talent invoices, worked with payroll company on any corrections &amp; sent approved invoice to the Accounting Dept for payment</t>
  </si>
  <si>
    <t>Reviewed all final versions of spots to ensure talent was paid according to terms of their contract</t>
  </si>
  <si>
    <t>Worked with talent agents to make contract adjustments for any talent changes/upgrades</t>
  </si>
  <si>
    <t>Worked with Business Mgr to prepare revised versions of talent estimates</t>
  </si>
  <si>
    <t>Actualize talent costs and closed out job</t>
  </si>
  <si>
    <t>Vice President, Director Production Consultant</t>
  </si>
  <si>
    <t>Responsible for scheduling and ensuring agency and clients meet client or post house approval deadlines</t>
  </si>
  <si>
    <t>Creates budgets and timelines. Ensures production comes in on time and on budget.</t>
  </si>
  <si>
    <t>Vice President, Executive Producer</t>
  </si>
  <si>
    <t>Oversees all post production edits and additional asset creation (sound design and graphics).</t>
  </si>
  <si>
    <t>VP Group Dir, EP</t>
  </si>
  <si>
    <t>Liaison between client, agency, and production company regarding all components of production</t>
  </si>
  <si>
    <t>VP Group Dir, Exec Prod</t>
  </si>
  <si>
    <t>VP Group Dir, Exec Producer</t>
  </si>
  <si>
    <t>Approved agency personnel hours that worked on the production</t>
  </si>
  <si>
    <t>Helped ensure that all job files were complete with all the necessary production paperwork</t>
  </si>
  <si>
    <t>Maintained group calendars and scheduled &amp; attended post production internal agency meetings</t>
  </si>
  <si>
    <t>Managed approved scripts/storyboards, engages directors and production companies</t>
  </si>
  <si>
    <t>Managed preparation of production budget &amp; timeline for spot deliverables for cost consultant &amp; client review</t>
  </si>
  <si>
    <t>VP Group Dir, Proj Mgt</t>
  </si>
  <si>
    <t>Attended production related internal agency meetings</t>
  </si>
  <si>
    <t>VP Group Dir, Project Mgmt</t>
  </si>
  <si>
    <t>Attended production internal agency meetings</t>
  </si>
  <si>
    <t>VP Group Director, Executive Producer</t>
  </si>
  <si>
    <t>Manages approved scripts/storyboards, engages directors and production companies.</t>
  </si>
  <si>
    <t>VP, Client Leadership</t>
  </si>
  <si>
    <t>Liaison between client, agency team, and production company</t>
  </si>
  <si>
    <t>Oversight of the hiring process for all production vendors including production company &amp; audio, post/special effects &amp; edit vendors</t>
  </si>
  <si>
    <t>Was a direct partner on set with client to ensure footage being captured was based on approved storyboards &amp; met the client’s needs</t>
  </si>
  <si>
    <t>VP, Creative Director</t>
  </si>
  <si>
    <t>Attended internal agency meetings and assisted with feedback and selection of final edits to ensure spots aligned with the brief.</t>
  </si>
  <si>
    <t>Collaborated with designers and retouchers on post-production.</t>
  </si>
  <si>
    <t>Part of team that attended internal agency reviews.</t>
  </si>
  <si>
    <t>Part of team that collaborated on selection of visual assets for programmatic online video spots and social media spots.</t>
  </si>
  <si>
    <t>Part of team that ensured post-production specifications were met.</t>
  </si>
  <si>
    <t>Part of team that worked on captions and hashtags for all social media spots.</t>
  </si>
  <si>
    <t>Part of team that worked on captions for all programmatic online video spots.</t>
  </si>
  <si>
    <t>Part of team that worked on timing of visual and graphic supers to ensure alignment across all versions of broadcast and social media spots.</t>
  </si>
  <si>
    <t>Reviewed final versions of broadcast, programmatic online video, and social media spots.</t>
  </si>
  <si>
    <t>Selected images for insertion into spots and for cinemagraphs/GIFs.</t>
  </si>
  <si>
    <t>Worked on design, layout, and creation of graphic supers for all versions of broadcast and social media spots.</t>
  </si>
  <si>
    <t>Attended all meetings with production company regarding shoot preparation and pre-production.</t>
  </si>
  <si>
    <t>Part of team that attended all pre-production meetings with internal agency teams regarding shoot preparation.</t>
  </si>
  <si>
    <t>Part of team that worked on artwork specifications for shot list and pre-production book.</t>
  </si>
  <si>
    <t>Worked on artwork for shot list and pre-production book.</t>
  </si>
  <si>
    <t>Attended Prelight</t>
  </si>
  <si>
    <t>Provided input on all creative decisions, visual elements, and copy aspects throughout the shoot.</t>
  </si>
  <si>
    <t>VP, Design Director</t>
  </si>
  <si>
    <t>Attended meeting for design/special effects</t>
  </si>
  <si>
    <t>VP, Dir of Prod</t>
  </si>
  <si>
    <t>Attended internal agency &amp; client reviews with Producer, Creative, Account, Strategy &amp; Business Affairs Teams</t>
  </si>
  <si>
    <t>Lead Creative &amp; Account Teams, supervised designers on post production</t>
  </si>
  <si>
    <t>Supervised editors on edits &amp; finishing of rough draft of spots</t>
  </si>
  <si>
    <t>Was part of agency team that presented client with rough cut of spots, noted client revisions &amp; communicated revisions to Audio/Post/Editorial Company</t>
  </si>
  <si>
    <t>Was part of agency team that supervised assembly of rough draft of spots for client review</t>
  </si>
  <si>
    <t>Worked closely with Producer and Creative Teams to ensure post production &amp; visual effect specifications were met</t>
  </si>
  <si>
    <t>Worked closely with Producer, Creative &amp; Account Teams to ensure edit specifications were met</t>
  </si>
  <si>
    <t>Worked with producer &amp; Audio/Post/Editorial Company to ensure spot deliverables met timeline for client review</t>
  </si>
  <si>
    <t>Attended all client meetings with Creative &amp; Account teams to discuss shoot prep</t>
  </si>
  <si>
    <t xml:space="preserve">Attended all internal meetings with Creative Team &amp; production company to discuss shoot prep </t>
  </si>
  <si>
    <t>Part of Team that prepared production budget &amp; timeline for spot deliverables for client review</t>
  </si>
  <si>
    <t>Was part of Agency Team that assisted in evaluating and negotiating terms of all production, audio/music, post/visual effects, casting &amp; editorial bids</t>
  </si>
  <si>
    <t xml:space="preserve">Was part of Producer Team that attended talent casting auditions &amp; callback </t>
  </si>
  <si>
    <t>Was part of Team that worked with client, agency team, and production company regarding all components of production</t>
  </si>
  <si>
    <t>Was part of Team that worked with Creative &amp; Account Teams on specifications for shoot locations, set design, cast, props &amp; wardrobe selections</t>
  </si>
  <si>
    <t xml:space="preserve">Was part of Team that worked with Creative, Business Affairs &amp; Account Teams to prepare job specifications for all vendors </t>
  </si>
  <si>
    <t>Attended meeting with clients, cast, crew &amp; agency teams</t>
  </si>
  <si>
    <t>Attended Pre light &amp; Shoot</t>
  </si>
  <si>
    <t>Part of Team that acted as gatekeeper during shoot to ensure client, creative &amp; account teams, director and on set vendors were aligned with all production decisions</t>
  </si>
  <si>
    <t>Part of Team that along with Creative Team &amp; client, approved talent wardrobe, hair &amp; makeup prior to shoot</t>
  </si>
  <si>
    <t>Part of Team that was responsible for keeping shoot on schedule and within budget</t>
  </si>
  <si>
    <t>Part of Team that worked with creative team, director &amp; producer on set direction, lighting &amp; props</t>
  </si>
  <si>
    <t>VP, Dir Strategic Plan</t>
  </si>
  <si>
    <t>Collaborated with Creative Team on selection of visual assets for programmatic video spots</t>
  </si>
  <si>
    <t>Part of team that reviewed rough draft versions of spots to ensure aspect ratios, specs and visuals met specified requirements</t>
  </si>
  <si>
    <t>Used knowledge of trends &amp; expertise of brand to provide feedback on programmatic video spots</t>
  </si>
  <si>
    <t>Worked with creative team on captions for various programmatic video spots</t>
  </si>
  <si>
    <t>VP, Director, Strategy</t>
  </si>
  <si>
    <t>Attended post production internal agency meetings</t>
  </si>
  <si>
    <t>Maintained group calendars and schedules</t>
  </si>
  <si>
    <t>VP, Exec Producer</t>
  </si>
  <si>
    <t>Actualized and closed out job and ensured all job files were complete with all requisite production paperwork</t>
  </si>
  <si>
    <t>Ensured production came in on time and on budget</t>
  </si>
  <si>
    <t>Helped negotiate vendor and talent contracts</t>
  </si>
  <si>
    <t>Hired production company, managed overall production &amp; budget</t>
  </si>
  <si>
    <t>Liaison between client, agency, and production company regarding all components of production including thorough review of estimates to ensure that no unnecessary costs have been added to the estimate, that all mark up costs on production/animation estimates have the correct percentage based on the client's bid specifications and timely signing of all budgets/estimates</t>
  </si>
  <si>
    <t>VP, Sr Broadcast Prod</t>
  </si>
  <si>
    <t>Attended some internal agency reviews regarding post production changes to provide feedback</t>
  </si>
  <si>
    <t>VP, Studio Services</t>
  </si>
  <si>
    <t>Provided image sizing specifications (aspect ratio, size, length) so she could include in job specifications for production company &amp; edit vendors</t>
  </si>
  <si>
    <t>Supervised the Account Team that worked with agency teams and client on production requirements and budgets</t>
  </si>
  <si>
    <t>Supervised the Account Team to ensure client signed off on all production items prior to shoot including set design, props, insurance documents &amp; pre pro book</t>
  </si>
  <si>
    <t>Worked on creating artwork for shot list in Pre Pro Book that included image sizing specifications</t>
  </si>
  <si>
    <t>Was part of the Account Team  that was a direct partner on set with client to ensure footage captured was based on approved storyboards &amp; met the client’s needs</t>
  </si>
  <si>
    <t>Was part of the Account Team that interfaced with agency team and clients to sign off on set design, on set product, props &amp; lighting</t>
  </si>
  <si>
    <t>Was part of the Account Team that worked with agency Teams to keep shoot on schedule and within budget</t>
  </si>
  <si>
    <t>Analytics, Mgr</t>
  </si>
  <si>
    <t>Analyzed target audience demographics and behaviors to inform creative direction.</t>
  </si>
  <si>
    <t>Conducted market research to identify trends and competitive positioning.</t>
  </si>
  <si>
    <t>Collaborated with the creative team to refine the commercial’s messaging strategy.</t>
  </si>
  <si>
    <t>Reviewed and approved the media budget allocation for the campaign.</t>
  </si>
  <si>
    <t>Evaluated location options and finalized filming schedules based on logistical considerations.</t>
  </si>
  <si>
    <t>Monitored live metrics on audience engagement during social media teasers.</t>
  </si>
  <si>
    <t>Coordinated with the production team to ensure adherence to project timelines.</t>
  </si>
  <si>
    <t>Provided real-time insights on brand visibility and product placement effectiveness.</t>
  </si>
  <si>
    <t>Tracked and assessed key performance indicators during the filming process.</t>
  </si>
  <si>
    <t>Collaborated with the director to align shot selection with advertising goals.</t>
  </si>
  <si>
    <t>Analyzed early cuts of the commercial to assess audience engagement potential.</t>
  </si>
  <si>
    <t>Evaluated final edits against brand standards and advertising objectives.</t>
  </si>
  <si>
    <t>Provided data-driven insights for optimizing the final runtime of the commercial.</t>
  </si>
  <si>
    <t>Conducted A/B testing on various commercial versions to determine the most effective cut.</t>
  </si>
  <si>
    <t>Prepared detailed performance reports for stakeholders on projected campaign outcomes.</t>
  </si>
  <si>
    <t>Maya Anlyst</t>
  </si>
  <si>
    <t>Analyzed historical data to forecast potential audience reach for the commercial.</t>
  </si>
  <si>
    <t>Compiled insights from previous campaigns to recommend optimizations for the creative brief.</t>
  </si>
  <si>
    <t>Assessed cost-per-impression metrics to guide media planning decisions.</t>
  </si>
  <si>
    <t>Coordinated with the strategy team to align the commercial’s objectives with audience behaviors.</t>
  </si>
  <si>
    <t>Reviewed initial concept proposals to ensure alignment with performance benchmarks.</t>
  </si>
  <si>
    <t>Monitored live data from focus groups to adjust campaign parameters on the fly.</t>
  </si>
  <si>
    <t>Generated reports on budget spend to ensure resource allocation was on track.</t>
  </si>
  <si>
    <t>Tracked real-time engagement from social platforms during behind-the-scenes content release.</t>
  </si>
  <si>
    <t>Coordinated with the creative and technical teams to optimize visual effects for performance impact.</t>
  </si>
  <si>
    <t>Analyzed preliminary footage for adherence to the campaign’s key performance indicators.</t>
  </si>
  <si>
    <t>Analyzed audience feedback from test screenings to inform final edits.</t>
  </si>
  <si>
    <t>Evaluated post-production data to measure the effectiveness of digital effects and transitions.</t>
  </si>
  <si>
    <t>Provided insights on optimal video lengths for different platforms based on past performance data.</t>
  </si>
  <si>
    <t>Analyzed engagement metrics from early release versions to refine targeting strategies.</t>
  </si>
  <si>
    <t>Generated a comprehensive report on the commercial’s predicted performance across all media channels.</t>
  </si>
  <si>
    <t>VP Dir Analytic</t>
  </si>
  <si>
    <t>Reviewed consumer behavior reports to refine the commercial’s strategic approach.</t>
  </si>
  <si>
    <t>Provided data-driven recommendations on media channel selection for maximum reach.</t>
  </si>
  <si>
    <t>Approved audience segmentation models for targeted messaging.</t>
  </si>
  <si>
    <t>Oversaw the analysis of competitive landscape to identify opportunities for differentiation.</t>
  </si>
  <si>
    <t>Finalized KPIs and success metrics to measure campaign effectiveness post-launch.</t>
  </si>
  <si>
    <t>Assessed real-time data on audience engagement during teaser content releases.</t>
  </si>
  <si>
    <t>Monitored production costs to ensure alignment with budget forecasts.</t>
  </si>
  <si>
    <t>Collaborated with the creative team to ensure scenes were optimized for measurable outcomes.</t>
  </si>
  <si>
    <t>Evaluated on-site data from test shots to validate the effectiveness of visual storytelling.</t>
  </si>
  <si>
    <t>Provided feedback on live analytics to adjust production efforts for improved performance.</t>
  </si>
  <si>
    <t>Analyzed initial engagement metrics from rough cuts to recommend final edits.</t>
  </si>
  <si>
    <t>Reviewed and approved reports on projected commercial reach across all media platforms.</t>
  </si>
  <si>
    <t>Assessed the impact of editing and visual effects on audience retention metrics.</t>
  </si>
  <si>
    <t>Generated a comprehensive analysis of the campaign’s effectiveness for internal and client review.</t>
  </si>
  <si>
    <t>Delivered post-launch performance reports to refine strategies for future campaigns.</t>
  </si>
  <si>
    <t>SVP Group Str Dir</t>
  </si>
  <si>
    <t>Led strategic planning sessions to define the commercial’s core messaging and positioning.</t>
  </si>
  <si>
    <t>Reviewed audience insights and market research to align the campaign with brand objectives.</t>
  </si>
  <si>
    <t>Approved the creative brief to ensure consistency with the overarching brand strategy.</t>
  </si>
  <si>
    <t>Collaborated with media planners to set objectives for channel distribution and reach.</t>
  </si>
  <si>
    <t>Provided direction on the campaign’s performance goals and key success metrics.</t>
  </si>
  <si>
    <t>Coordinated with the creative and production teams to ensure alignment with strategic goals.</t>
  </si>
  <si>
    <t>Assessed on-set decisions to confirm that creative execution matched the brand’s positioning.</t>
  </si>
  <si>
    <t>Reviewed live performance data to make informed adjustments during filming.</t>
  </si>
  <si>
    <t>Provided feedback on key visual elements to ensure they supported the campaign’s objectives.</t>
  </si>
  <si>
    <t>Monitored resource allocation to ensure production adhered to strategic and budgetary guidelines.</t>
  </si>
  <si>
    <t>Evaluated preliminary cuts to ensure the final output aligned with the campaign’s strategic vision.</t>
  </si>
  <si>
    <t>Provided strategic guidance on revisions based on brand positioning and audience engagement data.</t>
  </si>
  <si>
    <t>Reviewed post-campaign analytics to assess performance against predefined goals.</t>
  </si>
  <si>
    <t>Collaborated with media teams to optimize content for various distribution platforms.</t>
  </si>
  <si>
    <t>Delivered a comprehensive performance report to the client, outlining strategic insights for future campaigns.</t>
  </si>
  <si>
    <t>Jr Sr Strategic Planner</t>
  </si>
  <si>
    <t>Conducted research on consumer trends to inform the creative direction of the commercial.</t>
  </si>
  <si>
    <t>Compiled competitive analysis reports to guide positioning and messaging strategies.</t>
  </si>
  <si>
    <t>Assisted in drafting the creative brief, ensuring alignment with brand objectives.</t>
  </si>
  <si>
    <t>Coordinated brainstorming sessions with the creative and strategy teams to refine campaign concepts.</t>
  </si>
  <si>
    <t>Reviewed target audience personas to confirm alignment with the commercial’s messaging.</t>
  </si>
  <si>
    <t>Attended production meetings to ensure strategic objectives were maintained during filming.</t>
  </si>
  <si>
    <t>Provided feedback on shot selections to align with the target audience’s preferences.</t>
  </si>
  <si>
    <t>Monitored the production schedule to ensure timelines matched the strategic plan.</t>
  </si>
  <si>
    <t>Assisted with real-time adjustments to creative elements based on strategic insights.</t>
  </si>
  <si>
    <t>Collaborated with the production team to ensure brand guidelines were adhered to during filming.</t>
  </si>
  <si>
    <t>Analyzed early edits to verify that the final cut met the strategic objectives.</t>
  </si>
  <si>
    <t>Reviewed feedback from focus groups to refine the commercial’s final messaging.</t>
  </si>
  <si>
    <t>Assisted in developing the media rollout plan to ensure optimal platform distribution.</t>
  </si>
  <si>
    <t>Evaluated the commercial’s alignment with initial KPIs for audience engagement.</t>
  </si>
  <si>
    <t>Compiled performance metrics and insights to present to senior strategists and clients.</t>
  </si>
  <si>
    <t>Assoc Copywriter</t>
  </si>
  <si>
    <t>Drafted initial script concepts based on the creative brief and campaign objectives.</t>
  </si>
  <si>
    <t>Collaborated with the creative team to refine the tone and messaging of the script.</t>
  </si>
  <si>
    <t>Researched the target audience to ensure the script’s language resonated with their preferences.</t>
  </si>
  <si>
    <t>Provided input on the tagline and key copy elements for consistency across all campaign materials.</t>
  </si>
  <si>
    <t>Edited the script for clarity, flow, and alignment with brand voice.</t>
  </si>
  <si>
    <t>Attended rehearsals to provide feedback on the delivery of the script by talent.</t>
  </si>
  <si>
    <t>Worked with the director to ensure the script was interpreted as intended during filming.</t>
  </si>
  <si>
    <t>Revised on-set dialogue based on real-time feedback from the production team.</t>
  </si>
  <si>
    <t>Ensured all visual and verbal elements were consistent with the approved script.</t>
  </si>
  <si>
    <t>Collaborated with the creative director to make adjustments to copy for specific shots.</t>
  </si>
  <si>
    <t>Reviewed rough cuts to ensure the script was accurately translated to the final edit.</t>
  </si>
  <si>
    <t>Provided copy revisions for voiceover scripts based on post-production feedback.</t>
  </si>
  <si>
    <t>Assisted in writing additional copy for digital and social media adaptations of the commercial.</t>
  </si>
  <si>
    <t>Ensured all final copy was aligned with brand guidelines and approved messaging.</t>
  </si>
  <si>
    <t>Dir Production - Vp</t>
  </si>
  <si>
    <t>Participated in the final review process to confirm the script’s effectiveness in the finished product.</t>
  </si>
  <si>
    <t>Reviewed and approved the production budget to ensure alignment with project goals.</t>
  </si>
  <si>
    <t>Negotiated contracts with key vendors, including production crews and equipment suppliers.</t>
  </si>
  <si>
    <t>Oversaw the development of the production timeline and ensured all pre-production tasks were completed on schedule.</t>
  </si>
  <si>
    <t>Finalized casting decisions and approved talent contracts for the commercial.</t>
  </si>
  <si>
    <t>Coordinated with department heads to ensure all logistical elements were prepared for the shoot.</t>
  </si>
  <si>
    <t>Managed on-set operations to ensure the production stayed on schedule and within budget.</t>
  </si>
  <si>
    <t>Addressed and resolved any production issues that arose during filming to avoid delays.</t>
  </si>
  <si>
    <t>Ensured that all safety protocols were followed by the crew and talent on set.</t>
  </si>
  <si>
    <t>Collaborated with the director and creative team to ensure the vision of the commercial was executed as planned.</t>
  </si>
  <si>
    <t>Conducted daily reviews of the footage to ensure it met the quality and creative standards required.</t>
  </si>
  <si>
    <t>Reviewed and approved the final cut of the commercial before client delivery.</t>
  </si>
  <si>
    <t>Managed the post-production budget to ensure all editing, sound, and visual effects were completed within financial constraints.</t>
  </si>
  <si>
    <t>Coordinated with the post-production team to finalize music, sound design, and color grading.</t>
  </si>
  <si>
    <t>Liaised with the client to incorporate feedback and finalize any revisions to the commercial.</t>
  </si>
  <si>
    <t>Approved the final delivery of the commercial across all platforms and ensured all technical specifications were met.</t>
  </si>
  <si>
    <t>Sr Digi Prod Anlyst</t>
  </si>
  <si>
    <t>Analyzed digital performance data from previous campaigns to inform the commercial’s strategic objectives.</t>
  </si>
  <si>
    <t>Collaborated with the media team to define key digital metrics and establish benchmarks for success.</t>
  </si>
  <si>
    <t>Evaluated audience data to determine optimal platforms for digital distribution.</t>
  </si>
  <si>
    <t>Reviewed the digital integration plan to ensure alignment with the overall campaign strategy.</t>
  </si>
  <si>
    <t>Provided insights on audience targeting and segmentation to refine the creative brief.</t>
  </si>
  <si>
    <t>Monitored real-time data from digital test audiences to assess the effectiveness of creative elements.</t>
  </si>
  <si>
    <t>Collaborated with the digital production team to ensure on-set assets were optimized for cross-platform use.</t>
  </si>
  <si>
    <t>Provided performance feedback to the creative team to adjust content for digital consumption.</t>
  </si>
  <si>
    <t>Analyzed engagement metrics during behind-the-scenes digital content releases to measure audience interest.</t>
  </si>
  <si>
    <t>Ensured all digital touchpoints were set up for data tracking and analytics during production.</t>
  </si>
  <si>
    <t>Analyzed post-launch digital metrics to assess the commercial’s performance across platforms.</t>
  </si>
  <si>
    <t>Compiled detailed reports on key digital performance indicators, including click-through rates and audience retention.</t>
  </si>
  <si>
    <t>Provided recommendations for optimizing the commercial’s digital rollout based on performance data.</t>
  </si>
  <si>
    <t>Reviewed audience engagement data to inform potential re-edits for future digital versions.</t>
  </si>
  <si>
    <t>Collaborated with the media team to analyze the effectiveness of digital ad placements and make data-driven adjustments.</t>
  </si>
  <si>
    <t>Sr Anlyst</t>
  </si>
  <si>
    <t>Conducted market research to identify trends and consumer preferences relevant to the commercial.</t>
  </si>
  <si>
    <t>Collaborated with the creative team to develop the commercial’s objectives and key messages.</t>
  </si>
  <si>
    <t>Analyzed historical campaign performance data to inform strategic planning for the new commercial.</t>
  </si>
  <si>
    <t>Assisted in creating the production schedule to ensure all pre-production tasks were accounted for.</t>
  </si>
  <si>
    <t>Reviewed and approved the project budget to ensure alignment with financial goals.</t>
  </si>
  <si>
    <t>Monitored production activities to ensure compliance with the established timeline and budget.</t>
  </si>
  <si>
    <t>Collaborated with the director and production team to evaluate the effectiveness of creative execution during filming.</t>
  </si>
  <si>
    <t>Collected real-time data on audience reactions to on-set elements for future optimization.</t>
  </si>
  <si>
    <t>Provided insights on production logistics to ensure resources were allocated efficiently.</t>
  </si>
  <si>
    <t>Documented key production metrics to assess performance against project goals.</t>
  </si>
  <si>
    <t>Analyzed viewer engagement metrics following the commercial's launch to measure effectiveness.</t>
  </si>
  <si>
    <t>Compiled a comprehensive report on campaign performance, highlighting successes and areas for improvement.</t>
  </si>
  <si>
    <t>Conducted a post-campaign analysis to assess the impact on brand awareness and sales.</t>
  </si>
  <si>
    <t>Collaborated with the marketing team to derive actionable insights from post-launch feedback.</t>
  </si>
  <si>
    <t>Presented findings to stakeholders, outlining recommendations for future campaigns based on data analysis.</t>
  </si>
  <si>
    <t>Jr Art Dir</t>
  </si>
  <si>
    <t>Developed initial mood boards to convey the visual style and tone of the commercial.</t>
  </si>
  <si>
    <t>Collaborated with the creative team to finalize the storyboard and shot list.</t>
  </si>
  <si>
    <t>Researched and sourced props and locations to enhance the visual narrative.</t>
  </si>
  <si>
    <t>Assisted in creating a detailed production design plan to guide the set construction.</t>
  </si>
  <si>
    <t>Coordinated with the production team to ensure all visual elements were aligned with the creative vision.</t>
  </si>
  <si>
    <t>Oversaw the set design and decoration to ensure visual consistency during filming.</t>
  </si>
  <si>
    <t>Collaborated with the director and cinematographer to determine optimal lighting and camera angles.</t>
  </si>
  <si>
    <t>Managed the arrangement of props and set pieces for each scene to enhance storytelling.</t>
  </si>
  <si>
    <t>Provided on-set art direction to ensure adherence to the established visual style.</t>
  </si>
  <si>
    <t>Conducted daily reviews of set designs and adjustments to ensure alignment with the creative brief.</t>
  </si>
  <si>
    <t>Reviewed edited footage to ensure the visual elements matched the original artistic vision.</t>
  </si>
  <si>
    <t>Collaborated with the post-production team to finalize color grading for aesthetic consistency.</t>
  </si>
  <si>
    <t>Provided feedback on visual effects to enhance the overall impact of the commercial.</t>
  </si>
  <si>
    <t>Created visual assets for promotional materials related to the commercial launch.</t>
  </si>
  <si>
    <t>Assisted in compiling a comprehensive visual presentation for stakeholders to review the final product.</t>
  </si>
  <si>
    <t>Dir Strat Planning</t>
  </si>
  <si>
    <t>Conducted market analysis to identify target demographics and their preferences for the commercial.</t>
  </si>
  <si>
    <t>Developed strategic objectives to guide the overall creative direction of the campaign.</t>
  </si>
  <si>
    <t>Collaborated with the creative team to refine the messaging and ensure alignment with brand values.</t>
  </si>
  <si>
    <t>Created a comprehensive project timeline that outlined key milestones and deliverables.</t>
  </si>
  <si>
    <t>Presented strategic recommendations to stakeholders to secure approval for the proposed campaign direction.</t>
  </si>
  <si>
    <t>Oversaw the execution of the production schedule to ensure adherence to strategic objectives.</t>
  </si>
  <si>
    <t>Coordinated with the director and production team to align creative elements with the strategic vision.</t>
  </si>
  <si>
    <t>Monitored on-set activities to ensure messaging and brand representation were consistent.</t>
  </si>
  <si>
    <t>Provided real-time feedback on creative execution to maintain alignment with the overall strategy.</t>
  </si>
  <si>
    <t>Engaged with the team to assess potential adjustments based on emerging insights during filming.</t>
  </si>
  <si>
    <t>Analyzed performance metrics from the commercial to evaluate its effectiveness against strategic goals.</t>
  </si>
  <si>
    <t>Conducted a post-campaign review to identify insights and lessons learned for future projects.</t>
  </si>
  <si>
    <t>Collaborated with the analytics team to assess audience engagement and brand impact.</t>
  </si>
  <si>
    <t>Presented findings and strategic recommendations to senior management for future campaign planning.</t>
  </si>
  <si>
    <t>Developed a strategic report summarizing the commercial's performance and areas for improvement.</t>
  </si>
  <si>
    <t>Gallego Sr Copywriter</t>
  </si>
  <si>
    <t>Developed creative briefs that outlined the objectives, target audience, and key messages for the commercial.</t>
  </si>
  <si>
    <t>Collaborated with the creative team to brainstorm and refine concepts for the script and visuals.</t>
  </si>
  <si>
    <t>Conducted research on competitors and industry trends to inform the messaging strategy.</t>
  </si>
  <si>
    <t>Drafted the initial script, ensuring alignment with the brand's voice and tone.</t>
  </si>
  <si>
    <t>Reviewed and revised the script based on feedback from stakeholders and the creative team.</t>
  </si>
  <si>
    <t>Worked closely with the director to ensure the script was executed effectively during filming.</t>
  </si>
  <si>
    <t>Provided on-set copy direction to actors, ensuring delivery aligned with the intended tone and style.</t>
  </si>
  <si>
    <t>Collaborated with the production team to make real-time adjustments to dialogue or scenes as needed.</t>
  </si>
  <si>
    <t>Monitored the filming process to confirm all necessary shots and dialogue were captured.</t>
  </si>
  <si>
    <t>Assisted in developing promotional copy for social media and other marketing materials related to the commercial.</t>
  </si>
  <si>
    <t>Reviewed the edited footage to ensure the final cut adhered to the original script and messaging.</t>
  </si>
  <si>
    <t>Provided feedback on voiceovers and other audio elements to maintain consistency with the brand's voice.</t>
  </si>
  <si>
    <t>Assisted in the development of supplementary copy for advertisements and online content post-launch.</t>
  </si>
  <si>
    <t>Analyzed audience reception and engagement metrics to evaluate the effectiveness of the messaging.</t>
  </si>
  <si>
    <t>Compiled a report summarizing key insights and recommendations for future copywriting projects.</t>
  </si>
  <si>
    <t>Sr Prod Bus Mgr</t>
  </si>
  <si>
    <t>Finalized the budget and secured necessary approvals from stakeholders.</t>
  </si>
  <si>
    <t>Coordinated with the creative team to ensure the script aligned with brand objectives.</t>
  </si>
  <si>
    <t>Negotiated contracts with external vendors, including production houses and talent agencies.</t>
  </si>
  <si>
    <t>Organized location scouting sessions and ensured all permits were obtained.</t>
  </si>
  <si>
    <t>Developed the production schedule and distributed it to all relevant departments.</t>
  </si>
  <si>
    <t>Oversaw on-set operations to ensure the shoot adhered to the timeline and budget.</t>
  </si>
  <si>
    <t>Managed communication between the director, crew, and client to address real-time feedback.</t>
  </si>
  <si>
    <t>Monitored the proper allocation of resources, including talent, equipment, and catering.</t>
  </si>
  <si>
    <t>Verified compliance with safety protocols and industry standards throughout the shoot.</t>
  </si>
  <si>
    <t>Facilitated real-time troubleshooting of any technical or logistical issues on set.</t>
  </si>
  <si>
    <t>Coordinated the handover of footage to the editing team and set delivery deadlines.</t>
  </si>
  <si>
    <t>Managed the client review process, gathering feedback for revisions.</t>
  </si>
  <si>
    <t>Approved the final sound mix and color grading, ensuring brand consistency.</t>
  </si>
  <si>
    <t>Ensured that all legal clearances, including music licensing, were completed before distribution.</t>
  </si>
  <si>
    <t>Delivered the final commercial to the media buying team for broadcast scheduling.</t>
  </si>
  <si>
    <t>Producer/CFOO</t>
  </si>
  <si>
    <t>Secured project funding and finalized the budget for the commercial.</t>
  </si>
  <si>
    <t>Negotiated contracts with talent, vendors, and production crews.</t>
  </si>
  <si>
    <t>Conducted casting sessions and selected talent for key roles.</t>
  </si>
  <si>
    <t>Coordinated with the creative team to finalize the script and storyboard.</t>
  </si>
  <si>
    <t>Arranged location permits and ensured compliance with legal requirements.</t>
  </si>
  <si>
    <t>Supervised the filming schedule to ensure adherence to project timelines.</t>
  </si>
  <si>
    <t>Managed on-set logistics, including equipment rentals and crew accommodations.</t>
  </si>
  <si>
    <t>Oversaw the implementation of the creative vision on set alongside the director.</t>
  </si>
  <si>
    <t>Approved daily shot lists to confirm coverage of key scenes and shots.</t>
  </si>
  <si>
    <t>Addressed unforeseen issues and facilitated communication between departments.</t>
  </si>
  <si>
    <t>Reviewed initial edits and provided feedback to align with the project goals.</t>
  </si>
  <si>
    <t>Managed the budget during post-production to stay within financial constraints.</t>
  </si>
  <si>
    <t>Coordinated with sound and visual effects teams to complete final touches.</t>
  </si>
  <si>
    <t>Oversaw color correction and audio mixing to ensure quality standards.</t>
  </si>
  <si>
    <t>Approved the final cut for distribution and collaborated on the release strategy.</t>
  </si>
  <si>
    <t>Created a detailed project timeline and assigned milestones for each department.</t>
  </si>
  <si>
    <t>Held kickoff meetings with key stakeholders to align on project objectives.</t>
  </si>
  <si>
    <t>Sourced and booked necessary insurance for production and crew.</t>
  </si>
  <si>
    <t>Coordinated rehearsals with talent to prepare for complex scenes.</t>
  </si>
  <si>
    <t>Finalized all creative approvals with the client to prevent mid-production changes.</t>
  </si>
  <si>
    <t>Collaborated with the marketing team to develop the launch strategy for the commercial.</t>
  </si>
  <si>
    <t>Scheduled and supervised client review sessions to gather feedback on edits.</t>
  </si>
  <si>
    <t>Coordinated with the legal team to clear music, images, and other rights.</t>
  </si>
  <si>
    <t>Approved subtitles and closed captioning to meet accessibility requirements.</t>
  </si>
  <si>
    <t>Organized archival storage for all project files and final media.</t>
  </si>
  <si>
    <t>Producer/President</t>
  </si>
  <si>
    <t>Established project goals and objectives with the client to ensure alignment.</t>
  </si>
  <si>
    <t>Developed a comprehensive production schedule and outlined key deliverables.</t>
  </si>
  <si>
    <t>Reviewed and approved casting options provided by the casting director.</t>
  </si>
  <si>
    <t>Secured primary shooting locations and obtained necessary permits.</t>
  </si>
  <si>
    <t>Negotiated and finalized contracts with production staff, vendors, and suppliers.</t>
  </si>
  <si>
    <t>Monitored on-set operations to ensure adherence to the production timeline.</t>
  </si>
  <si>
    <t>Managed the budget daily, approving necessary expenses and adjustments.</t>
  </si>
  <si>
    <t>Coordinated with department heads to ensure all scenes matched the creative vision.</t>
  </si>
  <si>
    <t>Resolved any immediate issues related to logistics, scheduling, or personnel.</t>
  </si>
  <si>
    <t>Provided daily progress updates to stakeholders to confirm milestones were met.</t>
  </si>
  <si>
    <t>Oversaw initial edits and provided feedback on pacing, structure, and tone.</t>
  </si>
  <si>
    <t>Coordinated with sound engineers and visual effects artists to finalize enhancements.</t>
  </si>
  <si>
    <t>Ensured that the final cut adhered to client expectations and brand guidelines.</t>
  </si>
  <si>
    <t>Approved color grading and sound mixing for consistency across deliverables.</t>
  </si>
  <si>
    <t>Directed the final distribution plan and ensured the commercial was delivered on time.</t>
  </si>
  <si>
    <t>Evaluated and approved proposals from production and post-production vendors.</t>
  </si>
  <si>
    <t>Organized a risk assessment and safety briefing for all production personnel.</t>
  </si>
  <si>
    <t>Collaborated with the creative director to finalize set designs and visual concepts.</t>
  </si>
  <si>
    <t>Scheduled pre-production meetings with department heads to align on responsibilities.</t>
  </si>
  <si>
    <t>Reviewed and approved the wardrobe, props, and styling for talent in the commercial.</t>
  </si>
  <si>
    <t>Coordinated multiple rounds of client feedback to refine edits.</t>
  </si>
  <si>
    <t>Approved licensing agreements for music, stock footage, and third-party assets.</t>
  </si>
  <si>
    <t>Managed the quality control process to verify that the final product met technical standards.</t>
  </si>
  <si>
    <t>Organized a final screening with the client for last approvals before distribution.</t>
  </si>
  <si>
    <t>Arranged for secure backup and archiving of all raw footage and project files.</t>
  </si>
  <si>
    <t>Creative Director/CEO</t>
  </si>
  <si>
    <t>Conceptualized and developed the creative vision and theme for the commercial.</t>
  </si>
  <si>
    <t>Presented storyboards and concept pitches to the client for approval.</t>
  </si>
  <si>
    <t>Selected and approved visual styles, color schemes, and design elements.</t>
  </si>
  <si>
    <t>Collaborated with the scriptwriter to finalize dialogue and narrative flow.</t>
  </si>
  <si>
    <t>Reviewed and approved talent options to ensure alignment with brand identity.</t>
  </si>
  <si>
    <t>Directed on-set scenes to ensure the creative vision was accurately translated.</t>
  </si>
  <si>
    <t>Worked closely with the cinematographer to achieve the desired visual aesthetics.</t>
  </si>
  <si>
    <t>Provided real-time feedback on camera angles, lighting, and set design.</t>
  </si>
  <si>
    <t>Ensured that each shot captured key brand messages and visual appeal.</t>
  </si>
  <si>
    <t>Coordinated with the production designer to maintain consistency in the creative elements.</t>
  </si>
  <si>
    <t>Oversaw the editing process to ensure the final cut reflected the creative vision.</t>
  </si>
  <si>
    <t>Reviewed color grading and visual effects for consistency with the brand style.</t>
  </si>
  <si>
    <t>Directed the audio mixing process to align sound with the desired emotional tone.</t>
  </si>
  <si>
    <t>Approved the integration of graphics, animations, and final visual elements.</t>
  </si>
  <si>
    <t>Presented the final commercial to the client and secured their approval for release.</t>
  </si>
  <si>
    <t>Collaborated with the marketing team to align the commercial’s messaging with the broader campaign strategy.</t>
  </si>
  <si>
    <t>Reviewed location options and provided input on how each setting supported the creative concept.</t>
  </si>
  <si>
    <t>Worked with the wardrobe and makeup teams to define the visual style for each character.</t>
  </si>
  <si>
    <t>Created a mood board to communicate the intended look and feel to the production team.</t>
  </si>
  <si>
    <t>Finalized the shot list and sequence of scenes to ensure smooth production flow.</t>
  </si>
  <si>
    <t>Reviewed the initial cut to ensure pacing and transitions matched the intended tone.</t>
  </si>
  <si>
    <t>Provided detailed feedback on the edit to enhance emotional impact and storytelling.</t>
  </si>
  <si>
    <t>Worked with sound designers to ensure background music and effects complemented the visuals.</t>
  </si>
  <si>
    <t>Directed the team to make final tweaks on animations and motion graphics.</t>
  </si>
  <si>
    <t>Organized a final review session with key stakeholders to gather feedback before distribution.</t>
  </si>
  <si>
    <t>Creator</t>
  </si>
  <si>
    <t>Developed and refined the initial concept and storyline for the commercial.</t>
  </si>
  <si>
    <t>Drafted the script to ensure alignment with brand messaging and target audience.</t>
  </si>
  <si>
    <t>Created mood boards and visual references to communicate the creative direction.</t>
  </si>
  <si>
    <t>Presented creative ideas and concepts to the client for feedback and approval.</t>
  </si>
  <si>
    <t>Coordinated with the production team to determine set requirements and prop needs.</t>
  </si>
  <si>
    <t>Directed talent on set to capture authentic performances that matched the vision.</t>
  </si>
  <si>
    <t>Collaborated with the camera team to ensure each shot aligned with the storyboard.</t>
  </si>
  <si>
    <t>Monitored lighting and set arrangements to maintain visual consistency across scenes.</t>
  </si>
  <si>
    <t>Provided immediate feedback on each take to adjust and improve performance as needed.</t>
  </si>
  <si>
    <t>Ensured all key shots were captured according to the planned shot list and timeline.</t>
  </si>
  <si>
    <t>Reviewed the rough cut and provided feedback to shape the pacing and narrative flow.</t>
  </si>
  <si>
    <t>Approved or requested adjustments to visual effects and color grading.</t>
  </si>
  <si>
    <t>Worked with the editor to fine-tune transitions and scene cuts for optimal flow.</t>
  </si>
  <si>
    <t>Reviewed the final audio mix to ensure clarity and emotional resonance with the visuals.</t>
  </si>
  <si>
    <t>Approved the final version for client presentation and prepared files for distribution.</t>
  </si>
  <si>
    <t>Selected background music options and sound effects to match the commercial’s tone.</t>
  </si>
  <si>
    <t>Drafted a creative brief outlining key messaging and visual style for the production team.</t>
  </si>
  <si>
    <t>Reviewed storyboards with the animation team to plan any required visual effects.</t>
  </si>
  <si>
    <t>Held brainstorming sessions with the creative team to finalize unique visual elements.</t>
  </si>
  <si>
    <t>Conducted test shots to ensure visual concepts were achievable within the production constraints.</t>
  </si>
  <si>
    <t>Provided feedback on initial animations and requested modifications for smoother transitions.</t>
  </si>
  <si>
    <t>Approved font choices and graphic overlays to align with brand guidelines.</t>
  </si>
  <si>
    <t>Coordinated with the marketing team to prepare the commercial for multi-platform release.</t>
  </si>
  <si>
    <t>Conducted a quality check on the final edit to ensure there were no visual or audio inconsistencies.</t>
  </si>
  <si>
    <t>Organized a client viewing session and prepared key talking points for final approval.</t>
  </si>
  <si>
    <t>Proj Mgr</t>
  </si>
  <si>
    <t>Coordinated with the creative team to finalize the commercial script.</t>
  </si>
  <si>
    <t>Scheduled and facilitated meetings with stakeholders to confirm project deliverables.</t>
  </si>
  <si>
    <t>Secured necessary permits and locations for the shoot.</t>
  </si>
  <si>
    <t>Organized casting sessions and confirmed talent selections.</t>
  </si>
  <si>
    <t>Developed a comprehensive production timeline and budget.</t>
  </si>
  <si>
    <t>Monitored daily shoot schedules to ensure adherence to the production timeline.</t>
  </si>
  <si>
    <t>Managed on-set logistics, including crew coordination and equipment setup.</t>
  </si>
  <si>
    <t>Communicated with the director and producer to address immediate concerns.</t>
  </si>
  <si>
    <t>Ensured compliance with safety protocols on set.</t>
  </si>
  <si>
    <t>Tracked expenses and updated the budget in real-time.</t>
  </si>
  <si>
    <t>Reviewed initial edits and provided detailed feedback to the editing team.</t>
  </si>
  <si>
    <t>Coordinated with sound designers to finalize audio tracks and voiceovers.</t>
  </si>
  <si>
    <t>Oversaw the color correction process to maintain visual consistency.</t>
  </si>
  <si>
    <t>Approved final deliverables and ensured alignment with client expectations.</t>
  </si>
  <si>
    <t>Facilitated the distribution of the final commercial to media outlets.</t>
  </si>
  <si>
    <t>Conducted a risk assessment to identify potential challenges during production.</t>
  </si>
  <si>
    <t>Liaised with vendors to secure equipment rentals and contracts.</t>
  </si>
  <si>
    <t>Prepared and distributed call sheets to the production team and talent.</t>
  </si>
  <si>
    <t>Collaborated with legal teams to review and finalize contracts.</t>
  </si>
  <si>
    <t>Coordinated with art directors to confirm set designs and props.</t>
  </si>
  <si>
    <t>Supervised the transportation and setup of props and costumes on set.</t>
  </si>
  <si>
    <t>Communicated real-time updates to stakeholders regarding shoot progress.</t>
  </si>
  <si>
    <t>Addressed unexpected delays by reallocating resources to maintain the schedule.</t>
  </si>
  <si>
    <t>Verified that all required scenes were captured according to the shot list.</t>
  </si>
  <si>
    <t>Supported the crew in resolving technical issues with equipment during the shoot.</t>
  </si>
  <si>
    <t>Organized a post-mortem meeting to review production performance and gather feedback.</t>
  </si>
  <si>
    <t>Coordinated with motion graphic designers to integrate animations into the final cut.</t>
  </si>
  <si>
    <t>Reviewed licensing agreements to ensure proper use of music and stock footage.</t>
  </si>
  <si>
    <t>Compiled and archived all production materials for future reference.</t>
  </si>
  <si>
    <t>Managed client review sessions and documented requested revisions.</t>
  </si>
  <si>
    <t>SVP Exec Creat Dir</t>
  </si>
  <si>
    <t>Provided creative direction to refine the concept and ensure brand alignment.</t>
  </si>
  <si>
    <t>Approved the final storyboard and script for the commercial.</t>
  </si>
  <si>
    <t>Collaborated with the client to confirm the overarching creative vision.</t>
  </si>
  <si>
    <t>Selected the production team, including the director and key department leads.</t>
  </si>
  <si>
    <t>Reviewed and endorsed the pre-production budget and timeline.</t>
  </si>
  <si>
    <t>Supervised on-set creative execution to maintain alignment with the approved vision.</t>
  </si>
  <si>
    <t>Reviewed dailies to ensure quality and consistency with creative objectives.</t>
  </si>
  <si>
    <t>Made real-time decisions to adjust creative elements during filming.</t>
  </si>
  <si>
    <t>Consulted with the director and cinematographer to achieve desired visual outcomes.</t>
  </si>
  <si>
    <t>Authorized creative changes to props, wardrobe, or set design as needed.</t>
  </si>
  <si>
    <t>Directed the editing team to finalize the visual narrative and pacing.</t>
  </si>
  <si>
    <t>Provided creative oversight on color grading and visual effects.</t>
  </si>
  <si>
    <t>Approved the final soundtrack and voiceover recordings.</t>
  </si>
  <si>
    <t>Conducted the final review of the commercial with the client for sign-off.</t>
  </si>
  <si>
    <t>Presented the completed commercial to the agency leadership for internal review.</t>
  </si>
  <si>
    <t>Conceptualized and pitched multiple creative approaches to the client for consideration.</t>
  </si>
  <si>
    <t>Reviewed casting options to ensure alignment with the target audience and creative goals.</t>
  </si>
  <si>
    <t>Collaborated with the art director to finalize mood boards and visual themes.</t>
  </si>
  <si>
    <t>Approved key creative materials, including set designs and costume concepts.</t>
  </si>
  <si>
    <t>Directed the development of a comprehensive creative brief for the production team.</t>
  </si>
  <si>
    <t>Conducted on-set reviews of key shots to ensure alignment with the storyboard.</t>
  </si>
  <si>
    <t>Provided creative input during rehearsals to refine performance delivery.</t>
  </si>
  <si>
    <t>Worked with the production designer to make adjustments to on-set aesthetics.</t>
  </si>
  <si>
    <t>Directed key scenes to ensure emotional and visual impact matched the vision.</t>
  </si>
  <si>
    <t>Communicated real-time creative updates to stakeholders to maintain transparency.</t>
  </si>
  <si>
    <t>Reviewed and refined the pacing and transitions in the initial edit.</t>
  </si>
  <si>
    <t>Collaborated with sound designers to craft an audio mix that complemented the visuals.</t>
  </si>
  <si>
    <t>Ensured brand guidelines were adhered to in all post-production elements.</t>
  </si>
  <si>
    <t>Directed the team during test screenings to gather feedback for final revisions.</t>
  </si>
  <si>
    <t>Signed off on deliverables for different media formats, ensuring readiness for distribution.</t>
  </si>
  <si>
    <t>Assoc Planner</t>
  </si>
  <si>
    <t>Conducted audience research to identify key demographics for targeting.</t>
  </si>
  <si>
    <t>Analyzed market trends to align the commercial concept with consumer behavior.</t>
  </si>
  <si>
    <t>Compiled competitive analysis reports to inform strategic decisions.</t>
  </si>
  <si>
    <t>Collaborated with the creative team to ensure messaging reflected insights.</t>
  </si>
  <si>
    <t>Presented research findings to stakeholders to guide pre-production planning.</t>
  </si>
  <si>
    <t>Observed on-set activities to ensure alignment with strategic objectives.</t>
  </si>
  <si>
    <t>Provided real-time insights to adjust creative elements for better audience appeal.</t>
  </si>
  <si>
    <t>Monitored the execution of planned messaging during key scenes.</t>
  </si>
  <si>
    <t>Documented any deviations from the strategy for follow-up discussions.</t>
  </si>
  <si>
    <t>Communicated feedback to the team to maintain consistency with research insights.</t>
  </si>
  <si>
    <t>Reviewed initial edits to ensure the messaging resonated with the target audience.</t>
  </si>
  <si>
    <t>Analyzed focus group data to guide revisions in the final cut.</t>
  </si>
  <si>
    <t>Provided recommendations for optimizing the commercial’s delivery across platforms.</t>
  </si>
  <si>
    <t>Assisted in finalizing ad placement strategies to maximize impact.</t>
  </si>
  <si>
    <t>Compiled a report summarizing the campaign’s alignment with planning goals.</t>
  </si>
  <si>
    <t>Conducted surveys to gather consumer preferences for the product category.</t>
  </si>
  <si>
    <t>Developed a strategic framework to position the commercial within the broader campaign.</t>
  </si>
  <si>
    <t>Coordinated with media planners to align the creative brief with distribution plans.</t>
  </si>
  <si>
    <t>Compiled and presented historical performance data of similar campaigns.</t>
  </si>
  <si>
    <t>Evaluated feedback from stakeholder meetings to refine the creative approach.</t>
  </si>
  <si>
    <t>Tracked on-set activities to ensure the narrative reflected research insights.</t>
  </si>
  <si>
    <t>Provided data-driven suggestions to refine performance direction.</t>
  </si>
  <si>
    <t>Communicated adjustments to key messaging elements during filming.</t>
  </si>
  <si>
    <t>Observed and recorded scene setups for post-production analysis.</t>
  </si>
  <si>
    <t>Facilitated discussions between the creative and production teams to maintain strategic consistency.</t>
  </si>
  <si>
    <t>Conducted sentiment analysis on initial audience reactions to the rough cut.</t>
  </si>
  <si>
    <t>Reviewed revisions to ensure strategic objectives were incorporated.</t>
  </si>
  <si>
    <t>Worked with analytics teams to project the commercial’s performance metrics.</t>
  </si>
  <si>
    <t>Delivered detailed feedback on messaging effectiveness in post-production elements.</t>
  </si>
  <si>
    <t>Prepared a post-campaign analysis framework to measure success after launch.</t>
  </si>
  <si>
    <t>VP Mgt Dir</t>
  </si>
  <si>
    <t>Approved the overall strategic direction for the commercial to align with client objectives.</t>
  </si>
  <si>
    <t>Finalized the budget and resource allocation plan with department leads.</t>
  </si>
  <si>
    <t>Negotiated terms and contracts with external production partners.</t>
  </si>
  <si>
    <t>Conducted high-level reviews of the creative brief and campaign strategy.</t>
  </si>
  <si>
    <t>Met with the client to ensure all expectations and deliverables were clearly outlined.</t>
  </si>
  <si>
    <t>Oversaw the production schedule to ensure adherence to project timelines.</t>
  </si>
  <si>
    <t>Managed communication between the client and production team during filming.</t>
  </si>
  <si>
    <t>Resolved escalated issues on set to prevent delays or disruptions.</t>
  </si>
  <si>
    <t>Ensured the brand’s messaging was consistently represented in all filmed content.</t>
  </si>
  <si>
    <t>Evaluated daily production reports to confirm progress aligned with objectives.</t>
  </si>
  <si>
    <t>Reviewed the final cut to ensure it met strategic and creative standards.</t>
  </si>
  <si>
    <t>Approved adjustments to the commercial based on client feedback.</t>
  </si>
  <si>
    <t>Coordinated with media planning teams to prepare for the commercial’s launch.</t>
  </si>
  <si>
    <t>Led post-project evaluations to identify lessons learned for future campaigns.</t>
  </si>
  <si>
    <t>Delivered a final presentation to the client showcasing the completed commercial and its alignment with campaign goals.</t>
  </si>
  <si>
    <t>Collaborated with senior leadership to establish key performance metrics for the campaign.</t>
  </si>
  <si>
    <t>Secured internal approvals for the commercial’s creative direction and budget.</t>
  </si>
  <si>
    <t>Directed the alignment of the commercial’s concept with the broader marketing strategy.</t>
  </si>
  <si>
    <t>Oversaw the recruitment and onboarding of key creative and production personnel.</t>
  </si>
  <si>
    <t>Conducted stakeholder alignment meetings to ensure cross-functional support.</t>
  </si>
  <si>
    <t>Monitored high-level budget adherence and authorized additional resources when necessary.</t>
  </si>
  <si>
    <t>Provided strategic guidance to the director during critical scenes.</t>
  </si>
  <si>
    <t>Conducted on-site visits to assess production quality and team coordination.</t>
  </si>
  <si>
    <t>Communicated updates to the client on major milestones during filming.</t>
  </si>
  <si>
    <t>Facilitated conflict resolution among production team members to maintain progress.</t>
  </si>
  <si>
    <t>Approved the integration of branded elements into the final edit.</t>
  </si>
  <si>
    <t>Coordinated with the agency’s legal team to ensure compliance with advertising regulations.</t>
  </si>
  <si>
    <t>Directed the creation of supplementary materials for cross-platform distribution.</t>
  </si>
  <si>
    <t>Organized a client review session to gather final approvals.</t>
  </si>
  <si>
    <t>Drafted a comprehensive campaign performance report for internal and client use.</t>
  </si>
  <si>
    <t>Sr Bdcast Bus Mgr</t>
  </si>
  <si>
    <t>Negotiated broadcast rights and licensing agreements for the commercial.</t>
  </si>
  <si>
    <t>Coordinated with media agencies to finalize the broadcast schedule.</t>
  </si>
  <si>
    <t>Managed the approval process for creative materials to ensure compliance with broadcast standards.</t>
  </si>
  <si>
    <t>Worked with the legal team to review and finalize contracts with talent and vendors.</t>
  </si>
  <si>
    <t>Developed and presented a detailed broadcast strategy to stakeholders.</t>
  </si>
  <si>
    <t>Supervised the execution of the broadcast plan to ensure proper transmission of content.</t>
  </si>
  <si>
    <t>Monitored real-time production quality during filming to maintain broadcast standards.</t>
  </si>
  <si>
    <t>Coordinated with the production team to ensure timely delivery of content for air.</t>
  </si>
  <si>
    <t>Oversaw the logistics of on-location broadcasting and satellite feed coordination.</t>
  </si>
  <si>
    <t>Addressed any technical issues that arose during the live broadcast or filming.</t>
  </si>
  <si>
    <t>Reviewed the final commercial to ensure all broadcast specifications were met.</t>
  </si>
  <si>
    <t>Coordinated the delivery of the final commercial to broadcasters and media outlets.</t>
  </si>
  <si>
    <t>Worked with the team to develop a broadcast performance report for the client.</t>
  </si>
  <si>
    <t>Managed the integration of any last-minute revisions before final airing.</t>
  </si>
  <si>
    <t>Ensured the distribution of commercial content across multiple broadcast platforms.</t>
  </si>
  <si>
    <t>Secured clearance for music, trademarks, and other intellectual property used in the commercial.</t>
  </si>
  <si>
    <t>Worked with the creative team to ensure the commercial met broadcast length and format requirements.</t>
  </si>
  <si>
    <t>Developed a detailed timeline for the production and broadcast phases.</t>
  </si>
  <si>
    <t>Liaised with external vendors to arrange the necessary broadcast equipment and technology.</t>
  </si>
  <si>
    <t>Evaluated and selected appropriate channels for commercial air time based on audience demographics.</t>
  </si>
  <si>
    <t>Supervised the setup of live feed or broadcast equipment on location.</t>
  </si>
  <si>
    <t>Managed the timing of scenes to ensure they fit within the allocated broadcast window.</t>
  </si>
  <si>
    <t>Worked with technical teams to ensure the proper functioning of broadcast signals.</t>
  </si>
  <si>
    <t>Oversaw the coordination of behind-the-scenes operations for a smooth production flow.</t>
  </si>
  <si>
    <t>Monitored talent and crew during production to ensure they adhered to broadcast schedules.</t>
  </si>
  <si>
    <t>Ensured that the final commercial met all regulatory and broadcast compliance requirements.</t>
  </si>
  <si>
    <t>Coordinated the submission of the final commercial for review by networks and stations.</t>
  </si>
  <si>
    <t>Managed the optimization of the commercial for various broadcast formats (e.g., HD, 4K).</t>
  </si>
  <si>
    <t>Worked with analytics teams to track the commercial’s reach and performance post-airing.</t>
  </si>
  <si>
    <t>Reviewed broadcast performance data to refine future media strategies and placements.</t>
  </si>
  <si>
    <t>SVP Dir Strat Plng</t>
  </si>
  <si>
    <t>Developed the strategic framework for the commercial to ensure alignment with overall brand goals.</t>
  </si>
  <si>
    <t>Led the creation of the target audience profile based on market research and consumer insights.</t>
  </si>
  <si>
    <t>Worked with the creative team to refine the commercial concept in line with strategic objectives.</t>
  </si>
  <si>
    <t>Conducted budget reviews and resource allocation planning to ensure the commercial stayed within financial limits.</t>
  </si>
  <si>
    <t>Presented the commercial strategy to senior leadership and secured approval to move forward with production.</t>
  </si>
  <si>
    <t>Oversaw the execution of the creative vision on set to ensure strategic alignment with campaign goals.</t>
  </si>
  <si>
    <t>Monitored the pacing and tone of the production to ensure consistency with brand messaging.</t>
  </si>
  <si>
    <t>Coordinated with the media and production teams to align filming with the strategic distribution plan.</t>
  </si>
  <si>
    <t>Provided real-time feedback to the director and production team to make adjustments as needed.</t>
  </si>
  <si>
    <t>Ensured that any changes during production were in line with the strategic objectives and client goals.</t>
  </si>
  <si>
    <t>Reviewed the rough cut to ensure the commercial aligned with the intended strategy and messaging.</t>
  </si>
  <si>
    <t>Collaborated with the media team to plan the commercial's distribution across appropriate channels.</t>
  </si>
  <si>
    <t>Analyzed consumer response data from test screenings to assess the effectiveness of the commercial.</t>
  </si>
  <si>
    <t>Approved final edits and ensured all strategic messaging was clearly conveyed in the finished product.</t>
  </si>
  <si>
    <t>Delivered a final report to stakeholders that included campaign performance expectations and key learnings for future projects.</t>
  </si>
  <si>
    <t>Conducted SWOT analysis to inform the strategic direction and creative brief for the commercial.</t>
  </si>
  <si>
    <t>Worked with the media planning team to determine optimal media channels and timing for the commercial’s release.</t>
  </si>
  <si>
    <t>Coordinated with external agencies to align the commercial’s strategic messaging with broader marketing campaigns.</t>
  </si>
  <si>
    <t>Defined key performance indicators (KPIs) for measuring the commercial’s success and effectiveness.</t>
  </si>
  <si>
    <t>Facilitated strategic alignment meetings with stakeholders to ensure all parties were in agreement with the commercial’s objectives.</t>
  </si>
  <si>
    <t>Reviewed daily production dailies to ensure that the execution aligned with the initial strategic vision.</t>
  </si>
  <si>
    <t>Worked with the creative director to ensure the brand’s core message was consistently communicated throughout the shoot.</t>
  </si>
  <si>
    <t>Monitored the creative execution of key scenes to ensure they resonated with the target audience.</t>
  </si>
  <si>
    <t>Oversaw changes to the script or production plan to maintain strategic consistency with the campaign goals.</t>
  </si>
  <si>
    <t>Ensured all on-set decisions adhered to the budget and resource constraints established in the pre-production phase.</t>
  </si>
  <si>
    <t>Led the analysis of final edits to ensure the commercial met all strategic objectives before client review.</t>
  </si>
  <si>
    <t>Worked closely with the analytics team to track early performance data and adjust the distribution strategy accordingly.</t>
  </si>
  <si>
    <t>Provided final approval on the commercial’s tone and messaging for different audience segments.</t>
  </si>
  <si>
    <t>Managed post-launch monitoring to assess the commercial’s alignment with brand strategy and audience reception.</t>
  </si>
  <si>
    <t>Compiled a detailed post-mortem analysis on the campaign’s performance, including insights for future strategies.</t>
  </si>
  <si>
    <t>Developed social media strategy to ensure alignment with the commercial’s overall messaging and target audience.</t>
  </si>
  <si>
    <t>Coordinated with creative teams to establish visual and tone guidelines for the commercial's digital assets.</t>
  </si>
  <si>
    <t>Reviewed and approved the initial script to ensure it was optimized for social media platforms and engagement.</t>
  </si>
  <si>
    <t>Prepared content calendars to schedule teaser campaigns and promotional posts ahead of the commercial launch.</t>
  </si>
  <si>
    <t>Collaborated with influencers and social media personalities to secure partnerships for the commercial’s digital promotion.</t>
  </si>
  <si>
    <t>Monitored real-time social media content during the shoot to ensure all digital assets were on brand.</t>
  </si>
  <si>
    <t>Provided on-set feedback regarding social media engagement strategies and audience reception.</t>
  </si>
  <si>
    <t>Captured behind-the-scenes footage and images for future social media posts and campaign promotions.</t>
  </si>
  <si>
    <t>Liaised with the production team to ensure that social media deliverables were properly integrated into the filming schedule.</t>
  </si>
  <si>
    <t>Managed live updates on social media platforms, including posting stories, live videos, and responding to audience comments during the shoot.</t>
  </si>
  <si>
    <t>Reviewed and approved final edits for digital assets to ensure they met social media specifications and brand guidelines.</t>
  </si>
  <si>
    <t>Developed social media content to promote the commercial’s release, including clips, GIFs, and promotional posts.</t>
  </si>
  <si>
    <t>Analyzed audience feedback and engagement on initial posts to gauge the commercial’s digital impact.</t>
  </si>
  <si>
    <t>Coordinated the creation of paid social media ads to target specific demographics with the commercial content.</t>
  </si>
  <si>
    <t>Tracked social media performance metrics to evaluate the commercial’s effectiveness across different platforms and recommend adjustments for future campaigns.</t>
  </si>
  <si>
    <t>Drafted initial concepts for the commercial script, aligning with the client’s brief and brand objectives.</t>
  </si>
  <si>
    <t>Collaborated with the creative director to refine messaging, ensuring consistency with the overall campaign theme.</t>
  </si>
  <si>
    <t>Conducted research on target audience insights to tailor the tone, language, and content of the script.</t>
  </si>
  <si>
    <t>Developed taglines and key phrases to highlight the commercial’s central message and appeal.</t>
  </si>
  <si>
    <t>Created a detailed script outline that included dialogue, voiceover instructions, and on-screen text for production teams.</t>
  </si>
  <si>
    <t>Reviewed on-set dialogue to ensure script accuracy and consistency with the original concept.</t>
  </si>
  <si>
    <t>Provided real-time feedback to the director and actors regarding line delivery and tone during filming.</t>
  </si>
  <si>
    <t>Assisted with voiceover recordings, directing talent to ensure the script’s tone and messaging were effectively conveyed.</t>
  </si>
  <si>
    <t>Collaborated with the creative team to adjust the script as needed based on feedback from the production process.</t>
  </si>
  <si>
    <t>Monitored scene pacing to ensure dialogue and narrative flow aligned with the intended impact for the audience</t>
  </si>
  <si>
    <t>Reviewed the edited commercial to ensure the script was faithfully executed in the final cut.</t>
  </si>
  <si>
    <t>Revised any dialogue or copy that required fine-tuning in alignment with the visual edits and pacing.</t>
  </si>
  <si>
    <t>Crafted supporting text for social media and digital platforms, including captions, hashtags, and calls to action.</t>
  </si>
  <si>
    <t>Collaborated with the marketing team to refine the messaging for different ad formats, such as TV, digital, and print.</t>
  </si>
  <si>
    <t>Analyzed audience feedback on the commercial’s messaging and proposed adjustments for future campaigns based on insights.</t>
  </si>
  <si>
    <t>Developed a brand tone guide to ensure consistency in language and messaging across all campaign materials.</t>
  </si>
  <si>
    <t>Collaborated with the art department to align visual concepts with written copy and ensure a cohesive creative vision.</t>
  </si>
  <si>
    <t>Created a list of potential key messages and value propositions to be included in the script for client approval.</t>
  </si>
  <si>
    <t>Researched competitor commercials to analyze trends and identify opportunities for differentiation in the script.</t>
  </si>
  <si>
    <t>Prepared a script breakdown for the production team, outlining specific copy needs for each scene, including on-screen text and product mentions.</t>
  </si>
  <si>
    <t>Reviewed all on-screen text during filming to ensure accuracy and proper integration with the visuals.</t>
  </si>
  <si>
    <t>Assisted in coordinating the timing of key messages to align with visual cues, music, and transitions.</t>
  </si>
  <si>
    <t>Worked with the director to adjust language or tone of the script based on how scenes were unfolding on set.</t>
  </si>
  <si>
    <t>Provided on-set support to ensure that all scripted elements (e.g., product names, slogans) were clearly and effectively delivered.</t>
  </si>
  <si>
    <t>Observed rehearsals and filming to ensure that actors' delivery of lines reflected the intended message and emotional tone.</t>
  </si>
  <si>
    <t>Reviewed and revised the final voiceover script to ensure it complemented the visuals and sound design.</t>
  </si>
  <si>
    <t>Created alternative copy versions for different media formats, such as shorter cuts for digital platforms or radio ads.</t>
  </si>
  <si>
    <t>Collaborated with the sound design team to ensure that music and voiceover complemented the messaging without overpowering it.</t>
  </si>
  <si>
    <t>Updated call-to-action messaging based on the final cut to ensure clarity and effectiveness for the target audience.</t>
  </si>
  <si>
    <t>Evaluated the commercial’s language and tone post-edit to ensure it resonated with the target demographic before distribution.</t>
  </si>
  <si>
    <t>Conducted in-depth research on target audience demographics, behaviors, and preferences.</t>
  </si>
  <si>
    <t>Collaborated with creative teams to develop a campaign brief outlining strategic objectives.</t>
  </si>
  <si>
    <t>Analyzed competitive campaigns to identify positioning opportunities and potential pitfalls.</t>
  </si>
  <si>
    <t>Facilitated brainstorming sessions to align stakeholders on the commercial's key message.</t>
  </si>
  <si>
    <t>Reviewed and approved storyboards to ensure alignment with the overall brand strategy.</t>
  </si>
  <si>
    <t>Supervised the execution of the creative vision on set to maintain adherence to strategic goals.</t>
  </si>
  <si>
    <t>Coordinated with the director and production team to confirm the proper representation of messaging.</t>
  </si>
  <si>
    <t>Provided on-site guidance regarding brand guidelines and audience expectations.</t>
  </si>
  <si>
    <t>Ensured real-time feedback was communicated to maintain consistency with the campaign brief.</t>
  </si>
  <si>
    <t>Monitored the filming schedule to address any strategic concerns arising during production.</t>
  </si>
  <si>
    <t>Reviewed initial edits of the commercial to assess alignment with the campaign's objectives.</t>
  </si>
  <si>
    <t>Provided feedback on audio, visuals, and pacing to enhance narrative coherence.</t>
  </si>
  <si>
    <t>Evaluated the inclusion of branding elements to ensure clear and impactful representation.</t>
  </si>
  <si>
    <t>Collaborated with media planners to align final deliverables with distribution strategies.</t>
  </si>
  <si>
    <t>Approved the final cut for release, ensuring all strategic requirements were met.</t>
  </si>
  <si>
    <t>Exec Broadcast Prod</t>
  </si>
  <si>
    <t>Negotiated contracts with directors, production companies, and other key vendors.</t>
  </si>
  <si>
    <t>Managed the creation of production schedules and ensured all deadlines were met.</t>
  </si>
  <si>
    <t>Oversaw the budgeting process to confirm resource allocation aligned with project needs.</t>
  </si>
  <si>
    <t>Reviewed and approved casting selections and location scouting results.</t>
  </si>
  <si>
    <t>Coordinated pre-production meetings to align stakeholders on logistical and creative requirements.</t>
  </si>
  <si>
    <t>Supervised on-set operations to ensure production adhered to the approved schedule and budget.</t>
  </si>
  <si>
    <t>Resolved logistical challenges in real-time to maintain the shoot's efficiency.</t>
  </si>
  <si>
    <t>Ensured compliance with safety protocols and production guidelines throughout filming.</t>
  </si>
  <si>
    <t>Communicated regularly with the agency and client to address any immediate concerns.</t>
  </si>
  <si>
    <t>Monitored continuity and technical quality during the shoot to avoid post-production issues.</t>
  </si>
  <si>
    <t>Managed the selection and approval of editors, sound designers, and other post-production specialists.</t>
  </si>
  <si>
    <t>Oversaw the assembly and review of rough cuts to ensure alignment with the creative vision.</t>
  </si>
  <si>
    <t>Facilitated client review sessions and implemented feedback into the final edit.</t>
  </si>
  <si>
    <t>Coordinated the integration of visual effects, sound mixing, and color grading.</t>
  </si>
  <si>
    <t>Delivered the final commercial to media teams within the agreed-upon deadlines and specifications.</t>
  </si>
  <si>
    <t>Acct Exec</t>
  </si>
  <si>
    <t>Liaised with clients to confirm objectives, deliverables, and key messaging for the commercial.</t>
  </si>
  <si>
    <t>Prepared detailed project proposals and timelines for client approval.</t>
  </si>
  <si>
    <t>Coordinated internal meetings to align creative, production, and media teams on campaign goals.</t>
  </si>
  <si>
    <t>Communicated budget constraints and approvals between the client and production teams.</t>
  </si>
  <si>
    <t>Ensured all client feedback was incorporated into the script and storyboard revisions.</t>
  </si>
  <si>
    <t>Acted as the primary point of contact for the client during the shoot, providing updates and managing approvals.</t>
  </si>
  <si>
    <t>Monitored the production schedule to ensure alignment with client expectations.</t>
  </si>
  <si>
    <t>Facilitated client visits to the set and addressed their feedback in real time.</t>
  </si>
  <si>
    <t>Ensured all brand guidelines and client preferences were upheld throughout the filming process.</t>
  </si>
  <si>
    <t>Documented production progress and flagged any potential issues for internal review.</t>
  </si>
  <si>
    <t>Reviewed initial edits with the production team to ensure they met client specifications.</t>
  </si>
  <si>
    <t>Presented rough cuts to the client and facilitated rounds of feedback.</t>
  </si>
  <si>
    <t>Communicated client requests for revisions to the editing, sound, and visual effects teams.</t>
  </si>
  <si>
    <t>Confirmed final deliverables adhered to agreed-upon formats and distribution requirements.</t>
  </si>
  <si>
    <t>Delivered the completed commercial to the client and coordinated the launch schedule.</t>
  </si>
  <si>
    <t>Developed initial concept scripts based on the creative brief and campaign objectives.</t>
  </si>
  <si>
    <t>Collaborated with creative directors to refine the tone, language, and messaging of the scripts.</t>
  </si>
  <si>
    <t>Conducted research on target audience preferences to tailor the commercial’s language and style.</t>
  </si>
  <si>
    <t>Presented script drafts to the client and incorporated feedback into revisions.</t>
  </si>
  <si>
    <t>Assisted in brainstorming taglines and key phrases to enhance the campaign’s impact.</t>
  </si>
  <si>
    <t>Provided on-set support to ensure the script was accurately interpreted during filming.</t>
  </si>
  <si>
    <t>Made real-time script adjustments to accommodate unforeseen changes in production.</t>
  </si>
  <si>
    <t>Verified that dialogue delivery matched the intended tone and pacing.</t>
  </si>
  <si>
    <t>Coordinated with directors and actors to clarify any ambiguities in the script.</t>
  </si>
  <si>
    <t>Reviewed shot footage to confirm alignment with the commercial’s narrative and messaging.</t>
  </si>
  <si>
    <t>Reviewed early cuts to assess how well the script translated to the visual narrative.</t>
  </si>
  <si>
    <t>Provided feedback on voiceover recordings to ensure consistency with the script’s tone.</t>
  </si>
  <si>
    <t>Suggested edits to optimize pacing, phrasing, and transitions in the final cut.</t>
  </si>
  <si>
    <t>Assisted in crafting subtitles or captions to align with the approved script.</t>
  </si>
  <si>
    <t>Reviewed and approved final script-related elements before delivery to the client.</t>
  </si>
  <si>
    <t>Sr Proj Mgr</t>
  </si>
  <si>
    <t>Created a detailed project timeline outlining key milestones and deliverables for all teams.</t>
  </si>
  <si>
    <t>Allocated resources and assigned responsibilities across creative, production, and account teams.</t>
  </si>
  <si>
    <t>Facilitated regular status meetings to ensure alignment on project scope and deadlines.</t>
  </si>
  <si>
    <t>Reviewed and approved vendor contracts and production agreements to confirm compliance with project requirements.</t>
  </si>
  <si>
    <t>Monitored pre-production progress and resolved scheduling or logistical conflicts.</t>
  </si>
  <si>
    <t>Managed daily production schedules to ensure adherence to the project timeline.</t>
  </si>
  <si>
    <t>Acted as the central point of communication between clients, agency teams, and production crews.</t>
  </si>
  <si>
    <t>Monitored the budget in real-time to track expenses and manage cost overruns.</t>
  </si>
  <si>
    <t>Identified and resolved operational challenges that arose during filming.</t>
  </si>
  <si>
    <t>Documented production progress and prepared updates for internal and client stakeholders.</t>
  </si>
  <si>
    <t>Coordinated the handoff of footage and assets to the post-production team.</t>
  </si>
  <si>
    <t>Scheduled review sessions with internal teams and clients to ensure timely feedback.</t>
  </si>
  <si>
    <t>Tracked revisions and ensured all changes were implemented accurately and on schedule.</t>
  </si>
  <si>
    <t>Verified the final deliverables met quality standards and adhered to client specifications.</t>
  </si>
  <si>
    <t>Managed the approval process and facilitated the delivery of final assets to media partners.</t>
  </si>
  <si>
    <t>Art Dir</t>
  </si>
  <si>
    <t>Designed and presented mood boards to establish the visual tone and style of the commercial.</t>
  </si>
  <si>
    <t>Collaborated with the creative team to finalize the overall artistic concept and direction.</t>
  </si>
  <si>
    <t>Provided detailed art direction for storyboards to ensure alignment with the campaign’s vision.</t>
  </si>
  <si>
    <t>Selected and approved set designs, props, and wardrobe choices in consultation with production designers.</t>
  </si>
  <si>
    <t>Reviewed casting options to ensure alignment with the desired aesthetic and brand identity.</t>
  </si>
  <si>
    <t>Supervised on-set styling, set design, and prop placement to maintain consistency with the approved visual direction.</t>
  </si>
  <si>
    <t>Directed the camera crew and lighting technicians to achieve the desired visual effects.</t>
  </si>
  <si>
    <t>Provided feedback on framing, composition, and color grading during filming.</t>
  </si>
  <si>
    <t>Ensured all creative elements on set adhered to the brand guidelines and artistic vision.</t>
  </si>
  <si>
    <t>Monitored footage during production to identify any visual inconsistencies requiring correction.</t>
  </si>
  <si>
    <t>Reviewed initial cuts to ensure the visuals reflected the intended artistic style and tone.</t>
  </si>
  <si>
    <t>Collaborated with editors to refine visual transitions, effects, and pacing.</t>
  </si>
  <si>
    <t>Provided input on color grading and visual effects to enhance the commercial’s aesthetic.</t>
  </si>
  <si>
    <t>Approved final visual elements, including typography and motion graphics.</t>
  </si>
  <si>
    <t>Ensured the final cut adhered to the established visual standards and brand identity.</t>
  </si>
  <si>
    <t>Established the overall production strategy, budget, and resource allocation for the commercial.</t>
  </si>
  <si>
    <t>Approved key hires for production roles, including directors, cinematographers, and production designers.</t>
  </si>
  <si>
    <t>Negotiated contracts with production companies and secured necessary permissions and licenses.</t>
  </si>
  <si>
    <t>Led discussions with creative and account teams to align on production goals and feasibility.</t>
  </si>
  <si>
    <t>Reviewed and approved production schedules, ensuring all logistical elements were accounted for.</t>
  </si>
  <si>
    <t>Oversaw all on-set activities to ensure the production adhered to the approved schedule and budget.</t>
  </si>
  <si>
    <t>Directed the resolution of any high-level production issues or delays that arose during filming.</t>
  </si>
  <si>
    <t>Maintained communication with the client to provide updates on production progress and address concerns.</t>
  </si>
  <si>
    <t>Monitored adherence to safety protocols and industry standards throughout the shoot.</t>
  </si>
  <si>
    <t>Ensured all key creative and logistical elements were captured as planned for post-production.</t>
  </si>
  <si>
    <t>Approved the selection of post-production vendors, including editors, sound designers, and VFX artists.</t>
  </si>
  <si>
    <t>Reviewed preliminary edits and provided strategic feedback to align the final product with campaign objectives.</t>
  </si>
  <si>
    <t>Facilitated client review sessions and ensured that revisions were implemented efficiently.</t>
  </si>
  <si>
    <t>Approved the integration of final sound design, visual effects, and color grading.</t>
  </si>
  <si>
    <t>Delivered the completed commercial to media and distribution teams, ensuring all technical specifications were met.</t>
  </si>
  <si>
    <t>Sr Production Mgr</t>
  </si>
  <si>
    <t>Coordinated with the creative team to finalize the commercial concept and key messaging.</t>
  </si>
  <si>
    <t>Secured locations for the shoot, including obtaining necessary permits and location releases.</t>
  </si>
  <si>
    <t>Managed the casting process by liaising with casting agents and confirming talent availability.</t>
  </si>
  <si>
    <t>Created a detailed production schedule, outlining key milestones and deadlines for each department.</t>
  </si>
  <si>
    <t>Organized and facilitated the production budget review, ensuring all costs were aligned with the project’s financial constraints.</t>
  </si>
  <si>
    <t>Supervised the day-to-day operations on set to ensure the shoot adhered to the schedule and budget.</t>
  </si>
  <si>
    <t>Coordinated with the director and department heads to troubleshoot any on-site challenges.</t>
  </si>
  <si>
    <t>Managed the logistics for the transportation of crew, equipment, and materials to and from the set.</t>
  </si>
  <si>
    <t>Communicated with vendors to ensure timely delivery of props, wardrobe, and set materials.</t>
  </si>
  <si>
    <t>Oversaw the safety protocols on set, ensuring all crew and talent were working in a safe environment.</t>
  </si>
  <si>
    <t>Collaborated with the editor to review rough cuts, providing feedback on pacing, tone, and alignment with creative goals.</t>
  </si>
  <si>
    <t>Coordinated the delivery of the final commercial to internal stakeholders for approval before release.</t>
  </si>
  <si>
    <t>Managed the post-production timeline to ensure timely completion of all visual effects and sound mixing.</t>
  </si>
  <si>
    <t>Handled the legal clearance process for music, talent rights, and any copyrighted materials used in the commercial.</t>
  </si>
  <si>
    <t>Organized the delivery of final assets to distribution channels, ensuring compliance with broadcast specifications and deadlines.</t>
  </si>
  <si>
    <t>Developed and distributed call sheets to all cast and crew members, outlining key details for the shoot.</t>
  </si>
  <si>
    <t>Liaised with the legal team to ensure all contracts for talent, locations, and vendors were finalized and signed.</t>
  </si>
  <si>
    <t>Negotiated and secured any required insurance policies for the production, covering equipment, location, and talent.</t>
  </si>
  <si>
    <t>Conducted a walk-through of the shoot location with the director and department heads to assess logistical needs.</t>
  </si>
  <si>
    <t>Collaborated with the creative team to source and approve all visual references and mood boards for the commercial's aesthetic.</t>
  </si>
  <si>
    <t>Managed the scheduling and coordination of rehearsals with talent prior to the shoot.</t>
  </si>
  <si>
    <t>Supervised the setup of the production equipment and ensured that all gear was properly tested before filming.</t>
  </si>
  <si>
    <t>Communicated with the wardrobe and hair/makeup departments to ensure talent was prepared for the shoot as scheduled.</t>
  </si>
  <si>
    <t>Monitored the daily progress of the shoot, ensuring that all shots were captured according to the storyboard and shot list.</t>
  </si>
  <si>
    <t>Coordinated with the sound department to ensure proper audio capture and troubleshoot any on-set audio issues.</t>
  </si>
  <si>
    <t>Worked with the color grading team to ensure the final footage aligned with the desired visual tone and style.</t>
  </si>
  <si>
    <t>Collaborated with the music supervisor to select and clear the appropriate track(s) for the commercial's soundtrack.</t>
  </si>
  <si>
    <t>Coordinated with the voiceover artist for any necessary voice recordings and ensured the final audio mix was cohesive.</t>
  </si>
  <si>
    <t>Managed the creation of various commercial formats for different platforms in line with distribution requirements.</t>
  </si>
  <si>
    <t>Ensured all required paperwork and approvals were completed for the commercial’s submission to regulatory bodies before airing.</t>
  </si>
  <si>
    <t>Asst Acct Exec</t>
  </si>
  <si>
    <t>Coordinated with the creative team to finalize the script and storyboard for the commercial.</t>
  </si>
  <si>
    <t>Scheduled meetings with clients to review and approve the overall campaign strategy and messaging.</t>
  </si>
  <si>
    <t>Secured agreements with external vendors, including production studios and location scouts.</t>
  </si>
  <si>
    <t>Compiled and distributed a detailed production timeline and budget breakdown to stakeholders.</t>
  </si>
  <si>
    <t>Organized casting sessions and reviewed talent recommendations for on-screen roles.</t>
  </si>
  <si>
    <t>Monitored on-set activities to ensure adherence to the approved creative vision and production schedule.</t>
  </si>
  <si>
    <t>Facilitated real-time communication between the production team and the client for feedback and approvals.</t>
  </si>
  <si>
    <t>Oversaw compliance with all regulatory guidelines and legal requirements during filming.</t>
  </si>
  <si>
    <t>Managed the distribution of daily production reports to key stakeholders.</t>
  </si>
  <si>
    <t>Provided logistical support to the crew, including arranging accommodations and handling unexpected needs.</t>
  </si>
  <si>
    <t>Reviewed initial cuts of the commercial and provided consolidated feedback from clients and the creative team.</t>
  </si>
  <si>
    <t>Managed timelines for editing, sound design, and special effects to ensure project deadlines were met.</t>
  </si>
  <si>
    <t>Coordinated with legal and compliance teams to verify that the final content adhered to advertising standards.</t>
  </si>
  <si>
    <t>Organized client review sessions for the completed commercial and facilitated revisions where necessary.</t>
  </si>
  <si>
    <t>Delivered the final approved version of the commercial to media outlets and confirmed successful deployment.</t>
  </si>
  <si>
    <t>Conducted market research to ensure the proposed concept aligned with audience demographics and campaign goals.</t>
  </si>
  <si>
    <t>Prepared and distributed briefing documents to all teams involved in the project.</t>
  </si>
  <si>
    <t>Liaised with legal teams to ensure all creative assets complied with intellectual property and advertising laws.</t>
  </si>
  <si>
    <t>Reviewed and approved location contracts and permits for the production.</t>
  </si>
  <si>
    <t>Assembled a detailed shot list in collaboration with the director and production team.</t>
  </si>
  <si>
    <t>Coordinated daily call sheets to ensure all team members were informed of their responsibilities and schedules.</t>
  </si>
  <si>
    <t>Assisted in tracking on-set expenses to maintain alignment with the approved budget.</t>
  </si>
  <si>
    <t>Facilitated client site visits to the set and managed their interactions with the production team.</t>
  </si>
  <si>
    <t>Ensured all safety protocols were followed on set, including the use of proper equipment and procedures.</t>
  </si>
  <si>
    <t>Maintained real-time updates to a centralized project dashboard for tracking production progress.</t>
  </si>
  <si>
    <t>Verified the accuracy and placement of branding elements in the commercial during the editing phase.</t>
  </si>
  <si>
    <t>Coordinated the creation of subtitles, translations, or alternate versions for different markets.</t>
  </si>
  <si>
    <t>Assisted in organizing focus group screenings to gather feedback on the commercial’s impact and appeal.</t>
  </si>
  <si>
    <t>Managed the delivery of final assets to digital and traditional media partners within specified deadlines.</t>
  </si>
  <si>
    <t>Compiled and presented a comprehensive post-campaign report, including metrics on commercial performance and audience engagement.</t>
  </si>
  <si>
    <t>Multicultural Creative Dir</t>
  </si>
  <si>
    <t>Developed the overall creative concept and visual direction for the commercial, ensuring alignment with the target multicultural audience.</t>
  </si>
  <si>
    <t>Collaborated with the client and account teams to finalize the script and key messaging, integrating cultural nuances and sensitivities.</t>
  </si>
  <si>
    <t>Led casting sessions, selecting talent that authentically represented the diverse demographic the campaign targeted.</t>
  </si>
  <si>
    <t>Coordinated with the production designer to establish culturally relevant settings and props that would resonate with the target audience.</t>
  </si>
  <si>
    <t>Worked with the director and producers to create a detailed shooting schedule, considering logistical and cultural factors.</t>
  </si>
  <si>
    <t>Supervised the creative direction on set, ensuring that the performance, set design, and overall aesthetic adhered to the multicultural vision.</t>
  </si>
  <si>
    <t>Provided guidance to the director and actors to ensure that cultural authenticity was maintained throughout each scene.</t>
  </si>
  <si>
    <t>Conducted real-time assessments of shots and scenes, offering feedback to the director on visual composition and representation.</t>
  </si>
  <si>
    <t>Collaborated with the cinematographer to achieve the desired lighting and color tones that enhanced the multicultural theme of the commercial.</t>
  </si>
  <si>
    <t>Managed the integration of multicultural elements in wardrobe, hair, and makeup to ensure cultural accuracy and inclusivity.</t>
  </si>
  <si>
    <t>Oversaw the editing process, ensuring the pacing, tone, and narrative structure reflected the cultural nuances integral to the campaign.</t>
  </si>
  <si>
    <t>Worked closely with the sound designer to select and refine music, sound effects, and voiceovers that resonated with the target multicultural audience.</t>
  </si>
  <si>
    <t>Provided input on color grading to ensure visual elements aligned with the campaign's intended emotional tone and cultural aesthetic.</t>
  </si>
  <si>
    <t>Approved final edits of the commercial, reviewing how the multicultural themes were represented in the final cut.</t>
  </si>
  <si>
    <t>Reviewed and approved the commercial’s distribution strategy, ensuring it was optimized for various media platforms to effectively reach diverse audience segments.</t>
  </si>
  <si>
    <t>Conducted research on cultural trends and consumer behavior within the target demographic to inform creative direction.</t>
  </si>
  <si>
    <t>Collaborated with the media planning team to ensure alignment between the commercial's creative elements and the media strategy.</t>
  </si>
  <si>
    <t>Created mood boards and visual references to communicate the aesthetic direction to stakeholders and the production team.</t>
  </si>
  <si>
    <t>Coordinated with legal and compliance teams to ensure the script and imagery adhered to cultural sensitivities and regulatory guidelines.</t>
  </si>
  <si>
    <t>Developed a multicultural tone guide for the campaign, outlining key messaging and tone to ensure consistency across all creative materials.</t>
  </si>
  <si>
    <t>Directed the cultural advisor on set to verify that all aspects of the commercial, from dialogue to symbolism, accurately represented the intended culture.</t>
  </si>
  <si>
    <t>Monitored the integration of multiple languages or dialects in the dialogue to ensure linguistic authenticity and clarity.</t>
  </si>
  <si>
    <t>Worked closely with the director of photography to ensure that camera angles and framing reflected cultural perspectives and storytelling traditions.</t>
  </si>
  <si>
    <t>Managed on-set coordination between the multicultural creative team and the production crew to ensure smooth communication and execution.</t>
  </si>
  <si>
    <t>Provided real-time feedback on the performances of multicultural talent to ensure each actor’s portrayal was respectful and culturally appropriate.</t>
  </si>
  <si>
    <t>Collaborated with the visual effects (VFX) team to integrate culturally relevant elements, ensuring they enhanced the narrative without overpowering it.</t>
  </si>
  <si>
    <t>Directed the voice-over recording sessions, selecting voices that accurately represented the target multicultural demographics.</t>
  </si>
  <si>
    <t>Worked with the creative team to adapt and localize the commercial for different markets, adjusting the tone, messaging, or imagery as needed.</t>
  </si>
  <si>
    <t>Reviewed the pacing and editing of the commercial to ensure that the representation of diverse characters and cultures was balanced and effective.</t>
  </si>
  <si>
    <t>Provided final feedback on the commercial’s accessibility features, such as subtitles and translations, ensuring the campaign was inclusive and accessible to all audiences.</t>
  </si>
  <si>
    <t>Sr Strategist</t>
  </si>
  <si>
    <t>Conducted in-depth market research to identify target audience insights and inform the development of the commercial’s strategic objectives.</t>
  </si>
  <si>
    <t>Collaborated with the creative team to define key performance indicators (KPIs) and ensure the commercial aligned with broader brand and campaign goals.</t>
  </si>
  <si>
    <t>Developed a comprehensive media strategy, selecting the most effective platforms and formats for delivering the commercial to the target audience.</t>
  </si>
  <si>
    <t>Worked with the account management team to draft the project brief, outlining objectives, deliverables, and timelines for the commercial.</t>
  </si>
  <si>
    <t>Analyzed competitive advertising strategies to inform the creative direction and positioning of the commercial within the market landscape.</t>
  </si>
  <si>
    <t>Provided strategic input during the production meetings to ensure the commercial’s narrative, tone, and visuals aligned with the campaign's objectives.</t>
  </si>
  <si>
    <t>Coordinated with the creative team to ensure that brand messaging and strategic goals were consistently communicated throughout the shoot.</t>
  </si>
  <si>
    <t>Monitored real-time progress on set, offering feedback to ensure that the creative direction remained in line with the campaign’s strategic vision.</t>
  </si>
  <si>
    <t>Ensured that the intended target audience was accurately reflected in the casting, set design, and overall production aesthetic.</t>
  </si>
  <si>
    <t>Supported the production team by reviewing media content, ensuring alignment with the planned media strategy and audience engagement goals.</t>
  </si>
  <si>
    <t>Collaborated with the creative team to assess the final edit, ensuring it effectively communicated the brand message and adhered to strategic objectives.</t>
  </si>
  <si>
    <t>Conducted a review of the commercial’s performance metrics from initial testing or focus groups, providing strategic feedback for any necessary revisions.</t>
  </si>
  <si>
    <t>Worked with the media buying team to optimize the commercial’s placement, ensuring it reached the target audience across appropriate channels.</t>
  </si>
  <si>
    <t>Analyzed consumer feedback and engagement data to refine the commercial’s message and recommend potential adjustments to the final cut.</t>
  </si>
  <si>
    <t>Developed a post-launch analysis report, assessing the commercial’s performance against the predefined KPIs and providing strategic recommendations for future campaigns.</t>
  </si>
  <si>
    <t>Led cross-functional strategy meetings to ensure alignment between the creative, media, and client teams on campaign objectives and deliverables.</t>
  </si>
  <si>
    <t>Defined the commercial’s target audience segments based on demographic, psychographic, and behavioral data to refine the creative and media approach.</t>
  </si>
  <si>
    <t>Developed a content calendar that outlined the production timeline, key milestones, and deadlines for the commercial’s execution.</t>
  </si>
  <si>
    <t>Collaborated with the analytics team to develop audience segmentation models and refine the commercial’s targeting strategy across multiple platforms.</t>
  </si>
  <si>
    <t>Presented strategic recommendations to senior leadership and clients, securing approval on key creative concepts and media strategies.</t>
  </si>
  <si>
    <t>Provided ongoing strategic guidance during the shoot to ensure the narrative remained aligned with the overall brand positioning and key messaging.</t>
  </si>
  <si>
    <t>Collaborated with the creative director and producer to assess the on-set execution of campaign objectives, adjusting where necessary to optimize strategic impact.</t>
  </si>
  <si>
    <t>Monitored the budget and resource allocation, ensuring the production stayed within the defined scope while meeting strategic goals.</t>
  </si>
  <si>
    <t>Conducted real-time data collection from on-site digital media activations to gauge audience reactions and inform any immediate shifts in creative direction.</t>
  </si>
  <si>
    <t>Reviewed raw footage and initial cuts to assess how well the commercial aligned with the established strategic plan, providing feedback to keep the project on track.</t>
  </si>
  <si>
    <t>Conducted a comprehensive review of the commercial's messaging to ensure it effectively addressed audience pain points and motivations as identified in the pre-production strategy.</t>
  </si>
  <si>
    <t>Analyzed the commercial’s pacing, tone, and overall flow to ensure the messaging resonated with target segments and aligned with campaign objectives.</t>
  </si>
  <si>
    <t>Worked with the media planning team to refine the commercial’s distribution strategy, ensuring optimal placement across multiple channels based on audience behavior and media consumption patterns.</t>
  </si>
  <si>
    <t>Evaluated the effectiveness of various commercial versions or edits in achieving desired strategic goals through A/B testing and focus group feedback.</t>
  </si>
  <si>
    <t>Analyzed post-launch campaign data, reviewing engagement, conversion, and brand lift metrics, and provided insights to inform future creative strategies and media planning.</t>
  </si>
  <si>
    <t>Group Strategy Dir</t>
  </si>
  <si>
    <t>Led strategic workshops with key stakeholders to define the commercial’s overarching objectives and ensure alignment with broader brand goals.</t>
  </si>
  <si>
    <t>Conducted in-depth market analysis to identify emerging trends and consumer insights, shaping the commercial’s strategic direction.</t>
  </si>
  <si>
    <t>Developed a comprehensive communication strategy, outlining key messaging, target audience segmentation, and positioning for the commercial.</t>
  </si>
  <si>
    <t>Worked with the creative team to review initial concepts and ensure they adhered to the strategic vision and target audience needs.</t>
  </si>
  <si>
    <t>Collaborated with the media planning team to establish media goals and KPIs, ensuring the commercial would be effectively placed to reach key demographics.</t>
  </si>
  <si>
    <t>Monitored the production process to ensure that all creative decisions aligned with the strategic objectives and brand guidelines.</t>
  </si>
  <si>
    <t>Provided real-time feedback during the shoot, ensuring that key messages were being communicated effectively and that the narrative remained consistent with the strategy.</t>
  </si>
  <si>
    <t>Coordinated with the director and creative teams to adjust the storyline or visuals if the commercial needed to better resonate with the target audience.</t>
  </si>
  <si>
    <t>Ensured that the talent, set design, and visuals were culturally relevant and aligned with the strategic direction for a diverse target audience.</t>
  </si>
  <si>
    <t>Managed communications between the production team, client, and other key stakeholders to ensure smooth workflow and alignment with campaign objectives.</t>
  </si>
  <si>
    <t>Reviewed the final edit of the commercial, ensuring it met strategic goals and effectively conveyed the brand's message to the target audience.</t>
  </si>
  <si>
    <t>Collaborated with the analytics team to assess audience reactions, engagement metrics, and feedback from initial testing, making strategic recommendations for refinements.</t>
  </si>
  <si>
    <t>Worked with the media planning team to finalize distribution strategies, ensuring the commercial reached the intended audience across the most effective channels.</t>
  </si>
  <si>
    <t>Provided strategic input on the localization of the commercial, ensuring that the messaging remained relevant and resonant across different markets or regions.</t>
  </si>
  <si>
    <t>Conducted a post-launch performance review, analyzing the commercial’s impact against KPIs and providing insights for future strategic planning and campaign adjustments.</t>
  </si>
  <si>
    <t>Facilitated discussions with the account team to ensure the commercial’s strategy aligned with the client’s business objectives and brand vision.</t>
  </si>
  <si>
    <t>Conducted competitive analysis to assess the landscape and identify key differentiators, informing the creative direction and messaging strategy.</t>
  </si>
  <si>
    <t>Developed a comprehensive content strategy, outlining how the commercial would be integrated into broader marketing and communication initiatives.</t>
  </si>
  <si>
    <t>Collaborated with the media team to analyze audience media consumption patterns, helping inform the choice of channels for commercial distribution.</t>
  </si>
  <si>
    <t>Created a timeline for the project, outlining milestones, deliverables, and approval processes to ensure the commercial stayed on track throughout production.</t>
  </si>
  <si>
    <t>Oversaw the execution of the commercial’s strategic vision on set, ensuring alignment between the director’s vision and the established objectives.</t>
  </si>
  <si>
    <t>Worked with the producer to ensure production schedules, resources, and budget allocations were optimized to meet strategic goals.</t>
  </si>
  <si>
    <t>Provided ongoing feedback to the director and creative team during rehearsals to ensure the messaging remained focused and aligned with strategic priorities.</t>
  </si>
  <si>
    <t>Collaborated with the media team to monitor audience feedback from on-set test screenings, offering real-time insights to adjust the production as needed.</t>
  </si>
  <si>
    <t>Coordinated with the legal team to review scripts and ensure all content was compliant with advertising regulations and aligned with the brand’s values.</t>
  </si>
  <si>
    <t>Directed the review of the commercial’s post-production elements, ensuring final edits met strategic objectives for tone, messaging, and impact.</t>
  </si>
  <si>
    <t>Analyzed the commercial’s performance across different media platforms, evaluating audience engagement and providing insights to optimize future campaigns.</t>
  </si>
  <si>
    <t>Worked with the analytics team to conduct deep dives into viewer demographics, assessing how well the commercial resonated with the intended audience.</t>
  </si>
  <si>
    <t>Collaborated with the creative and media teams to optimize the commercial for various formats, ensuring effectiveness across TV, digital, and social media platforms.</t>
  </si>
  <si>
    <t>Developed a strategic report summarizing the commercial’s performance, identifying lessons learned, and offering actionable recommendations for future advertising initiatives.</t>
  </si>
  <si>
    <t>Sr Designer</t>
  </si>
  <si>
    <t>Collaborated with the creative director to develop visual concepts and design elements that aligned with the campaign’s overall vision.</t>
  </si>
  <si>
    <t>Created mood boards and style guides to communicate the desired aesthetic direction, ensuring consistency across all visual components.</t>
  </si>
  <si>
    <t>Developed initial design mockups for key scenes or assets, presenting options for client feedback and approval.</t>
  </si>
  <si>
    <t>Worked with the account and strategy teams to ensure that the design vision aligned with the target audience and messaging goals.</t>
  </si>
  <si>
    <t>Prepared detailed design briefs for the production team, outlining specific requirements for set design, props, costumes, and other visual elements.</t>
  </si>
  <si>
    <t>Supervised the on-set application of design elements, ensuring that the set, props, and wardrobe aligned with the approved creative direction.</t>
  </si>
  <si>
    <t>Worked closely with the cinematographer to ensure that lighting, camera angles, and color schemes were optimized to achieve the desired visual impact.</t>
  </si>
  <si>
    <t>Directed the placement of key design elements during the shoot to ensure consistency in composition and alignment with the storyboard.</t>
  </si>
  <si>
    <t>Provided real-time feedback on the aesthetic choices made during the production, ensuring that the commercial’s visuals stayed true to the initial design vision.</t>
  </si>
  <si>
    <t>Coordinated with the makeup and costume departments to ensure all talent was styled according to the established visual guidelines.</t>
  </si>
  <si>
    <t>Reviewed and refined visual assets in collaboration with the editing team, ensuring that the final cut aligned with the original design concepts.</t>
  </si>
  <si>
    <t>Worked with the motion graphics team to create any necessary visual effects or animated elements, ensuring they seamlessly integrated with the live-action footage.</t>
  </si>
  <si>
    <t>Directed the color grading process, ensuring that the color palette matched the visual style and tone established in pre-production.</t>
  </si>
  <si>
    <t>Approved final designs for all promotional materials related to the commercial, ensuring consistency across all platforms and formats.</t>
  </si>
  <si>
    <t>Conducted a final review of the commercial’s visual components, ensuring that all design elements were polished and aligned with the intended brand messaging.</t>
  </si>
  <si>
    <t>Developed a comprehensive design brief outlining visual concepts, color schemes, typography, and graphic elements to guide the entire production team.</t>
  </si>
  <si>
    <t>Researched cultural, social, and design trends to ensure the commercial's visual identity resonated with the target demographic and felt current.</t>
  </si>
  <si>
    <t>Coordinated with the director and scriptwriter to ensure that the design supported the narrative flow and was integrated effectively with the script.</t>
  </si>
  <si>
    <t>Produced visual prototypes and assets for testing, presenting them to stakeholders for review and incorporating feedback into the design process.</t>
  </si>
  <si>
    <t>Worked with the project manager to create a production timeline for the design elements, ensuring that all visual assets were delivered on schedule.</t>
  </si>
  <si>
    <t>Oversaw the construction and arrangement of physical sets, ensuring that props, backdrops, and furniture were positioned according to the design concept.</t>
  </si>
  <si>
    <t>Directed the visual style of talent movement and positioning within the frame to align with the storyboard and visual narrative.</t>
  </si>
  <si>
    <t>Assisted in overseeing on-set photography, ensuring that shot composition, framing, and perspective met the visual goals of the project.</t>
  </si>
  <si>
    <t>Provided guidance on the design and execution of any practical effects or interactive elements used during the shoot, ensuring they complemented the overall aesthetic.</t>
  </si>
  <si>
    <t>Monitored the integration of graphic elements or digital assets on set, ensuring that they were captured accurately for later use in post-production.</t>
  </si>
  <si>
    <t>Collaborated with the editing team to ensure that visual transitions between shots were smooth and aligned with the commercial's tone and pacing.</t>
  </si>
  <si>
    <t>Assisted in designing and refining title treatments, lower thirds, and any other graphical text elements for use in the final commercial.</t>
  </si>
  <si>
    <t>Led the review of animation or visual effects to ensure they adhered to the initial design concept and were integrated seamlessly into the final footage.</t>
  </si>
  <si>
    <t>Worked closely with the sound design team to ensure that visual pacing was in sync with sound effects, music, and voiceovers, maintaining a cohesive audiovisual experience.</t>
  </si>
  <si>
    <t>Reviewed final renders and animations, ensuring that all visual elements, from color grading to motion graphics, met the highest quality standards before approval.</t>
  </si>
  <si>
    <t>Bus Affairs Dir</t>
  </si>
  <si>
    <t>Developed the overall strategy and concept for the commercial, aligning it with the client's objectives and target audience.</t>
  </si>
  <si>
    <t>Coordinated with the creative team to finalize the script and storyboard, ensuring consistency with brand messaging.</t>
  </si>
  <si>
    <t>Liaised with the director and producers to confirm talent requirements, locations, and overall logistics for the shoot.</t>
  </si>
  <si>
    <t>Collaborated with the legal team to secure necessary rights, licenses, and permissions for locations, music, and talent usage.</t>
  </si>
  <si>
    <t>Facilitated meetings with the client to present and refine the creative brief and timeline, ensuring all expectations were clearly defined.</t>
  </si>
  <si>
    <t>Managed on-set coordination, ensuring all departments (lighting, sound, props) were on schedule and in line with the production plan.</t>
  </si>
  <si>
    <t>Supervised the execution of the shooting schedule, adjusting resources as needed to meet the creative vision and timelines.</t>
  </si>
  <si>
    <t>Directed talent through rehearsals and takes, providing feedback to ensure performances aligned with the concept.</t>
  </si>
  <si>
    <t>Monitored the quality of shots and ensured adherence to the storyboard, providing immediate adjustments when necessary.</t>
  </si>
  <si>
    <t>Oversaw the organization and flow of all on-set activities, ensuring safety protocols were followed and the production ran efficiently.</t>
  </si>
  <si>
    <t>Collaborated with editors to review and refine the footage, ensuring alignment with the original concept and brand guidelines.</t>
  </si>
  <si>
    <t>Worked with sound designers and composers to integrate sound effects, voiceovers, and music into the final edit.</t>
  </si>
  <si>
    <t>Coordinated with the color grading team to ensure visual consistency and adherence to the desired tone and style.</t>
  </si>
  <si>
    <t>Reviewed multiple cuts and provided feedback for revisions, ensuring the commercial met client specifications and expectations.</t>
  </si>
  <si>
    <t>Led the final approval process with the client, presenting the completed commercial and addressing any last-minute revisions or adjustments.</t>
  </si>
  <si>
    <t>Researched and identified potential production vendors, including equipment rental companies and post-production facilities, to support the project.</t>
  </si>
  <si>
    <t>Developed and managed the project budget, tracking all expenses and ensuring cost efficiency throughout the production process.</t>
  </si>
  <si>
    <t>Coordinated with the casting director to select appropriate talent, conducting auditions and ensuring the final choices aligned with the creative brief.</t>
  </si>
  <si>
    <t>Prepared and distributed detailed production schedules to all stakeholders, outlining key milestones and deadlines for each phase of the project.</t>
  </si>
  <si>
    <t>Organized and led location scouting trips to assess potential filming environments, securing final approvals for selected sites.</t>
  </si>
  <si>
    <t>Overseen the setup and breakdown of on-set equipment, ensuring all technical aspects were functioning properly and met production standards.</t>
  </si>
  <si>
    <t>Managed communication between the director, crew, and client, providing real-time updates on the shoot's progress and any adjustments required.</t>
  </si>
  <si>
    <t>Ensured compliance with union and labor regulations, overseeing contracts and managing the involvement of unionized crew members and talent.</t>
  </si>
  <si>
    <t>Maintained the on-set timeline, adjusting shoot day schedules based on unforeseen circumstances while keeping the production within scope.</t>
  </si>
  <si>
    <t>Monitored continuity across shots, verifying that wardrobe, props, and other details remained consistent throughout the shoot.</t>
  </si>
  <si>
    <t>Collaborated with visual effects (VFX) teams to integrate digital elements and ensure they enhanced the overall aesthetic and narrative.</t>
  </si>
  <si>
    <t>Worked with the client and creative team to refine the pacing and structure of the commercial, suggesting edits to improve the narrative flow.</t>
  </si>
  <si>
    <t>Managed the preparation of different versions of the commercial (e.g., for digital, broadcast, and social media), ensuring specifications were met for each platform.</t>
  </si>
  <si>
    <t>Coordinated the delivery of the final commercial to all required channels, ensuring timely submission to broadcasters and other outlets.</t>
  </si>
  <si>
    <t>Organized and led post-production review sessions with the client, ensuring the final product aligned with their vision and making necessary adjustments before final approval.</t>
  </si>
  <si>
    <t>Assoc Prod</t>
  </si>
  <si>
    <t>Collaborated with creative teams to refine the commercial concept and finalize the script.</t>
  </si>
  <si>
    <t>Prepared detailed production schedules and timelines to ensure key milestones were met.</t>
  </si>
  <si>
    <t>Secured necessary permits and locations by coordinating with relevant authorities and stakeholders.</t>
  </si>
  <si>
    <t>Negotiated contracts and agreements with vendors, talent, and production crew.</t>
  </si>
  <si>
    <t>Conducted pre-production meetings with department heads to align on project goals and logistics.</t>
  </si>
  <si>
    <t>Oversaw on-set activities to ensure adherence to the production schedule and creative vision.</t>
  </si>
  <si>
    <t>Managed budget tracking and expense reporting throughout the production phase.</t>
  </si>
  <si>
    <t>Coordinated daily call sheets and ensured all team members were informed of their responsibilities.</t>
  </si>
  <si>
    <t>Supervised equipment setup and breakdown to maintain operational efficiency.</t>
  </si>
  <si>
    <t>Addressed and resolved any production challenges that arose during filming.</t>
  </si>
  <si>
    <t>Reviewed initial cuts and provided constructive feedback to the editing team.</t>
  </si>
  <si>
    <t>Facilitated communication between editors, sound designers, and visual effects artists.</t>
  </si>
  <si>
    <t>Managed final deliverables by ensuring compliance with technical and brand standards.</t>
  </si>
  <si>
    <t>Organized and approved legal clearances, rights management, and licensing agreements.</t>
  </si>
  <si>
    <t>Delivered final assets to clients and distribution platforms, ensuring deadlines were met.</t>
  </si>
  <si>
    <t>Developed detailed project briefs outlining creative goals, timelines, and deliverables.</t>
  </si>
  <si>
    <t>Conducted talent casting sessions and facilitated client approvals on selected candidates.</t>
  </si>
  <si>
    <t>Created and distributed production budgets, ensuring transparency with internal and external teams.</t>
  </si>
  <si>
    <t>Organized creative review sessions to align stakeholders on storyboards and visual concepts.</t>
  </si>
  <si>
    <t>Coordinated travel and accommodation arrangements for cast, crew, and agency representatives.</t>
  </si>
  <si>
    <t>Monitored on-set brand representation to ensure alignment with the approved creative direction.</t>
  </si>
  <si>
    <t>Managed client presence on set, providing updates and facilitating feedback in real time.</t>
  </si>
  <si>
    <t>Verified that safety protocols and compliance standards were followed throughout the production.</t>
  </si>
  <si>
    <t>Authorized production adjustments, such as schedule changes or additional equipment needs.</t>
  </si>
  <si>
    <t>Documented behind-the-scenes footage and conducted interviews for potential promotional use.</t>
  </si>
  <si>
    <t>Scheduled and attended color grading and sound mixing sessions to ensure creative consistency.</t>
  </si>
  <si>
    <t>Reviewed and approved subtitles, captions, and translations for international versions.</t>
  </si>
  <si>
    <t>Managed the delivery of rough cuts and final versions to clients for review and approval.</t>
  </si>
  <si>
    <t>Coordinated promotional materials, including trailers, teasers, and social media content.</t>
  </si>
  <si>
    <t>Archived all production files, legal documentation, and final media assets for future reference.</t>
  </si>
  <si>
    <t>Head of Prod, Executive Producer</t>
  </si>
  <si>
    <t>Approved creative concepts and scripts, ensuring alignment with strategic brand objectives.</t>
  </si>
  <si>
    <t>Set overall project budgets and secured funding through client negotiations and internal approvals.</t>
  </si>
  <si>
    <t>Assembled key creative and production teams, including directors, producers, and department leads.</t>
  </si>
  <si>
    <t>Established production timelines and critical deadlines in collaboration with senior stakeholders.</t>
  </si>
  <si>
    <t>Oversaw risk management planning, including insurance coverage and legal compliance reviews.</t>
  </si>
  <si>
    <t>Supervised all aspects of production, ensuring that creative and business goals were achieved.</t>
  </si>
  <si>
    <t>Managed high-level client relationships by providing updates and facilitating strategic decisions.</t>
  </si>
  <si>
    <t>Approved major creative changes on set, balancing creative vision with budget constraints.</t>
  </si>
  <si>
    <t>Directed crisis management responses to any on-set emergencies or operational disruptions.</t>
  </si>
  <si>
    <t>Conducted quality control assessments during production to maintain the highest production standards.</t>
  </si>
  <si>
    <t>Led final creative reviews and approved edits, ensuring the commercial met brand and agency standards.</t>
  </si>
  <si>
    <t>Negotiated final deliverable timelines with distribution partners and media outlets.</t>
  </si>
  <si>
    <t>Approved licensing agreements, talent contracts, and legal clearances for all content usage.</t>
  </si>
  <si>
    <t>Presented the final commercial to executive leadership and key client stakeholders for sign-off.</t>
  </si>
  <si>
    <t>Directed the development of case studies and awards submissions to promote agency achievements.</t>
  </si>
  <si>
    <t>Approved key creative deliverables such as storyboards, style frames, and casting selections.</t>
  </si>
  <si>
    <t>Led high-level strategy meetings with agency leadership to align on campaign objectives.</t>
  </si>
  <si>
    <t>Authorized vendor and supplier agreements after thorough contract negotiations.</t>
  </si>
  <si>
    <t>Reviewed production designs and technical specifications to ensure feasibility and brand alignment.</t>
  </si>
  <si>
    <t>Established cross-functional communication protocols for seamless collaboration between teams.</t>
  </si>
  <si>
    <t>Conducted executive-level production check-ins to monitor progress and address critical issues.</t>
  </si>
  <si>
    <t>Managed real-time problem-solving for production challenges, balancing creative and operational needs.</t>
  </si>
  <si>
    <t>Approved major on-set expenditures and resource reallocations based on evolving project demands.</t>
  </si>
  <si>
    <t>Oversaw compliance with industry standards and union regulations during filming.</t>
  </si>
  <si>
    <t>Evaluated performance of key production personnel to ensure top-level execution and team leadership.</t>
  </si>
  <si>
    <t>Directed final creative refinements, including adjustments to narrative flow and visual effects.</t>
  </si>
  <si>
    <t>Approved final music composition and sound design for maximum brand impact.</t>
  </si>
  <si>
    <t>Managed agency-client presentations of completed work, facilitating executive-level feedback.</t>
  </si>
  <si>
    <t>Supervised media asset packaging and ensured proper delivery to broadcasters and digital platforms.</t>
  </si>
  <si>
    <t>Conducted project retrospectives to identify process improvements and enhance future campaigns.</t>
  </si>
  <si>
    <t>Creative Dir, Art Dir</t>
  </si>
  <si>
    <t>Developed the commercial's creative concept and visual direction in collaboration with copywriters.</t>
  </si>
  <si>
    <t>Designed comprehensive mood boards, style guides, and visual references for client presentations.</t>
  </si>
  <si>
    <t>Approved initial designs for set, props, costumes, and overall art direction.</t>
  </si>
  <si>
    <t>Reviewed and refined storyboards and animatics to ensure visual storytelling aligned with the creative vision.</t>
  </si>
  <si>
    <t>Collaborated with directors, production designers, and photographers to finalize the artistic approach.</t>
  </si>
  <si>
    <t>Directed on-set visual composition, ensuring that framing, lighting, and design matched the approved concept.</t>
  </si>
  <si>
    <t>Provided real-time creative feedback to the production team on set design, wardrobe, and props.</t>
  </si>
  <si>
    <t>Monitored shot lists and ensured that key creative elements were captured according to the storyboard.</t>
  </si>
  <si>
    <t>Worked closely with the director and cinematographer to achieve the intended visual style.</t>
  </si>
  <si>
    <t>Oversaw adjustments to art direction elements due to changing on-set conditions or client feedback.</t>
  </si>
  <si>
    <t>Reviewed and approved final edits, ensuring consistent application of the visual style.</t>
  </si>
  <si>
    <t>Directed the design and integration of motion graphics, visual effects, and on-screen text.</t>
  </si>
  <si>
    <t>Collaborated with colorists to adjust the final color grade for visual impact and brand consistency.</t>
  </si>
  <si>
    <t>Approved sound design and music choices to complement the visual elements.</t>
  </si>
  <si>
    <t>Presented final creative work to clients, explaining artistic decisions and how they supported the campaign goals.</t>
  </si>
  <si>
    <t>Led brainstorming sessions with creative teams to generate innovative concepts and campaign themes.</t>
  </si>
  <si>
    <t>Designed initial key visuals and concept art for client presentations and creative pitch decks.</t>
  </si>
  <si>
    <t>Selected and approved artists, designers, and freelancers for specialized creative tasks.</t>
  </si>
  <si>
    <t>Provided detailed creative briefs to production designers and set decorators.</t>
  </si>
  <si>
    <t>Reviewed casting selections to ensure on-screen talent fit the brand’s visual identity and concept.</t>
  </si>
  <si>
    <t>Conducted pre-shoot art direction walk-throughs to finalize set designs and props placement.</t>
  </si>
  <si>
    <t>Supervised wardrobe fittings and make-up tests to ensure stylistic consistency.</t>
  </si>
  <si>
    <t>Directed special effects implementation on set, ensuring alignment with the creative vision.</t>
  </si>
  <si>
    <t>Evaluated set construction progress, ensuring all elements were visually accurate and production-ready.</t>
  </si>
  <si>
    <t>Reviewed and approved camera angles and shot compositions during live production.</t>
  </si>
  <si>
    <t>Collaborated with graphic designers to create title sequences and end tags.</t>
  </si>
  <si>
    <t>Directed motion graphic animations and ensured stylistic integration into the commercial.</t>
  </si>
  <si>
    <t>Provided art direction feedback on retouching, compositing, and digital enhancements.</t>
  </si>
  <si>
    <t>Evaluated multiple editing versions to fine-tune the pacing, visual flow, and narrative.</t>
  </si>
  <si>
    <t>Approved final packaging and branding elements, such as logos, product shots, and overlays.</t>
  </si>
  <si>
    <t>Sr Social Media Mgr</t>
  </si>
  <si>
    <t>Developed the social media campaign strategy to align with the commercial’s objectives.</t>
  </si>
  <si>
    <t>Collaborated with the creative team to ensure social media integration in the commercial concept.</t>
  </si>
  <si>
    <t>Provided audience insights and platform trends to optimize the content’s engagement potential.</t>
  </si>
  <si>
    <t>Coordinated with the media planning team to define distribution channels and paid strategies.</t>
  </si>
  <si>
    <t>Reviewed scripts and storyboards to ensure brand consistency across social platforms.</t>
  </si>
  <si>
    <t>Secured influencer or brand ambassador partnerships for potential social media tie-ins.</t>
  </si>
  <si>
    <t>Created a social media content calendar outlining promotional efforts leading up to the commercial’s launch.</t>
  </si>
  <si>
    <t>Approved pre-production assets, including teaser visuals and behind-the-scenes content plans.</t>
  </si>
  <si>
    <t>Briefed the production team on social-specific content needs, such as vertical video formats.</t>
  </si>
  <si>
    <t>Monitored competitive campaigns to identify opportunities for differentiation.</t>
  </si>
  <si>
    <t>Supervised on-set content capture for real-time social media updates.</t>
  </si>
  <si>
    <t>Provided creative direction for social-first adaptations of commercial footage.</t>
  </si>
  <si>
    <t>Coordinated live behind-the-scenes coverage to build audience anticipation.</t>
  </si>
  <si>
    <t>Approved real-time social media posts featuring production progress.</t>
  </si>
  <si>
    <t>Managed influencer or brand ambassador interactions on set for social media collaborations.</t>
  </si>
  <si>
    <t>Ensured that key visual elements were adaptable for multiple social platforms.</t>
  </si>
  <si>
    <t>Collected soundbites and short-form content for social media cutdowns.</t>
  </si>
  <si>
    <t>Reviewed rough footage to identify potential social teaser clips.</t>
  </si>
  <si>
    <t>Collaborated with the video team to ensure brand messaging remained intact in all social adaptations.</t>
  </si>
  <si>
    <t>Monitored audience engagement on social media during production updates and adjusted content accordingly.</t>
  </si>
  <si>
    <t>Developed a phased social media rollout plan for the commercial’s launch.</t>
  </si>
  <si>
    <t>Worked with editors to create platform-specific cutdowns optimized for engagement.</t>
  </si>
  <si>
    <t>Approved final social media assets, including captions, hashtags, and paid ad creatives.</t>
  </si>
  <si>
    <t>Managed the scheduling and distribution of the commercial across all social platforms.</t>
  </si>
  <si>
    <t>Coordinated with the analytics team to track performance metrics and audience sentiment.</t>
  </si>
  <si>
    <t>Engaged with audience responses by overseeing community management efforts.</t>
  </si>
  <si>
    <t>Developed a retargeting strategy based on initial engagement data.</t>
  </si>
  <si>
    <t>Provided insights to the creative team for optimizing future commercial adaptations.</t>
  </si>
  <si>
    <t>Conducted a post-mortem analysis of social media campaign effectiveness.</t>
  </si>
  <si>
    <t>Compiled a comprehensive report summarizing key learnings and performance takeaways.</t>
  </si>
  <si>
    <t>Developed initial concept sketches and visual mood boards for the commercial.</t>
  </si>
  <si>
    <t>Created storyboards to outline key scenes and transitions.</t>
  </si>
  <si>
    <t>Collaborated with the creative director to refine visual direction.</t>
  </si>
  <si>
    <t>Selected potential locations based on creative and production requirements.</t>
  </si>
  <si>
    <t>Assisted in casting by reviewing talent portfolios and providing visual input.</t>
  </si>
  <si>
    <t>Coordinated with the production team to ensure props and set designs aligned with the creative vision.</t>
  </si>
  <si>
    <t>Designed presentation materials for client approvals.</t>
  </si>
  <si>
    <t>Provided input on wardrobe and styling to maintain brand consistency.</t>
  </si>
  <si>
    <t>Reviewed and adjusted shot lists with the director and cinematographer.</t>
  </si>
  <si>
    <t>Attended pre-production meetings to align creative execution with logistics.</t>
  </si>
  <si>
    <t>Oversaw on-set visual consistency to ensure adherence to the creative concept.</t>
  </si>
  <si>
    <t>Provided real-time feedback on framing, composition, and set design.</t>
  </si>
  <si>
    <t>Assisted in directing talent on posture, movement, and expressions.</t>
  </si>
  <si>
    <t>Worked closely with the director to refine shots based on the storyboard.</t>
  </si>
  <si>
    <t>Ensured proper branding elements were visually incorporated.</t>
  </si>
  <si>
    <t>Collaborated with the cinematographer to adjust lighting for the desired aesthetic.</t>
  </si>
  <si>
    <t>Addressed unexpected creative challenges by offering visual solutions.</t>
  </si>
  <si>
    <t>Reviewed footage in real-time to confirm adherence to the brand’s visual style.</t>
  </si>
  <si>
    <t>Provided last-minute graphic or set design adjustments as needed.</t>
  </si>
  <si>
    <t>Documented production details for reference in post-production.</t>
  </si>
  <si>
    <t>Reviewed rough cuts and provided feedback on visual composition.</t>
  </si>
  <si>
    <t>Worked with editors to refine transitions, pacing, and scene flow.</t>
  </si>
  <si>
    <t>Approved or adjusted color grading to match the intended aesthetic.</t>
  </si>
  <si>
    <t>Designed and integrated motion graphics or text overlays.</t>
  </si>
  <si>
    <t>Ensured visual elements aligned with brand guidelines in the final cut.</t>
  </si>
  <si>
    <t>Provided input on visual effects to enhance storytelling.</t>
  </si>
  <si>
    <t>Reviewed sound design and music to ensure coherence with visuals.</t>
  </si>
  <si>
    <t>Prepared and formatted final assets for multiple media platforms.</t>
  </si>
  <si>
    <t>Created additional promotional materials based on the commercial’s key visuals.</t>
  </si>
  <si>
    <t>Attended client review sessions and implemented necessary revisions.</t>
  </si>
  <si>
    <t>Analytics Mgr</t>
  </si>
  <si>
    <t>Collected and analyzed audience data to inform targeting strategies for the commercial.</t>
  </si>
  <si>
    <t>Conducted competitive analysis to assess industry trends and consumer engagement metrics.</t>
  </si>
  <si>
    <t>Provided data-driven insights to guide creative and media planning teams.</t>
  </si>
  <si>
    <t>Identified key performance indicators (KPIs) to measure commercial effectiveness.</t>
  </si>
  <si>
    <t>Developed forecasting models to predict campaign performance based on past data.</t>
  </si>
  <si>
    <t>Assisted in defining audience segments and demographics for media placement.</t>
  </si>
  <si>
    <t>Reviewed historical campaign performance to optimize creative and messaging strategies.</t>
  </si>
  <si>
    <t>Coordinated with media planners to align distribution channels with audience behavior.</t>
  </si>
  <si>
    <t>Created reporting templates for tracking commercial performance post-launch.</t>
  </si>
  <si>
    <t>Presented analytical findings to stakeholders to support pre-production decision-making.</t>
  </si>
  <si>
    <t>Monitored real-time audience engagement metrics for live or digital commercial activations.</t>
  </si>
  <si>
    <t>Ensured that tracking mechanisms were properly integrated into production assets.</t>
  </si>
  <si>
    <t>Collaborated with creative teams to align messaging with audience insights.</t>
  </si>
  <si>
    <t>Verified that data collection points aligned with campaign objectives.</t>
  </si>
  <si>
    <t>Communicated key demographic insights to refine production strategies.</t>
  </si>
  <si>
    <t>Provided support in adjusting media plans based on evolving production needs.</t>
  </si>
  <si>
    <t>Documented production-level data to inform post-campaign analysis.</t>
  </si>
  <si>
    <t>Conducted initial sentiment analysis on social media interactions related to the commercial.</t>
  </si>
  <si>
    <t>Analyzed preliminary test screenings to gauge audience reactions.</t>
  </si>
  <si>
    <t>Coordinated with digital teams to prepare measurement tools for launch.</t>
  </si>
  <si>
    <t>Collected and analyzed performance data from multiple distribution platforms.</t>
  </si>
  <si>
    <t>Measured commercial impact based on predefined KPIs and engagement metrics.</t>
  </si>
  <si>
    <t>Created detailed reports on audience reach, conversion rates, and effectiveness.</t>
  </si>
  <si>
    <t>Presented insights to creative and media teams for future campaign optimization.</t>
  </si>
  <si>
    <t>Assessed ad placement success and adjusted strategies for reallocation if necessary.</t>
  </si>
  <si>
    <t>Conducted A/B testing analysis on different commercial variations.</t>
  </si>
  <si>
    <t>Integrated consumer feedback and behavioral data into post-campaign reviews.</t>
  </si>
  <si>
    <t>Evaluated return on investment (ROI) for media spend and creative production.</t>
  </si>
  <si>
    <t>Recommended data-driven improvements for future advertising efforts.</t>
  </si>
  <si>
    <t>Developed executive summaries for stakeholders outlining key performance takeaways.</t>
  </si>
  <si>
    <t>Mgmnt Dir</t>
  </si>
  <si>
    <t>Defined overall campaign objectives and aligned them with business goals.</t>
  </si>
  <si>
    <t>Approved budget allocations for creative development, production, and media distribution.</t>
  </si>
  <si>
    <t>Provided strategic guidance to creative, media, and analytics teams.</t>
  </si>
  <si>
    <t>Facilitated high-level discussions between clients and internal teams to ensure alignment.</t>
  </si>
  <si>
    <t>Reviewed and approved key creative concepts and production plans.</t>
  </si>
  <si>
    <t>Negotiated contracts with production partners, talent agencies, and media vendors.</t>
  </si>
  <si>
    <t>Established timelines and milestones to ensure efficient project execution.</t>
  </si>
  <si>
    <t>Oversaw risk assessments and contingency planning for the commercial’s development.</t>
  </si>
  <si>
    <t>Presented campaign strategies and commercial objectives to executive stakeholders.</t>
  </si>
  <si>
    <t>Ensured compliance with advertising regulations and brand guidelines.</t>
  </si>
  <si>
    <t>Supervised the production process to ensure adherence to strategic goals.</t>
  </si>
  <si>
    <t>Managed high-level client relationships and provided updates on production progress.</t>
  </si>
  <si>
    <t>Addressed budgetary concerns and approved necessary financial adjustments.</t>
  </si>
  <si>
    <t>Resolved conflicts between departments to maintain workflow efficiency.</t>
  </si>
  <si>
    <t>Evaluated on-set creative decisions to ensure consistency with the campaign vision.</t>
  </si>
  <si>
    <t>Coordinated with external vendors and partners to ensure seamless execution.</t>
  </si>
  <si>
    <t>Provided leadership support to production teams during critical decision-making moments.</t>
  </si>
  <si>
    <t>Monitored overall project timelines and addressed potential delays.</t>
  </si>
  <si>
    <t>Ensured production adhered to legal and contractual obligations.</t>
  </si>
  <si>
    <t>Reviewed dailies and provided feedback to ensure alignment with campaign objectives.</t>
  </si>
  <si>
    <t>Reviewed final commercial edits and provided strategic feedback.</t>
  </si>
  <si>
    <t>Assessed performance data to determine campaign effectiveness.</t>
  </si>
  <si>
    <t>Approved final deliverables for distribution across media channels.</t>
  </si>
  <si>
    <t>Presented post-campaign analysis to clients and executive leadership.</t>
  </si>
  <si>
    <t>Ensured that post-production revisions aligned with client expectations.</t>
  </si>
  <si>
    <t>Managed crisis communication strategies if unforeseen issues arose post-launch.</t>
  </si>
  <si>
    <t>Led debrief meetings to discuss campaign successes and areas for improvement.</t>
  </si>
  <si>
    <t>Evaluated vendor and partner performance for future collaborations.</t>
  </si>
  <si>
    <t>Provided recommendations for optimizing future advertising strategies.</t>
  </si>
  <si>
    <t>Oversaw final financial reconciliation and closed out project budgets.</t>
  </si>
  <si>
    <t>VP Dir Strategic Plng</t>
  </si>
  <si>
    <t>Defined the strategic objectives of the commercial based on business goals and market research.</t>
  </si>
  <si>
    <t>Conducted consumer insights analysis to inform messaging and positioning.</t>
  </si>
  <si>
    <t>Led competitive analysis to identify differentiation opportunities.</t>
  </si>
  <si>
    <t>Provided guidance on audience segmentation and targeting strategies.</t>
  </si>
  <si>
    <t>Collaborated with creative and media teams to ensure alignment with strategic direction.</t>
  </si>
  <si>
    <t>Developed briefing documents outlining key insights and messaging frameworks.</t>
  </si>
  <si>
    <t>Reviewed and approved research findings to support creative development.</t>
  </si>
  <si>
    <t>Assessed potential media placements to ensure alignment with target demographics.</t>
  </si>
  <si>
    <t>Presented strategic recommendations to executive leadership and clients.</t>
  </si>
  <si>
    <t>Established key performance indicators (KPIs) to measure campaign effectiveness.</t>
  </si>
  <si>
    <t>Ensured that the commercial’s execution aligned with the strategic vision.</t>
  </si>
  <si>
    <t>Provided on-set consultation to ensure messaging consistency.</t>
  </si>
  <si>
    <t>Evaluated creative decisions against research insights and strategic objectives.</t>
  </si>
  <si>
    <t>Addressed any deviations from the approved strategic plan.</t>
  </si>
  <si>
    <t>Coordinated with the media planning team to ensure integration across platforms.</t>
  </si>
  <si>
    <t>Assisted in refining real-time adjustments to optimize audience impact.</t>
  </si>
  <si>
    <t>Monitored audience engagement trends for live or digital activations.</t>
  </si>
  <si>
    <t>Acted as a liaison between client representatives and creative teams to maintain strategic focus.</t>
  </si>
  <si>
    <t>Documented key observations to inform post-production analysis.</t>
  </si>
  <si>
    <t>Ensured that cultural and behavioral insights were accurately represented in the execution.</t>
  </si>
  <si>
    <t>Reviewed final commercial edits to ensure alignment with strategic objectives.</t>
  </si>
  <si>
    <t>Assessed audience response data and consumer sentiment post-launch.</t>
  </si>
  <si>
    <t>Conducted post-campaign analysis to evaluate message effectiveness.</t>
  </si>
  <si>
    <t>Led internal and client-facing debriefs on strategic performance insights.</t>
  </si>
  <si>
    <t>Recommended adjustments for future creative and media strategies.</t>
  </si>
  <si>
    <t>Identified key learnings to inform upcoming campaign initiatives.</t>
  </si>
  <si>
    <t>Developed reports summarizing strategic impact and commercial effectiveness.</t>
  </si>
  <si>
    <t>Advised on content repurposing opportunities based on performance data.</t>
  </si>
  <si>
    <t>Collaborated with media and analytics teams to refine future targeting strategies.</t>
  </si>
  <si>
    <t>Presented final strategic findings to executive stakeholders and clients.</t>
  </si>
  <si>
    <t>VP Dir Analytics</t>
  </si>
  <si>
    <t>Defined key performance indicators (KPIs) to measure the commercial’s effectiveness.</t>
  </si>
  <si>
    <t>Conducted audience segmentation analysis to guide targeting strategies.</t>
  </si>
  <si>
    <t>Developed predictive models to forecast commercial performance.</t>
  </si>
  <si>
    <t>Analyzed historical campaign data to identify trends and optimization opportunities.</t>
  </si>
  <si>
    <t>Provided data-driven insights to inform creative and media planning teams.</t>
  </si>
  <si>
    <t>Collaborated with strategists to ensure alignment between analytics and business objectives.</t>
  </si>
  <si>
    <t>Established methodologies for tracking and measuring audience engagement.</t>
  </si>
  <si>
    <t>Reviewed competitive benchmarks to assess market positioning.</t>
  </si>
  <si>
    <t>Designed data collection frameworks for tracking campaign performance.</t>
  </si>
  <si>
    <t>Created reporting templates to streamline post-campaign analysis.</t>
  </si>
  <si>
    <t>Ensured tracking mechanisms were correctly implemented in production assets.</t>
  </si>
  <si>
    <t>Monitored real-time audience engagement data for live or digital activations.</t>
  </si>
  <si>
    <t>Provided input on data integration across various media channels.</t>
  </si>
  <si>
    <t>Verified alignment between media execution and analytical benchmarks.</t>
  </si>
  <si>
    <t>Coordinated with creative teams to ensure measurable elements were included.</t>
  </si>
  <si>
    <t>Identified early performance indicators from test screenings or digital previews.</t>
  </si>
  <si>
    <t>Analyzed social listening data to track real-time audience sentiment.</t>
  </si>
  <si>
    <t>Ensured compliance with data privacy regulations in tracking and measurement.</t>
  </si>
  <si>
    <t>Advised on adjustments to optimize performance measurement post-launch.</t>
  </si>
  <si>
    <t>Collected and analyzed commercial performance data across media platforms.</t>
  </si>
  <si>
    <t>Measured audience engagement, conversion rates, and brand lift.</t>
  </si>
  <si>
    <t>Conducted A/B testing analysis on different versions of the commercial.</t>
  </si>
  <si>
    <t>Developed detailed performance reports for internal teams and clients.</t>
  </si>
  <si>
    <t>Assessed return on investment (ROI) for media spend and creative execution.</t>
  </si>
  <si>
    <t>Provided insights on audience response to refine future campaign strategies.</t>
  </si>
  <si>
    <t>Led post-campaign debrief meetings to discuss data-driven learnings.</t>
  </si>
  <si>
    <t>Recommended optimizations based on campaign performance analytics.</t>
  </si>
  <si>
    <t>Integrated findings into predictive models for future media planning.</t>
  </si>
  <si>
    <t>Presented key insights and strategic recommendations to executive leadership.</t>
  </si>
  <si>
    <t>Defined the overarching strategic vision for the commercial in alignment with brand objectives.</t>
  </si>
  <si>
    <t>Led consumer research initiatives to uncover key audience insights.</t>
  </si>
  <si>
    <t>Developed a strategic brief to guide creative and media teams.</t>
  </si>
  <si>
    <t>Evaluated market trends and competitive positioning to inform messaging.</t>
  </si>
  <si>
    <t>Collaborated with senior leadership to ensure campaign alignment with business goals.</t>
  </si>
  <si>
    <t>Provided input on audience segmentation and targeting strategies.</t>
  </si>
  <si>
    <t>Reviewed and approved key creative and media planning decisions.</t>
  </si>
  <si>
    <t>Advised on the integration of behavioral and cultural insights into the campaign.</t>
  </si>
  <si>
    <t>Established success metrics and KPIs to measure the commercial’s impact.</t>
  </si>
  <si>
    <t>Presented strategic recommendations to clients and internal stakeholders.</t>
  </si>
  <si>
    <t>Ensured that the creative execution remained aligned with the strategic vision.</t>
  </si>
  <si>
    <t>Provided high-level feedback on messaging consistency and brand positioning.</t>
  </si>
  <si>
    <t>Acted as a liaison between the client and internal teams to maintain strategic alignment.</t>
  </si>
  <si>
    <t>Evaluated real-time production decisions to ensure they supported campaign objectives.</t>
  </si>
  <si>
    <t>Addressed any strategic concerns that arose during production.</t>
  </si>
  <si>
    <t>Reviewed on-set creative elements to confirm audience resonance.</t>
  </si>
  <si>
    <t>Worked with media planners to align production with distribution strategy.</t>
  </si>
  <si>
    <t>Provided insights on potential adjustments based on evolving market conditions.</t>
  </si>
  <si>
    <t>Assisted in managing high-level stakeholder expectations throughout production.</t>
  </si>
  <si>
    <t>Documented key strategic observations to inform post-production analysis.</t>
  </si>
  <si>
    <t>Reviewed final commercial edits to ensure strategic consistency.</t>
  </si>
  <si>
    <t>Assessed campaign performance against predefined KPIs.</t>
  </si>
  <si>
    <t>Led post-campaign analysis to evaluate audience engagement and message effectiveness.</t>
  </si>
  <si>
    <t>Provided strategic recommendations for optimizing future creative executions.</t>
  </si>
  <si>
    <t>Presented findings and insights to executive leadership and clients.</t>
  </si>
  <si>
    <t>Integrated post-campaign learnings into broader brand strategy discussions.</t>
  </si>
  <si>
    <t>Identified opportunities for content repurposing and amplification.</t>
  </si>
  <si>
    <t>Collaborated with analytics teams to refine audience targeting strategies.</t>
  </si>
  <si>
    <t>Conducted competitive post-launch analysis to benchmark performance.</t>
  </si>
  <si>
    <t>Led debrief sessions to align internal teams on key takeaways and next steps.</t>
  </si>
  <si>
    <t>SVP Group Mngmnt Dir</t>
  </si>
  <si>
    <t>Defined the overall business and marketing objectives for the commercial.</t>
  </si>
  <si>
    <t>Led high-level discussions with clients to align on strategic direction and campaign goals.</t>
  </si>
  <si>
    <t>Oversaw the development of the creative brief in collaboration with strategy and creative teams.</t>
  </si>
  <si>
    <t>Managed cross-functional team coordination to ensure alignment across departments.</t>
  </si>
  <si>
    <t>Reviewed and approved production timelines, ensuring project feasibility.</t>
  </si>
  <si>
    <t>Negotiated contracts with external production partners and vendors.</t>
  </si>
  <si>
    <t>Assessed and mitigated potential risks affecting production and campaign success.</t>
  </si>
  <si>
    <t>Provided executive oversight on key creative and media planning decisions.</t>
  </si>
  <si>
    <t>Presented commercial strategy and execution plans to senior leadership and stakeholders.</t>
  </si>
  <si>
    <t>Monitored production progress to ensure alignment with campaign objectives and client expectations.</t>
  </si>
  <si>
    <t>Served as the primary client liaison, providing updates and addressing concerns in real time.</t>
  </si>
  <si>
    <t>Approved on-set creative and strategic decisions to maintain brand consistency.</t>
  </si>
  <si>
    <t>Managed high-level problem-solving for unexpected production challenges.</t>
  </si>
  <si>
    <t>Ensured that production remained within budget and on schedule.</t>
  </si>
  <si>
    <t>Provided leadership support to the production team to uphold creative and strategic standards.</t>
  </si>
  <si>
    <t>Oversaw talent and vendor relationships, ensuring contractual compliance.</t>
  </si>
  <si>
    <t>Reviewed preliminary footage to assess execution quality and adherence to objectives.</t>
  </si>
  <si>
    <t>Acted as a key decision-maker for any last-minute changes or refinements.</t>
  </si>
  <si>
    <t>Communicated production insights and observations to inform post-production strategy.</t>
  </si>
  <si>
    <t>Reviewed final commercial edits to ensure strategic and creative alignment.</t>
  </si>
  <si>
    <t>Led internal and client-facing debriefs on campaign execution and effectiveness.</t>
  </si>
  <si>
    <t>Analyzed commercial performance data in collaboration with analytics and media teams.</t>
  </si>
  <si>
    <t>Provided executive recommendations for optimizing future campaigns based on insights.</t>
  </si>
  <si>
    <t>Ensured the final commercial adhered to brand guidelines and regulatory requirements.</t>
  </si>
  <si>
    <t>Oversaw budget reconciliation and financial reporting post-production.</t>
  </si>
  <si>
    <t>Facilitated discussions on content repurposing for extended campaign use.</t>
  </si>
  <si>
    <t>Managed relationships with media partners for distribution and amplification.</t>
  </si>
  <si>
    <t>Presented campaign performance insights and next steps to senior leadership and clients.</t>
  </si>
  <si>
    <t>Led internal alignment sessions to apply key learnings to future advertising initiatives.</t>
  </si>
  <si>
    <t>EVP Exec Strat Dir</t>
  </si>
  <si>
    <t>Defined the overarching strategic vision and business objectives for the commercial.</t>
  </si>
  <si>
    <t>Led client discussions to align on brand positioning, messaging, and campaign goals.</t>
  </si>
  <si>
    <t>Conducted in-depth market research to identify audience insights and competitive positioning.</t>
  </si>
  <si>
    <t>Provided high-level guidance on consumer segmentation and targeting strategies.</t>
  </si>
  <si>
    <t>Collaborated with creative and media teams to ensure strategic alignment across all touchpoints.</t>
  </si>
  <si>
    <t>Reviewed and approved the strategic brief, ensuring clarity and focus for all teams.</t>
  </si>
  <si>
    <t>Identified key performance indicators (KPIs) to measure the commercial’s success.</t>
  </si>
  <si>
    <t>Evaluated proposed creative concepts to ensure they aligned with strategic objectives.</t>
  </si>
  <si>
    <t>Presented strategic recommendations and commercial roadmaps to executive leadership.</t>
  </si>
  <si>
    <t>Established frameworks for measuring campaign impact and effectiveness.</t>
  </si>
  <si>
    <t>Ensured production execution remained aligned with the strategic vision and brand objectives.</t>
  </si>
  <si>
    <t>Provided high-level feedback on messaging consistency and audience resonance.</t>
  </si>
  <si>
    <t>Reviewed on-set creative elements to confirm strategic alignment.</t>
  </si>
  <si>
    <t>Acted as a key decision-maker for adjustments needed to maintain campaign focus.</t>
  </si>
  <si>
    <t>Served as the primary strategic liaison between the client and internal teams.</t>
  </si>
  <si>
    <t>Assessed emerging consumer trends or market conditions that could influence messaging.</t>
  </si>
  <si>
    <t>Oversaw the integration of strategic insights into the production process.</t>
  </si>
  <si>
    <t>Evaluated test footage or early creative elements for adherence to campaign goals.</t>
  </si>
  <si>
    <t>Provided real-time guidance on any necessary refinements in execution.</t>
  </si>
  <si>
    <t>Communicated strategic observations to inform post-production edits and optimizations.</t>
  </si>
  <si>
    <t>Reviewed final commercial edits to ensure strategic integrity and messaging clarity.</t>
  </si>
  <si>
    <t>Led post-campaign analysis discussions with internal teams and clients.</t>
  </si>
  <si>
    <t>Evaluated audience engagement and sentiment data in collaboration with analytics teams.</t>
  </si>
  <si>
    <t>Provided high-level recommendations for optimizing future creative executions.</t>
  </si>
  <si>
    <t>Assessed media performance to determine effectiveness against KPIs.</t>
  </si>
  <si>
    <t>Identified opportunities for content repurposing across additional platforms.</t>
  </si>
  <si>
    <t>Oversaw the development of post-campaign reports for client and internal review.</t>
  </si>
  <si>
    <t>Presented strategic insights and learnings to executive leadership and stakeholders.</t>
  </si>
  <si>
    <t>Collaborated with creative and media teams to refine future targeting strategies.</t>
  </si>
  <si>
    <t>Led internal debrief sessions to apply campaign learnings to future initiatives.</t>
  </si>
  <si>
    <t>Strategic Planner</t>
  </si>
  <si>
    <t>Conducted market research to gather insights on audience behavior, preferences, and trends.</t>
  </si>
  <si>
    <t>Developed a strategic brief outlining key messaging, positioning, and campaign objectives.</t>
  </si>
  <si>
    <t>Analyzed competitive landscape to identify opportunities for differentiation.</t>
  </si>
  <si>
    <t>Collaborated with creative teams to ensure concept development aligned with consumer insights.</t>
  </si>
  <si>
    <t>Provided recommendations on audience segmentation and targeting strategies.</t>
  </si>
  <si>
    <t>Reviewed past campaign performance data to inform strategic direction.</t>
  </si>
  <si>
    <t>Assisted in defining key performance indicators (KPIs) for measuring commercial success.</t>
  </si>
  <si>
    <t>Presented research findings and strategic recommendations to internal teams and clients.</t>
  </si>
  <si>
    <t>Worked with media planners to ensure alignment between content strategy and media placement.</t>
  </si>
  <si>
    <t>Assisted in developing storytelling frameworks that would resonate with the target audience.</t>
  </si>
  <si>
    <t>Ensured that messaging and branding remained consistent with the strategic vision.</t>
  </si>
  <si>
    <t>Provided real-time feedback on creative execution to maintain alignment with consumer insights.</t>
  </si>
  <si>
    <t>Evaluated production elements to ensure cultural and behavioral relevance.</t>
  </si>
  <si>
    <t>Collaborated with the creative team to refine any messaging inconsistencies.</t>
  </si>
  <si>
    <t>Reviewed on-set footage or early edits to ensure strategic alignment.</t>
  </si>
  <si>
    <t>Acted as a liaison between strategy and creative teams to maintain a cohesive vision.</t>
  </si>
  <si>
    <t>Documented key observations from the production process to inform post-campaign analysis.</t>
  </si>
  <si>
    <t>Monitored evolving market trends that could impact campaign effectiveness.</t>
  </si>
  <si>
    <t>Provided input on potential adjustments to optimize engagement and impact.</t>
  </si>
  <si>
    <t>Worked with media and analytics teams to ensure proper tracking mechanisms were in place.</t>
  </si>
  <si>
    <t>eviewed the final commercial to ensure alignment with the initial strategy.</t>
  </si>
  <si>
    <t>Analyzed audience engagement data to evaluate message effectiveness.</t>
  </si>
  <si>
    <t>Conducted post-campaign analysis to identify key takeaways and areas for optimization.</t>
  </si>
  <si>
    <t>Developed reports summarizing insights and strategic recommendations.</t>
  </si>
  <si>
    <t>Presented findings to internal teams and clients to guide future campaigns.</t>
  </si>
  <si>
    <t>Identified opportunities to repurpose content for additional marketing efforts.</t>
  </si>
  <si>
    <t>Collaborated with analytics teams to refine audience segmentation for future initiatives.</t>
  </si>
  <si>
    <t>Assessed how well the commercial resonated with different audience segments.</t>
  </si>
  <si>
    <t>Provided strategic input on media performance and distribution effectiveness.</t>
  </si>
  <si>
    <t>Led internal debrief sessions to apply learnings to future campaign strategies.</t>
  </si>
  <si>
    <t>VP Mngmnt Dir</t>
  </si>
  <si>
    <t>Defined overall business and marketing objectives for the commercial in collaboration with senior leadership.</t>
  </si>
  <si>
    <t>Led discussions with clients to align on campaign goals, messaging, and execution plans.</t>
  </si>
  <si>
    <t>Oversaw the development of the creative and media brief to ensure strategic consistency.</t>
  </si>
  <si>
    <t>Coordinated cross-functional teams to ensure seamless collaboration between departments.</t>
  </si>
  <si>
    <t>Reviewed and provided feedback on initial creative concepts to ensure alignment with brand strategy.</t>
  </si>
  <si>
    <t>Negotiated contracts with external vendors, production companies, and talent agencies.</t>
  </si>
  <si>
    <t>Established key performance indicators (KPIs) to measure the success of the commercial.</t>
  </si>
  <si>
    <t>Addressed and mitigated potential production risks to ensure smooth execution.</t>
  </si>
  <si>
    <t>Presented pre-production plans and strategic recommendations to executive stakeholders and clients.</t>
  </si>
  <si>
    <t>Monitored the production process to ensure alignment with the approved creative vision and strategy.</t>
  </si>
  <si>
    <t>Served as the primary client liaison, addressing concerns and managing expectations.</t>
  </si>
  <si>
    <t>Provided high-level oversight on creative execution, ensuring brand consistency.</t>
  </si>
  <si>
    <t>Managed budget adherence and resolved any financial discrepancies during production.</t>
  </si>
  <si>
    <t>Facilitated communication between internal teams and external production partners.</t>
  </si>
  <si>
    <t>Reviewed early footage to confirm adherence to messaging and campaign objectives.</t>
  </si>
  <si>
    <t>Acted as a decision-maker for any strategic pivots needed during production.</t>
  </si>
  <si>
    <t>Ensured that all legal and compliance standards were met throughout the production process.</t>
  </si>
  <si>
    <t>Worked with media teams to confirm alignment between production and distribution plans.</t>
  </si>
  <si>
    <t>Provided real-time insights to ensure the commercial’s effectiveness in reaching target audiences.</t>
  </si>
  <si>
    <t>Reviewed final commercial edits to ensure consistency with the original strategy and brand objectives.</t>
  </si>
  <si>
    <t>Led post-campaign performance evaluations to assess effectiveness against KPIs.</t>
  </si>
  <si>
    <t>Facilitated internal and client debriefs to discuss key learnings and future improvements.</t>
  </si>
  <si>
    <t>Worked with analytics teams to interpret audience engagement and performance metrics.</t>
  </si>
  <si>
    <t>Oversaw budget reconciliation and financial reporting for the completed project.</t>
  </si>
  <si>
    <t>Evaluated media performance and provided insights on distribution effectiveness.</t>
  </si>
  <si>
    <t>Recommended optimizations for future creative executions based on campaign results.</t>
  </si>
  <si>
    <t>Identified opportunities for repurposing content across different media platforms.</t>
  </si>
  <si>
    <t>Presented final results and strategic recommendations to executive leadership and clients.</t>
  </si>
  <si>
    <t>Led internal discussions to integrate campaign learnings into future initiatives.</t>
  </si>
  <si>
    <t>Sr Bcast Traffic Mgr</t>
  </si>
  <si>
    <t>Coordinated with creative, media, and production teams to establish traffic deadlines and deliverables.</t>
  </si>
  <si>
    <t>Developed a trafficking schedule to ensure timely asset delivery for all media placements.</t>
  </si>
  <si>
    <t>Reviewed media plans to determine commercial distribution requirements.</t>
  </si>
  <si>
    <t>Collected and verified legal and compliance documentation for all broadcast materials.</t>
  </si>
  <si>
    <t>Liaised with production teams to obtain final formats, specifications, and versioning details.</t>
  </si>
  <si>
    <t>Established quality control procedures to ensure all assets met network and platform requirements.</t>
  </si>
  <si>
    <t>Communicated technical specifications and submission guidelines to internal teams and vendors.</t>
  </si>
  <si>
    <t>Managed clearance processes for regulatory approvals and network compliance.</t>
  </si>
  <si>
    <t>Updated internal tracking systems with project timelines and asset details.</t>
  </si>
  <si>
    <t>Provided trafficking status updates to internal teams and clients to ensure</t>
  </si>
  <si>
    <t>Monitored production progress to anticipate trafficking and delivery requirements.</t>
  </si>
  <si>
    <t>Confirmed that all required versions, edits, and cutdowns were accounted for in the production pipeline.</t>
  </si>
  <si>
    <t>Coordinated with editors and post-production teams to ensure timely finalization of assets.</t>
  </si>
  <si>
    <t>Reviewed preliminary asset files to confirm adherence to broadcast standards.</t>
  </si>
  <si>
    <t>Communicated any last-minute trafficking adjustments to creative and production teams.</t>
  </si>
  <si>
    <t>Worked with legal teams to ensure all required disclaimers, logos, and end tags were properly included.</t>
  </si>
  <si>
    <t>Prepared documentation for network and platform submissions, including metadata and clearance forms.</t>
  </si>
  <si>
    <t>Provided troubleshooting support for technical issues related to asset formats and delivery specifications.</t>
  </si>
  <si>
    <t>Ensured that naming conventions, slates, and time codes were properly implemented.</t>
  </si>
  <si>
    <t>Maintained tracking records of all versions, revisions, and approvals for future reference.</t>
  </si>
  <si>
    <t>Verified final commercial assets before distribution to broadcasters and digital platforms.</t>
  </si>
  <si>
    <t>Delivered completed assets to media partners, ensuring compliance with deadlines.</t>
  </si>
  <si>
    <t>Confirmed receipt and acceptance of materials by networks and digital platforms.</t>
  </si>
  <si>
    <t>Addressed any rejections or technical issues with media partners and post-production teams.</t>
  </si>
  <si>
    <t>Maintained detailed records of traffic logs, submission confirmations, and clearance approvals.</t>
  </si>
  <si>
    <t>Provided internal and client teams with confirmation reports on asset deliveries.</t>
  </si>
  <si>
    <t>Archived all final commercial files for future reference and reuse.</t>
  </si>
  <si>
    <t>Reviewed media performance reports to ensure accurate rotation and airing of commercials.</t>
  </si>
  <si>
    <t>Coordinated with finance teams to reconcile trafficking-related costs and vendor invoices.</t>
  </si>
  <si>
    <t>Led post-campaign trafficking debriefs to optimize future processes and improve efficiency.</t>
  </si>
  <si>
    <t>Collected and analyzed historical campaign performance data to inform commercial strategy.</t>
  </si>
  <si>
    <t>Researched market trends, audience behaviors, and competitive insights to support strategic planning.</t>
  </si>
  <si>
    <t>Assisted in defining key performance indicators (KPIs) for measuring commercial effectiveness.</t>
  </si>
  <si>
    <t>Collaborated with strategy and media teams to align data insights with creative objectives.</t>
  </si>
  <si>
    <t>Created data-driven reports to help guide audience targeting and messaging decisions.</t>
  </si>
  <si>
    <t>Evaluated consumer sentiment and brand perception data relevant to the campaign.</t>
  </si>
  <si>
    <t>Reviewed past media performance to recommend optimal placement and timing.</t>
  </si>
  <si>
    <t>Provided insights on audience segmentation and demographic trends.</t>
  </si>
  <si>
    <t>Ensured tracking mechanisms were in place to measure engagement and effectiveness post-launch.</t>
  </si>
  <si>
    <t>Presented pre-production analysis findings to internal stakeholders to guide creative and media planning.</t>
  </si>
  <si>
    <t>Monitored real-time data from test audiences or live production feedback to assess early performance indicators.</t>
  </si>
  <si>
    <t>Provided analytical support to validate creative and messaging choices.</t>
  </si>
  <si>
    <t>Collaborated with media and production teams to ensure alignment between creative content and strategic goals.</t>
  </si>
  <si>
    <t>Ensured all necessary data tracking elements were embedded into the commercial assets.</t>
  </si>
  <si>
    <t>Assisted in reviewing preliminary footage for consistency with targeted audience insights.</t>
  </si>
  <si>
    <t>Analyzed any available test footage or early edits to predict audience reception.</t>
  </si>
  <si>
    <t>Documented key insights from the production process for post-campaign analysis.</t>
  </si>
  <si>
    <t>Reviewed on-set decisions to ensure strategic alignment with audience preferences.</t>
  </si>
  <si>
    <t>Gathered industry benchmark data to compare real-time production insights with best practices.</t>
  </si>
  <si>
    <t>Provided data-backed recommendations for any necessary last-minute refinements.</t>
  </si>
  <si>
    <t>Analyzed post-campaign performance data to assess the commercial’s effectiveness against KPIs.</t>
  </si>
  <si>
    <t>Compiled reports summarizing audience engagement, brand recall, and conversion metrics.</t>
  </si>
  <si>
    <t>Conducted A/B testing analysis if multiple versions of the commercial were released.</t>
  </si>
  <si>
    <t>Provided insights on regional or demographic performance variations.</t>
  </si>
  <si>
    <t>Reviewed media placement effectiveness based on post-launch data trends.</t>
  </si>
  <si>
    <t>Identified patterns in consumer behavior related to commercial exposure.</t>
  </si>
  <si>
    <t>Collaborated with marketing and media teams to refine future campaign strategies based on performance data.</t>
  </si>
  <si>
    <t>Assessed social media sentiment and digital engagement following the commercial’s release.</t>
  </si>
  <si>
    <t>Developed recommendations for optimizing future commercials based on analytical findings.</t>
  </si>
  <si>
    <t>Presented final performance reports to internal teams and stakeholders, highlighting key learnings.</t>
  </si>
  <si>
    <t>VP Creative Dir</t>
  </si>
  <si>
    <t>Developed the overall creative vision and concept for the commercial in alignment with brand objectives.</t>
  </si>
  <si>
    <t>Led brainstorming sessions with art directors, copywriters, and strategists to refine creative ideas.</t>
  </si>
  <si>
    <t>Reviewed and approved script drafts, ensuring consistency with brand messaging and tone.</t>
  </si>
  <si>
    <t>Provided creative direction for storyboards and visual treatments.</t>
  </si>
  <si>
    <t>Collaborated with strategy and account teams to ensure creative alignment with business goals.</t>
  </si>
  <si>
    <t>Selected key creative partners, including directors, cinematographers, and production designers.</t>
  </si>
  <si>
    <t>Reviewed casting choices to ensure talent aligned with the brand’s image and messaging.</t>
  </si>
  <si>
    <t>Presented creative concepts to clients, incorporating feedback while maintaining artistic integrity.</t>
  </si>
  <si>
    <t>Worked with production teams to ensure feasibility of creative execution within budget constraints.</t>
  </si>
  <si>
    <t>Approved final pre-production materials, including shot lists, set designs, and wardrobe selections.</t>
  </si>
  <si>
    <t>Supervised on-set creative execution to ensure alignment with the approved concept and brand identity.</t>
  </si>
  <si>
    <t>Provided real-time feedback to the director, cinematographer, and production team.</t>
  </si>
  <si>
    <t>Ensured that performances and visual elements adhered to the brand’s tone and style.</t>
  </si>
  <si>
    <t>Collaborated with production designers and stylists to maintain consistency in set and wardrobe choices.</t>
  </si>
  <si>
    <t>Reviewed daily footage (dailies) to ensure high-quality visual and narrative execution.</t>
  </si>
  <si>
    <t>Addressed any creative challenges that arose during filming, making real-time adjustments.</t>
  </si>
  <si>
    <t>Worked closely with editors and script supervisors to maintain narrative continuity.</t>
  </si>
  <si>
    <t>Communicated with agency leadership and clients to provide updates on production progress.</t>
  </si>
  <si>
    <t>Ensured that creative integrity was maintained despite logistical or budgetary constraints.</t>
  </si>
  <si>
    <t>Provided direction for additional shots or reshoots if necessary to enhance storytelling.</t>
  </si>
  <si>
    <t>Reviewed and provided feedback on rough cuts, ensuring alignment with the original creative vision.</t>
  </si>
  <si>
    <t>Directed color grading, sound design, and visual effects to enhance the final product.</t>
  </si>
  <si>
    <t>Worked closely with editors to refine pacing, transitions, and storytelling elements.</t>
  </si>
  <si>
    <t>Provided input on music selection and audio mixing to maintain emotional resonance.</t>
  </si>
  <si>
    <t>Ensured all branding elements, logos, and disclaimers were correctly implemented.</t>
  </si>
  <si>
    <t>Reviewed multiple versions of the commercial for different platforms and audience segments.</t>
  </si>
  <si>
    <t>Collaborated with media teams to tailor edits for various distribution channels.</t>
  </si>
  <si>
    <t>Presented the final cut to clients and addressed any last-minute revisions.</t>
  </si>
  <si>
    <t>Approved the final commercial for release, ensuring it met quality standards.</t>
  </si>
  <si>
    <t>Conducted a post-mortem review to assess creative successes and areas for improvement in future projects.</t>
  </si>
  <si>
    <t>Broadcast Traffic Mgr</t>
  </si>
  <si>
    <t>Coordinated with media, creative, and production teams to establish trafficking timelines and asset requirements.</t>
  </si>
  <si>
    <t>Reviewed media plans to ensure all commercial placements had accurate specifications and deadlines.</t>
  </si>
  <si>
    <t>Communicated submission guidelines, format requirements, and clearance procedures to internal teams.</t>
  </si>
  <si>
    <t>Collected and verified legal disclaimers, talent usage rights, and network compliance documentation.</t>
  </si>
  <si>
    <t>Set up tracking systems to monitor commercial versions, flighting schedules, and delivery deadlines.</t>
  </si>
  <si>
    <t>Worked with post-production teams to confirm final deliverables matched media specifications.</t>
  </si>
  <si>
    <t>Organized and maintained a trafficking database for all commercial assets.</t>
  </si>
  <si>
    <t>Provided internal teams with a detailed production and distribution schedule.</t>
  </si>
  <si>
    <t>Ensured all required approvals were obtained before commercial distribution.</t>
  </si>
  <si>
    <t>Communicated any last-minute trafficking changes or updates to relevant stakeholders.</t>
  </si>
  <si>
    <t>Monitored the production process to anticipate trafficking needs and potential delivery challenges.</t>
  </si>
  <si>
    <t>Coordinated with the production team to confirm final asset specifications for various media platforms.</t>
  </si>
  <si>
    <t>Ensured proper naming conventions and versioning for all commercial edits.</t>
  </si>
  <si>
    <t>Reviewed test versions of commercials to ensure compliance with broadcasting standards.</t>
  </si>
  <si>
    <t>Communicated any technical or clearance-related feedback to production teams.</t>
  </si>
  <si>
    <t>Updated internal trafficking logs with real-time status updates on production progress.</t>
  </si>
  <si>
    <t>Addressed any last-minute adjustments in timing, edits, or regulatory requirements.</t>
  </si>
  <si>
    <t>Ensured the correct placement of branding elements, end tags, and required legal disclaimers.</t>
  </si>
  <si>
    <t>Provided final approval on deliverable formats before assets moved into post-production.</t>
  </si>
  <si>
    <t>Maintained open communication with post-production teams to ensure seamless asset handoff.</t>
  </si>
  <si>
    <t>Verified the final commercial files before submission to broadcasters, digital platforms, and media partners.</t>
  </si>
  <si>
    <t>Delivered completed assets to media partners, ensuring adherence to submission deadlines.</t>
  </si>
  <si>
    <t>Confirmed receipt and approval of commercials with broadcasters and media outlets.</t>
  </si>
  <si>
    <t>Troubleshot any issues related to rejected files, formatting errors, or compliance concerns.</t>
  </si>
  <si>
    <t>Managed flighting schedules and coordinated updates for any versioning changes or re-uploads.</t>
  </si>
  <si>
    <t>Maintained documentation of all commercial deliveries, including timestamps and approval confirmations.</t>
  </si>
  <si>
    <t>Provided internal and client teams with distribution status updates and trafficking reports.</t>
  </si>
  <si>
    <t>Archived all final commercial assets for future reference and potential reuse.</t>
  </si>
  <si>
    <t>Reconciled trafficking-related costs and vendor invoices with finance and media teams.</t>
  </si>
  <si>
    <t>Conducted a post-campaign trafficking review to identify opportunities for workflow improvements.</t>
  </si>
  <si>
    <t>Assoc Dir Social Media</t>
  </si>
  <si>
    <t>Developed the social media strategy to support the commercial’s launch and engagement goals.</t>
  </si>
  <si>
    <t>Collaborated with creative and media teams to align social content with the commercial’s messaging.</t>
  </si>
  <si>
    <t>Identified key audience segments and platform-specific distribution strategies.</t>
  </si>
  <si>
    <t>Coordinated with influencers or brand advocates for potential campaign collaborations.</t>
  </si>
  <si>
    <t>Developed a content calendar for social media posts leading up to, during, and after the commercial launch.</t>
  </si>
  <si>
    <t>Created engagement guidelines for community management and real-time responses.</t>
  </si>
  <si>
    <t>Ensured legal and compliance approvals for social media assets related to the commercial.</t>
  </si>
  <si>
    <t>Planned paid media support, including targeting parameters for social ad placements.</t>
  </si>
  <si>
    <t>Worked with designers and copywriters to develop teaser content and supporting visuals.</t>
  </si>
  <si>
    <t>Established key performance indicators (KPIs) for measuring social media success.</t>
  </si>
  <si>
    <t>Captured behind-the-scenes content for social media use across various platforms.</t>
  </si>
  <si>
    <t>Conducted real-time social monitoring to gauge audience sentiment during production teasers.</t>
  </si>
  <si>
    <t>Coordinated live social updates from the set, such as interviews with cast or crew.</t>
  </si>
  <si>
    <t>Ensured social branding elements were properly integrated into the production environment.</t>
  </si>
  <si>
    <t>Developed interactive social experiences, such as polls or Q&amp;A sessions, to engage audiences.</t>
  </si>
  <si>
    <t>Provided creative input on social-first adaptations of the commercial content.</t>
  </si>
  <si>
    <t>Monitored and responded to early audience reactions on social platforms.</t>
  </si>
  <si>
    <t>Collaborated with videographers to ensure short-form content was optimized for mobile platforms.</t>
  </si>
  <si>
    <t>Managed approvals for on-set content before sharing with the public.</t>
  </si>
  <si>
    <t>Created and scheduled promotional posts to build anticipation before the commercial’s release.</t>
  </si>
  <si>
    <t>Launched the commercial on social media platforms according to the distribution strategy.</t>
  </si>
  <si>
    <t>Monitored audience reactions and engagement metrics in real time.</t>
  </si>
  <si>
    <t>Managed community responses, addressing comments and fostering brand conversations.</t>
  </si>
  <si>
    <t>Optimized the commercial’s social performance through A/B testing of headlines, thumbnails, and copy.</t>
  </si>
  <si>
    <t>Developed and published supporting content, such as GIFs, clips, or reaction videos.</t>
  </si>
  <si>
    <t>Coordinated with paid media teams to boost high-performing content.</t>
  </si>
  <si>
    <t>Analyzed post-launch data to measure social engagement, shares, and conversions.</t>
  </si>
  <si>
    <t>Created performance reports highlighting key social media insights and recommendations.</t>
  </si>
  <si>
    <t>Adjusted content distribution tactics based on initial audience responses.</t>
  </si>
  <si>
    <t>Led a post-campaign debrief to assess successes and areas for improvement in future social campaigns.</t>
  </si>
  <si>
    <t>Conducted market research to identify consumer insights that informed the commercial’s strategy.</t>
  </si>
  <si>
    <t>Developed a strategic brief outlining key messaging, target audience, and brand positioning.</t>
  </si>
  <si>
    <t>Collaborated with creative teams to ensure the commercial’s concept aligned with strategic objectives.</t>
  </si>
  <si>
    <t>Analyzed competitive campaigns to identify opportunities for differentiation.</t>
  </si>
  <si>
    <t>Provided data-backed recommendations on audience segmentation and media placement.</t>
  </si>
  <si>
    <t>Worked with media planners to ensure strategic alignment between creative execution and distribution channels.</t>
  </si>
  <si>
    <t>Reviewed past campaign performance to identify insights applicable to the new commercial.</t>
  </si>
  <si>
    <t>Presented strategic recommendations to internal stakeholders and client teams.</t>
  </si>
  <si>
    <t>Ensured the strategy incorporated cultural and market trends relevant to the target audience.</t>
  </si>
  <si>
    <t>Provided on-set guidance to ensure the execution remained true to the strategic vision.</t>
  </si>
  <si>
    <t>Assessed real-time production adjustments to ensure they aligned with audience insights.</t>
  </si>
  <si>
    <t>Reviewed early footage to confirm consistency with the brand’s messaging and objectives.</t>
  </si>
  <si>
    <t>Collaborated with creative directors to refine visual storytelling based on strategic goals.</t>
  </si>
  <si>
    <t>Ensured brand authenticity was maintained through dialogue, visuals, and tone.</t>
  </si>
  <si>
    <t>Addressed any strategic misalignment that arose during the filming process.</t>
  </si>
  <si>
    <t>Monitored live audience reactions if test screenings were conducted during production.</t>
  </si>
  <si>
    <t>Provided feedback on performance delivery to ensure messaging effectiveness.</t>
  </si>
  <si>
    <t>Assisted in optimizing content for multiple platforms and audience segments.</t>
  </si>
  <si>
    <t>Documented strategic learnings from production for post-campaign analysis.</t>
  </si>
  <si>
    <t>Reviewed rough cuts to ensure alignment with the strategic brief and brand objectives.</t>
  </si>
  <si>
    <t>Provided feedback on edits to refine messaging clarity and emotional impact.</t>
  </si>
  <si>
    <t>Analyzed early audience testing results to recommend final adjustments.</t>
  </si>
  <si>
    <t>Worked with media and analytics teams to measure initial response and engagement.</t>
  </si>
  <si>
    <t>Evaluated the commercial’s alignment with current cultural and consumer trends.</t>
  </si>
  <si>
    <t>Developed post-campaign reports summarizing key insights and strategic learnings.</t>
  </si>
  <si>
    <t>Presented final analysis to internal teams and clients, outlining successes and areas for improvement.</t>
  </si>
  <si>
    <t>Assessed performance metrics to inform recommendations for future campaigns.</t>
  </si>
  <si>
    <t>Identified ways to repurpose content for extended brand storytelling.</t>
  </si>
  <si>
    <t>Led a post-mortem discussion to refine future strategic planning processes.</t>
  </si>
  <si>
    <t>Supervised on-set talent to ensure contract adherence and proper execution of agreements.</t>
  </si>
  <si>
    <t>Addressed last-minute contractual or legal concerns arising during filming.</t>
  </si>
  <si>
    <t>Coordinated talent scheduling and ensured all required documentation was properly executed.</t>
  </si>
  <si>
    <t>Acted as the primary liaison between talent, legal teams, and production staff.</t>
  </si>
  <si>
    <t>Ensured compliance with union and industry regulations regarding working conditions and payment.</t>
  </si>
  <si>
    <t>Reviewed talent contracts and ensured compliance with legal and financial guidelines.</t>
  </si>
  <si>
    <t>Negotiated usage rights, exclusivity terms, and compensation agreements for featured talent.</t>
  </si>
  <si>
    <t>Coordinated with casting agencies to finalize talent selection and obtain necessary approvals.</t>
  </si>
  <si>
    <t>Provided guidance on regulatory considerations related to talent involvement in advertising.</t>
  </si>
  <si>
    <t>Drafted and reviewed confidentiality agreements to protect proprietary campaign details.</t>
  </si>
  <si>
    <t>Verified that final edits adhered to talent agreements, including voiceovers and image rights.</t>
  </si>
  <si>
    <t>Reviewed licensing and release terms to confirm proper usage in all planned media channels.</t>
  </si>
  <si>
    <t>Managed talent residuals and ensured accurate compensation tracking for future use.</t>
  </si>
  <si>
    <t>Provided legal oversight on extended usage requests or edits requiring additional clearances.</t>
  </si>
  <si>
    <t>Coordinated with media planners to ensure talent-related restrictions were met across platforms.</t>
  </si>
  <si>
    <t>Prod, Integrated Production</t>
  </si>
  <si>
    <t>Developed production timelines and ensured alignment with overall campaign milestones.</t>
  </si>
  <si>
    <t>Coordinated with creative, strategy, and account teams to finalize script and concept details.</t>
  </si>
  <si>
    <t>Secured production vendors, including directors, cinematographers, and post-production teams.</t>
  </si>
  <si>
    <t>Managed budget estimates, secured approvals, and negotiated vendor contracts.</t>
  </si>
  <si>
    <t>Organized pre-production meetings to align all stakeholders on creative execution and logistics.</t>
  </si>
  <si>
    <t>Secured necessary permits, insurance, and location agreements for the shoot.</t>
  </si>
  <si>
    <t>Reviewed talent, wardrobe, and set design decisions to ensure feasibility within production constraints.</t>
  </si>
  <si>
    <t>Oversaw on-set operations to ensure adherence to the production schedule and budget.</t>
  </si>
  <si>
    <t>Managed communication between agency teams, clients, and production staff during filming.</t>
  </si>
  <si>
    <t>Resolved real-time challenges related to logistics, talent, and creative execution.</t>
  </si>
  <si>
    <t>Ensured all necessary legal and compliance documentation was executed and maintained.</t>
  </si>
  <si>
    <t>Supervised vendor deliverables, ensuring quality control and adherence to creative vision.</t>
  </si>
  <si>
    <t>Monitored on-set safety protocols and ensured adherence to industry regulations.</t>
  </si>
  <si>
    <t>Provided daily production reports and budget updates to key stakeholders.</t>
  </si>
  <si>
    <t>Coordinated with editorial teams to manage footage transfers and initial rough cuts.</t>
  </si>
  <si>
    <t>Managed client feedback and facilitated revisions to align with campaign objectives.</t>
  </si>
  <si>
    <t>Oversaw visual effects, sound design, and color correction to ensure high-quality final assets.</t>
  </si>
  <si>
    <t>Ensured legal clearances for music, stock footage, and other licensed content.</t>
  </si>
  <si>
    <t>Supervised final asset delivery, ensuring correct formatting and specifications for media placement.</t>
  </si>
  <si>
    <t>Managed versioning and adaptation of content for different platforms and markets.</t>
  </si>
  <si>
    <t>Conducted post-mortem meetings to assess production efficiency and identify areas for improvement.</t>
  </si>
  <si>
    <t>Assoc Creative Dir, Creative</t>
  </si>
  <si>
    <t>Developed the initial creative concept and storyboard for the commercial.</t>
  </si>
  <si>
    <t>Collaborated with the copywriting team to refine the script and messaging.</t>
  </si>
  <si>
    <t>Reviewed and approved casting selections for on-screen talent.</t>
  </si>
  <si>
    <t>Provided creative direction for the set design and visual style.</t>
  </si>
  <si>
    <t>Coordinated with the production team to align the budget with creative needs.</t>
  </si>
  <si>
    <t>Approved location selections to ensure alignment with the creative vision.</t>
  </si>
  <si>
    <t>Directed the development of pre-visualization materials, including animatics.</t>
  </si>
  <si>
    <t>Reviewed wardrobe, hair, and makeup choices to maintain brand consistency.</t>
  </si>
  <si>
    <t>Participated in pre-production meetings with the director and production leads.</t>
  </si>
  <si>
    <t>Signed off on final shot lists and production schedules.</t>
  </si>
  <si>
    <t>Provided on-set creative direction to maintain visual and narrative consistency.</t>
  </si>
  <si>
    <t>Collaborated with the director to adjust performances as needed.</t>
  </si>
  <si>
    <t>Reviewed lighting and camera setups to ensure alignment with the vision.</t>
  </si>
  <si>
    <t>Gave real-time feedback on set design, props, and styling.</t>
  </si>
  <si>
    <t>Worked with the production team to solve unforeseen creative challenges.</t>
  </si>
  <si>
    <t>Evaluated test shots and made adjustments to framing and composition.</t>
  </si>
  <si>
    <t>Ensured brand guidelines were adhered to throughout filming.</t>
  </si>
  <si>
    <t>Approved key takes before moving forward with additional shots.</t>
  </si>
  <si>
    <t>Directed voiceover or talent to refine delivery and tone.</t>
  </si>
  <si>
    <t>Documented on-set changes for reference in post-production.</t>
  </si>
  <si>
    <t>Reviewed and provided feedback on initial rough cuts of the commercial.</t>
  </si>
  <si>
    <t>Collaborated with the editing team to refine pacing and transitions.</t>
  </si>
  <si>
    <t>Approved final color grading to maintain brand consistency.</t>
  </si>
  <si>
    <t>Provided direction on visual effects and motion graphics integration.</t>
  </si>
  <si>
    <t>Evaluated sound design and approved final audio mixes.</t>
  </si>
  <si>
    <t>Reviewed voiceover and synchronized it with visual elements.</t>
  </si>
  <si>
    <t>Ensured all edits adhered to brand guidelines and creative vision.</t>
  </si>
  <si>
    <t>Signed off on final deliverables before distribution.</t>
  </si>
  <si>
    <t>Participated in final approval meetings with stakeholders.</t>
  </si>
  <si>
    <t>Oversaw adaptation of the commercial for different media formats.</t>
  </si>
  <si>
    <t>Negotiated contracts with on-screen and voiceover talent.</t>
  </si>
  <si>
    <t>Secured usage rights and licensing agreements for talent appearances.</t>
  </si>
  <si>
    <t>Reviewed talent union requirements and ensured compliance.</t>
  </si>
  <si>
    <t>Coordinated with legal teams to finalize talent agreements.</t>
  </si>
  <si>
    <t>Managed talent budget allocations in alignment with production costs.</t>
  </si>
  <si>
    <t>Oversaw casting negotiations and approved final talent selections.</t>
  </si>
  <si>
    <t>Ensured exclusivity clauses were reviewed and enforced as needed.</t>
  </si>
  <si>
    <t>Provided guidance on talent contract terms related to media usage.</t>
  </si>
  <si>
    <t>Addressed any talent-related conflicts before production commenced.</t>
  </si>
  <si>
    <t>Confirmed travel, accommodations, and per diem arrangements for talent.</t>
  </si>
  <si>
    <t>Supervised on-site talent management to ensure contractual compliance.</t>
  </si>
  <si>
    <t>Coordinated talent schedules to align with the production timeline.</t>
  </si>
  <si>
    <t>Addressed last-minute contractual or logistical talent concerns.</t>
  </si>
  <si>
    <t>Ensured proper handling of talent accommodations and on-set needs.</t>
  </si>
  <si>
    <t>Communicated real-time talent-related updates to the production team.</t>
  </si>
  <si>
    <t>Verified that all talent adhered to contractual obligations on set.</t>
  </si>
  <si>
    <t>Managed any necessary adjustments to talent agreements during filming.</t>
  </si>
  <si>
    <t>Ensured accurate time tracking for union compliance and payroll processing.</t>
  </si>
  <si>
    <t>Resolved talent disputes or concerns in collaboration with production leads.</t>
  </si>
  <si>
    <t>Reviewed and approved talent wrap paperwork before the conclusion of filming.</t>
  </si>
  <si>
    <t>Verified adherence to talent contract terms regarding usage rights.</t>
  </si>
  <si>
    <t>Ensured all necessary talent releases and waivers were on file.</t>
  </si>
  <si>
    <t>Reviewed final edits to confirm compliance with talent agreements.</t>
  </si>
  <si>
    <t>Managed additional compensation agreements for extended usage.</t>
  </si>
  <si>
    <t>Approved talent payments and processed residuals as required.</t>
  </si>
  <si>
    <t>Coordinated with legal teams to resolve any talent-related disputes.</t>
  </si>
  <si>
    <t>Provided guidance on talent usage across different media formats.</t>
  </si>
  <si>
    <t>Ensured compliance with talent union regulations for broadcast and digital use.</t>
  </si>
  <si>
    <t>Reviewed final commercial materials for any unauthorized talent appearances.</t>
  </si>
  <si>
    <t>Maintained accurate records of talent contracts and usage rights for future reference.</t>
  </si>
  <si>
    <t>Assoc Creative Dir, Creative Devt</t>
  </si>
  <si>
    <t>Developed and refined the creative concept for the commercial.</t>
  </si>
  <si>
    <t>Created and presented storyboards and visual references for approval.</t>
  </si>
  <si>
    <t>Collaborated with copywriters to finalize script development.</t>
  </si>
  <si>
    <t>Provided creative input on casting decisions for on-screen talent.</t>
  </si>
  <si>
    <t>Directed the overall visual and tonal approach of the commercial.</t>
  </si>
  <si>
    <t>Approved key design elements, including set, wardrobe, and props.</t>
  </si>
  <si>
    <t>Worked closely with directors and cinematographers to plan shot compositions.</t>
  </si>
  <si>
    <t>Participated in pre-production meetings to align creative direction with production logistics.</t>
  </si>
  <si>
    <t>Reviewed and refined animatics or pre-visualization materials.</t>
  </si>
  <si>
    <t>Signed off on final production schedules to ensure alignment with creative goals.</t>
  </si>
  <si>
    <t>Provided on-set creative direction to maintain consistency with the concept.</t>
  </si>
  <si>
    <t>Ensured visual elements, such as framing and lighting, aligned with the creative vision.</t>
  </si>
  <si>
    <t>Reviewed test shots and provided real-time feedback to the production team.</t>
  </si>
  <si>
    <t>Addressed any creative challenges that arose during filming.</t>
  </si>
  <si>
    <t>Worked with the wardrobe and styling team to ensure brand consistency.</t>
  </si>
  <si>
    <t>Supervised prop and set dressing to maintain the intended aesthetic.</t>
  </si>
  <si>
    <t>Directed on-set adjustments to enhance storytelling effectiveness.</t>
  </si>
  <si>
    <t>Approved key takes before proceeding with additional shots.</t>
  </si>
  <si>
    <t>Documented creative decisions for reference in post-production.</t>
  </si>
  <si>
    <t>Reviewed initial rough cuts and provided feedback for refinements.</t>
  </si>
  <si>
    <t>Worked with editors to fine-tune pacing, transitions, and visual flow.</t>
  </si>
  <si>
    <t>Provided direction on color grading to maintain brand consistency.</t>
  </si>
  <si>
    <t>Approved motion graphics and visual effects for integration into the final cut.</t>
  </si>
  <si>
    <t>Reviewed and refined audio elements, including sound design and music selection.</t>
  </si>
  <si>
    <t>Ensured voiceover recordings aligned with the intended creative tone.</t>
  </si>
  <si>
    <t>Collaborated with post-production teams to finalize typography and branding elements.</t>
  </si>
  <si>
    <t>Signed off on the final edit before client presentation.</t>
  </si>
  <si>
    <t>Provided guidance on adaptations for different media formats and platforms.</t>
  </si>
  <si>
    <t>Participated in final approval meetings to ensure creative integrity was maintained.</t>
  </si>
  <si>
    <t>Sr Acct Exec</t>
  </si>
  <si>
    <t>Coordinated with clients to gather project requirements and define campaign objectives.</t>
  </si>
  <si>
    <t>Collaborated with the creative team to develop and refine the commercial concept and script.</t>
  </si>
  <si>
    <t>Organized and managed auditions for talent, including actors, voiceovers, and extras.</t>
  </si>
  <si>
    <t>Secured locations for shooting by researching, visiting, and obtaining necessary permits.</t>
  </si>
  <si>
    <t>Developed and managed the project timeline, ensuring all milestones were met prior to production.</t>
  </si>
  <si>
    <t>Oversaw the coordination between the production crew and client representatives on set.</t>
  </si>
  <si>
    <t>Ensured that all equipment, talent, and resources were available and properly allocated during filming.</t>
  </si>
  <si>
    <t>Monitored the daily production schedule, making adjustments as needed to maintain project efficiency.</t>
  </si>
  <si>
    <t>Supervised the communication between directors, producers, and clients to ensure creative vision was adhered to.</t>
  </si>
  <si>
    <t>Managed on-site logistics, including catering, transportation, and accommodations for talent and crew.</t>
  </si>
  <si>
    <t>Reviewed initial edits of the commercial and provided feedback to the editing team.</t>
  </si>
  <si>
    <t>Coordinated with sound designers and music supervisors to finalize audio elements of the commercial.</t>
  </si>
  <si>
    <t>Ensured the timely delivery of the final commercial to clients, adhering to all quality standards.</t>
  </si>
  <si>
    <t>Worked closely with the legal team to verify that all copyright and usage rights were properly secured.</t>
  </si>
  <si>
    <t>Managed the creation of different versions of the commercial for various platforms and distribution channels.</t>
  </si>
  <si>
    <t>Developed and presented project budgets to clients, ensuring alignment with financial expectations.</t>
  </si>
  <si>
    <t>Coordinated with the legal department to draft and review contracts for talent and vendors.</t>
  </si>
  <si>
    <t>Conducted research on market trends and audience preferences to inform creative direction.</t>
  </si>
  <si>
    <t>Scheduled and led client meetings to review concepts, storyboards, and production plans.</t>
  </si>
  <si>
    <t>Managed the logistics of securing props, wardrobe, and other necessary materials for the shoot.</t>
  </si>
  <si>
    <t>Facilitated communication between the client and production team to address any on-set changes or requests.</t>
  </si>
  <si>
    <t>Oversaw the tracking and approval of daily expenses and kept the production budget on track.</t>
  </si>
  <si>
    <t>Ensured all safety protocols were followed on set, maintaining a secure environment for the crew and talent.</t>
  </si>
  <si>
    <t>Managed the coordination of transportation and logistics for crew and equipment to and from locations.</t>
  </si>
  <si>
    <t>Acted as a liaison between the director and the client to ensure real-time approvals and feedback during filming.</t>
  </si>
  <si>
    <t>Organized and participated in post-production review sessions with clients to ensure the final product aligned with their vision.</t>
  </si>
  <si>
    <t>Coordinated the integration of visual effects, ensuring they were consistent with the commercial’s overall aesthetic.</t>
  </si>
  <si>
    <t>Ensured all project deliverables, such as digital files, were formatted correctly for various media platforms.</t>
  </si>
  <si>
    <t>Monitored the approval process of the final commercial, ensuring timely revisions and approvals from the client.</t>
  </si>
  <si>
    <t>Managed the coordination of the commercial's launch strategy, including timelines for distribution and promotion.</t>
  </si>
  <si>
    <t>Developed the overarching campaign strategy in collaboration with the creative and media teams.</t>
  </si>
  <si>
    <t>Approved the commercial concept and script to ensure alignment with brand objectives.</t>
  </si>
  <si>
    <t>Secured client approval on the creative direction, budget, and production timeline.</t>
  </si>
  <si>
    <t>Coordinated with legal and regulatory teams to review script compliance.</t>
  </si>
  <si>
    <t>Negotiated contracts with production companies, directors, and key talent.</t>
  </si>
  <si>
    <t>Oversaw casting decisions and ensured talent selection aligned with brand positioning.</t>
  </si>
  <si>
    <t>Managed client expectations regarding creative execution, budget constraints, and timelines.</t>
  </si>
  <si>
    <t>Reviewed and approved the final production schedule and location scouting reports.</t>
  </si>
  <si>
    <t>Aligned internal stakeholders on key deliverables, roles, and responsibilities.</t>
  </si>
  <si>
    <t>Led pre-production meetings to ensure all teams were prepared for execution.</t>
  </si>
  <si>
    <t>Supervised on-set activities to ensure adherence to the approved creative vision.</t>
  </si>
  <si>
    <t>Addressed client feedback in real-time during the shoot while balancing creative integrity.</t>
  </si>
  <si>
    <t>Ensured budget adherence by monitoring production costs and approving necessary adjustments.</t>
  </si>
  <si>
    <t>Managed high-level problem-solving for unforeseen production challenges.</t>
  </si>
  <si>
    <t>Maintained clear communication between the agency, production team, and client representatives.</t>
  </si>
  <si>
    <t>Reviewed footage periodically to confirm alignment with the creative brief.</t>
  </si>
  <si>
    <t>Provided leadership in resolving talent or crew-related issues that impacted production.</t>
  </si>
  <si>
    <t>Approved any last-minute script or scene changes in consultation with key stakeholders.</t>
  </si>
  <si>
    <t>Ensured all required shots were captured within the allocated production time.</t>
  </si>
  <si>
    <t>Signed off on the completion of each scheduled shoot day.</t>
  </si>
  <si>
    <t>Reviewed initial edits and provided strategic feedback to refine the commercial.</t>
  </si>
  <si>
    <t>Ensured consistency in messaging, branding, and storytelling throughout the edit.</t>
  </si>
  <si>
    <t>Coordinated client review sessions and consolidated feedback for the post-production team.</t>
  </si>
  <si>
    <t>Approved final selections for music, sound design, and voiceovers.</t>
  </si>
  <si>
    <t>Worked with legal teams to verify compliance with industry regulations before final approval.</t>
  </si>
  <si>
    <t>Oversaw color correction and visual effects to maintain brand aesthetics.</t>
  </si>
  <si>
    <t>Finalized subtitling, closed captions, or alternate versions required for distribution.</t>
  </si>
  <si>
    <t>Managed final budget reconciliation and ensured all post-production costs were accounted for.</t>
  </si>
  <si>
    <t>Secured client sign-off on the final commercial before media deployment.</t>
  </si>
  <si>
    <t>Coordinated with media partners to ensure proper formatting and timely delivery for broadcast and digital platforms</t>
  </si>
  <si>
    <t>Head of Prod</t>
  </si>
  <si>
    <t>Finalized the production budget and ensured cost efficiency across all elements.</t>
  </si>
  <si>
    <t>Selected and negotiated contracts with production vendors, directors, and key crew members.</t>
  </si>
  <si>
    <t>Secured locations, permits, and necessary clearances for the shoot.</t>
  </si>
  <si>
    <t>Developed the production timeline and ensured alignment with overall campaign deadlines.</t>
  </si>
  <si>
    <t>Reviewed and approved casting choices in collaboration with the creative team.</t>
  </si>
  <si>
    <t>Managed logistics for travel, accommodations, and equipment rentals.</t>
  </si>
  <si>
    <t>Coordinated with legal teams to ensure compliance with talent agreements and industry regulations.</t>
  </si>
  <si>
    <t>Oversaw pre-production meetings to align all departments on execution details.</t>
  </si>
  <si>
    <t>Assessed production risks and implemented contingency plans.</t>
  </si>
  <si>
    <t>Approved the final call sheet, production schedules, and crew assignments</t>
  </si>
  <si>
    <t>Supervised all on-set operations to ensure adherence to the production plan.</t>
  </si>
  <si>
    <t>Monitored the production budget and approved necessary adjustments.</t>
  </si>
  <si>
    <t>Addressed technical challenges, scheduling conflicts, and unforeseen production issues.</t>
  </si>
  <si>
    <t>Ensured that all equipment, props, and wardrobe met creative and technical specifications.</t>
  </si>
  <si>
    <t>Managed crew coordination and problem-solving to maintain workflow efficiency.</t>
  </si>
  <si>
    <t>Oversaw health and safety protocols for cast and crew during filming.</t>
  </si>
  <si>
    <t>Ensured compliance with contractual obligations, including union and labor requirements.</t>
  </si>
  <si>
    <t>Reviewed footage regularly to confirm quality control and adherence to the storyboard.</t>
  </si>
  <si>
    <t>Facilitated real-time decision-making between creative, client, and production teams.</t>
  </si>
  <si>
    <t>Approved the wrap plan and ensured proper handling of production assets</t>
  </si>
  <si>
    <t>Oversaw the editing process to ensure alignment with the creative vision.</t>
  </si>
  <si>
    <t>Managed post-production budgets and ensured costs remained within approved limits.</t>
  </si>
  <si>
    <t>Coordinated with editors, VFX teams, and sound designers to meet project deadlines.</t>
  </si>
  <si>
    <t>Reviewed and approved music licensing, voiceover recordings, and final sound mix.</t>
  </si>
  <si>
    <t>Ensured color correction and finishing met brand and technical standards.</t>
  </si>
  <si>
    <t>Managed revisions based on internal and client feedback rounds.</t>
  </si>
  <si>
    <t>Approved final deliverables and ensured proper formatting for distribution.</t>
  </si>
  <si>
    <t>Secured legal clearances for final assets, including rights management and usage agreements.</t>
  </si>
  <si>
    <t>Coordinated with media and trafficking teams to meet broadcast and digital distribution deadlines.</t>
  </si>
  <si>
    <t>Conducted a final project wrap-up, including asset archiving and financial reconciliation</t>
  </si>
  <si>
    <t>Developed comprehensive social media campaign strategies aligned with the commercial's objectives.</t>
  </si>
  <si>
    <t>Collaborated with creative teams to ensure social media messaging was integrated into the commercial concept.</t>
  </si>
  <si>
    <t>Coordinated with production teams to align shoot schedules with planned social media content rollouts.</t>
  </si>
  <si>
    <t>Provided input on casting and script elements to ensure relevance and resonance with target social media audiences.</t>
  </si>
  <si>
    <t>Established KPIs for social media engagement and performance related to the commercial's launch.</t>
  </si>
  <si>
    <t>Oversaw behind-the-scenes content creation for use across social media platforms.</t>
  </si>
  <si>
    <t>Managed real-time social media updates during key production milestones.</t>
  </si>
  <si>
    <t>Worked closely with directors and producers to secure exclusive social media content during filming.</t>
  </si>
  <si>
    <t>Directed live social media interactions, including Q&amp;A sessions and live-streaming opportunities from the set.</t>
  </si>
  <si>
    <t>Ensured consistent brand voice and messaging across all social media content captured during production.</t>
  </si>
  <si>
    <t>Coordinated the rollout schedule of the commercial across social media channels.</t>
  </si>
  <si>
    <t>Developed and executed teaser campaigns to generate anticipation prior to the commercial's release.</t>
  </si>
  <si>
    <t>Analyzed performance metrics of social media campaigns tied to the commercial and prepared performance reports.</t>
  </si>
  <si>
    <t>Collaborated with post-production teams to secure final assets optimized for various social media formats.</t>
  </si>
  <si>
    <t>Engaged with audience feedback across social media platforms and adjusted content strategies accordingly.</t>
  </si>
  <si>
    <t>Conducted market research to identify social media trends relevant to the commercial’s target audience.</t>
  </si>
  <si>
    <t>Developed a content calendar outlining key social media activities leading up to the commercial launch.</t>
  </si>
  <si>
    <t>Collaborated with legal and compliance teams to review social media content guidelines for the campaign.</t>
  </si>
  <si>
    <t>Briefed influencers and brand ambassadors on campaign objectives and expected deliverables.</t>
  </si>
  <si>
    <t>Created detailed social media briefs to guide creative and production teams on platform-specific content requirements.</t>
  </si>
  <si>
    <t>Captured exclusive interviews with cast and crew for social media promotional content.</t>
  </si>
  <si>
    <t>Monitored on-set content creation to ensure alignment with social media strategy and branding guidelines.</t>
  </si>
  <si>
    <t>Coordinated with photographers and videographers to produce supplementary digital content for social media use.</t>
  </si>
  <si>
    <t>Managed approvals for real-time content shared during production across social media platforms.</t>
  </si>
  <si>
    <t>Facilitated social media collaborations with strategic partners and talent during the production phase.</t>
  </si>
  <si>
    <t>Created platform-specific content adaptations from the commercial for optimized social media distribution.</t>
  </si>
  <si>
    <t>Implemented paid social media campaigns to boost the commercial's visibility across key markets.</t>
  </si>
  <si>
    <t>Managed post-launch social listening efforts to monitor audience sentiment and engagement trends.</t>
  </si>
  <si>
    <t>Led cross-functional debrief sessions to evaluate the performance of social media initiatives tied to the commercial.</t>
  </si>
  <si>
    <t>Updated social media playbooks with key learnings and best practices derived from the campaign’s performance.</t>
  </si>
  <si>
    <t>Assisted in developing visual concepts and storyboards to align with the commercial's creative direction.</t>
  </si>
  <si>
    <t>Prepared mood boards and style guides to ensure consistency in visual elements across all campaign assets.</t>
  </si>
  <si>
    <t>Collaborated with senior creative staff to refine the commercial’s visual narrative and design approach.</t>
  </si>
  <si>
    <t>Selected props, wardrobe pieces, and set design elements that complemented the visual aesthetic of the campaign.</t>
  </si>
  <si>
    <t>Participated in pre-production meetings to provide input on the visual impact of proposed concepts.</t>
  </si>
  <si>
    <t>Oversaw the execution of visual elements on set to ensure alignment with approved design concepts.</t>
  </si>
  <si>
    <t>Worked closely with the director and cinematographer to adjust visual compositions during filming.</t>
  </si>
  <si>
    <t>Provided on-the-spot creative feedback regarding set design, lighting, and wardrobe choices.</t>
  </si>
  <si>
    <t>Assisted in managing on-set creative assets, including props and visual references, for continuity.</t>
  </si>
  <si>
    <t>Documented visual references and key scenes for use in post-production editing and design.</t>
  </si>
  <si>
    <t>Reviewed rough cuts to ensure visual elements met the original creative brief and design standards.</t>
  </si>
  <si>
    <t>Collaborated with editors and motion graphics teams to refine visual effects and color grading.</t>
  </si>
  <si>
    <t>Provided feedback on typography, graphic overlays, and visual transitions used in the final edit.</t>
  </si>
  <si>
    <t>Assisted in the creation of supplementary visual content for digital and social media adaptations.</t>
  </si>
  <si>
    <t>Participated in final approval sessions to ensure all design components were visually cohesive and brand-compliant.</t>
  </si>
  <si>
    <t>Analyzed historical campaign data to provide insights for shaping the commercial's strategic direction.</t>
  </si>
  <si>
    <t>Developed data-driven audience profiles to guide creative and media planning decisions.</t>
  </si>
  <si>
    <t>Defined key performance indicators (KPIs) and success metrics for measuring campaign effectiveness.</t>
  </si>
  <si>
    <t>Collaborated with media planners to forecast reach, engagement, and conversion projections.</t>
  </si>
  <si>
    <t>Created reporting frameworks to track performance data throughout the commercial's lifecycle.</t>
  </si>
  <si>
    <t>Monitored real-time engagement data from teaser content released during filming.</t>
  </si>
  <si>
    <t>Provided on-set recommendations based on live audience sentiment analysis from social channels.</t>
  </si>
  <si>
    <t>Collected and organized production data to inform predictive performance modeling.</t>
  </si>
  <si>
    <t>Ensured data collection mechanisms were in place for tracking behind-the-scenes content engagement.</t>
  </si>
  <si>
    <t>Coordinated with creative teams to tag assets properly for post-production performance analysis.</t>
  </si>
  <si>
    <t>Analyzed campaign performance data post-launch to assess alignment with predefined KPIs.</t>
  </si>
  <si>
    <t>Prepared comprehensive performance reports highlighting audience reach, engagement, and conversion rates.</t>
  </si>
  <si>
    <t>Conducted A/B testing on various content adaptations to optimize social media performance.</t>
  </si>
  <si>
    <t>Delivered insights on audience behavior trends to inform future content strategies.</t>
  </si>
  <si>
    <t>Led debrief sessions to present key analytical findings and recommend data-driven optimizations.</t>
  </si>
  <si>
    <t>Conducted competitive analysis to benchmark expected performance metrics for the commercial.</t>
  </si>
  <si>
    <t>Developed audience segmentation models to support targeted distribution strategies.</t>
  </si>
  <si>
    <t>Collaborated with creative teams to ensure data insights informed the storyline and messaging.</t>
  </si>
  <si>
    <t>Built predictive analytics models to estimate campaign ROI and viewer engagement rates.</t>
  </si>
  <si>
    <t>Identified key data sources and integrated tracking solutions to capture campaign performance metrics.</t>
  </si>
  <si>
    <t>Collected preliminary engagement data from promotional content released during production.</t>
  </si>
  <si>
    <t>Monitored digital touchpoints for early indicators of audience interest and campaign momentum.</t>
  </si>
  <si>
    <t>Validated data tracking processes to ensure accuracy in performance measurement post-launch.</t>
  </si>
  <si>
    <t>Coordinated with the technical team to implement tracking pixels and UTM parameters for digital assets.</t>
  </si>
  <si>
    <t>Provided real-time data insights to guide adjustments in creative execution during filming.</t>
  </si>
  <si>
    <t>Conducted multivariate analysis to determine which creative elements drove audience engagement.</t>
  </si>
  <si>
    <t>Created interactive dashboards to visualize real-time performance data for key stakeholders.</t>
  </si>
  <si>
    <t>Assessed the commercial's contribution to broader marketing objectives using advanced attribution models.</t>
  </si>
  <si>
    <t>Led data review sessions to interpret post-campaign performance and discuss optimization strategies.</t>
  </si>
  <si>
    <t>Compiled insights into actionable recommendations for future campaigns based on post-launch analytics.</t>
  </si>
  <si>
    <t>Defined overarching campaign objectives and aligned them with client expectations and business goals.</t>
  </si>
  <si>
    <t>Led strategic planning sessions to outline the commercial’s creative direction and execution timeline.</t>
  </si>
  <si>
    <t>Allocated budgets and resources across departments to support pre-production activities.</t>
  </si>
  <si>
    <t>Approved final scripts, storyboards, and creative briefs to ensure consistency with brand strategy.</t>
  </si>
  <si>
    <t>Established key performance indicators (KPIs) to measure the success of the commercial post-launch.</t>
  </si>
  <si>
    <t>Oversaw daily production operations to ensure adherence to timelines, budgets, and quality standards.</t>
  </si>
  <si>
    <t>Resolved high-level production challenges by coordinating with senior creative and production teams.</t>
  </si>
  <si>
    <t>Maintained communication with clients to provide progress updates and manage stakeholder expectations.</t>
  </si>
  <si>
    <t>Assessed on-set creative executions to ensure alignment with approved concepts and brand guidelines.</t>
  </si>
  <si>
    <t>Managed vendor and partner relationships to ensure smooth execution of production deliverables.</t>
  </si>
  <si>
    <t>Reviewed and approved final edits, ensuring the commercial met strategic and creative objectives.</t>
  </si>
  <si>
    <t>Directed the development of distribution strategies across multiple channels based on target audience insights.</t>
  </si>
  <si>
    <t>Evaluated campaign performance metrics and provided strategic recommendations for optimization.</t>
  </si>
  <si>
    <t>Led post-campaign debrief sessions to assess outcomes, address challenges, and define key learnings.</t>
  </si>
  <si>
    <t>Presented comprehensive campaign results and insights to executive stakeholders and clients.</t>
  </si>
  <si>
    <t>Finalized contractual agreements with key stakeholders, including talent, production teams, and vendors.</t>
  </si>
  <si>
    <t>Led cross-functional meetings to align creative, media, and strategy teams on project deliverables.</t>
  </si>
  <si>
    <t>Assessed market research insights to refine the commercial’s messaging and audience targeting.</t>
  </si>
  <si>
    <t>Approved risk management plans to address potential challenges during production.</t>
  </si>
  <si>
    <t>Secured executive buy-in for proposed creative concepts and strategic approaches.</t>
  </si>
  <si>
    <t>Conducted on-site reviews to ensure production quality met established brand and creative standards.</t>
  </si>
  <si>
    <t>Managed high-level adjustments to schedules and budgets to address unforeseen production issues.</t>
  </si>
  <si>
    <t>Facilitated decision-making processes between creative directors and client representatives.</t>
  </si>
  <si>
    <t>Oversaw compliance with legal and regulatory requirements throughout the production process.</t>
  </si>
  <si>
    <t>Provided leadership support to production teams to maintain workflow efficiency and morale.</t>
  </si>
  <si>
    <t>Reviewed audience feedback from early screenings to inform final revisions.</t>
  </si>
  <si>
    <t>Directed the allocation of remaining budget resources for post-production enhancements.</t>
  </si>
  <si>
    <t>Led strategic planning for promotional activities tied to the commercial’s release.</t>
  </si>
  <si>
    <t>Evaluated vendor performance and negotiated terms for future collaborations based on campaign outcomes.</t>
  </si>
  <si>
    <t>Compiled executive summaries detailing project performance, insights, and recommendations for future campaigns.</t>
  </si>
  <si>
    <t>Developed comprehensive strategic frameworks to guide the commercial's creative and media direction.</t>
  </si>
  <si>
    <t>Conducted in-depth market and consumer research to inform positioning and messaging strategies.</t>
  </si>
  <si>
    <t>Collaborated with senior leadership to align campaign objectives with long-term business goals.</t>
  </si>
  <si>
    <t>Presented strategic recommendations to clients and secured approvals for key campaign elements.</t>
  </si>
  <si>
    <t>Identified growth opportunities through competitive analysis and integrated findings into campaign planning.</t>
  </si>
  <si>
    <t>Provided strategic oversight during production to ensure alignment with the approved brand narrative.</t>
  </si>
  <si>
    <t>Addressed high-level strategic concerns arising during production by collaborating with creative leads.</t>
  </si>
  <si>
    <t>Evaluated real-time feedback from focus groups and advised on necessary production adjustments.</t>
  </si>
  <si>
    <t>Maintained stakeholder alignment by communicating production progress and strategic implications.</t>
  </si>
  <si>
    <t>Ensured production execution adhered to strategic timelines and budget allocations.</t>
  </si>
  <si>
    <t>Analyzed post-campaign performance data to measure effectiveness against strategic objectives.</t>
  </si>
  <si>
    <t>Led sessions to distill key insights from campaign performance for future strategic initiatives.</t>
  </si>
  <si>
    <t>Refined distribution strategies based on audience engagement data and market response.</t>
  </si>
  <si>
    <t>Presented strategic performance reports to executive leadership, highlighting key achievements and areas for improvement.</t>
  </si>
  <si>
    <t>Developed recommendations for future campaigns based on lessons learned and evolving market trends.</t>
  </si>
  <si>
    <t>Defined key performance indicators (KPIs) to measure the commercial’s effectiveness across target markets.</t>
  </si>
  <si>
    <t>Conducted data-driven audience segmentation analysis to inform creative and media strategies.</t>
  </si>
  <si>
    <t>Collaborated with strategy and creative teams to integrate data insights into campaign planning.</t>
  </si>
  <si>
    <t>Developed forecasting models to estimate campaign reach, engagement, and conversion potential.</t>
  </si>
  <si>
    <t>Recommended data collection methodologies to ensure robust measurement of campaign impact.</t>
  </si>
  <si>
    <t>Monitored real-time production data to assess adherence to projected timelines and budgets.</t>
  </si>
  <si>
    <t>Analyzed audience feedback from test screenings and provided data-driven recommendations for adjustments.</t>
  </si>
  <si>
    <t>Ensured that data tracking mechanisms were implemented during production for post-campaign analysis.</t>
  </si>
  <si>
    <t>Provided analytical insights to guide strategic decisions on creative executions during production.</t>
  </si>
  <si>
    <t>Coordinated with media partners to validate data pipelines for tracking campaign performance.</t>
  </si>
  <si>
    <t>Analyzed campaign performance data to assess the commercial’s effectiveness against established KPIs.</t>
  </si>
  <si>
    <t>Delivered detailed reports highlighting audience engagement metrics and return on investment (ROI).</t>
  </si>
  <si>
    <t>Conducted attribution analysis to determine the commercial’s impact on key business objectives.</t>
  </si>
  <si>
    <t>Led post-campaign evaluation sessions to present insights and optimization opportunities.</t>
  </si>
  <si>
    <t>Developed predictive models to inform future campaign strategies based on performance data.</t>
  </si>
  <si>
    <t>Developed overarching strategic frameworks to guide the creative direction and messaging of the commercial.</t>
  </si>
  <si>
    <t>Led cross-functional workshops to align internal teams and client stakeholders on strategic objectives.</t>
  </si>
  <si>
    <t>Conducted comprehensive market and cultural trend analyses to inform campaign positioning.</t>
  </si>
  <si>
    <t>Evaluated creative briefs to ensure alignment with long-term brand and business strategies.</t>
  </si>
  <si>
    <t>Approved research methodologies to gather consumer insights critical to campaign development.</t>
  </si>
  <si>
    <t>Oversaw production activities to ensure strategic consistency with the approved brand narrative.</t>
  </si>
  <si>
    <t>Provided strategic input on creative decisions to maintain alignment with target audience insights.</t>
  </si>
  <si>
    <t>Addressed emerging challenges during production by facilitating collaboration among creative, media, and client teams.</t>
  </si>
  <si>
    <t>Reviewed production progress reports to ensure adherence to strategic timelines and deliverables.</t>
  </si>
  <si>
    <t>Participated in daily production reviews to ensure content execution reflected the intended strategic messaging.</t>
  </si>
  <si>
    <t>Analyzed post-campaign performance data to evaluate alignment with strategic objectives.</t>
  </si>
  <si>
    <t>Led debrief sessions with clients and internal teams to assess campaign outcomes and strategic effectiveness.</t>
  </si>
  <si>
    <t>Synthesized audience engagement insights into actionable recommendations for future initiatives.</t>
  </si>
  <si>
    <t>Developed long-term strategic plans based on campaign results and evolving market dynamics.</t>
  </si>
  <si>
    <t>Presented executive-level summaries highlighting strategic achievements and growth opportunities identified from the campaign.</t>
  </si>
  <si>
    <t>Formulated detailed brand positioning strategies that guided the creative development process.</t>
  </si>
  <si>
    <t>Established clear communication channels between the creative, strategy, and media teams for efficient collaboration.</t>
  </si>
  <si>
    <t>Identified key target audiences and refined audience personas to ensure tailored messaging.</t>
  </si>
  <si>
    <t>Secured approval for detailed production schedules and timelines to meet strategic goals.</t>
  </si>
  <si>
    <t>Led competitive analysis workshops to determine key differentiators for the commercial in the marketplace.</t>
  </si>
  <si>
    <t>Monitored daily production activities to ensure creative concepts were executed in line with the strategic vision.</t>
  </si>
  <si>
    <t>Provided strategic direction during production meetings to ensure consistency across messaging, visual style, and tone.</t>
  </si>
  <si>
    <t>Assessed and managed potential risks during production, ensuring alignment with the established budget and timeline.</t>
  </si>
  <si>
    <t>Worked closely with the media team to ensure that production elements were optimized for distribution channels.</t>
  </si>
  <si>
    <t>Evaluated the execution of talent and on-set performances to ensure brand alignment and strategic goals were being met.</t>
  </si>
  <si>
    <t>Coordinated the development of post-campaign analytics reports to assess the commercial's market impact.</t>
  </si>
  <si>
    <t>Led discussions on how to incorporate learnings from the campaign into future strategic initiatives.</t>
  </si>
  <si>
    <t>Oversaw the optimization of digital content post-production to maximize audience reach and engagement.</t>
  </si>
  <si>
    <t>Collaborated with the media team to adjust media placements based on early performance data.</t>
  </si>
  <si>
    <t>Provided strategic recommendations for repurposing or adapting the commercial for future campaigns or platforms.</t>
  </si>
  <si>
    <t>Led strategic planning sessions to define the overall vision and objectives for the commercial.</t>
  </si>
  <si>
    <t>Coordinated with internal and client teams to ensure alignment on goals, target audiences, and messaging.</t>
  </si>
  <si>
    <t>Oversaw the development of the production brief to ensure clear expectations and timelines.</t>
  </si>
  <si>
    <t>Managed the allocation of resources, including budget and personnel, to meet project needs.</t>
  </si>
  <si>
    <t>Approved creative concepts and scripts, ensuring they adhered to the brand’s voice and strategic direction.</t>
  </si>
  <si>
    <t>Supervised the day-to-day operations of the production team to ensure timelines and budgets were adhered to.</t>
  </si>
  <si>
    <t>Facilitated communication between creative, production, and client teams to ensure smooth execution.</t>
  </si>
  <si>
    <t>Provided strategic input during production meetings to guide creative decisions in line with objectives.</t>
  </si>
  <si>
    <t>Monitored progress against the project plan, resolving issues or delays as they arose.</t>
  </si>
  <si>
    <t>Ensured that all legal and contractual requirements were met throughout the production process.</t>
  </si>
  <si>
    <t>Reviewed and approved final edits, ensuring alignment with the overall strategic direction and brand guidelines.</t>
  </si>
  <si>
    <t>Analyzed campaign performance data to assess the commercial’s effectiveness and return on investment.</t>
  </si>
  <si>
    <t>Led debrief sessions with internal teams and clients to assess the commercial’s impact and key learnings.</t>
  </si>
  <si>
    <t>Provided feedback to creative teams on any necessary revisions for future campaigns.</t>
  </si>
  <si>
    <t>Prepared final reports on project outcomes and strategic recommendations for future projects.</t>
  </si>
  <si>
    <t>Developed detailed production timelines, ensuring all team members had a clear understanding of their responsibilities and deadlines.</t>
  </si>
  <si>
    <t>Coordinated with external vendors and talent agencies to secure necessary resources for the production phase.</t>
  </si>
  <si>
    <t>Worked with the legal team to review and approve contracts, ensuring all intellectual property rights were accounted for.</t>
  </si>
  <si>
    <t>Established risk management protocols to mitigate potential issues that could affect the production schedule or budget.</t>
  </si>
  <si>
    <t>Conducted final reviews of the creative concepts, ensuring they aligned with both client objectives and audience expectations.</t>
  </si>
  <si>
    <t>Managed the logistics of the production set, overseeing the setup of locations, equipment, and personnel.</t>
  </si>
  <si>
    <t>Provided ongoing direction to the production team to ensure creative elements were executed according to the brief.</t>
  </si>
  <si>
    <t>Monitored the budget throughout production, making adjustments as necessary to avoid cost overruns.</t>
  </si>
  <si>
    <t>Addressed real-time production challenges, liaising between creative, technical, and client teams to resolve issues promptly.</t>
  </si>
  <si>
    <t>Ensured quality control measures were in place, evaluating on-site footage to ensure the highest production standards.</t>
  </si>
  <si>
    <t>Collaborated with the editing team to ensure that final cuts met client expectations and strategic goals.</t>
  </si>
  <si>
    <t>Led the review of post-production deliverables, ensuring they met technical specifications for various distribution channels.</t>
  </si>
  <si>
    <t>Evaluated the commercial’s performance across multiple media channels, providing feedback for optimization.</t>
  </si>
  <si>
    <t>Coordinated the final approval process with clients and internal teams, ensuring all feedback was addressed before release.</t>
  </si>
  <si>
    <t>Compiled and delivered a comprehensive post-campaign report, detailing key performance metrics and offering recommendations for future campaigns.</t>
  </si>
  <si>
    <t>Assoc Acct Dir</t>
  </si>
  <si>
    <t>Conducted strategic planning meetings with clients to align campaign objectives with creative direction.</t>
  </si>
  <si>
    <t>Reviewed and approved creative briefs to ensure messaging and brand positioning were accurately represented.</t>
  </si>
  <si>
    <t>Collaborated with the creative and production teams to refine scripts and storyboards before client presentation.</t>
  </si>
  <si>
    <t>Secured necessary approvals from internal stakeholders and clients for budget allocations and production timelines.</t>
  </si>
  <si>
    <t>Coordinated with media planners to align commercial placements with overall campaign strategy</t>
  </si>
  <si>
    <t>Oversaw on-site production to ensure creative execution aligned with approved concepts and client expectations.</t>
  </si>
  <si>
    <t>Managed communication between agency teams, clients, and production crews to facilitate smooth operations.</t>
  </si>
  <si>
    <t>Addressed real-time adjustments to scripts, visuals, or branding elements based on client feedback.</t>
  </si>
  <si>
    <t>Ensured legal and compliance requirements were met by reviewing on-set branding, disclaimers, and usage rights.</t>
  </si>
  <si>
    <t>Monitored adherence to budget and timeline constraints, mitigating potential overages or delays</t>
  </si>
  <si>
    <t>Reviewed initial edits and provided feedback to the creative team for alignment with campaign objectives.</t>
  </si>
  <si>
    <t>Coordinated with sound designers and editors to refine audio elements, including voiceovers and music selection.</t>
  </si>
  <si>
    <t>Managed final approval process by presenting polished versions to clients and addressing last-minute revisions.</t>
  </si>
  <si>
    <t>Verified adherence to broadcast and digital platform specifications before submission for distribution.</t>
  </si>
  <si>
    <t>Oversaw the integration of performance tracking tools to measure the commercial’s effectiveness post-launch</t>
  </si>
  <si>
    <t>Reviewed and approved budget allocations to ensure financial feasibility of the commercial.</t>
  </si>
  <si>
    <t>Coordinated with creative, production, and legal teams to finalize project timelines and deliverables.</t>
  </si>
  <si>
    <t>Secured vendor contracts and negotiated rates for production-related services.</t>
  </si>
  <si>
    <t>Oversaw script clearances and ensured compliance with industry regulations and brand guidelines.</t>
  </si>
  <si>
    <t>Managed risk assessments and obtained necessary permits for production locations</t>
  </si>
  <si>
    <t>Supervised on-set operations to ensure adherence to budget and production schedules.</t>
  </si>
  <si>
    <t>Liaised with agency stakeholders to address real-time production challenges.</t>
  </si>
  <si>
    <t>Monitored vendor and crew performance to ensure contractual obligations were met.</t>
  </si>
  <si>
    <t>Oversaw financial tracking of on-set expenses to prevent cost overruns.</t>
  </si>
  <si>
    <t>Approved and facilitated any last-minute logistical adjustments needed during filming</t>
  </si>
  <si>
    <t>Reviewed and approved initial edits to ensure alignment with agency objectives.</t>
  </si>
  <si>
    <t>Managed invoice reconciliation and ensured timely payments to vendors.</t>
  </si>
  <si>
    <t>Coordinated with legal and compliance teams for final content approvals.</t>
  </si>
  <si>
    <t>Facilitated final asset delivery to media partners and internal distribution teams.</t>
  </si>
  <si>
    <t>Conducted a post-mortem analysis to assess budget adherence and process efficiencies</t>
  </si>
  <si>
    <t>Traffic Manager</t>
  </si>
  <si>
    <t>Coordinated project timelines with creative, media, and production teams.</t>
  </si>
  <si>
    <t>Scheduled meetings between stakeholders to finalize creative concepts.</t>
  </si>
  <si>
    <t>Reviewed production budgets and ensured alignment with agency resources.</t>
  </si>
  <si>
    <t>Secured necessary approvals for scripts, storyboards, and creative assets.</t>
  </si>
  <si>
    <t>Liaised with vendors and production partners to confirm availability.</t>
  </si>
  <si>
    <t>Distributed production schedules and deadlines to relevant teams.</t>
  </si>
  <si>
    <t>Ensured compliance with advertising regulations and client requirements.</t>
  </si>
  <si>
    <t>Monitored asset delivery to meet scheduled pre-production milestones.</t>
  </si>
  <si>
    <t>Verified that media placement deadlines aligned with production timelines.</t>
  </si>
  <si>
    <t>Organized internal checkpoints to track progress and flag potential delays.</t>
  </si>
  <si>
    <t>Managed real-time updates to production schedules as changes occurred.</t>
  </si>
  <si>
    <t>Communicated with production crews to ensure adherence to agency guidelines.</t>
  </si>
  <si>
    <t>Confirmed that required brand assets were accessible on-site.</t>
  </si>
  <si>
    <t>Addressed last-minute logistical concerns affecting production flow.</t>
  </si>
  <si>
    <t>Ensured necessary approvals were obtained for on-set modifications.</t>
  </si>
  <si>
    <t>Coordinated with media buyers to confirm ad placement specifications.</t>
  </si>
  <si>
    <t>Monitored vendor deliverables for accuracy and on-time execution.</t>
  </si>
  <si>
    <t>Facilitated communication between creative teams and production staff.</t>
  </si>
  <si>
    <t>Resolved scheduling conflicts and adjusted timelines as needed.</t>
  </si>
  <si>
    <t>Tracked expenses against the allocated production budget.</t>
  </si>
  <si>
    <t>Reviewed rough cuts to ensure alignment with approved creative direction.</t>
  </si>
  <si>
    <t>Managed timelines for editorial revisions, voiceover recordings, and sound design.</t>
  </si>
  <si>
    <t>Ensured all required assets were delivered for final editing.</t>
  </si>
  <si>
    <t>Coordinated internal and client review cycles for final approval.</t>
  </si>
  <si>
    <t>Verified ad compliance with broadcasting and digital advertising standards.</t>
  </si>
  <si>
    <t>Scheduled the delivery of final files to media outlets.</t>
  </si>
  <si>
    <t>Oversaw versioning and formatting for different distribution channels.</t>
  </si>
  <si>
    <t>Tracked post-production costs against the allocated budget.</t>
  </si>
  <si>
    <t>Communicated final air dates and distribution schedules to stakeholders.</t>
  </si>
  <si>
    <t>Archived final campaign assets for future reference and reporting</t>
  </si>
  <si>
    <t>Assoc Dir, Rights Mgt</t>
  </si>
  <si>
    <t>Reviewed talent contracts to ensure compliance with usage rights and licensing agreements.</t>
  </si>
  <si>
    <t>Negotiated terms with music licensors to secure appropriate rights for commercial use.</t>
  </si>
  <si>
    <t>Collaborated with legal teams to verify clearance of third-party intellectual property.</t>
  </si>
  <si>
    <t>Assessed stock footage and photography agreements to confirm authorized usage duration.</t>
  </si>
  <si>
    <t>Provided guidance on rights-related budget allocations to production and creative teams</t>
  </si>
  <si>
    <t>Monitored on-set compliance with contractual obligations for talent and intellectual property.</t>
  </si>
  <si>
    <t>Advised production teams on potential rights management issues during filming.</t>
  </si>
  <si>
    <t>Ensured proper documentation of releases for featured locations, props, and background elements.</t>
  </si>
  <si>
    <t>Confirmed that music and sound recordings used during production aligned with licensed agreements.</t>
  </si>
  <si>
    <t>Verified adherence to union and guild regulations for talent appearances in the commercial</t>
  </si>
  <si>
    <t>Reviewed final edits to confirm that all licensed assets were used within approved parameters.</t>
  </si>
  <si>
    <t>Coordinated with legal and clearance teams to resolve any outstanding rights issues.</t>
  </si>
  <si>
    <t>Provided final approvals for talent, music, and media rights prior to commercial distribution.</t>
  </si>
  <si>
    <t>Updated rights tracking databases to reflect commercial usage terms and expirations.</t>
  </si>
  <si>
    <t>Assisted media and marketing teams with re-clearance processes for extended usage requests</t>
  </si>
  <si>
    <t>Reviewed legal and contractual obligations related to talent, music licensing, and third-party intellectual property rights.</t>
  </si>
  <si>
    <t>Negotiated agreements with external vendors, talent agencies, and production companies to ensure compliance with budget and legal requirements.</t>
  </si>
  <si>
    <t>Secured necessary permits, location releases, and insurance coverage to mitigate potential risks.</t>
  </si>
  <si>
    <t>Collaborated with creative, production, and legal teams to ensure all advertising content aligned with regulatory and industry standards.</t>
  </si>
  <si>
    <t>Finalized usage rights and media terms for talent, voice-over artists, and licensed content before production commenced.</t>
  </si>
  <si>
    <t>Ensured that all contractual obligations related to talent, crew, and production vendors were adhered to during filming.</t>
  </si>
  <si>
    <t>Monitored on-set compliance with union guidelines, SAG-AFTRA requirements, and other industry-specific regulations.</t>
  </si>
  <si>
    <t>Addressed any legal or business-related issues that arose during filming, coordinating with legal counsel when necessary.</t>
  </si>
  <si>
    <t>Reviewed real-time footage and production elements to confirm alignment with approved legal guidelines and contractual agreements.</t>
  </si>
  <si>
    <t>Managed proper documentation of all releases, contracts, and agreements signed on set for record-keeping and future use</t>
  </si>
  <si>
    <t>Reviewed final edits to ensure all licensed materials, talent performances, and music usage adhered to contractual obligations.</t>
  </si>
  <si>
    <t>Facilitated rights clearances for final assets, verifying that all elements met the agreed-upon terms and usage restrictions.</t>
  </si>
  <si>
    <t>Coordinated with legal and compliance teams to confirm adherence to advertising regulations before public distribution.</t>
  </si>
  <si>
    <t>Secured necessary approvals for talent and third-party content usage across different media platforms.</t>
  </si>
  <si>
    <t>Archived contracts, licenses, and final agreements for future reference and potential re-use of assets in future campaigns</t>
  </si>
  <si>
    <t>Reviewed preliminary scripts for technical feasibility and post-production requirements.</t>
  </si>
  <si>
    <t>Consulted with creative directors to understand the visual tone and editing style desired.</t>
  </si>
  <si>
    <t>Evaluated storyboards to anticipate editorial needs and potential timing challenges.</t>
  </si>
  <si>
    <t>Provided input on shot lists based on expected transitions and pacing.</t>
  </si>
  <si>
    <t>Identified post-production assets required, such as stock footage, templates, or effects.</t>
  </si>
  <si>
    <t>Recommended visual effects strategies based on script and budget parameters.</t>
  </si>
  <si>
    <t>Participated in pre-production meetings to align with directors, producers, and cinematographers.</t>
  </si>
  <si>
    <t>Assisted in planning file naming conventions and media management workflows.</t>
  </si>
  <si>
    <t>Created mood reels or sample edits to establish visual direction.</t>
  </si>
  <si>
    <t>Analyzed reference materials for pacing, color, and stylistic benchmarks.</t>
  </si>
  <si>
    <t>Collaborated with the production team to ensure proper frame rates and resolutions were planned.</t>
  </si>
  <si>
    <t>Communicated with audio teams to coordinate sync requirements and sound design expectations.</t>
  </si>
  <si>
    <t>Outlined post-production timelines to ensure delivery milestones were realistic.</t>
  </si>
  <si>
    <t>Provided technical requirements for on-set data wrangling and backups.</t>
  </si>
  <si>
    <t>Ensured all editing software, plugins, and hardware were prepared for incoming footage</t>
  </si>
  <si>
    <t>Advised on shot setups to ensure smooth transitions in the final edit.</t>
  </si>
  <si>
    <t>Reviewed dailies to assess coverage and note potential reshoots or continuity issues.</t>
  </si>
  <si>
    <t>Maintained close communication with the script supervisor to track scene changes and edits.</t>
  </si>
  <si>
    <t>Provided real-time feedback on takes for editorial usability.</t>
  </si>
  <si>
    <t>Ensured proper metadata tagging for seamless ingestion into the editing workflow.</t>
  </si>
  <si>
    <t>Coordinated with the DIT to ensure all footage was properly backed up and organized.</t>
  </si>
  <si>
    <t>Monitored frame composition and lighting setups for post-production flexibility.</t>
  </si>
  <si>
    <t>Logged key takes and marked selects based on editorial judgment.</t>
  </si>
  <si>
    <t>Managed rough string-outs of scenes during off-hours to accelerate post.</t>
  </si>
  <si>
    <t>Communicated with production leads regarding special effects or green screen requirements.</t>
  </si>
  <si>
    <t>Consulted on B-roll and cutaway shots needed for flexibility in editing.</t>
  </si>
  <si>
    <t>Verified that slates and audio sync markers were captured correctly for each take.</t>
  </si>
  <si>
    <t>Assessed continuity across shots to minimize editorial challenges.</t>
  </si>
  <si>
    <t>Noted any camera anomalies or performance inconsistencies for review.</t>
  </si>
  <si>
    <t>Reviewed and approved proxy workflows for offline editing compatibility</t>
  </si>
  <si>
    <t>Assembled rough cuts according to the creative brief and director’s notes.</t>
  </si>
  <si>
    <t>Refined pacing, transitions, and visual flow to align with the approved narrative.</t>
  </si>
  <si>
    <t>Synced multi-camera footage and audio recordings for efficient timeline management.</t>
  </si>
  <si>
    <t>Integrated approved visual effects and motion graphics into the sequence.</t>
  </si>
  <si>
    <t>Collaborated with colorists to ensure consistent tone and grade across all scenes.</t>
  </si>
  <si>
    <t>Applied text treatments and lower thirds per brand guidelines.</t>
  </si>
  <si>
    <t>Incorporated music, sound design, and voiceover into the edit.</t>
  </si>
  <si>
    <t>Delivered multiple revisions based on internal and client feedback.</t>
  </si>
  <si>
    <t>Performed fine-cut adjustments to meet duration and content standards.</t>
  </si>
  <si>
    <t>Exported edits for review in a variety of formats and resolutions.</t>
  </si>
  <si>
    <t>Conducted quality control checks for technical compliance and artifact issues.</t>
  </si>
  <si>
    <t>Managed media assets and project files for archival and versioning.</t>
  </si>
  <si>
    <t>Collaborated with the legal team to ensure usage of licensed material was accurate.</t>
  </si>
  <si>
    <t>Delivered final commercial masters to the delivery team according to platform specifications.</t>
  </si>
  <si>
    <t>Documented project workflows and archived final deliverables for future reference.</t>
  </si>
  <si>
    <t>Collaborated with the creative team to assess technical requirements for post-production.</t>
  </si>
  <si>
    <t>Reviewed scripts and storyboards to anticipate post-production needs.</t>
  </si>
  <si>
    <t>Participated in pre-production meetings to align on schedules and deliverables.</t>
  </si>
  <si>
    <t>Coordinated with directors and producers to plan post workflows.</t>
  </si>
  <si>
    <t>Created detailed post-production schedules and timelines.</t>
  </si>
  <si>
    <t>Consulted with editors and VFX supervisors regarding software and resource needs.</t>
  </si>
  <si>
    <t>Estimated post-production budgets and secured necessary approvals.</t>
  </si>
  <si>
    <t>Sourced and secured post-production vendors and freelancers.</t>
  </si>
  <si>
    <t>Established file delivery protocols and media handling guidelines.</t>
  </si>
  <si>
    <t>Identified key milestones for reviews and final delivery.</t>
  </si>
  <si>
    <t>Assisted in selecting production formats compatible with post workflows.</t>
  </si>
  <si>
    <t>Evaluated preliminary casting options for post-related considerations (e.g., voiceovers).</t>
  </si>
  <si>
    <t>Oversaw the setup of data wrangling and media management strategies.</t>
  </si>
  <si>
    <t>Reviewed legal and usage considerations for post-production content.</t>
  </si>
  <si>
    <t>Briefed internal and external teams on post-production expectations and processes.</t>
  </si>
  <si>
    <t>Ensured accurate capture and backup of media assets on set.</t>
  </si>
  <si>
    <t>Monitored adherence to post-production requirements during shooting.</t>
  </si>
  <si>
    <t>Coordinated communication between set crew and post team.</t>
  </si>
  <si>
    <t>Collected and organized media logs and camera reports.</t>
  </si>
  <si>
    <t>Managed transfer of dailies to editors for immediate review.</t>
  </si>
  <si>
    <t>Oversaw on-set VFX supervision to align with post expectations.</t>
  </si>
  <si>
    <t>Facilitated daily syncs with production and editorial teams.</t>
  </si>
  <si>
    <t>Logged production notes relevant to post-production planning.</t>
  </si>
  <si>
    <t>Verified the correct frame rates, codecs, and formats were used.</t>
  </si>
  <si>
    <t>Confirmed proper use of slates and timecode for editorial alignment.</t>
  </si>
  <si>
    <t>Liaised with sound recordists to ensure delivery of clean audio files.</t>
  </si>
  <si>
    <t>Organized the secure shipment or upload of media to post facilities.</t>
  </si>
  <si>
    <t>Maintained updated records of footage shot versus the shot list.</t>
  </si>
  <si>
    <t>Flagged any potential post-production challenges arising during production.</t>
  </si>
  <si>
    <t>Coordinated with colorists or DITs for on-set look management</t>
  </si>
  <si>
    <t>Supervised the editing process from first assembly to final cut.</t>
  </si>
  <si>
    <t>Managed version control across all edit stages.</t>
  </si>
  <si>
    <t>Coordinated visual effects integration with editors and VFX artists.</t>
  </si>
  <si>
    <t>Scheduled internal and client review sessions.</t>
  </si>
  <si>
    <t>Collected and organized feedback from stakeholders.</t>
  </si>
  <si>
    <t>Oversaw the motion graphics and animation workflows.</t>
  </si>
  <si>
    <t>Liaised with sound designers for mixing and final audio mastering.</t>
  </si>
  <si>
    <t>Ensured music licensing and voiceover usage complied with legal standards.</t>
  </si>
  <si>
    <t>Supervised color correction and final grade sessions.</t>
  </si>
  <si>
    <t>Maintained communication between editors and agency/client teams.</t>
  </si>
  <si>
    <t>Reviewed rough cuts to ensure creative consistency and technical accuracy.</t>
  </si>
  <si>
    <t>Approved and QC’d final deliverables before submission.</t>
  </si>
  <si>
    <t>Managed localization or versioning needs for different markets.</t>
  </si>
  <si>
    <t>Delivered final masters to broadcasters or digital platforms.</t>
  </si>
  <si>
    <t>Archived project files and ensured all assets were properly stored</t>
  </si>
  <si>
    <t>Assoc Creative Dir, Integrated</t>
  </si>
  <si>
    <t>Developed the initial creative concept aligned with the campaign strategy.</t>
  </si>
  <si>
    <t>Oversaw the creation of storyboards and visual references.</t>
  </si>
  <si>
    <t>Reviewed and approved scripts and creative treatments.</t>
  </si>
  <si>
    <t>Collaborated with strategy and account teams to refine messaging.</t>
  </si>
  <si>
    <t>Selected directors and key production partners in alignment with the concept.</t>
  </si>
  <si>
    <t>Participated in casting sessions and approved talent selections.</t>
  </si>
  <si>
    <t>Provided creative input during location scouting sessions.</t>
  </si>
  <si>
    <t>Led internal reviews to ensure brand consistency across all assets.</t>
  </si>
  <si>
    <t>Presented creative direction to client stakeholders for sign-off.</t>
  </si>
  <si>
    <t>Worked with producers to finalize production timelines and budgets.</t>
  </si>
  <si>
    <t>Gave feedback on wardrobe, set design, and props.</t>
  </si>
  <si>
    <t>Directed the integration of motion graphics or animation into planning.</t>
  </si>
  <si>
    <t>Reviewed and adjusted visual mood boards to maintain brand tone.</t>
  </si>
  <si>
    <t>Aligned with legal and compliance teams on creative boundaries.</t>
  </si>
  <si>
    <t>Coordinated with media teams on format and placement specifications</t>
  </si>
  <si>
    <t>Supervised on-set execution to ensure alignment with the creative vision.</t>
  </si>
  <si>
    <t>Gave direction to the director and cinematographer regarding key shots.</t>
  </si>
  <si>
    <t>Reviewed shot lists and daily schedules to prioritize critical scenes.</t>
  </si>
  <si>
    <t>Approved hair, makeup, and wardrobe styling on location.</t>
  </si>
  <si>
    <t>Attended rehearsals and provided performance notes to talent.</t>
  </si>
  <si>
    <t>Evaluated set dressing and lighting setups before filming.</t>
  </si>
  <si>
    <t>Adjusted scripts or lines on set for clarity or tone.</t>
  </si>
  <si>
    <t>Worked with the production team to resolve real-time creative challenges.</t>
  </si>
  <si>
    <t>Participated in playback reviews to confirm captured footage met expectations.</t>
  </si>
  <si>
    <t>Signed off on changes to camera angles or lenses as needed.</t>
  </si>
  <si>
    <t>Collaborated with producers to maintain creative integrity under time constraints.</t>
  </si>
  <si>
    <t>Guided the crew on visual continuity across scenes.</t>
  </si>
  <si>
    <t>Maintained communication with off-site agency teams during shoots.</t>
  </si>
  <si>
    <t>Monitored multiple takes to select the most effective performances.</t>
  </si>
  <si>
    <t>Captured supplementary visuals to support post-production flexibility</t>
  </si>
  <si>
    <t>Reviewed rough cuts and provided structured creative feedback.</t>
  </si>
  <si>
    <t>Directed the pacing, tone, and visual transitions of the edit.</t>
  </si>
  <si>
    <t>Collaborated with editors to refine narrative flow.</t>
  </si>
  <si>
    <t>Approved color grading to ensure consistency with brand palette.</t>
  </si>
  <si>
    <t>Oversaw the development of motion graphics and visual effects.</t>
  </si>
  <si>
    <t>Gave notes on sound design, including voiceover, music, and sound effects.</t>
  </si>
  <si>
    <t>Worked with legal to verify all clearances were reflected in the final version.</t>
  </si>
  <si>
    <t>Participated in final mixing sessions to ensure audio balance.</t>
  </si>
  <si>
    <t>Reviewed subtitling or translations for localized versions.</t>
  </si>
  <si>
    <t>Ensured the final cut adhered to technical and platform specifications.</t>
  </si>
  <si>
    <t>Coordinated with media partners on ad placements and delivery formats.</t>
  </si>
  <si>
    <t>Guided social cutdowns and alternate edits for digital platforms.</t>
  </si>
  <si>
    <t>Presented final deliverables to client teams for approval.</t>
  </si>
  <si>
    <t>Archived creative assets for future use and reference.</t>
  </si>
  <si>
    <t>Debriefed with internal teams to document learnings and results</t>
  </si>
  <si>
    <t>Creative Dir, Whirlpool + Amana</t>
  </si>
  <si>
    <t>Developed the creative concept and visual direction in alignment with the campaign strategy.</t>
  </si>
  <si>
    <t>Oversaw script development and provided detailed feedback to copywriters.</t>
  </si>
  <si>
    <t>Approved storyboards and visual treatments presented by the art team.</t>
  </si>
  <si>
    <t>Collaborated with account teams to align creative vision with client expectations.</t>
  </si>
  <si>
    <t>Selected and approved directors and production partners based on project fit.</t>
  </si>
  <si>
    <t>Guided casting choices and reviewed audition tapes to ensure brand alignment.</t>
  </si>
  <si>
    <t>Participated in location scouting sessions and approved final selections.</t>
  </si>
  <si>
    <t>Provided creative input during wardrobe and set design planning.</t>
  </si>
  <si>
    <t>Led internal creative reviews and ensured consistency across all touchpoints.</t>
  </si>
  <si>
    <t>Approved mood boards, animatics, and key visuals used in pre-visualization.</t>
  </si>
  <si>
    <t>Directed the preparation of creative briefs for production crew and vendors.</t>
  </si>
  <si>
    <t>Reviewed and signed off on shoot schedules and call sheets.</t>
  </si>
  <si>
    <t>Ensured all brand guidelines and messaging frameworks were embedded into planning.</t>
  </si>
  <si>
    <t>Coordinated with legal teams to confirm all necessary usage rights and clearances.</t>
  </si>
  <si>
    <t>Participated in pre-production meetings to confirm alignment across departments.</t>
  </si>
  <si>
    <t>Supervised on-set activities to ensure fidelity to the creative vision.</t>
  </si>
  <si>
    <t>Provided direction to the director and cinematographer on framing and tone.</t>
  </si>
  <si>
    <t>Approved camera setups, lighting schemes, and shot compositions.</t>
  </si>
  <si>
    <t>Collaborated with stylists and set designers to refine on-camera aesthetics.</t>
  </si>
  <si>
    <t>Directed talent performances to maintain narrative consistency.</t>
  </si>
  <si>
    <t>Made real-time adjustments to scripts and visuals based on shoot conditions.</t>
  </si>
  <si>
    <t>Reviewed playback footage to validate quality and alignment with concept.</t>
  </si>
  <si>
    <t>Ensured continuity across scenes in collaboration with script supervisors.</t>
  </si>
  <si>
    <t>Resolved creative issues that arose during the filming process.</t>
  </si>
  <si>
    <t>Participated in daily production debriefs with crew and agency team.</t>
  </si>
  <si>
    <t>Signed off on key takes before moving to the next shot or scene.</t>
  </si>
  <si>
    <t>Coordinated with producers to manage time and resource constraints.</t>
  </si>
  <si>
    <t>Facilitated client visits and explained creative decisions on set.</t>
  </si>
  <si>
    <t>Maintained brand voice and identity throughout all captured content.</t>
  </si>
  <si>
    <t>Verified that production materials adhered to advertising standards and policies</t>
  </si>
  <si>
    <t>Provided creative direction during initial video edits and rough cuts.</t>
  </si>
  <si>
    <t>Reviewed multiple edit versions and delivered detailed revision notes.</t>
  </si>
  <si>
    <t>Approved transitions, pacing, and visual flow in the final cut.</t>
  </si>
  <si>
    <t>Oversaw color grading to ensure visual consistency and tone.</t>
  </si>
  <si>
    <t>Directed the integration of motion graphics and visual effects.</t>
  </si>
  <si>
    <t>Approved audio mixing, voiceover takes, and sound design elements.</t>
  </si>
  <si>
    <t>Collaborated with editors and sound engineers to refine timing and emotional impact.</t>
  </si>
  <si>
    <t>Ensured final outputs matched technical specifications for intended platforms.</t>
  </si>
  <si>
    <t>Participated in client review sessions and defended creative integrity.</t>
  </si>
  <si>
    <t>Managed revisions based on client and stakeholder feedback.</t>
  </si>
  <si>
    <t>Approved final cutdowns, versions, and localizations for various channels.</t>
  </si>
  <si>
    <t>Directed the development of accompanying campaign assets for distribution.</t>
  </si>
  <si>
    <t>Reviewed and signed off on all final deliverables before media handoff.</t>
  </si>
  <si>
    <t>Archived creative materials and project assets for future use.</t>
  </si>
  <si>
    <t>Debriefed with internal teams to evaluate project outcomes and creative performance</t>
  </si>
  <si>
    <t>Reviewed creative briefs to understand the intended message and visual tone.</t>
  </si>
  <si>
    <t>Organized reference videos and visual inspiration for editorial guidance.</t>
  </si>
  <si>
    <t>Created and updated shot lists based on script and storyboard details.</t>
  </si>
  <si>
    <t>Logged incoming storyboards, scripts, and visual assets for editorial planning.</t>
  </si>
  <si>
    <t>Coordinated with senior editors to confirm technical requirements and formats.</t>
  </si>
  <si>
    <t>Prepared proxy templates for offline editing workflows.</t>
  </si>
  <si>
    <t>Reviewed past commercial edits to identify stylistic preferences.</t>
  </si>
  <si>
    <t>Imported and organized scratch voiceovers and music tracks for early mockups.</t>
  </si>
  <si>
    <t>Collaborated with production teams to assess footage delivery timelines.</t>
  </si>
  <si>
    <t>Set up project folders and naming conventions in alignment with agency standards.</t>
  </si>
  <si>
    <t>Assisted in reviewing casting tapes or visual references for editorial input.</t>
  </si>
  <si>
    <t>Created basic motion graphic mockups to aid the pitch presentation.</t>
  </si>
  <si>
    <t>Compiled b-roll and stock footage for potential inclusion.</t>
  </si>
  <si>
    <t>Reviewed equipment lists to ensure compatibility with post-production software.</t>
  </si>
  <si>
    <t>Participated in pre-production meetings to gather notes relevant to editing</t>
  </si>
  <si>
    <t>Backed up footage from production drives onto designated storage systems.</t>
  </si>
  <si>
    <t>Logged and organized daily raw footage for editorial access.</t>
  </si>
  <si>
    <t>Synced audio and video files from multi-camera setups.</t>
  </si>
  <si>
    <t>Flagged technically flawed footage for reshoots or client review.</t>
  </si>
  <si>
    <t>Created on-set editorial selects during live shooting when required.</t>
  </si>
  <si>
    <t>Liaised with the digital imaging technician to ensure metadata accuracy.</t>
  </si>
  <si>
    <t>Verified frame rates and resolution settings on incoming files.</t>
  </si>
  <si>
    <t>Imported dailies into project timelines for early assembly.</t>
  </si>
  <si>
    <t>Generated string-outs of usable takes for review by senior editors.</t>
  </si>
  <si>
    <t>Updated timecode notes based on director or producer feedback.</t>
  </si>
  <si>
    <t>Prepared daily rough cut exports for internal review.</t>
  </si>
  <si>
    <t>Maintained naming conventions during footage ingestion.</t>
  </si>
  <si>
    <t>Assembled first-pass timelines with preferred takes.</t>
  </si>
  <si>
    <t>Managed version control of multiple edit iterations during shoot days.</t>
  </si>
  <si>
    <t>Assisted editors in tracking continuity between takes.</t>
  </si>
  <si>
    <t>Assembled rough cuts using selected footage and reference materials.</t>
  </si>
  <si>
    <t>Synced final voiceovers and music tracks with editorial timelines.</t>
  </si>
  <si>
    <t>Applied basic color correction for internal review cuts.</t>
  </si>
  <si>
    <t>Implemented revisions based on client and creative feedback.</t>
  </si>
  <si>
    <t>Prepared versions of edits for client, legal, or internal review.</t>
  </si>
  <si>
    <t>Updated end slates, disclaimers, and graphic overlays.</t>
  </si>
  <si>
    <t>Exported final sequences in required codecs and aspect ratios.</t>
  </si>
  <si>
    <t>Managed file conversions for broadcast or digital platforms.</t>
  </si>
  <si>
    <t>Archived completed projects and relevant working files.</t>
  </si>
  <si>
    <t>Coordinated with sound designers to ensure seamless audio handoffs.</t>
  </si>
  <si>
    <t>Integrated motion graphics and animations into the locked edit.</t>
  </si>
  <si>
    <t>Ensured all shots met resolution and quality standards before delivery.</t>
  </si>
  <si>
    <t>Rendered preview files for presentations or internal approvals.</t>
  </si>
  <si>
    <t>Assisted with subtitle placement and timing adjustments.</t>
  </si>
  <si>
    <t>Delivered final deliverables to media buying or trafficking teams</t>
  </si>
  <si>
    <t>Exec Prod, Agency Production</t>
  </si>
  <si>
    <t>Reviewed creative concepts and ensured alignment with the client’s strategic objectives.</t>
  </si>
  <si>
    <t>Evaluated director treatments and facilitated the selection process in collaboration with creative leads.</t>
  </si>
  <si>
    <t>Oversaw the bidding process and negotiated production estimates with external production companies.</t>
  </si>
  <si>
    <t>Secured client approvals for budget, schedule, and production approach.</t>
  </si>
  <si>
    <t>Coordinated internal legal and business affairs reviews for production agreements.</t>
  </si>
  <si>
    <t>Supervised script breakdowns and assessed implications on production logistics.</t>
  </si>
  <si>
    <t>Finalized production timelines and synchronized milestones with internal and external stakeholders.</t>
  </si>
  <si>
    <t>Conducted pre-bid meetings with production partners to ensure scope clarity.</t>
  </si>
  <si>
    <t>Organized location scouts and participated in final location approvals.</t>
  </si>
  <si>
    <t>Reviewed casting submissions and participated in talent selection alongside the creative team.</t>
  </si>
  <si>
    <t>Ensured compliance with advertising regulations and union requirements.</t>
  </si>
  <si>
    <t>Oversaw creation and approval of production insurance documentation.</t>
  </si>
  <si>
    <t>Scheduled and led internal production status meetings with cross-functional agency teams.</t>
  </si>
  <si>
    <t>Approved production designs, storyboards, and shot lists prior to shoot.</t>
  </si>
  <si>
    <t>Confirmed all logistical elements were in place, including travel, accommodations, and call sheets</t>
  </si>
  <si>
    <t>Supervised on-set execution to ensure alignment with creative intent and production standards.</t>
  </si>
  <si>
    <t>Acted as the primary liaison between agency creatives and the production company.</t>
  </si>
  <si>
    <t>Monitored shoot schedule to identify and address any delays or inefficiencies.</t>
  </si>
  <si>
    <t>Managed real-time decision-making related to budget and scope adjustments.</t>
  </si>
  <si>
    <t>Ensured proper client representation and facilitated their feedback during the shoot.</t>
  </si>
  <si>
    <t>Oversaw safety protocols and resolved on-set operational concerns.</t>
  </si>
  <si>
    <t>Reviewed dailies with creative leads to validate captured content.</t>
  </si>
  <si>
    <t>Escalated critical issues to senior stakeholders when necessary.</t>
  </si>
  <si>
    <t>Controlled access to confidential materials and restricted areas on set.</t>
  </si>
  <si>
    <t>Ensured proper documentation and handling of talent contracts and releases.</t>
  </si>
  <si>
    <t>Managed communication between departments, including wardrobe, art, and camera.</t>
  </si>
  <si>
    <t>Verified that all brand assets and visual guidelines were adhered to during filming.</t>
  </si>
  <si>
    <t>Facilitated creative problem-solving to address unplanned obstacles.</t>
  </si>
  <si>
    <t>Approved on-the-fly changes to props, wardrobe, or locations based on agency feedback.</t>
  </si>
  <si>
    <t>Ensured wrap-out activities were conducted according to production requirements.</t>
  </si>
  <si>
    <t>Reviewed selects and participated in edit lock discussions with the creative team.</t>
  </si>
  <si>
    <t>Managed post-production timelines to align with delivery requirements.</t>
  </si>
  <si>
    <t>Oversaw agency reviews of rough cuts, fine cuts, and final masters.</t>
  </si>
  <si>
    <t>Coordinated voiceover recording sessions and ensured proper direction was provided.</t>
  </si>
  <si>
    <t>Approved color grading and visual effects passes before client presentation.</t>
  </si>
  <si>
    <t>Ensured sound design and audio mix met technical and creative expectations.</t>
  </si>
  <si>
    <t>Facilitated legal and regulatory review of final content.</t>
  </si>
  <si>
    <t>Managed music licensing processes and ensured clearance documentation was secured.</t>
  </si>
  <si>
    <t>Confirmed delivery specifications with media partners and platforms.</t>
  </si>
  <si>
    <t>Directed internal and external teams on required versioning and localizations.</t>
  </si>
  <si>
    <t>Oversaw the adaptation of assets for social, digital, and broadcast formats.</t>
  </si>
  <si>
    <t>Reviewed final masters for quality assurance and consistency across deliverables.</t>
  </si>
  <si>
    <t>Ensured timely delivery of all assets to the client and media partners.</t>
  </si>
  <si>
    <t>Coordinated internal debriefs to discuss project outcomes and key learnings.</t>
  </si>
  <si>
    <t>Archived all production materials according to agency standards.</t>
  </si>
  <si>
    <t>Assoc Creative Dir, Content, CW</t>
  </si>
  <si>
    <t>Developed the creative concept in alignment with the campaign strategy.</t>
  </si>
  <si>
    <t>Wrote the initial script draft based on the approved concept.</t>
  </si>
  <si>
    <t>Edited script iterations following feedback from internal stakeholders.</t>
  </si>
  <si>
    <t>Collaborated with art directors to ensure cohesive visual and narrative direction.</t>
  </si>
  <si>
    <t>Participated in casting decisions to align talent with brand tone.</t>
  </si>
  <si>
    <t>Reviewed director treatments to assess narrative alignment.</t>
  </si>
  <si>
    <t>Provided voiceover direction and script options for tone and pacing.</t>
  </si>
  <si>
    <t>Attended location scouts to evaluate narrative suitability.</t>
  </si>
  <si>
    <t>Supervised the storyboard development to ensure accurate script translation.</t>
  </si>
  <si>
    <t>Reviewed wardrobe and prop selections for character consistency.</t>
  </si>
  <si>
    <t>Participated in pre-production meetings to align teams on creative goals.</t>
  </si>
  <si>
    <t>Coordinated with account teams to confirm script compliance with client expectations.</t>
  </si>
  <si>
    <t>Provided copy adjustments for legal or regulatory review as needed.</t>
  </si>
  <si>
    <t>Created alternate script versions for different media platforms.</t>
  </si>
  <si>
    <t>Finalized the shooting script for production readiness.</t>
  </si>
  <si>
    <t>Oversaw script adherence during live shoots.</t>
  </si>
  <si>
    <t>Provided on-set copy revisions in response to real-time adjustments.</t>
  </si>
  <si>
    <t>Ensured tone consistency across multiple takes.</t>
  </si>
  <si>
    <t>Advised on actor delivery to maintain brand voice.</t>
  </si>
  <si>
    <t>Collaborated with the director to fine-tune dialogue performance.</t>
  </si>
  <si>
    <t>Reviewed playback to monitor script execution.</t>
  </si>
  <si>
    <t>Coordinated with producers to resolve narrative-related production challenges.</t>
  </si>
  <si>
    <t>Evaluated scene coverage to ensure storytelling clarity.</t>
  </si>
  <si>
    <t>Provided direction on timing for visual-text alignment.</t>
  </si>
  <si>
    <t>Approved last-minute changes to voiceover lines.</t>
  </si>
  <si>
    <t>Contributed to decisions on unscripted content inclusion.</t>
  </si>
  <si>
    <t>Communicated with post-production teams on key storytelling elements.</t>
  </si>
  <si>
    <t>Maintained continuity logs specific to dialogue and performance.</t>
  </si>
  <si>
    <t>Participated in creative problem-solving during production delays.</t>
  </si>
  <si>
    <t>Approved alternative shots when original script execution was not feasible.</t>
  </si>
  <si>
    <t>Reviewed rough cuts to assess narrative pacing and clarity.</t>
  </si>
  <si>
    <t>Provided script notes to inform editing decisions.</t>
  </si>
  <si>
    <t>Directed voiceover recording sessions for tone and timing.</t>
  </si>
  <si>
    <t>Reviewed and edited subtitle or supers copy for accuracy and tone.</t>
  </si>
  <si>
    <t>Approved final script-driven elements including tags and endlines.</t>
  </si>
  <si>
    <t>Collaborated with editors to ensure script alignment in final cut.</t>
  </si>
  <si>
    <t>Suggested adjustments to voiceover or dialogue timing for impact.</t>
  </si>
  <si>
    <t>Reviewed music and sound design for emotional resonance with the script.</t>
  </si>
  <si>
    <t>Evaluated visual transitions for narrative flow.</t>
  </si>
  <si>
    <t>Provided creative feedback on graphics and animated copy elements.</t>
  </si>
  <si>
    <t>Participated in color grading sessions to ensure tone matches script mood.</t>
  </si>
  <si>
    <t>Reviewed final audio mix for clarity and consistency with brand voice.</t>
  </si>
  <si>
    <t>Ensured final deliverables included correct script versions for all platforms.</t>
  </si>
  <si>
    <t>Approved legal copy placement and disclaimers.</t>
  </si>
  <si>
    <t>Signed off on the final commercial for client delivery</t>
  </si>
  <si>
    <t>Head of Film and Photo</t>
  </si>
  <si>
    <t>Defined the visual direction in collaboration with the creative and strategy teams.</t>
  </si>
  <si>
    <t>Evaluated director reels and recommended talent aligned with the visual brief.</t>
  </si>
  <si>
    <t>Supervised the development of shot lists and storyboards.</t>
  </si>
  <si>
    <t>Reviewed treatment submissions to ensure creative alignment.</t>
  </si>
  <si>
    <t>Participated in the selection of directors, photographers, and production vendors.</t>
  </si>
  <si>
    <t>Assessed potential production partners and finalized vendor approvals.</t>
  </si>
  <si>
    <t>Oversaw casting sessions and approved talent selections.</t>
  </si>
  <si>
    <t>Reviewed location options for cinematic and photographic suitability.</t>
  </si>
  <si>
    <t>Worked with producers to align budgets with visual execution needs.</t>
  </si>
  <si>
    <t>Reviewed and signed off on production schedules and call sheets.</t>
  </si>
  <si>
    <t>Coordinated with creative and production leads to ensure shoot feasibility.</t>
  </si>
  <si>
    <t>Advised on equipment requirements based on creative intent.</t>
  </si>
  <si>
    <t>Attended technical scouts to assess lighting and framing opportunities.</t>
  </si>
  <si>
    <t>Directed pre-visualization efforts for key film and photo moments.</t>
  </si>
  <si>
    <t>Provided final approvals on production assets prior to shoot day</t>
  </si>
  <si>
    <t>Supervised on-set execution to ensure alignment with visual strategy.</t>
  </si>
  <si>
    <t>Directed camera and lighting setups in collaboration with the director of photography.</t>
  </si>
  <si>
    <t>Reviewed live monitor feeds to confirm shot framing and quality.</t>
  </si>
  <si>
    <t>Provided feedback on performance to maintain visual and narrative consistency.</t>
  </si>
  <si>
    <t>Oversaw still photo captures during filming for integrated content needs.</t>
  </si>
  <si>
    <t>Ensured continuity between scenes and setups across film and photo.</t>
  </si>
  <si>
    <t>Approved selects during shooting to stay on schedule and on brief.</t>
  </si>
  <si>
    <t>Monitored art direction on set to ensure visual integrity.</t>
  </si>
  <si>
    <t>Collaborated with production crew to troubleshoot technical issues.</t>
  </si>
  <si>
    <t>Coordinated with creative leadership to manage real-time adjustments.</t>
  </si>
  <si>
    <t>Maintained alignment between photo and film units for unified storytelling.</t>
  </si>
  <si>
    <t>Provided approvals on lighting changes and scene transitions.</t>
  </si>
  <si>
    <t>Signed off on key setups and hero shots during filming.</t>
  </si>
  <si>
    <t>Ensured behind-the-scenes documentation met internal standards.</t>
  </si>
  <si>
    <t>Conducted daily reviews to evaluate shot progress and make adjustments</t>
  </si>
  <si>
    <t>Reviewed raw footage and selects for quality and consistency.</t>
  </si>
  <si>
    <t>Collaborated with editors to define the visual tone of the final cut.</t>
  </si>
  <si>
    <t>Supervised retouching and color grading for both film and photo assets.</t>
  </si>
  <si>
    <t>Reviewed animation and visual effects passes for quality control.</t>
  </si>
  <si>
    <t>Provided feedback on motion design and transitions.</t>
  </si>
  <si>
    <t>Approved photo selects for retouching and final delivery.</t>
  </si>
  <si>
    <t>Evaluated pacing and framing in early edits to ensure visual impact.</t>
  </si>
  <si>
    <t>Attended edit sessions to guide composition and narrative emphasis.</t>
  </si>
  <si>
    <t>Ensured consistency between moving and still imagery across formats.</t>
  </si>
  <si>
    <t>Worked with the sound team to align audio design with visual rhythm.</t>
  </si>
  <si>
    <t>Reviewed text overlays and superimposed graphics for aesthetic consistency.</t>
  </si>
  <si>
    <t>Approved final photo and film assets for client presentation.</t>
  </si>
  <si>
    <t>Coordinated delivery of multiple asset formats for various media channels.</t>
  </si>
  <si>
    <t>Provided sign-off on technical specifications and final compression settings.</t>
  </si>
  <si>
    <t>Archived final project assets in accordance with agency protocols</t>
  </si>
  <si>
    <t>Assoc Program Dir, Integrated Campaigns</t>
  </si>
  <si>
    <t>Aligned campaign objectives with client expectations and strategic marketing goals.</t>
  </si>
  <si>
    <t>Collaborated with creative leads to finalize the commercial concept and treatment.</t>
  </si>
  <si>
    <t>Created detailed production timelines and tracked key milestones.</t>
  </si>
  <si>
    <t>Reviewed and approved creative briefs and project scopes.</t>
  </si>
  <si>
    <t>Coordinated with media planning teams to ensure alignment on deliverables and formats.</t>
  </si>
  <si>
    <t>Secured internal and external resources required for production execution.</t>
  </si>
  <si>
    <t>Oversaw budget development and validated cost estimates from production partners.</t>
  </si>
  <si>
    <t>Scheduled and facilitated kickoff meetings with cross-functional teams.</t>
  </si>
  <si>
    <t>Worked with legal to ensure all creative content complied with industry regulations.</t>
  </si>
  <si>
    <t>Led the approval process for scripts, storyboards, and casting recommendations.</t>
  </si>
  <si>
    <t>Partnered with account teams to manage client feedback loops.</t>
  </si>
  <si>
    <t>Ensured vendor contracts and NDAs were executed ahead of production.</t>
  </si>
  <si>
    <t>Established asset management protocols for campaign materials.</t>
  </si>
  <si>
    <t>Facilitated location scouting and permit acquisition with production partners.</t>
  </si>
  <si>
    <t>Developed contingency plans for potential production delays or issues</t>
  </si>
  <si>
    <t>Attended shoots to oversee alignment with creative direction and brand guidelines.</t>
  </si>
  <si>
    <t>Coordinated with producers to manage daily production schedules and crew logistics.</t>
  </si>
  <si>
    <t>Addressed client questions and approvals in real time during filming.</t>
  </si>
  <si>
    <t>Verified on-set talent usage adhered to contractual agreements.</t>
  </si>
  <si>
    <t>Escalated and resolved production issues impacting timeline or deliverables.</t>
  </si>
  <si>
    <t>Captured behind-the-scenes content as required for integrated campaign needs.</t>
  </si>
  <si>
    <t>Ensured production adhered to safety and compliance standards.</t>
  </si>
  <si>
    <t>Confirmed technical specifications were met for video, audio, and lighting.</t>
  </si>
  <si>
    <t>Provided real-time updates to internal and external stakeholders.</t>
  </si>
  <si>
    <t>Reviewed footage with creative leads to ensure key scenes were captured effectively.</t>
  </si>
  <si>
    <t>Oversaw budget tracking and cost control during shoot days.</t>
  </si>
  <si>
    <t>Facilitated on-set coordination between agency and production company teams.</t>
  </si>
  <si>
    <t>Approved production adjustments based on weather or environmental factors.</t>
  </si>
  <si>
    <t>Verified continuity across takes to maintain consistency in final edits.</t>
  </si>
  <si>
    <t>Collected and secured raw footage and data for post-production</t>
  </si>
  <si>
    <t>Managed post-production timelines and ensured delivery milestones were met.</t>
  </si>
  <si>
    <t>Reviewed and approved rough cuts in collaboration with creative leadership.</t>
  </si>
  <si>
    <t>Coordinated internal review rounds before sharing content with clients.</t>
  </si>
  <si>
    <t>Collected consolidated client feedback for editors and motion graphics teams.</t>
  </si>
  <si>
    <t>Ensured visual and audio elements were consistent with brand standards.</t>
  </si>
  <si>
    <t>Oversaw the implementation of legal disclaimers, end tags, and supers.</t>
  </si>
  <si>
    <t>Managed localization needs for regional and international markets.</t>
  </si>
  <si>
    <t>Verified closed captioning and accessibility requirements were met.</t>
  </si>
  <si>
    <t>Approved final color correction and sound mixing passes.</t>
  </si>
  <si>
    <t>Coordinated final delivery of assets to media partners and platforms.</t>
  </si>
  <si>
    <t>Archived final project files and version history in the agency’s asset library.</t>
  </si>
  <si>
    <t>Confirmed music licensing and usage rights were secured and documented.</t>
  </si>
  <si>
    <t>Supported post-campaign performance tracking setup with analytics teams.</t>
  </si>
  <si>
    <t>Facilitated a final wrap meeting with internal teams and external partners.</t>
  </si>
  <si>
    <t>Documented key learnings and production notes for future campaigns.</t>
  </si>
  <si>
    <t>Creative Dir, Commerce and Content</t>
  </si>
  <si>
    <t>Developed the creative concept for the commercial in collaboration with the team.</t>
  </si>
  <si>
    <t>Created mood boards and visual references to communicate the overall aesthetic.</t>
  </si>
  <si>
    <t>Drafted the initial script and coordinated feedback sessions.</t>
  </si>
  <si>
    <t>Conducted market research to inform the commercial’s direction.</t>
  </si>
  <si>
    <t>Secured approval for the final script from stakeholders.</t>
  </si>
  <si>
    <t>Organized casting calls to identify talent for the commercial.</t>
  </si>
  <si>
    <t>Held auditions and selected the appropriate actors for the roles.</t>
  </si>
  <si>
    <t>Coordinated with the director to define the visual style and shot list.</t>
  </si>
  <si>
    <t>Developed a production timeline, outlining key milestones and deadlines.</t>
  </si>
  <si>
    <t>Created a detailed budget for the production, covering all costs.</t>
  </si>
  <si>
    <t>Sourced and secured locations for filming, including permits and permissions.</t>
  </si>
  <si>
    <t>Managed the logistics of set design, ensuring the environment aligned with the concept.</t>
  </si>
  <si>
    <t>Selected and liaised with the cinematographer to discuss camera angles and lighting plans.</t>
  </si>
  <si>
    <t>Organized rehearsals with the talent to ensure proper delivery of lines and timing.</t>
  </si>
  <si>
    <t>Communicated with the production team to ensure everyone was aligned with the project vision</t>
  </si>
  <si>
    <t>Supervised the setup of the set, ensuring alignment with the creative vision.</t>
  </si>
  <si>
    <t>Coordinated with the director to ensure the script was being followed during filming.</t>
  </si>
  <si>
    <t>Directed the actors during takes, guiding their performances to match the vision.</t>
  </si>
  <si>
    <t>Ensured the crew executed the lighting, sound, and camera angles as planned.</t>
  </si>
  <si>
    <t>Managed the pacing of the shoot to ensure all scenes were captured within the schedule.</t>
  </si>
  <si>
    <t>Collaborated with the art department to ensure props and set elements were in place.</t>
  </si>
  <si>
    <t>Oversaw the makeup and wardrobe departments to guarantee consistency with the concept.</t>
  </si>
  <si>
    <t>Monitored sound quality to ensure clear, high-quality audio was recorded.</t>
  </si>
  <si>
    <t>Addressed any issues or obstacles during the shoot to avoid delays.</t>
  </si>
  <si>
    <t>Provided immediate feedback to the director and crew on performance and technical elements.</t>
  </si>
  <si>
    <t>Liaised with the producers to ensure the shoot remained within budget and schedule.</t>
  </si>
  <si>
    <t>Reviewed footage during breaks to assess quality and alignment with the vision.</t>
  </si>
  <si>
    <t>Coordinated with the post-production team to ensure the necessary shots were captured.</t>
  </si>
  <si>
    <t>Ensured all necessary permissions and releases were obtained from talent and locations.</t>
  </si>
  <si>
    <t>Managed the transportation of all necessary equipment and materials to and from the location</t>
  </si>
  <si>
    <t>Collaborated with the editor to review the raw footage and select the best takes.</t>
  </si>
  <si>
    <t>Provided creative direction on the editing style, pacing, and flow of the commercial.</t>
  </si>
  <si>
    <t>Supervised the addition of sound effects and music to enhance the commercial’s impact.</t>
  </si>
  <si>
    <t>Reviewed and approved the rough cut, providing feedback for revisions.</t>
  </si>
  <si>
    <t>Coordinated with the visual effects team to ensure any needed CGI was seamlessly integrated.</t>
  </si>
  <si>
    <t>Approved the color grading to ensure the final look matched the creative direction.</t>
  </si>
  <si>
    <t>Worked with the sound designer to finalize the audio mix and ensure high-quality sound.</t>
  </si>
  <si>
    <t>Ensured the commercial’s timing aligned with the desired duration and structure.</t>
  </si>
  <si>
    <t>Collaborated with the copywriters to finalize the voiceover or script edits.</t>
  </si>
  <si>
    <t>Conducted multiple review sessions with internal stakeholders to ensure alignment.</t>
  </si>
  <si>
    <t>Managed any necessary reshoots, ensuring consistency with the final vision.</t>
  </si>
  <si>
    <t>Verified that all legal and compliance requirements for the commercial were met.</t>
  </si>
  <si>
    <t>Coordinated the creation of any additional promotional assets or teasers.</t>
  </si>
  <si>
    <t>Approved the final version of the commercial for distribution.</t>
  </si>
  <si>
    <t>Delivered the final files to the appropriate channels for broadcast or online distribution</t>
  </si>
  <si>
    <t>Reviewed and negotiated contracts with external vendors and suppliers for the production.</t>
  </si>
  <si>
    <t>Coordinated the approval of the production budget with relevant stakeholders.</t>
  </si>
  <si>
    <t>Secured talent agreements and ensured proper legal documentation for actors and crew.</t>
  </si>
  <si>
    <t>Managed the production schedule, ensuring all timelines were met.</t>
  </si>
  <si>
    <t>Facilitated the acquisition of location permits and ensured legal compliance.</t>
  </si>
  <si>
    <t>Reviewed and approved the project’s legal and regulatory requirements.</t>
  </si>
  <si>
    <t>Collaborated with the finance team to ensure budget allocation for all production elements.</t>
  </si>
  <si>
    <t>Negotiated terms with post-production houses for editing and finishing services.</t>
  </si>
  <si>
    <t>Ensured insurance coverage was in place for production activities.</t>
  </si>
  <si>
    <t>Coordinated with external agencies to secure necessary clearances for music and branded content.</t>
  </si>
  <si>
    <t>Managed the acquisition of all necessary licenses for third-party materials.</t>
  </si>
  <si>
    <t>Assisted in preparing and distributing pre-production documentation, including contracts and timelines.</t>
  </si>
  <si>
    <t>Reviewed union or guild requirements and ensured compliance with relevant labor laws.</t>
  </si>
  <si>
    <t>Liaised with the legal department to ensure intellectual property rights were properly managed.</t>
  </si>
  <si>
    <t>Conducted risk assessments to identify potential legal or financial issues before production began.</t>
  </si>
  <si>
    <t>Oversaw the proper execution of production contracts, ensuring all obligations were met.</t>
  </si>
  <si>
    <t>Monitored the production budget to ensure spending remained within allocated limits.</t>
  </si>
  <si>
    <t>Managed the approval of invoices and ensured timely payments to vendors and talent.</t>
  </si>
  <si>
    <t>Facilitated communication between producers, the legal team, and external vendors during production.</t>
  </si>
  <si>
    <t>Ensured all talent and crew were paid according to contract terms and on schedule.</t>
  </si>
  <si>
    <t>Addressed any legal issues that arose during filming, including contract disputes or location problems.</t>
  </si>
  <si>
    <t>Coordinated the acquisition of permits or additional licenses during production as needed.</t>
  </si>
  <si>
    <t>Managed the logistics of transporting equipment and materials to and from the location.</t>
  </si>
  <si>
    <t>Assisted with any necessary contract amendments or addendums during production.</t>
  </si>
  <si>
    <t>Monitored the production schedule to ensure all milestones were met and deadlines adhered to.</t>
  </si>
  <si>
    <t>Coordinated with the finance team to track production expenses and approve payments.</t>
  </si>
  <si>
    <t>Managed risk mitigation measures, ensuring compliance with health and safety regulations.</t>
  </si>
  <si>
    <t>Verified that all documentation for location releases, permits, and contracts was in order.</t>
  </si>
  <si>
    <t>Ensured that all union and guild requirements were being adhered to during production.</t>
  </si>
  <si>
    <t>Assisted with resolving any on-set disputes related to contracts, payments, or other business matters.</t>
  </si>
  <si>
    <t>Coordinated the review and approval of post-production contracts and agreements.</t>
  </si>
  <si>
    <t>Monitored the post-production budget to ensure no overages occurred during editing and finalization.</t>
  </si>
  <si>
    <t>Managed the delivery of final contracts and agreements to external vendors for services rendered.</t>
  </si>
  <si>
    <t>Ensured that licensing rights for music, visuals, and other third-party materials were properly managed.</t>
  </si>
  <si>
    <t>Reviewed final payment schedules for talent, crew, and vendors and ensured timely processing.</t>
  </si>
  <si>
    <t>Coordinated the legal review of the commercial to ensure compliance with intellectual property rights.</t>
  </si>
  <si>
    <t>Reviewed final invoices from post-production houses and vendors for accuracy and compliance with contracts.</t>
  </si>
  <si>
    <t>Ensured all relevant tax and financial documentation was processed and filed.</t>
  </si>
  <si>
    <t>Managed the distribution of final assets to clients and broadcasters according to agreed-upon terms.</t>
  </si>
  <si>
    <t>Assisted in the preparation of post-production reports for internal and client review.</t>
  </si>
  <si>
    <t>Coordinated the final approval of the commercial from a business affairs perspective.</t>
  </si>
  <si>
    <t>Ensured all necessary clearances were obtained for broadcast or digital distribution.</t>
  </si>
  <si>
    <t>Managed the completion and distribution of any post-production amendments to contracts.</t>
  </si>
  <si>
    <t>Coordinated with the finance team to ensure all post-production expenses were accounted for and paid.</t>
  </si>
  <si>
    <t>Ensured all legal obligations regarding distribution and airing of the commercial were fulfilled</t>
  </si>
  <si>
    <t>Employee Title: Sr Prod, CGI</t>
  </si>
  <si>
    <t>Collaborated with the creative team to develop concepts for the commercial.</t>
  </si>
  <si>
    <t>Conducted research on the target audience and industry trends.</t>
  </si>
  <si>
    <t>Defined the visual style and tone of the commercial.</t>
  </si>
  <si>
    <t>Developed a storyboard to visualize the commercial’s sequence.</t>
  </si>
  <si>
    <t>Coordinated with the director to discuss the artistic direction.</t>
  </si>
  <si>
    <t>Met with the scriptwriter to review and finalize the commercial script.</t>
  </si>
  <si>
    <t>Secured locations for filming and coordinated permits if necessary.</t>
  </si>
  <si>
    <t>Worked with casting directors to select talent for the commercial.</t>
  </si>
  <si>
    <t>Prepared a production schedule outlining key milestones and deadlines.</t>
  </si>
  <si>
    <t>Coordinated with the art department to establish design requirements.</t>
  </si>
  <si>
    <t>Created a detailed budget plan for the commercial’s production.</t>
  </si>
  <si>
    <t>Engaged with special effects teams to plan CGI elements.</t>
  </si>
  <si>
    <t>Identified and secured any props needed for the commercial.</t>
  </si>
  <si>
    <t>Coordinated with the wardrobe department to select costumes for talent.</t>
  </si>
  <si>
    <t>Reviewed and finalized legal documents related to talent contracts and location agreements.</t>
  </si>
  <si>
    <t>Supervised the on-set application of CGI elements to live-action footage.</t>
  </si>
  <si>
    <t>Worked with the director to ensure CGI content was integrated seamlessly.</t>
  </si>
  <si>
    <t>Managed communication between the production team and CGI artists.</t>
  </si>
  <si>
    <t>Oversaw the creation and execution of any live-action visual effects.</t>
  </si>
  <si>
    <t>Ensured CGI shots were captured correctly, including camera movements and lighting.</t>
  </si>
  <si>
    <t>Provided real-time feedback to the CGI team to refine visual elements.</t>
  </si>
  <si>
    <t>Directed and guided the use of motion capture technology when required.</t>
  </si>
  <si>
    <t>Worked with lighting technicians to ensure CGI content matched lighting setups.</t>
  </si>
  <si>
    <t>Coordinated with the sound department to ensure proper integration of audio with visuals.</t>
  </si>
  <si>
    <t>Ensured all required assets (e.g., digital props, environments) were prepared for post-production.</t>
  </si>
  <si>
    <t>Reviewed footage during dailies to identify potential visual issues.</t>
  </si>
  <si>
    <t>Managed the technical aspects of capturing CGI during the production.</t>
  </si>
  <si>
    <t>Facilitated on-set adjustments to optimize performance capture and motion tracking.</t>
  </si>
  <si>
    <t>Ensured all shots involving CGI were captured according to the approved storyboard.</t>
  </si>
  <si>
    <t>Collaborated with the director of photography to adjust visual effects according to scene needs</t>
  </si>
  <si>
    <t>Coordinated the integration of CGI with live-action footage.</t>
  </si>
  <si>
    <t>Directed the refinement of visual effects during editing.</t>
  </si>
  <si>
    <t>Reviewed raw footage to ensure CGI was properly aligned with the desired aesthetic.</t>
  </si>
  <si>
    <t>Worked closely with editors to finalize the pacing and timing of CGI elements.</t>
  </si>
  <si>
    <t>Ensured that the visual continuity of the commercial was maintained during post-production.</t>
  </si>
  <si>
    <t>Oversaw the creation of 3D models and assets required for the commercial.</t>
  </si>
  <si>
    <t>Collaborated with sound designers to integrate sound effects with CGI elements.</t>
  </si>
  <si>
    <t>Managed the process of color grading to ensure CGI content matched the live-action footage.</t>
  </si>
  <si>
    <t>Directed the creation and addition of any visual effects in the final cut.</t>
  </si>
  <si>
    <t>Reviewed and approved CGI renders to ensure quality and consistency.</t>
  </si>
  <si>
    <t>Worked with compositors to integrate CGI seamlessly into the final edit.</t>
  </si>
  <si>
    <t>Directed the rendering process for any complex CGI sequences.</t>
  </si>
  <si>
    <t>Coordinated with the visual effects supervisor to finalize and optimize CGI shots.</t>
  </si>
  <si>
    <t>Oversaw the final review and approval of CGI shots from the creative team.</t>
  </si>
  <si>
    <t>Assisted in preparing the final commercial file for distribution in various formats.</t>
  </si>
  <si>
    <t>Assoc Creative Dir, Art Dir, Content</t>
  </si>
  <si>
    <t>Developed the concept for the commercial based on client objectives.</t>
  </si>
  <si>
    <t>Collaborated with the creative team to brainstorm visual and narrative ideas.</t>
  </si>
  <si>
    <t>Produced storyboards to illustrate key scenes and visual sequences.</t>
  </si>
  <si>
    <t>Created mood boards to establish the aesthetic direction of the commercial.</t>
  </si>
  <si>
    <t>Coordinated with the client to finalize the creative brief.</t>
  </si>
  <si>
    <t>Drafted a shooting script that outlined dialogue and key actions.</t>
  </si>
  <si>
    <t>Secured locations for filming and ensured they met project requirements.</t>
  </si>
  <si>
    <t>Selected talent, including actors and voice-over artists, based on the project's needs.</t>
  </si>
  <si>
    <t>Worked with the production team to determine the shooting schedule.</t>
  </si>
  <si>
    <t>Designed the commercial’s set and props, ensuring they aligned with the concept.</t>
  </si>
  <si>
    <t>Collaborated with the director and cinematographer to develop the visual style.</t>
  </si>
  <si>
    <t>Coordinated with wardrobe and makeup teams to prepare looks for talent.</t>
  </si>
  <si>
    <t>Managed the creation and approval of graphic elements to be used in the commercial.</t>
  </si>
  <si>
    <t>Secured necessary permits and permissions for location filming.</t>
  </si>
  <si>
    <t>Reviewed and approved pre-production timelines and budgets.</t>
  </si>
  <si>
    <t>Supervised the visual execution of the commercial during filming.</t>
  </si>
  <si>
    <t>Directed the art direction on set to ensure the visual consistency of the project.</t>
  </si>
  <si>
    <t>Oversaw the placement and setup of props to enhance the narrative.</t>
  </si>
  <si>
    <t>Collaborated with the director and cinematographer to frame shots according to the storyboards.</t>
  </si>
  <si>
    <t>Managed the lighting setup to ensure it matched the desired look and tone.</t>
  </si>
  <si>
    <t>Coordinated with sound engineers to capture clean, high-quality audio.</t>
  </si>
  <si>
    <t>Provided on-set feedback to talent regarding performance and direction.</t>
  </si>
  <si>
    <t>Supervised wardrobe, makeup, and hair teams to maintain consistency throughout scenes.</t>
  </si>
  <si>
    <t>Assisted the director in adjusting shots to improve pacing and visual appeal.</t>
  </si>
  <si>
    <t>Monitored the on-set execution of special effects or stunts.</t>
  </si>
  <si>
    <t>Ensured that the production adhered to the shooting schedule and time constraints.</t>
  </si>
  <si>
    <t>Coordinated with the production team to manage equipment and technical setups.</t>
  </si>
  <si>
    <t>Handled any adjustments to props or set pieces during the shoot.</t>
  </si>
  <si>
    <t>Collaborated with the client to ensure their vision was being accurately represented.</t>
  </si>
  <si>
    <t>Oversaw the safety and well-being of the crew and talent during production</t>
  </si>
  <si>
    <t>Worked with the editor to assemble the raw footage into a coherent narrative.</t>
  </si>
  <si>
    <t>Collaborated with the sound designer to finalize audio mixing and sound effects.</t>
  </si>
  <si>
    <t>Directed color grading to achieve the desired visual tone and style.</t>
  </si>
  <si>
    <t>Approved the final edit of the commercial for pacing and continuity.</t>
  </si>
  <si>
    <t>Provided feedback on the integration of graphic elements into the commercial.</t>
  </si>
  <si>
    <t>Oversaw the creation and integration of special effects and visual effects.</t>
  </si>
  <si>
    <t>Coordinated with the music supervisor to select and incorporate the soundtrack.</t>
  </si>
  <si>
    <t>Supervised the creation of voice-over recordings and their integration into the commercial.</t>
  </si>
  <si>
    <t>Approved the final cut for distribution in various formats (TV, online, etc.).</t>
  </si>
  <si>
    <t>Reviewed test screenings and made adjustments based on feedback.</t>
  </si>
  <si>
    <t>Worked with the legal team to ensure all necessary rights and licenses were obtained.</t>
  </si>
  <si>
    <t>Ensured that the final product complied with industry standards and regulations.</t>
  </si>
  <si>
    <t>Managed the final export of the commercial in the required specifications.</t>
  </si>
  <si>
    <t>Delivered the commercial to the client and received final approval.</t>
  </si>
  <si>
    <t>Organized the archiving of all project files and assets for future use</t>
  </si>
  <si>
    <t>Creative Dir, Content</t>
  </si>
  <si>
    <t>Developed the overall creative concept for the commercial.</t>
  </si>
  <si>
    <t>Collaborated with the client to define project goals and objectives.</t>
  </si>
  <si>
    <t>Conducted market research to identify target audience preferences.</t>
  </si>
  <si>
    <t>Drafted the script and ensured alignment with the campaign message.</t>
  </si>
  <si>
    <t>Presented the creative concept and script to the client for approval.</t>
  </si>
  <si>
    <t>Created storyboards to visualize key scenes and camera angles.</t>
  </si>
  <si>
    <t>Organized casting calls and selected talent for the commercial.</t>
  </si>
  <si>
    <t>Secured locations for the shoot and negotiated permits.</t>
  </si>
  <si>
    <t>Coordinated with the production team to plan the shooting schedule.</t>
  </si>
  <si>
    <t>Developed the budget for the commercial, allocating resources efficiently.</t>
  </si>
  <si>
    <t>Identified and hired key crew members, such as directors, cinematographers, and sound engineers.</t>
  </si>
  <si>
    <t>Coordinated wardrobe and makeup teams for actor preparation.</t>
  </si>
  <si>
    <t>Secured props and set materials required for the shoot.</t>
  </si>
  <si>
    <t>Arranged for any special equipment, such as lighting and cameras.</t>
  </si>
  <si>
    <t>Finalized contracts and agreements with talent, crew, and vendors</t>
  </si>
  <si>
    <t>Oversaw the execution of the creative concept on set.</t>
  </si>
  <si>
    <t>Directed talent in alignment with the vision outlined in the script.</t>
  </si>
  <si>
    <t>Coordinated with the director of photography to achieve desired visual aesthetics.</t>
  </si>
  <si>
    <t>Managed the shooting schedule to ensure timely completion of scenes.</t>
  </si>
  <si>
    <t>Supervised the lighting setup to ensure proper mood and tone.</t>
  </si>
  <si>
    <t>Collaborated with sound engineers to capture high-quality audio.</t>
  </si>
  <si>
    <t>Ensured proper camera placement and angles to capture key shots.</t>
  </si>
  <si>
    <t>Monitored the performance of talent to ensure consistency with the script.</t>
  </si>
  <si>
    <t>Troubleshot any production issues, such as technical malfunctions.</t>
  </si>
  <si>
    <t>Reviewed footage throughout the shoot to ensure quality and alignment with the vision.</t>
  </si>
  <si>
    <t>Worked with the production designer to adjust set elements as needed.</t>
  </si>
  <si>
    <t>Ensured the safety of the cast and crew during the shoot.</t>
  </si>
  <si>
    <t>Communicated with the client during filming to provide progress updates.</t>
  </si>
  <si>
    <t>Managed the logistics of transporting crew and equipment to various locations.</t>
  </si>
  <si>
    <t>Addressed any on-set changes to the script or creative direction promptly</t>
  </si>
  <si>
    <t>Reviewed the raw footage to determine the best takes for editing.</t>
  </si>
  <si>
    <t>Collaborated with the editor to select the final shots for the commercial.</t>
  </si>
  <si>
    <t>Supervised the editing process to ensure alignment with the initial concept.</t>
  </si>
  <si>
    <t>Provided feedback on pacing, transitions, and overall flow of the commercial.</t>
  </si>
  <si>
    <t>Worked with sound designers to create the final audio mix.</t>
  </si>
  <si>
    <t>Coordinated the addition of visual effects and graphics as required.</t>
  </si>
  <si>
    <t>Approved the final color grading to ensure the desired look was achieved.</t>
  </si>
  <si>
    <t>Collaborated with the composer to select or create background music.</t>
  </si>
  <si>
    <t>Reviewed and approved the commercial's voice-over narration.</t>
  </si>
  <si>
    <t>Managed the revision process to incorporate client feedback into the final cut.</t>
  </si>
  <si>
    <t>Ensured the commercial adhered to legal and regulatory guidelines.</t>
  </si>
  <si>
    <t>Provided feedback on the commercial’s timing and visual appeal.</t>
  </si>
  <si>
    <t>Coordinated the delivery of the commercial to various platforms for distribution.</t>
  </si>
  <si>
    <t>Created alternative versions or edits for different media formats.</t>
  </si>
  <si>
    <t>Finalized the commercial and ensured all technical specifications were met for broadcast</t>
  </si>
  <si>
    <t>Sr Talent Mgr</t>
  </si>
  <si>
    <t>Coordinated casting calls for commercial talent.</t>
  </si>
  <si>
    <t>Reviewed and approved talent submissions for roles.</t>
  </si>
  <si>
    <t>Conducted auditions for selected talent.</t>
  </si>
  <si>
    <t>Negotiated contracts and terms with talent.</t>
  </si>
  <si>
    <t>Coordinated talent availability and scheduling.</t>
  </si>
  <si>
    <t>Communicated with the director and producers to discuss talent requirements.</t>
  </si>
  <si>
    <t>Collaborated with the creative team to understand character profiles.</t>
  </si>
  <si>
    <t>Managed talent's travel arrangements and accommodations.</t>
  </si>
  <si>
    <t>Worked with the wardrobe department to ensure proper fittings for talent.</t>
  </si>
  <si>
    <t>Organized and distributed talent information to the production team.</t>
  </si>
  <si>
    <t>Handled the distribution of talent scripts and briefing materials.</t>
  </si>
  <si>
    <t>Assisted in rehearsing lines with talent prior to the shoot.</t>
  </si>
  <si>
    <t>Developed backup talent options in case of scheduling conflicts.</t>
  </si>
  <si>
    <t>Coordinated with legal teams to secure necessary release forms.</t>
  </si>
  <si>
    <t>Reviewed and approved the final casting list for the commercial.</t>
  </si>
  <si>
    <t>Ensured talent arrived on set according to schedule.</t>
  </si>
  <si>
    <t>Coordinated talent’s on-set needs, including hair, makeup, and wardrobe.</t>
  </si>
  <si>
    <t>Supervised talent's rehearsal and performance during takes.</t>
  </si>
  <si>
    <t>Assisted the director in providing direction to talent on performance nuances.</t>
  </si>
  <si>
    <t>Monitored the flow of the shoot to keep talent in sync with the production schedule.</t>
  </si>
  <si>
    <t>Ensured all talent-related legal paperwork was on hand and up to date.</t>
  </si>
  <si>
    <t>Addressed any last-minute changes or issues related to talent during the shoot.</t>
  </si>
  <si>
    <t>Managed talent’s downtime on set, ensuring comfort and productivity.</t>
  </si>
  <si>
    <t>Provided guidance on ad-libbing or improvisation where necessary.</t>
  </si>
  <si>
    <t>Maintained constant communication with the director regarding talent performance.</t>
  </si>
  <si>
    <t>Verified talent's performance in various scenes and retakes as required.</t>
  </si>
  <si>
    <t>Coordinated with the production team to manage any issues related to talent.</t>
  </si>
  <si>
    <t>Ensured that talent’s safety was prioritized throughout the shooting process.</t>
  </si>
  <si>
    <t>Monitored the consistency of the talent's performance across different takes.</t>
  </si>
  <si>
    <t>Assisted with the final approval of talent's performance from the director's perspective</t>
  </si>
  <si>
    <t>Coordinated with editors to ensure the inclusion of talent in the commercial.</t>
  </si>
  <si>
    <t>Provided feedback on talent's performance in early cuts of the commercial.</t>
  </si>
  <si>
    <t>Reviewed and approved the final selection of talent clips for the commercial.</t>
  </si>
  <si>
    <t>Managed any required voiceovers or ADR sessions with talent.</t>
  </si>
  <si>
    <t>Handled talent approvals for any post-production edits that affected their appearance or performance.</t>
  </si>
  <si>
    <t>Liaised with the marketing team to ensure talent portrayal aligns with the campaign.</t>
  </si>
  <si>
    <t>Secured additional talent participation for promotional content if required.</t>
  </si>
  <si>
    <t>Ensured talent's compensation and contractual obligations were finalized.</t>
  </si>
  <si>
    <t>Coordinated with talent for any additional promotional or behind-the-scenes materials.</t>
  </si>
  <si>
    <t>Assisted in finalizing the credits for talent in the commercial.</t>
  </si>
  <si>
    <t>Collaborated with the legal team to handle any last-minute clearance issues.</t>
  </si>
  <si>
    <t>Managed talent feedback and final approval of the commercial.</t>
  </si>
  <si>
    <t>Ensured all post-production legal releases and payments were processed.</t>
  </si>
  <si>
    <t>Arranged for any promotional appearances or interviews by talent after the commercial's release.</t>
  </si>
  <si>
    <t>Coordinated with the distribution team to ensure that talent rights were properly managed for different media platforms.</t>
  </si>
  <si>
    <t>Video Editor</t>
  </si>
  <si>
    <t>Developed the initial concept for the commercial.</t>
  </si>
  <si>
    <t>Collaborated with the creative team to define the visual style and tone.</t>
  </si>
  <si>
    <t>Conducted research to ensure the commercial aligned with market trends.</t>
  </si>
  <si>
    <t>Worked with the director to refine the script and storyboard.</t>
  </si>
  <si>
    <t>Coordinated with the client to gather any necessary brand guidelines and preferences.</t>
  </si>
  <si>
    <t>Created a preliminary shot list and outline for the commercial.</t>
  </si>
  <si>
    <t>Selected potential locations for the shoot in collaboration with the production team.</t>
  </si>
  <si>
    <t>Assisted in casting actors or selecting talent for the commercial.</t>
  </si>
  <si>
    <t>Helped scout locations for shooting and coordinated logistics.</t>
  </si>
  <si>
    <t>Created a production schedule to ensure timely execution.</t>
  </si>
  <si>
    <t>Secured necessary permits and permissions for filming.</t>
  </si>
  <si>
    <t>Reviewed the budget for the project and suggested cost-saving adjustments.</t>
  </si>
  <si>
    <t>Coordinated with the costume and makeup teams to determine look and style.</t>
  </si>
  <si>
    <t>Prepared technical specifications for filming equipment.</t>
  </si>
  <si>
    <t>Communicated with the post-production team to establish editing needs and timelines.</t>
  </si>
  <si>
    <t>Supervised the filming process to ensure adherence to the pre-production plan.</t>
  </si>
  <si>
    <t>Coordinated with the director to maintain the intended visual style and tone.</t>
  </si>
  <si>
    <t>Managed the timing and pacing of each shot during filming.</t>
  </si>
  <si>
    <t>Ensured proper camera angles were captured for ease of editing.</t>
  </si>
  <si>
    <t>Monitored audio levels and quality throughout the shoot.</t>
  </si>
  <si>
    <t>Assisted in setting up lighting and ensuring consistency across scenes.</t>
  </si>
  <si>
    <t>Worked with the production designer to confirm the set was aligned with the concept.</t>
  </si>
  <si>
    <t>Assisted in managing the talent to ensure smooth transitions between shots.</t>
  </si>
  <si>
    <t>Ensured all necessary footage was captured for post-production editing.</t>
  </si>
  <si>
    <t>Managed the organization and storage of raw footage for easy access.</t>
  </si>
  <si>
    <t>Worked with the sound department to confirm the quality of recorded sound.</t>
  </si>
  <si>
    <t>Communicated any changes in the schedule or location to the crew.</t>
  </si>
  <si>
    <t>Assisted in troubleshooting technical issues during filming.</t>
  </si>
  <si>
    <t>Ensured that all props and wardrobe were in line with the concept and brand.</t>
  </si>
  <si>
    <t>Coordinated with the director to ensure the commercial was being filmed according to vision</t>
  </si>
  <si>
    <t>Organized and reviewed all raw footage from the shoot.</t>
  </si>
  <si>
    <t>Collaborated with the director to determine the final selection of footage.</t>
  </si>
  <si>
    <t>Edited video sequences to align with the intended narrative.</t>
  </si>
  <si>
    <t>Applied color correction to enhance the visual style.</t>
  </si>
  <si>
    <t>Integrated visual effects to support the storytelling.</t>
  </si>
  <si>
    <t>Edited audio to ensure clarity and consistency with the visuals.</t>
  </si>
  <si>
    <t>Selected and incorporated background music that fit the tone of the commercial.</t>
  </si>
  <si>
    <t>Worked on creating and adding motion graphics or titles as needed.</t>
  </si>
  <si>
    <t>Coordinated with the sound team to finalize the audio mix.</t>
  </si>
  <si>
    <t>Reviewed the edited commercial with the creative team for feedback and revisions.</t>
  </si>
  <si>
    <t>Incorporated client feedback into the final edit.</t>
  </si>
  <si>
    <t>Delivered the final video files in various formats suitable for broadcast.</t>
  </si>
  <si>
    <t>Ensured all copyright and licensing requirements for music and footage were met.</t>
  </si>
  <si>
    <t>Prepared final edits for approval from the client and other stakeholders.</t>
  </si>
  <si>
    <t>Organized and archived the final versions of the commercial for future use</t>
  </si>
  <si>
    <t>Sr Prod, CGI</t>
  </si>
  <si>
    <t>Collaborated with the creative team to finalize the concept for the commercial.</t>
  </si>
  <si>
    <t>Developed and presented visual mood boards to align with the creative vision.</t>
  </si>
  <si>
    <t>Reviewed script drafts to ensure CGI elements were accurately represented.</t>
  </si>
  <si>
    <t>Coordinated with the director to discuss the integration of CGI with live-action footage.</t>
  </si>
  <si>
    <t>Identified and researched required CGI assets based on the script and storyboard.</t>
  </si>
  <si>
    <t>Assessed project timelines and provided estimates for CGI production phases.</t>
  </si>
  <si>
    <t>Collaborated with the art department to determine the style and look of the CGI elements.</t>
  </si>
  <si>
    <t>Secured necessary software and hardware resources for the CGI work.</t>
  </si>
  <si>
    <t>Created initial pre-visualizations (pre-viz) for complex CGI scenes.</t>
  </si>
  <si>
    <t>Worked with the casting team to identify any CGI actors or digital doubles required.</t>
  </si>
  <si>
    <t>Managed communication with external CGI vendors for asset creation.</t>
  </si>
  <si>
    <t>Reviewed and approved initial designs for CGI sets, props, and characters.</t>
  </si>
  <si>
    <t>Coordinated the scheduling of CGI elements with the overall production timeline.</t>
  </si>
  <si>
    <t>Conducted technical research to ensure the best CGI solutions for the commercial's needs.</t>
  </si>
  <si>
    <t>Prepared and organized asset lists for the upcoming production phase</t>
  </si>
  <si>
    <t>Supervised the on-set integration of CGI elements with live-action footage.</t>
  </si>
  <si>
    <t>Directed the placement of motion-capture equipment and ensured its proper calibration.</t>
  </si>
  <si>
    <t>Coordinated with the cinematographer to adjust camera angles for optimal CGI incorporation.</t>
  </si>
  <si>
    <t>Monitored real-time rendering of CGI elements during on-set shoots.</t>
  </si>
  <si>
    <t>Managed the team of CGI artists to address any on-the-fly adjustments required during shooting.</t>
  </si>
  <si>
    <t>Ensured the proper lighting on set to match the lighting requirements of CGI elements.</t>
  </si>
  <si>
    <t>Verified that tracking markers were correctly placed on set for post-production CGI integration.</t>
  </si>
  <si>
    <t>Conducted quality checks to ensure the accuracy of CGI implementation in the live-action scenes.</t>
  </si>
  <si>
    <t>Collaborated with the director to adjust CGI plans as needed during production.</t>
  </si>
  <si>
    <t>Ensured that all CGI props and elements were available and ready for use on set.</t>
  </si>
  <si>
    <t>Provided feedback to the VFX supervisor regarding CGI integration during filming.</t>
  </si>
  <si>
    <t>Managed the logistical aspects of CGI-related equipment and technology on set.</t>
  </si>
  <si>
    <t>Oversaw the capture of reference materials required for CGI modeling and texturing.</t>
  </si>
  <si>
    <t>Coordinated with the sound department to align CGI elements with sound effects or dialogue.</t>
  </si>
  <si>
    <t>Assisted with the execution of complex stunts or visual effects that required CGI interaction</t>
  </si>
  <si>
    <t>Supervised the final integration of CGI elements with the live-action footage.</t>
  </si>
  <si>
    <t>Managed the process of compositing CGI assets into the edited film sequence.</t>
  </si>
  <si>
    <t>Oversaw the rendering of CGI elements for final output.</t>
  </si>
  <si>
    <t>Conducted review sessions with the director and producers to refine CGI integration.</t>
  </si>
  <si>
    <t>Collaborated with the editing team to ensure seamless transitions between CGI and live-action shots.</t>
  </si>
  <si>
    <t>Directed the final touch-ups on CGI elements to match the overall aesthetic.</t>
  </si>
  <si>
    <t>Ensured the consistency of CGI elements throughout the entire commercial.</t>
  </si>
  <si>
    <t>Managed the color grading process to ensure CGI matched the tone of the live-action footage.</t>
  </si>
  <si>
    <t>Collaborated with the sound team to synchronize CGI-related sound effects with visuals.</t>
  </si>
  <si>
    <t>Led the team responsible for creating the final visual effects for the commercial.</t>
  </si>
  <si>
    <t>Coordinated the final rendering of the commercial for different media formats.</t>
  </si>
  <si>
    <t>Managed the approval process for final CGI renders from internal stakeholders.</t>
  </si>
  <si>
    <t>Assisted in troubleshooting and resolving any technical issues related to CGI rendering.</t>
  </si>
  <si>
    <t>Reviewed the final commercial to ensure that all CGI elements met the project’s specifications.</t>
  </si>
  <si>
    <t>Prepared the final CGI assets for distribution to stakeholders and external vendors for the commercial's release.</t>
  </si>
  <si>
    <t>Bcast Bus Assoc</t>
  </si>
  <si>
    <t>Reviewed and finalized budget estimates in coordination with the production and account teams.</t>
  </si>
  <si>
    <t>Secured talent usage rights and verified contractual obligations for on-camera appearances.</t>
  </si>
  <si>
    <t>Coordinated production schedules with internal teams and external vendors to ensure timeline alignment.</t>
  </si>
  <si>
    <t>Arranged purchase orders and processed vendor agreements to facilitate shoot readiness</t>
  </si>
  <si>
    <t>Submitted scripts for legal and regulatory clearance ahead of production.</t>
  </si>
  <si>
    <t>Oversaw on-site compliance with budgetary and contractual guidelines during the shoot.</t>
  </si>
  <si>
    <t>Monitored talent deliverables and ensured all usage terms were being adhered to.</t>
  </si>
  <si>
    <t>Maintained accurate tracking of production expenses for reconciliation and reporting.</t>
  </si>
  <si>
    <t>Liaised with the production company to address any scope changes in real time.</t>
  </si>
  <si>
    <t>Captured and logged necessary production documentation, including call sheets and talent sign-offs.</t>
  </si>
  <si>
    <t>Reviewed rough cuts to ensure alignment with cleared scripts and approved budgets.</t>
  </si>
  <si>
    <t>Coordinated trafficking instructions and delivery specifications with media partners.</t>
  </si>
  <si>
    <t>Managed the submission and approval of final broadcast masters to legal and standards teams.</t>
  </si>
  <si>
    <t>Reconciled final production costs and closed out financials with accounting.</t>
  </si>
  <si>
    <t>Archived all contractual, creative, and financial documentation for compliance and audit purposes</t>
  </si>
  <si>
    <t>VP Dir Strtgc Plng</t>
  </si>
  <si>
    <t>Collaborated with creative and account teams to finalize the commercial’s strategic messaging framework.</t>
  </si>
  <si>
    <t>Reviewed and approved the creative brief to ensure alignment with overarching brand and campaign objectives.</t>
  </si>
  <si>
    <t>Provided strategic input during concept development meetings to guide creative direction.</t>
  </si>
  <si>
    <t>Conducted market and audience analysis to validate creative approach and positioning.</t>
  </si>
  <si>
    <t>Participated in director and vendor selection discussions to support alignment with campaign strategy</t>
  </si>
  <si>
    <t>Observed filming to ensure adherence to strategic intent and brand tone.</t>
  </si>
  <si>
    <t>Liaised with account and creative leads during shoot days to resolve emergent issues impacting strategy.</t>
  </si>
  <si>
    <t>Provided real-time feedback on key scenes and messaging moments during on-set playback.</t>
  </si>
  <si>
    <t>Ensured that script and visual elements remained consistent with the approved brief.</t>
  </si>
  <si>
    <t>Documented key observations for post-production adjustments aligned with strategic goals</t>
  </si>
  <si>
    <t>Reviewed rough and final edits to confirm fidelity to campaign strategy and messaging.</t>
  </si>
  <si>
    <t>Provided strategic feedback on voiceover, music, and pacing to enhance audience impact.</t>
  </si>
  <si>
    <t>Evaluated multiple cuts to determine the most effective version for target segments.</t>
  </si>
  <si>
    <t>Approved final deliverables in coordination with creative and account leadership.</t>
  </si>
  <si>
    <t>Contributed to performance tracking plans to assess the commercial’s strategic effectiveness</t>
  </si>
  <si>
    <t>Mgt Dir</t>
  </si>
  <si>
    <t>Approved the creative concept and ensured alignment with the client's strategic objectives.</t>
  </si>
  <si>
    <t>Oversaw the selection of the production team, including director, producer, and key crew members.</t>
  </si>
  <si>
    <t>Finalized the commercial script and storyboard in collaboration with the creative department.</t>
  </si>
  <si>
    <t>Allocated budget resources and secured internal sign-offs for production expenditures.</t>
  </si>
  <si>
    <t>Coordinated scheduling and logistics with internal stakeholders and external vendors</t>
  </si>
  <si>
    <t>Supervised on-set activities to ensure adherence to creative direction and production timeline.</t>
  </si>
  <si>
    <t>Liaised with the director and agency producers to address any real-time production challenges.</t>
  </si>
  <si>
    <t>Maintained client communication during shooting days to manage expectations and approvals.</t>
  </si>
  <si>
    <t>Reviewed dailies to confirm visual and messaging consistency with pre-approved materials.</t>
  </si>
  <si>
    <t>Authorized any necessary changes to the shoot plan based on evolving conditions or insights</t>
  </si>
  <si>
    <t>Reviewed initial edits and provided feedback to the editorial and creative teams.</t>
  </si>
  <si>
    <t>Approved final voiceover, sound design, and music selections in coordination with production.</t>
  </si>
  <si>
    <t>Ensured legal and regulatory compliance checks were completed for all versions.</t>
  </si>
  <si>
    <t>Signed off on the final cut before distribution to media channels.</t>
  </si>
  <si>
    <t>Delivered post-mortem analysis to senior leadership, identifying learnings for future campaigns</t>
  </si>
  <si>
    <t>Sr Print Prod</t>
  </si>
  <si>
    <t>Coordinated initial creative brief reviews with internal stakeholders and production teams.</t>
  </si>
  <si>
    <t>Evaluated director treatments for alignment with creative and production requirements.</t>
  </si>
  <si>
    <t>Oversaw bidding process and selected vendors based on scope, timeline, and budget.</t>
  </si>
  <si>
    <t>Collaborated with legal to review and finalize talent contracts and usage rights.</t>
  </si>
  <si>
    <t>Scheduled and led pre-production meetings to align all departments on deliverables.</t>
  </si>
  <si>
    <t>Secured necessary permits, insurance certificates, and location agreements.</t>
  </si>
  <si>
    <t>Reviewed storyboards and shot lists for feasibility, continuity, and technical execution.</t>
  </si>
  <si>
    <t>Developed and distributed a comprehensive production timeline to all key parties.</t>
  </si>
  <si>
    <t>Finalized production budget and obtained necessary approvals from finance.</t>
  </si>
  <si>
    <t>Confirmed delivery specifications and print requirements with media and finishing teams</t>
  </si>
  <si>
    <t>Supervised on-set activities to ensure adherence to budget, schedule, and creative direction.</t>
  </si>
  <si>
    <t>Monitored print continuity across all production materials and branded elements.</t>
  </si>
  <si>
    <t>Liaised with talent representatives and production team to resolve day-of scheduling changes.</t>
  </si>
  <si>
    <t>Oversaw the capture of still photography assets for integrated print and digital usage.</t>
  </si>
  <si>
    <t>Verified that all deliverables aligned with pre-established technical print standards.</t>
  </si>
  <si>
    <t>Addressed print production contingencies such as material substitutions or format changes.</t>
  </si>
  <si>
    <t>Conducted quality control checks on live-set signage, props, and set dressing.</t>
  </si>
  <si>
    <t>Maintained real-time documentation of production milestones and status updates.</t>
  </si>
  <si>
    <t>Coordinated with production assistants to track usage of print-specific assets.</t>
  </si>
  <si>
    <t>Escalated and resolved any issues that could compromise the print production schedule</t>
  </si>
  <si>
    <t>Reviewed and approved initial comps and layouts of final print assets.</t>
  </si>
  <si>
    <t>Collaborated with retouchers to ensure color accuracy and consistency across formats.</t>
  </si>
  <si>
    <t>Verified that all usage rights were correctly applied to final materials.</t>
  </si>
  <si>
    <t>Worked with printers and finishers to confirm final output specifications and proofs.</t>
  </si>
  <si>
    <t>Managed routing of mechanicals through legal, brand, and compliance reviews.</t>
  </si>
  <si>
    <t>Oversaw file preparation for various distribution channels, including OOH and POS.</t>
  </si>
  <si>
    <t>Coordinated with media partners to meet delivery deadlines and placement specifications.</t>
  </si>
  <si>
    <t>Led final press checks to ensure print quality before mass production.</t>
  </si>
  <si>
    <t>Archived final assets according to internal file management protocols.</t>
  </si>
  <si>
    <t>Closed out project budgets and conducted post-mortem evaluations with the team</t>
  </si>
  <si>
    <t>Creative Dir - Art</t>
  </si>
  <si>
    <t>Developed the visual concept and overall aesthetic direction for the commercial.</t>
  </si>
  <si>
    <t>Approved initial storyboard drafts and ensured alignment with the creative brief.</t>
  </si>
  <si>
    <t>Supervised the selection of directors, production designers, and key creative partners.</t>
  </si>
  <si>
    <t>Reviewed casting options and provided input on talent selection.</t>
  </si>
  <si>
    <t>Collaborated with copywriters and strategists to refine the narrative flow.</t>
  </si>
  <si>
    <t>Oversaw location scouting and evaluated visual compatibility with the concept.</t>
  </si>
  <si>
    <t>Participated in pre-visualization meetings to guide mood and tone.</t>
  </si>
  <si>
    <t>Finalized wardrobe and styling direction in collaboration with costume designers.</t>
  </si>
  <si>
    <t>Reviewed and approved all visual treatments and art references.</t>
  </si>
  <si>
    <t>Conducted creative alignment meetings with internal teams and external vendors</t>
  </si>
  <si>
    <t>Directed on-set execution to ensure visual consistency with the approved concept.</t>
  </si>
  <si>
    <t>Provided real-time feedback to the director and cinematographer on composition and framing.</t>
  </si>
  <si>
    <t>Supervised set design and prop placement for visual accuracy.</t>
  </si>
  <si>
    <t>Monitored wardrobe, hair, and makeup to maintain continuity.</t>
  </si>
  <si>
    <t>Reviewed live footage to assess lighting, mood, and brand alignment.</t>
  </si>
  <si>
    <t>Approved spontaneous creative adjustments made during filming.</t>
  </si>
  <si>
    <t>Guided talent to align their performance with the intended visual tone.</t>
  </si>
  <si>
    <t>Coordinated with producers to resolve any visual or logistical challenges.</t>
  </si>
  <si>
    <t>Ensured that all key visual elements were captured according to the shot list.</t>
  </si>
  <si>
    <t>Documented reference material for use in post-production.</t>
  </si>
  <si>
    <t>Reviewed initial edits and provided feedback on visual pacing and composition.</t>
  </si>
  <si>
    <t>Approved color grading direction to maintain the intended tone.</t>
  </si>
  <si>
    <t>Oversaw visual effects integration to ensure consistency with the original concept.</t>
  </si>
  <si>
    <t>Directed graphic design elements and motion treatments.</t>
  </si>
  <si>
    <t>Evaluated type treatments and on-screen text placement.</t>
  </si>
  <si>
    <t>Coordinated with sound designers to ensure audio-visual alignment.</t>
  </si>
  <si>
    <t>Participated in client review sessions and refined visuals based on feedback.</t>
  </si>
  <si>
    <t>Approved final versions of the commercial for delivery.</t>
  </si>
  <si>
    <t>Ensured brand guidelines were adhered to in all visual elements.</t>
  </si>
  <si>
    <t>Assoc Dir</t>
  </si>
  <si>
    <t>Assisted in translating the creative brief into actionable visual concepts.</t>
  </si>
  <si>
    <t>Developed and refined initial storyboards and moodboards under the direction of the Creative Director.</t>
  </si>
  <si>
    <t>Participated in the selection of visual collaborators, including directors and production designers.</t>
  </si>
  <si>
    <t>Reviewed casting suggestions and contributed input on visual fit.</t>
  </si>
  <si>
    <t>Prepared visual reference decks to support client presentations.</t>
  </si>
  <si>
    <t>Contributed to the planning of shot lists and visual sequences.</t>
  </si>
  <si>
    <t>Coordinated with art department leads to ensure execution aligned with concept direction.</t>
  </si>
  <si>
    <t>Reviewed location photos and flagged potential visual challenges.</t>
  </si>
  <si>
    <t>Participated in creative reviews and incorporated team feedback.</t>
  </si>
  <si>
    <t>Organized pre-production materials to ensure visual consistency across departments</t>
  </si>
  <si>
    <t>Supervised art direction on set, ensuring visual fidelity to the approved concept.</t>
  </si>
  <si>
    <t>Acted as a liaison between the creative team and the production crew for on-set visuals.</t>
  </si>
  <si>
    <t>Provided feedback on lighting setups and shot framing during takes.</t>
  </si>
  <si>
    <t>Checked props and set design elements for continuity and alignment with the look.</t>
  </si>
  <si>
    <t>Monitored wardrobe, makeup, and set changes for adherence to the visual plan.</t>
  </si>
  <si>
    <t>Captured reference stills and behind-the-scenes documentation for post-use.</t>
  </si>
  <si>
    <t>Reviewed daily footage with the Creative Director to assess visual quality.</t>
  </si>
  <si>
    <t>Flagged any deviations from the storyboard and suggested corrective actions.</t>
  </si>
  <si>
    <t>Supported real-time decision-making on creative adjustments during shooting.</t>
  </si>
  <si>
    <t>Communicated production notes to the agency team in real time.</t>
  </si>
  <si>
    <t>Reviewed rough cuts and identified areas needing visual refinement.</t>
  </si>
  <si>
    <t>Provided visual direction on type treatments and motion graphics.</t>
  </si>
  <si>
    <t>Assisted in managing the color grading process to preserve the intended mood.</t>
  </si>
  <si>
    <t>Evaluated integration of visual effects for consistency and quality.</t>
  </si>
  <si>
    <t>Ensured continuity of design elements across multiple edits or deliverables.</t>
  </si>
  <si>
    <t>Participated in internal and client-facing post-review sessions.</t>
  </si>
  <si>
    <t>Flagged any misalignments between the edit and the original storyboard.</t>
  </si>
  <si>
    <t>Collaborated with editors and designers on versioning and format adaptation.</t>
  </si>
  <si>
    <t>Reviewed final outputs for visual polish and brand alignment.</t>
  </si>
  <si>
    <t>Organized and archived final design files and presentation assets</t>
  </si>
  <si>
    <t>Analytics, Dir</t>
  </si>
  <si>
    <t>Analyzed historical campaign performance data to inform creative strategy.</t>
  </si>
  <si>
    <t>Provided audience segmentation insights to guide targeting decisions.</t>
  </si>
  <si>
    <t>Evaluated market trends to support message positioning.</t>
  </si>
  <si>
    <t>Collaborated with media planners to align KPIs with media strategy.</t>
  </si>
  <si>
    <t>Delivered predictive modeling outputs to forecast campaign reach.</t>
  </si>
  <si>
    <t>Prepared performance benchmarks to guide production investment.</t>
  </si>
  <si>
    <t>Participated in creative brief development with data-backed insights.</t>
  </si>
  <si>
    <t>Assessed platform-specific engagement metrics for format selection.</t>
  </si>
  <si>
    <t>Reviewed previous testing frameworks to recommend new testing variables.</t>
  </si>
  <si>
    <t>Presented data-driven recommendations during pre-production reviews</t>
  </si>
  <si>
    <t>Consulted with the creative team to ensure data alignment during execution.</t>
  </si>
  <si>
    <t>Verified real-time content compliance with planned analytics goals.</t>
  </si>
  <si>
    <t>Oversaw tagging requirements for measurable creative assets.</t>
  </si>
  <si>
    <t>Advised on scene prioritization based on projected audience impact.</t>
  </si>
  <si>
    <t>Coordinated with legal and compliance teams on data usage in creative.</t>
  </si>
  <si>
    <t>Participated in on-site reviews to validate executional consistency.</t>
  </si>
  <si>
    <t>Reviewed production scripts for measurable call-to-action placement.</t>
  </si>
  <si>
    <t>Supported adaptation of assets for multi-platform performance tracking.</t>
  </si>
  <si>
    <t>Ensured continuity of tracking elements across content variations.</t>
  </si>
  <si>
    <t>Evaluated live feedback loops for immediate analytic adjustments</t>
  </si>
  <si>
    <t>Audited final assets for proper data tagging and tracking functionality.</t>
  </si>
  <si>
    <t>Analyzed initial performance metrics to assess creative effectiveness.</t>
  </si>
  <si>
    <t>Created reporting dashboards for internal and client-facing use.</t>
  </si>
  <si>
    <t>Conducted attribution analysis to determine commercial ROI.</t>
  </si>
  <si>
    <t>Interpreted behavioral data to refine future creative strategies.</t>
  </si>
  <si>
    <t>Led post-campaign analysis presentations with actionable insights.</t>
  </si>
  <si>
    <t>Measured cross-channel lift resulting from the commercial.</t>
  </si>
  <si>
    <t>Compared actual outcomes to forecasted benchmarks.</t>
  </si>
  <si>
    <t>Recommended optimization strategies based on post-launch data.</t>
  </si>
  <si>
    <t>Archived performance data for use in longitudinal campaign studies.</t>
  </si>
  <si>
    <t>Dir Production - VP</t>
  </si>
  <si>
    <t>Approved final production budgets in alignment with campaign objectives.</t>
  </si>
  <si>
    <t>Oversaw vendor selection and negotiated key contractual terms.</t>
  </si>
  <si>
    <t>Reviewed and signed off on production timelines and milestone schedules.</t>
  </si>
  <si>
    <t>Collaborated with creative and strategy leads to align vision and logistics.</t>
  </si>
  <si>
    <t>Allocated resources across departments to optimize production workflows.</t>
  </si>
  <si>
    <t>Assessed risk factors and developed contingency plans for the shoot.</t>
  </si>
  <si>
    <t>Provided executive oversight on talent casting and location scouting.</t>
  </si>
  <si>
    <t>Coordinated cross-functional pre-production meetings to ensure alignment.</t>
  </si>
  <si>
    <t>Reviewed technical requirements and secured necessary production permits.</t>
  </si>
  <si>
    <t>Finalized crew assignments and confirmed availability of production assets.</t>
  </si>
  <si>
    <t>Supervised on-set operations to ensure adherence to the production plan.</t>
  </si>
  <si>
    <t>Managed real-time problem solving to address logistical and technical issues.</t>
  </si>
  <si>
    <t>Ensured compliance with safety standards and labor regulations.</t>
  </si>
  <si>
    <t>Conducted daily production reviews with department leads.</t>
  </si>
  <si>
    <t>Approved creative adjustments made during filming.</t>
  </si>
  <si>
    <t>Maintained communication with client stakeholders throughout the shoot.</t>
  </si>
  <si>
    <t>Reviewed shot lists to confirm coverage of all required elements.</t>
  </si>
  <si>
    <t>Oversaw budget adherence and approved day-to-day expenditures.</t>
  </si>
  <si>
    <t>Verified quality standards across all captured footage.</t>
  </si>
  <si>
    <t>Documented production performance for post-project evaluations.</t>
  </si>
  <si>
    <t>Supervised the post-production schedule to ensure timely delivery.</t>
  </si>
  <si>
    <t>Approved editor selections and managed revisions to align with the brief.</t>
  </si>
  <si>
    <t>Led internal review sessions to assess creative and technical quality.</t>
  </si>
  <si>
    <t>Coordinated final asset delivery across platforms and formats.</t>
  </si>
  <si>
    <t>Ensured all licensing and usage rights were properly documented.</t>
  </si>
  <si>
    <t>Approved color grading, sound design, and final mix stages.</t>
  </si>
  <si>
    <t>Oversaw client review processes and managed feedback incorporation.</t>
  </si>
  <si>
    <t>Monitored post-production expenditures against projected costs.</t>
  </si>
  <si>
    <t>Signed off on final masters for broadcast and digital release.</t>
  </si>
  <si>
    <t>Conducted post-mortem reviews to identify process improvements.</t>
  </si>
  <si>
    <t>Dir Production Operations</t>
  </si>
  <si>
    <t>Reviewed and approved production schedules to ensure alignment with campaign timelines.</t>
  </si>
  <si>
    <t>Coordinated with creative and account teams to finalize commercial concepts and scripts.</t>
  </si>
  <si>
    <t>Secured necessary permits, locations, and insurance for the shoot.</t>
  </si>
  <si>
    <t>Oversaw the selection and contracting of production vendors and crew members.</t>
  </si>
  <si>
    <t>Established budget parameters and monitored pre-production expenditures</t>
  </si>
  <si>
    <t>Supervised on-set operations to ensure adherence to schedule and production standards.</t>
  </si>
  <si>
    <t>Addressed logistical issues and facilitated communication among departments during filming.</t>
  </si>
  <si>
    <t>Verified compliance with safety protocols and production regulations.</t>
  </si>
  <si>
    <t>Managed daily production reports and updated stakeholders on progress.</t>
  </si>
  <si>
    <t>Ensured all required footage and assets were captured as outlined in the production plan.</t>
  </si>
  <si>
    <t>Coordinated transfer and organization of raw footage to editorial teams.</t>
  </si>
  <si>
    <t>Monitored progress of editing, sound design, and visual effects to ensure timely delivery.</t>
  </si>
  <si>
    <t>Facilitated review sessions with internal stakeholders and incorporated feedback.</t>
  </si>
  <si>
    <t>Approved final versions for legal, quality control, and brand compliance.</t>
  </si>
  <si>
    <t>Oversaw delivery of completed commercial assets to media partners and distribution channels.</t>
  </si>
  <si>
    <t>Proj Dir</t>
  </si>
  <si>
    <t>Defined project scope, deliverables, and timelines in collaboration with key stakeholders.</t>
  </si>
  <si>
    <t>Created detailed project plans outlining milestones, dependencies, and resource allocations.</t>
  </si>
  <si>
    <t>Coordinated kick-off meetings to align creative, production, and account teams.</t>
  </si>
  <si>
    <t>Identified potential risks and developed mitigation strategies prior to production start.</t>
  </si>
  <si>
    <t>Secured cross-functional approvals on production schedules and creative assets</t>
  </si>
  <si>
    <t>Monitored real-time progress to ensure production stayed on schedule and within scope.</t>
  </si>
  <si>
    <t>Communicated daily updates and issue resolutions to internal teams and clients.</t>
  </si>
  <si>
    <t>Adjusted project timelines and resources in response to on-set changes or delays.</t>
  </si>
  <si>
    <t>Verified that all production activities aligned with the overall project objectives.</t>
  </si>
  <si>
    <t>Maintained documentation of decisions, changes, and approvals during the shoot</t>
  </si>
  <si>
    <t>Tracked post-production deliverables against timeline and budget constraints.</t>
  </si>
  <si>
    <t>Scheduled and facilitated client review sessions throughout the editing process.</t>
  </si>
  <si>
    <t>Managed feedback consolidation and version control to streamline revisions.</t>
  </si>
  <si>
    <t>Ensured timely sign-off on final assets from all stakeholders.</t>
  </si>
  <si>
    <t>Closed out projects with post-mortem reviews and documented key learnings</t>
  </si>
  <si>
    <t>Strategy Dir</t>
  </si>
  <si>
    <t>Conducted market research and audience analysis to inform the creative direction.</t>
  </si>
  <si>
    <t>Defined campaign objectives and success metrics aligned with client goals.</t>
  </si>
  <si>
    <t>Collaborated with creative teams to develop strategic briefs guiding the commercial concept.</t>
  </si>
  <si>
    <t>Presented strategic recommendations to internal stakeholders and clients for alignment.</t>
  </si>
  <si>
    <t>Reviewed scripts and storyboards to ensure consistency with brand positioning and insights</t>
  </si>
  <si>
    <t>Provided strategic oversight during filming to maintain message integrity and audience relevance.</t>
  </si>
  <si>
    <t>Consulted with the creative and production teams on-the-fly to address shifts in execution.</t>
  </si>
  <si>
    <t>Ensured that filmed content aligned with the approved strategic narrative.</t>
  </si>
  <si>
    <t>Monitored production output to validate consistency with campaign tone and target audience.</t>
  </si>
  <si>
    <t>Advised on key messaging elements to prioritize during production</t>
  </si>
  <si>
    <t>Evaluated rough and final cuts to ensure alignment with strategic goals and brand voice.</t>
  </si>
  <si>
    <t>Reviewed edits for message clarity and resonance with intended audience segments.</t>
  </si>
  <si>
    <t>Partnered with analytics teams to develop testing strategies for commercial performance.</t>
  </si>
  <si>
    <t>Presented the strategic rationale behind the final asset to client stakeholders.</t>
  </si>
  <si>
    <t>Documented insights from the commercial’s performance for future strategic planning</t>
  </si>
  <si>
    <t>Dir, Program Mgt</t>
  </si>
  <si>
    <t>Aligned the project scope, deliverables, and timelines with client and internal stakeholders.</t>
  </si>
  <si>
    <t>Developed and finalized the master production schedule across all departments.</t>
  </si>
  <si>
    <t>Coordinated cross-functional kick-off meetings to ensure alignment on project goals.</t>
  </si>
  <si>
    <t>Reviewed creative briefs and production treatments for consistency with project objectives.</t>
  </si>
  <si>
    <t>Secured sign-off on budgets and ensured cost alignment with procurement and finance teams.</t>
  </si>
  <si>
    <t>Established tracking systems to monitor milestones, dependencies, and risks.</t>
  </si>
  <si>
    <t>Managed internal approvals and clearance processes for scripts and storyboards.</t>
  </si>
  <si>
    <t>Assigned project owners and clarified team roles to ensure operational clarity.</t>
  </si>
  <si>
    <t>Oversaw vendor selection and contract negotiation with production partners.</t>
  </si>
  <si>
    <t>Facilitated communication between creative, strategy, and production to ensure readiness for shoot.</t>
  </si>
  <si>
    <t>Monitored live shoot progress to ensure adherence to timeline and production plan.</t>
  </si>
  <si>
    <t>Resolved real-time issues and escalations impacting budget, resources, or creative.</t>
  </si>
  <si>
    <t>Coordinated daily production reports and shared updates with key stakeholders.</t>
  </si>
  <si>
    <t>Ensured alignment between on-set activities and approved scope of work.</t>
  </si>
  <si>
    <t>Verified that compliance requirements and safety protocols were implemented.</t>
  </si>
  <si>
    <t>Maintained project documentation and tracked production-related changes.</t>
  </si>
  <si>
    <t>Adjusted resource allocations in response to evolving shoot demands.</t>
  </si>
  <si>
    <t>Liaised with producers and department leads to keep production on track.</t>
  </si>
  <si>
    <t>Conducted mid-shoot check-ins to recalibrate priorities and flag risks.</t>
  </si>
  <si>
    <t>Ensured accurate capture of content required for post-production workflows</t>
  </si>
  <si>
    <t>Supervised the delivery schedule of edits, versions, and final outputs.</t>
  </si>
  <si>
    <t>Managed coordination between post houses, editors, and internal creative teams.</t>
  </si>
  <si>
    <t>Oversaw the versioning process for multiple markets and formats.</t>
  </si>
  <si>
    <t>Ensured feedback rounds stayed within scope, budget, and timeline.</t>
  </si>
  <si>
    <t>Reviewed progress on finishing, color grading, sound mixing, and VFX.</t>
  </si>
  <si>
    <t>Facilitated legal and compliance checks prior to delivery.</t>
  </si>
  <si>
    <t>Monitored quality control processes for all master and cutdown files.</t>
  </si>
  <si>
    <t>Verified timely upload and delivery to media and trafficking partners.</t>
  </si>
  <si>
    <t>Closed out budgets, reconciled invoices, and completed final cost reporting.</t>
  </si>
  <si>
    <t>Led project retrospectives and documented key learnings for future programs</t>
  </si>
  <si>
    <t>Bus Lead</t>
  </si>
  <si>
    <t>Aligned business objectives with the creative and production strategy during project planning.</t>
  </si>
  <si>
    <t>Led discussions with the client to confirm project scope, KPIs, and success metrics.</t>
  </si>
  <si>
    <t>Negotiated and secured client approvals on budget, deliverables, and timelines.</t>
  </si>
  <si>
    <t>Partnered with internal teams to ensure brand guidelines and messaging were reflected in creative development.</t>
  </si>
  <si>
    <t>Identified risks and provided strategic guidance to safeguard business goals.</t>
  </si>
  <si>
    <t>Reviewed and approved key project documents, including briefs, treatments, and production plans.</t>
  </si>
  <si>
    <t>Ensured agency resources were allocated to meet both creative and operational demands.</t>
  </si>
  <si>
    <t>Acted as a key liaison between client stakeholders and agency departments.</t>
  </si>
  <si>
    <t>Set up regular client check-ins to manage expectations and provide visibility.</t>
  </si>
  <si>
    <t>Provided input on vendor and partner selection from a business alignment perspective</t>
  </si>
  <si>
    <t>Maintained close communication with the client to provide updates and manage real-time decisions.</t>
  </si>
  <si>
    <t>Ensured production activities aligned with the agreed business and brand strategy.</t>
  </si>
  <si>
    <t>Addressed client escalations or change requests during shoot days.</t>
  </si>
  <si>
    <t>Verified that shoot content fulfilled contractual, media, and distribution commitments.</t>
  </si>
  <si>
    <t>Represented business interests in daily production status calls.</t>
  </si>
  <si>
    <t>Monitored production spend against budget and flagged potential overages.</t>
  </si>
  <si>
    <t>Assessed content capture for future adaptability across markets or platforms.</t>
  </si>
  <si>
    <t>Facilitated approvals on any in-the-moment creative or logistical adjustments.</t>
  </si>
  <si>
    <t>Communicated potential schedule impacts to clients and internal leadership.</t>
  </si>
  <si>
    <t>Ensured the production team had what they needed to meet client expectations efficiently</t>
  </si>
  <si>
    <t>Managed client expectations around timelines, feedback rounds, and delivery stages.</t>
  </si>
  <si>
    <t>Reviewed early cuts and edits to ensure alignment with brand and business goals.</t>
  </si>
  <si>
    <t>Facilitated consolidated client feedback and ensured clarity for creative and post teams.</t>
  </si>
  <si>
    <t>Oversaw delivery planning across all platforms, regions, and media partners.</t>
  </si>
  <si>
    <t>Partnered with finance to review final billing, reconcile scope changes, and track margins.</t>
  </si>
  <si>
    <t>Led final presentations to clients, ensuring clarity around the impact and effectiveness of the campaign.</t>
  </si>
  <si>
    <t>Gathered performance insights from media and strategy teams to inform future work.</t>
  </si>
  <si>
    <t>Ensured final assets met technical and brand requirements before delivery.</t>
  </si>
  <si>
    <t>Conducted a wrap-up session with clients to review outcomes and identify future opportunities.</t>
  </si>
  <si>
    <t>Documented lessons learned and shared strategic recommendations for upcoming initiatives</t>
  </si>
  <si>
    <t>Freelance Prod</t>
  </si>
  <si>
    <t>Created detailed production budgets and secured approvals from key stakeholders.</t>
  </si>
  <si>
    <t>Developed comprehensive shoot schedules, including tech scouts and pre-light days.</t>
  </si>
  <si>
    <t>Coordinated with directors, DPs, and department heads to align on production requirements.</t>
  </si>
  <si>
    <t>Managed casting processes, including callbacks and talent negotiations.</t>
  </si>
  <si>
    <t>Secured locations, permits, and insurance coverage in line with shoot needs.</t>
  </si>
  <si>
    <t>Booked crew members, managed deal memos, and ensured proper onboarding documentation.</t>
  </si>
  <si>
    <t>Arranged travel, accommodations, and logistics for out-of-town shoots.</t>
  </si>
  <si>
    <t>Oversaw prep meetings, tech scouts, and production walkthroughs.</t>
  </si>
  <si>
    <t>Coordinated equipment rentals and verified gear availability for each department.</t>
  </si>
  <si>
    <t>Ensured all necessary production documents were created and distributed, including call sheets and contact lists</t>
  </si>
  <si>
    <t>Oversaw daily shoot operations to ensure alignment with the production schedule.</t>
  </si>
  <si>
    <t>Managed on-set logistics including crew coordination, talent handling, and client support.</t>
  </si>
  <si>
    <t>Monitored production spend in real-time and controlled costs on the ground.</t>
  </si>
  <si>
    <t>Facilitated communication between director, agency, and client representatives.</t>
  </si>
  <si>
    <t>Resolved on-site issues quickly to avoid delays or disruptions.</t>
  </si>
  <si>
    <t>Ensured all necessary releases and paperwork were properly collected and filed.</t>
  </si>
  <si>
    <t>Confirmed safety protocols were followed across departments.</t>
  </si>
  <si>
    <t>Tracked shot progress and flagged any risks to coverage or content delivery.</t>
  </si>
  <si>
    <t>Handled wrap-out procedures including gear returns and crew payments.</t>
  </si>
  <si>
    <t>Collected production materials for handoff to the post-production team</t>
  </si>
  <si>
    <t>Organized and delivered production assets to post teams according to handoff requirements.</t>
  </si>
  <si>
    <t>Coordinated with editorial to ensure footage logs and metadata were accurate.</t>
  </si>
  <si>
    <t>Scheduled and supervised client reviews and feedback sessions on edits.</t>
  </si>
  <si>
    <t>Facilitated revisions by relaying clear, actionable notes to post-production teams.</t>
  </si>
  <si>
    <t>Oversaw finishing stages, including color, sound mix, and graphics delivery.</t>
  </si>
  <si>
    <t>Ensured on-time delivery of final masters across all required formats.</t>
  </si>
  <si>
    <t>Managed versioning needs based on media specs or market requirements.</t>
  </si>
  <si>
    <t>Reviewed post-production invoices and ensured alignment with actuals.</t>
  </si>
  <si>
    <t>Provided documentation for final cost reporting and closeout.</t>
  </si>
  <si>
    <t>Supported final archive of project assets and ensured deliverables were backed up securely</t>
  </si>
  <si>
    <t>Assoc Production Bus Mgr</t>
  </si>
  <si>
    <t>Prepared detailed production budgets and monitored forecast updates with producers.</t>
  </si>
  <si>
    <t>Coordinated vendor contracts, negotiated terms, and ensured compliance with agency policies.</t>
  </si>
  <si>
    <t>Managed procurement processes for production-related goods and services.</t>
  </si>
  <si>
    <t>Processed and tracked pre-production invoices and purchase orders.</t>
  </si>
  <si>
    <t>Collaborated with finance and accounting teams to set up project accounts.</t>
  </si>
  <si>
    <t>Maintained and updated production cost reports to reflect estimates and commitments.</t>
  </si>
  <si>
    <t>Facilitated communication of financial guidelines and timelines to production teams.</t>
  </si>
  <si>
    <t>Assisted in risk assessment and contingency planning for budgetary issues.</t>
  </si>
  <si>
    <t>Verified insurance certificates and legal documentation before shoot commencement.</t>
  </si>
  <si>
    <t>Supported onboarding of freelance staff and contractors with payroll and payment setup</t>
  </si>
  <si>
    <t>Monitored actual production expenditures daily against budgets and forecasts.</t>
  </si>
  <si>
    <t>Reviewed and approved production-related invoices and expense reports for accuracy.</t>
  </si>
  <si>
    <t>Coordinated timely processing of crew payroll and vendor payments.</t>
  </si>
  <si>
    <t>Maintained detailed records of purchase orders, change orders, and budget modifications.</t>
  </si>
  <si>
    <t>Ensured compliance with labor laws, union agreements, and contractual obligations.</t>
  </si>
  <si>
    <t>Provided financial reports and status updates to production leadership and agency management.</t>
  </si>
  <si>
    <t>Assisted in resolving billing discrepancies or payment disputes promptly.</t>
  </si>
  <si>
    <t>Oversaw expense documentation and audit preparation.</t>
  </si>
  <si>
    <t>Facilitated communication between production, finance, and accounting departments.</t>
  </si>
  <si>
    <t>Supported cash flow management and advanced payment tracking throughout production</t>
  </si>
  <si>
    <t>Reconciled final production budgets against actual costs and prepared variance analyses.</t>
  </si>
  <si>
    <t>Coordinated closeout of vendor contracts and ensured final invoice submissions.</t>
  </si>
  <si>
    <t>Processed post-production billing, including additional fees and change orders.</t>
  </si>
  <si>
    <t>Compiled comprehensive financial reports for agency leadership and client review.</t>
  </si>
  <si>
    <t>Assisted in audit preparation and documentation retention for compliance purposes.</t>
  </si>
  <si>
    <t>Managed payroll wrap-up and final payments for freelance and contract staff.</t>
  </si>
  <si>
    <t>Collaborated with accounting to finalize project financials and close accounts.</t>
  </si>
  <si>
    <t>Documented lessons learned regarding financial processes and system improvements.</t>
  </si>
  <si>
    <t>Ensured secure archiving of financial records and contractual documents.</t>
  </si>
  <si>
    <t>Participated in post-mortem meetings to review budget performance and identify efficiencies</t>
  </si>
  <si>
    <t>Reviewed the creative brief and clarified objectives with the account and strategy teams.</t>
  </si>
  <si>
    <t>Developed the core campaign concept and presented it to senior creative leadership.</t>
  </si>
  <si>
    <t>Oversaw the scripting process and ensured alignment with the brand voice and messaging.</t>
  </si>
  <si>
    <t>Collaborated with art directors and copywriters to refine storyboard visuals and dialogue.</t>
  </si>
  <si>
    <t>Participated in casting sessions and approved talent selections based on creative fit.</t>
  </si>
  <si>
    <t>Selected the production company and director in coordination with the executive producer.</t>
  </si>
  <si>
    <t>Provided creative input during location scouting and approved final selections.</t>
  </si>
  <si>
    <t>Attended pre-production meetings to align with production teams and department heads.</t>
  </si>
  <si>
    <t>Reviewed and signed off on wardrobe, props, and set design proposals.</t>
  </si>
  <si>
    <t>Ensured all creative elements met client expectations and internal quality standards.</t>
  </si>
  <si>
    <t>Supervised the on-set execution to maintain alignment with the approved creative vision.</t>
  </si>
  <si>
    <t>Collaborated with the director to ensure performance direction matched the intended tone.</t>
  </si>
  <si>
    <t>Reviewed framing, lighting, and set arrangements to ensure visual consistency.</t>
  </si>
  <si>
    <t>Provided feedback during takes to guide talent performance and script delivery.</t>
  </si>
  <si>
    <t>Managed on-site creative approvals for scenes, wardrobe, and product placement.</t>
  </si>
  <si>
    <t>Coordinated with agency producers to address real-time production issues.</t>
  </si>
  <si>
    <t>Monitored continuity between scenes and ensured fidelity to the storyboard.</t>
  </si>
  <si>
    <t>Approved key shots and selects during playback reviews.</t>
  </si>
  <si>
    <t>Communicated creative updates to internal stakeholders throughout the shoot.</t>
  </si>
  <si>
    <t>Maintained creative integrity while adapting to on-set constraints and time pressures.</t>
  </si>
  <si>
    <t>Reviewed initial video edits and provided feedback for narrative clarity and pacing.</t>
  </si>
  <si>
    <t>Directed the integration of motion graphics, titles, and visual effects.</t>
  </si>
  <si>
    <t>Approved the music selection and guided the sound design process.</t>
  </si>
  <si>
    <t>Participated in color grading sessions to ensure tonal consistency with brand guidelines.</t>
  </si>
  <si>
    <t>Oversaw voiceover recording sessions and approved final takes.</t>
  </si>
  <si>
    <t>Collaborated with editors to finalize timing, transitions, and visual rhythm.</t>
  </si>
  <si>
    <t>Ensured the final cut adhered to regulatory, broadcast, and brand compliance standards.</t>
  </si>
  <si>
    <t>Presented polished edits to internal teams and integrated their feedback.</t>
  </si>
  <si>
    <t>Provided creative sign-off on the final master and all cutdown versions.</t>
  </si>
  <si>
    <t>Supported client review sessions and addressed any remaining creative adjustments.</t>
  </si>
  <si>
    <t>Dir Bcast Bus Aff VP</t>
  </si>
  <si>
    <t>Negotiated and finalized talent agreements and clearances prior to production.</t>
  </si>
  <si>
    <t>Reviewed and approved all contracts related to production vendors and service providers.</t>
  </si>
  <si>
    <t>Secured rights and licensing agreements for music, scripts, and third-party content usage.</t>
  </si>
  <si>
    <t>Advised internal teams on compliance with advertising regulations and broadcast standards.</t>
  </si>
  <si>
    <t>Coordinated with legal counsel to manage intellectual property issues and risk assessments.</t>
  </si>
  <si>
    <t>Drafted and reviewed confidentiality and non-disclosure agreements with all partners.</t>
  </si>
  <si>
    <t>Managed budgetary approvals for business affairs expenditures tied to the commercial.</t>
  </si>
  <si>
    <t>Consulted with finance and procurement to ensure contract terms aligned with company policies.</t>
  </si>
  <si>
    <t>Established clearance timelines and ensured deadlines were met for all legal deliverables.</t>
  </si>
  <si>
    <t>Facilitated approvals for use of locations, props, and other clearable elements in production.</t>
  </si>
  <si>
    <t>Monitored contract compliance during the production phase to avoid legal or financial risks.</t>
  </si>
  <si>
    <t>Coordinated with production management to resolve any emerging contractual issues on set.</t>
  </si>
  <si>
    <t>Ensured proper documentation and tracking of talent and crew hours for payment processing.</t>
  </si>
  <si>
    <t>Authorized any last-minute contract amendments or addendums required during shooting.</t>
  </si>
  <si>
    <t>Liaised with insurance providers to confirm coverage aligned with production activities.</t>
  </si>
  <si>
    <t>Oversaw the execution of all business affairs requirements, including clearances and releases.</t>
  </si>
  <si>
    <t>Managed the approval process for production-related invoices and change orders.</t>
  </si>
  <si>
    <t>Facilitated communication between legal, finance, and production departments for smooth operations.</t>
  </si>
  <si>
    <t>Verified that usage rights were honored throughout filming to prevent future disputes.</t>
  </si>
  <si>
    <t>Documented all contractual milestones and compliance checkpoints during production</t>
  </si>
  <si>
    <t>Reviewed post-production contracts including editing, visual effects, and sound studios agreements.</t>
  </si>
  <si>
    <t>Ensured all necessary clearances were obtained for final assets, including music and voiceovers.</t>
  </si>
  <si>
    <t>Managed licensing renewals or extensions required for broadcast and digital distribution.</t>
  </si>
  <si>
    <t>Coordinated with regulatory bodies to confirm advertising content compliance prior to airing.</t>
  </si>
  <si>
    <t>Supervised final contract reconciliations and resolved any outstanding business affairs issues.</t>
  </si>
  <si>
    <t>Approved distribution rights and usage terms for all media formats and platforms.</t>
  </si>
  <si>
    <t>Negotiated and finalized agreements with broadcast networks and digital publishers.</t>
  </si>
  <si>
    <t>Reviewed and approved final budgets and expense reports related to business affairs.</t>
  </si>
  <si>
    <t>Provided legal and business guidance during client review and approval stages.</t>
  </si>
  <si>
    <t>Maintained records and archives of all agreements and clearances related to the commercial.</t>
  </si>
  <si>
    <t>Developed detailed project plans and production schedules aligning with creative and client deadlines.</t>
  </si>
  <si>
    <t>Coordinated cross-functional team meetings to establish project milestones and deliverables.</t>
  </si>
  <si>
    <t>Monitored budget forecasts and ensured alignment with allocated resources.</t>
  </si>
  <si>
    <t>Managed procurement of production vendors and negotiated service agreements.</t>
  </si>
  <si>
    <t>Facilitated communication between creative, account, and production teams to synchronize efforts.</t>
  </si>
  <si>
    <t>Identified potential risks and implemented mitigation strategies during the planning phase.</t>
  </si>
  <si>
    <t>Oversaw the approval workflow for scripts, storyboards, and production assets.</t>
  </si>
  <si>
    <t>Tracked all pre-production activities to ensure timely completion of tasks.</t>
  </si>
  <si>
    <t>Maintained comprehensive documentation of project scope, timelines, and client requirements.</t>
  </si>
  <si>
    <t>Reported project status and escalated issues to senior management as needed.</t>
  </si>
  <si>
    <t>Supervised day-to-day production operations to ensure adherence to schedule and budget.</t>
  </si>
  <si>
    <t>Coordinated logistics including equipment, talent, and crew call times and locations.</t>
  </si>
  <si>
    <t>Monitored on-set progress and resolved operational challenges promptly.</t>
  </si>
  <si>
    <t>Maintained clear communication channels between production teams and agency stakeholders.</t>
  </si>
  <si>
    <t>Tracked production expenses and managed change orders or budget adjustments.</t>
  </si>
  <si>
    <t>Ensured compliance with safety protocols and regulatory requirements on set.</t>
  </si>
  <si>
    <t>Managed vendor performance and addressed any contractual or delivery issues.</t>
  </si>
  <si>
    <t>Facilitated daily status updates and post-shoot wrap meetings.</t>
  </si>
  <si>
    <t>Documented production milestones and maintained accurate records of deliverables.</t>
  </si>
  <si>
    <t>Addressed client and internal feedback promptly to minimize production delays.</t>
  </si>
  <si>
    <t>Coordinated post-production schedules including editing, visual effects, and sound design timelines.</t>
  </si>
  <si>
    <t>Managed review cycles and consolidated feedback from internal and client teams.</t>
  </si>
  <si>
    <t>Tracked post-production budgets and approved invoice payments for services rendered.</t>
  </si>
  <si>
    <t>Ensured timely delivery of final assets and adherence to technical specifications.</t>
  </si>
  <si>
    <t>Facilitated communication between post-production vendors and agency stakeholders.</t>
  </si>
  <si>
    <t>Oversaw quality control checks and final sign-off processes.</t>
  </si>
  <si>
    <t>Managed asset archiving and documentation for future reference.</t>
  </si>
  <si>
    <t>Reported post-production progress and challenges to senior management.</t>
  </si>
  <si>
    <t>Coordinated final client approvals and delivered broadcast-ready materials.</t>
  </si>
  <si>
    <t>Conducted project retrospectives to identify lessons learned and improve future workflows</t>
  </si>
  <si>
    <t>Brdcst Bus Mgr</t>
  </si>
  <si>
    <t>Prepared and managed the commercial’s overall production budget and forecasts.</t>
  </si>
  <si>
    <t>Reviewed and negotiated vendor contracts and purchase orders to ensure cost-effectiveness.</t>
  </si>
  <si>
    <t>Coordinated with finance and procurement to secure funding and approvals for pre-production expenses.</t>
  </si>
  <si>
    <t>Developed cost estimates for locations, talent, and equipment rentals based on initial creative plans.</t>
  </si>
  <si>
    <t>Implemented financial controls to track pre-production spending against budget.</t>
  </si>
  <si>
    <t>Collaborated with producers and project managers to align financial goals with production schedules.</t>
  </si>
  <si>
    <t>Approved vendor invoices and advanced payments related to pre-production activities.</t>
  </si>
  <si>
    <t>Ensured compliance with company financial policies and accounting standards.</t>
  </si>
  <si>
    <t>Managed documentation for financial audits and internal reviews.</t>
  </si>
  <si>
    <t>Provided budgetary reports and updates to senior management and agency stakeholders.</t>
  </si>
  <si>
    <t>Oversaw daily production expenditures and monitored budget adherence on set.</t>
  </si>
  <si>
    <t>Processed and authorized payments for crew, talent, and vendors during production.</t>
  </si>
  <si>
    <t>Managed petty cash and on-site financial transactions related to production needs.</t>
  </si>
  <si>
    <t>Reviewed and approved change orders and additional cost requests promptly.</t>
  </si>
  <si>
    <t>Maintained accurate records of all production-related financial activities.</t>
  </si>
  <si>
    <t>Coordinated with production managers to forecast and adjust budgets in real-time.</t>
  </si>
  <si>
    <t>Ensured all financial documentation was submitted timely for accounting and payroll processing.</t>
  </si>
  <si>
    <t>Monitored contractual obligations related to payments and deliverables.</t>
  </si>
  <si>
    <t>Liaised with legal and business affairs teams regarding financial terms and compliance.</t>
  </si>
  <si>
    <t>Reported production financial status and variances to executive leadership regularly</t>
  </si>
  <si>
    <t>Managed budgeting and payment schedules for post-production vendors and facilities.</t>
  </si>
  <si>
    <t>Reviewed final invoices and reconciled post-production expenses against the approved budget.</t>
  </si>
  <si>
    <t>Coordinated with post-production supervisors to forecast remaining costs and financial needs.</t>
  </si>
  <si>
    <t>Ensured all post-production financial documentation met company and regulatory standards.</t>
  </si>
  <si>
    <t>Authorized payments for editing, visual effects, sound, and other post-production services.</t>
  </si>
  <si>
    <t>Oversaw closing financial procedures including budget reconciliation and cost reporting.</t>
  </si>
  <si>
    <t>Prepared detailed financial reports summarizing total project expenditures.</t>
  </si>
  <si>
    <t>Collaborated with accounting teams to complete audits and resolve discrepancies.</t>
  </si>
  <si>
    <t>Supported contract closeouts and final vendor negotiations from a financial perspective.</t>
  </si>
  <si>
    <t>Provided post-project financial analysis to inform future budgeting and forecasting.</t>
  </si>
  <si>
    <t>Print Prod</t>
  </si>
  <si>
    <t>Reviewed creative briefs and print specifications to establish production requirements.</t>
  </si>
  <si>
    <t>Collaborated with creative teams to finalize print layouts and artwork approvals.</t>
  </si>
  <si>
    <t>Coordinated with vendors and printers to obtain cost estimates and production timelines.</t>
  </si>
  <si>
    <t>Selected appropriate materials, substrates, and finishes based on creative direction and budget.</t>
  </si>
  <si>
    <t>Managed print proofs and ensured color accuracy and consistency across samples.</t>
  </si>
  <si>
    <t>Negotiated contracts and pricing with print vendors and service providers.</t>
  </si>
  <si>
    <t>Developed detailed production schedules aligning with campaign deadlines.</t>
  </si>
  <si>
    <t>Ensured all print files met technical specifications and quality standards.</t>
  </si>
  <si>
    <t>Coordinated pre-press checks and corrections with design and production teams.</t>
  </si>
  <si>
    <t>Secured necessary legal clearances for imagery, fonts, and third-party content in print assets.</t>
  </si>
  <si>
    <t>Oversaw the printing process to ensure adherence to specifications and quality standards.</t>
  </si>
  <si>
    <t>Monitored production runs for color consistency, registration, and finishing accuracy.</t>
  </si>
  <si>
    <t>Coordinated delivery logistics with vendors to meet distribution timelines.</t>
  </si>
  <si>
    <t>Addressed and resolved production issues such as print defects or delays.</t>
  </si>
  <si>
    <t>Managed inventory of printed materials and tracked order fulfillment.</t>
  </si>
  <si>
    <t>Communicated regularly with vendors to maintain production schedules and status updates.</t>
  </si>
  <si>
    <t>Verified that all materials complied with client brand guidelines and regulatory requirements.</t>
  </si>
  <si>
    <t>Supervised quality control inspections during and after print runs.</t>
  </si>
  <si>
    <t>Coordinated with shipping and logistics teams to ensure timely dispatch of print assets.</t>
  </si>
  <si>
    <t>Documented production progress and maintained records for auditing and reporting.</t>
  </si>
  <si>
    <t>Reviewed final printed materials for quality assurance before client delivery.</t>
  </si>
  <si>
    <t>Managed post-print finishing processes including trimming, binding, and packaging.</t>
  </si>
  <si>
    <t>Coordinated returns, reprints, or adjustments based on client or distributor feedback.</t>
  </si>
  <si>
    <t>Maintained comprehensive records of print runs, costs, and vendor performance.</t>
  </si>
  <si>
    <t>Reconciled production invoices and ensured accurate financial tracking.</t>
  </si>
  <si>
    <t>Conducted post-project evaluations to identify production efficiencies and areas for improvement.</t>
  </si>
  <si>
    <t>Collaborated with marketing and distribution teams to ensure proper asset deployment.</t>
  </si>
  <si>
    <t>Archived final print files and documentation for future reference.</t>
  </si>
  <si>
    <t>Facilitated client approvals for reprints or additional print orders.</t>
  </si>
  <si>
    <t>Prepared detailed production reports summarizing timelines, quality outcomes, and budget adherence</t>
  </si>
  <si>
    <t>Program Mgr, Content</t>
  </si>
  <si>
    <t>Aligned campaign deliverables with the client brief and internal content strategy.</t>
  </si>
  <si>
    <t>Created and maintained a detailed production timeline with key milestones.</t>
  </si>
  <si>
    <t>Coordinated cross-functional meetings to confirm script approvals and creative direction.</t>
  </si>
  <si>
    <t>Reviewed and finalized budgets with account and production teams.</t>
  </si>
  <si>
    <t>Secured approvals on casting, location selections, and set designs.</t>
  </si>
  <si>
    <t>Managed risk assessments and ensured compliance with advertising standards.</t>
  </si>
  <si>
    <t>Confirmed usage rights for third-party assets such as music and footage.</t>
  </si>
  <si>
    <t>Oversaw the integration of messaging frameworks into the script.</t>
  </si>
  <si>
    <t>Facilitated alignment between creative, legal, and media planning stakeholders.</t>
  </si>
  <si>
    <t>Delivered pre-production materials to all production partners on schedule.</t>
  </si>
  <si>
    <t>Supervised on-site execution to ensure adherence to the approved creative.</t>
  </si>
  <si>
    <t>Monitored real-time schedule updates and addressed any delays or blockers.</t>
  </si>
  <si>
    <t>Verified that all shot lists and storyboards were followed by the director and crew.</t>
  </si>
  <si>
    <t>Ensured continuity across scenes with the production team and script supervisor.</t>
  </si>
  <si>
    <t>Managed daily production reports and communicated progress to stakeholders.</t>
  </si>
  <si>
    <t>Coordinated approvals for on-the-fly creative changes during the shoot.</t>
  </si>
  <si>
    <t>Facilitated secure storage and transfer of raw footage for post-production.</t>
  </si>
  <si>
    <t>Supported the agency producer in managing client presence and expectations on set.</t>
  </si>
  <si>
    <t>Documented production milestones and flagged any scope deviations.</t>
  </si>
  <si>
    <t>Oversaw brand compliance during filming, including wardrobe, props, and set design.</t>
  </si>
  <si>
    <t>Reviewed initial rough cuts and compiled consolidated feedback from internal teams.</t>
  </si>
  <si>
    <t>Managed client review cycles, ensuring all revisions were documented and executed.</t>
  </si>
  <si>
    <t>Coordinated with editors to maintain version control and delivery timelines.</t>
  </si>
  <si>
    <t>Verified the inclusion of legal disclaimers, end slates, and regulatory requirements.</t>
  </si>
  <si>
    <t>Approved color grading and audio mixing stages based on quality standards.</t>
  </si>
  <si>
    <t>Ensured localization needs were met for multi-market distribution.</t>
  </si>
  <si>
    <t>Oversaw final sign-off from legal, brand, and client teams before asset lock.</t>
  </si>
  <si>
    <t>Delivered broadcast-ready files to media partners per technical specifications.</t>
  </si>
  <si>
    <t>Archived final assets and documentation according to agency protocols.</t>
  </si>
  <si>
    <t>Conducted post-mortem reviews to identify production learnings and process improvements.</t>
  </si>
  <si>
    <t>Assoc Program Dir, KitchenAid</t>
  </si>
  <si>
    <t>Aligned commercial objectives with brand guidelines and long-term marketing strategies.</t>
  </si>
  <si>
    <t>Directed cross-agency collaboration to define campaign KPIs and success metrics.</t>
  </si>
  <si>
    <t>Oversaw the creative development process, ensuring messaging consistency with brand voice.</t>
  </si>
  <si>
    <t>Approved budget allocations and secured cross-functional buy-in on resource planning.</t>
  </si>
  <si>
    <t>Led strategic planning meetings to integrate product positioning into the creative brief.</t>
  </si>
  <si>
    <t>Managed stakeholder approvals for casting, art direction, and location scouting.</t>
  </si>
  <si>
    <t>Reviewed all creative concepts for alignment with audience insights and product benefits.</t>
  </si>
  <si>
    <t>Collaborated with product, legal, and compliance teams to vet claims and product representations.</t>
  </si>
  <si>
    <t>Secured executive-level approval on campaign narratives and visual treatments.</t>
  </si>
  <si>
    <t>Directed the finalization of production schedules and vendor contracts.</t>
  </si>
  <si>
    <t>Oversaw live production to ensure on-brand representation of product usage and lifestyle.</t>
  </si>
  <si>
    <t>Partnered with the agency producer to maintain production flow and creative integrity.</t>
  </si>
  <si>
    <t>Monitored real-time progress to ensure all scenes delivered against storyboard and brief.</t>
  </si>
  <si>
    <t>Resolved cross-functional escalations related to timing, scope, or production issues.</t>
  </si>
  <si>
    <t>Ensured visual integration of brand assets, including color, logo usage, and packaging.</t>
  </si>
  <si>
    <t>Guided on-set creative reviews to provide directional feedback and prevent rework.</t>
  </si>
  <si>
    <t>Managed communications between agency, internal brand teams, and external vendors.</t>
  </si>
  <si>
    <t>Documented production highlights and ensured compliance with brand and legal standards.</t>
  </si>
  <si>
    <t>Supported talent relations to uphold brand values and community alignment.</t>
  </si>
  <si>
    <t>Directed secure transfer of footage and brand assets for editorial handling</t>
  </si>
  <si>
    <t>Led cross-functional reviews of initial edits, ensuring strategic alignment and brand tone.</t>
  </si>
  <si>
    <t>Facilitated client and stakeholder feedback across multiple approval cycles.</t>
  </si>
  <si>
    <t>Oversaw integration of motion graphics, packaging overlays, and supers for brand clarity.</t>
  </si>
  <si>
    <t>Ensured final edits met brand, regulatory, and technical delivery requirements.</t>
  </si>
  <si>
    <t>Reviewed and approved localization versions for regional and global rollouts.</t>
  </si>
  <si>
    <t>Directed the development of cutdowns and social variants for omnichannel use.</t>
  </si>
  <si>
    <t>Confirmed alignment between final edits and media specifications for broadcast and digital.</t>
  </si>
  <si>
    <t>Managed asset tracking, naming conventions, and archival in brand content systems.</t>
  </si>
  <si>
    <t>Delivered launch assets to media partners, internal platforms, and retail partners.</t>
  </si>
  <si>
    <t>Conducted campaign performance reviews to evaluate commercial impact and future optimizations</t>
  </si>
  <si>
    <t>Developed initial visual concepts and key frames aligned with the commercial’s creative brief.</t>
  </si>
  <si>
    <t>Created mood boards and design references to establish a consistent visual language.</t>
  </si>
  <si>
    <t>Designed logo lockups, graphic treatments, and visual elements for integration into the commercial.</t>
  </si>
  <si>
    <t>Collaborated with art directors and copywriters to ensure cohesive storytelling across all frames.</t>
  </si>
  <si>
    <t>Produced pitch decks and design presentations to communicate the visual direction.</t>
  </si>
  <si>
    <t>Adapted existing brand guidelines to fit the tone and format of the specific campaign.</t>
  </si>
  <si>
    <t>Provided input on set design, wardrobe, and prop selection to reinforce brand aesthetics.</t>
  </si>
  <si>
    <t>Prepared layered design files and templates for animation and post-production teams.</t>
  </si>
  <si>
    <t>Participated in pre-visualization meetings to align on look and feel across all media.</t>
  </si>
  <si>
    <t>Reviewed and approved all creative assets for brand consistency before entering production</t>
  </si>
  <si>
    <t>Advised on lighting, framing, and composition to maintain visual alignment with brand standards.</t>
  </si>
  <si>
    <t>Supervised on-set art direction to ensure the correct use of brand elements in physical spaces.</t>
  </si>
  <si>
    <t>Provided real-time feedback on the execution of branded props, packaging, and signage.</t>
  </si>
  <si>
    <t>Verified color accuracy and brand representation on camera monitors during filming.</t>
  </si>
  <si>
    <t>Collaborated with the director and DOP to refine visual storytelling elements in key shots.</t>
  </si>
  <si>
    <t>Ensured proper placement and visibility of product branding within the scene composition.</t>
  </si>
  <si>
    <t>Updated design elements or artwork in response to last-minute script or product changes.</t>
  </si>
  <si>
    <t>Captured reference imagery and notes for post-production visual continuity.</t>
  </si>
  <si>
    <t>Evaluated shot compositions for visual hierarchy and graphic integration.</t>
  </si>
  <si>
    <t>Approved final on-set visuals before wrap to ensure alignment with brand look-and-feel</t>
  </si>
  <si>
    <t>Designed end slates, supers, lower thirds, and other graphic elements for final edits.</t>
  </si>
  <si>
    <t>Reviewed motion graphic executions to ensure consistency with visual style guides.</t>
  </si>
  <si>
    <t>Approved typography, color grading, and graphic pacing in early and final cuts.</t>
  </si>
  <si>
    <t>Provided art direction for VFX, product animations, and transitions as needed.</t>
  </si>
  <si>
    <t>Delivered high-resolution design assets and style references to editorial teams.</t>
  </si>
  <si>
    <t>Reviewed compositing to ensure seamless integration of static and motion design.</t>
  </si>
  <si>
    <t>Verified final asset output across formats for consistency across digital, TV, and social channels.</t>
  </si>
  <si>
    <t>Ensured that all final files met technical and brand specifications before delivery.</t>
  </si>
  <si>
    <t>Archived design assets and updated brand libraries with new campaign visuals.</t>
  </si>
  <si>
    <t>Participated in post-mortem reviews to share insights on visual performance and production learnings.</t>
  </si>
  <si>
    <t>Mgr, Sr CGI Prod</t>
  </si>
  <si>
    <t>Collaborated with creative leads to interpret scripts and storyboards into feasible CGI execution plans.</t>
  </si>
  <si>
    <t>Scoped technical requirements and resource needs for all CGI elements in the commercial.</t>
  </si>
  <si>
    <t>Developed production schedules and delivery timelines in coordination with internal and external CGI teams.</t>
  </si>
  <si>
    <t>Managed vendor selection and negotiated contracts for third-party CGI studios and freelancers.</t>
  </si>
  <si>
    <t>Approved creative treatments and CGI look development based on brand standards and artistic direction.</t>
  </si>
  <si>
    <t>Led internal reviews to align stakeholders on CGI pipeline strategy and asset integration plans.</t>
  </si>
  <si>
    <t>Reviewed product references, CAD files, and visual documentation to ensure accuracy in CGI replication.</t>
  </si>
  <si>
    <t>Coordinated previsualization efforts to block CGI sequences and align with live-action components.</t>
  </si>
  <si>
    <t>Secured approvals on test renders and lighting studies before moving into asset production.</t>
  </si>
  <si>
    <t>Created a risk assessment plan to address complexity, rendering capacity, and timeline constraints</t>
  </si>
  <si>
    <t>Oversaw real-time collaboration between CGI teams and live-action crews during hybrid shoots.</t>
  </si>
  <si>
    <t>Supervised on-set data capture including HDRIs, photogrammetry, and lens metadata for CGI integration.</t>
  </si>
  <si>
    <t>Directed motion tracking and matchmove planning to ensure seamless compositing in post.</t>
  </si>
  <si>
    <t>Reviewed CGI blocking and proxy renders in parallel with live production milestones.</t>
  </si>
  <si>
    <t>Managed communication between art directors, VFX supervisors, and CGI vendors throughout production.</t>
  </si>
  <si>
    <t>Resolved asset dependencies and coordinated technical handoffs between departments.</t>
  </si>
  <si>
    <t>Ensured continuity in scale, lighting, and product detailing across scenes and platforms.</t>
  </si>
  <si>
    <t>Monitored daily production reports to track asset completion and identify any pipeline delays.</t>
  </si>
  <si>
    <t>Implemented best practices for data security and asset version control during active production.</t>
  </si>
  <si>
    <t>Provided real-time approvals for CGI-related changes impacting visual fidelity or timing.</t>
  </si>
  <si>
    <t>Led CGI post workflows including modeling, surfacing, lighting, animation, and rendering.</t>
  </si>
  <si>
    <t>Reviewed lighting passes, render layers, and composited shots for realism and accuracy.</t>
  </si>
  <si>
    <t>Managed cross-team feedback loops for iterative reviews of product fidelity and brand alignment.</t>
  </si>
  <si>
    <t>Approved final render outputs based on quality benchmarks and campaign specifications.</t>
  </si>
  <si>
    <t>Ensured synchronization between CGI sequences and sound, VO, and timing cues.</t>
  </si>
  <si>
    <t>Oversaw color matching and grading to align CGI elements with live-action footage.</t>
  </si>
  <si>
    <t>Delivered final CGI assets in multiple aspect ratios and resolutions for omnichannel deployment.</t>
  </si>
  <si>
    <t>Managed the delivery of master files to editorial, finishing, and media teams.</t>
  </si>
  <si>
    <t>Archived production assets, metadata, and source files for future adaptation or reuse.</t>
  </si>
  <si>
    <t>Conducted post-project debriefs to evaluate CGI pipeline efficiency, team performance, and technical innovations</t>
  </si>
  <si>
    <t>Reviewed and negotiated talent contracts in accordance with union and non-union guidelines.</t>
  </si>
  <si>
    <t>Secured music, footage, and third-party IP rights for inclusion in the commercial.</t>
  </si>
  <si>
    <t>Evaluated and approved production vendor estimates and usage terms.</t>
  </si>
  <si>
    <t>Drafted production service agreements and ensured legal compliance.</t>
  </si>
  <si>
    <t>Liaised with legal teams to review clearance issues related to scripts and storyboards.</t>
  </si>
  <si>
    <t>Confirmed SAG-AFTRA requirements and managed signatory paperwork.</t>
  </si>
  <si>
    <t>Identified potential clearance risks in creative materials and flagged for revision.</t>
  </si>
  <si>
    <t>Oversaw insurance requirements for the production and ensured certificates were issued.</t>
  </si>
  <si>
    <t>Reviewed storyboard submissions for claims, substantiation, and regulatory flags.</t>
  </si>
  <si>
    <t>Finalized production timelines with producers to align with contractual obligations</t>
  </si>
  <si>
    <t>Monitored talent sessions to ensure adherence to contractual conditions.</t>
  </si>
  <si>
    <t>Coordinated with line producers on real-time business affairs issues during the shoot.</t>
  </si>
  <si>
    <t>Ensured release forms were signed for all on-camera participants and assets.</t>
  </si>
  <si>
    <t>Addressed usage questions related to props, locations, and branding on set.</t>
  </si>
  <si>
    <t>Advised on cost implications for overtime, additional shoot days, or usage changes.</t>
  </si>
  <si>
    <t>Tracked talent hours and meal breaks for union compliance.</t>
  </si>
  <si>
    <t>Facilitated last-minute contract modifications in response to on-set changes.</t>
  </si>
  <si>
    <t>Collaborated with agency producers to confirm proper indemnification coverage.</t>
  </si>
  <si>
    <t>Reviewed and approved any material substitutions against original scripts.</t>
  </si>
  <si>
    <t>Maintained documentation of all business affairs decisions during production.</t>
  </si>
  <si>
    <t>Reviewed rough cuts for compliance with usage rights and contractual terms.</t>
  </si>
  <si>
    <t>Verified that all licensed content matched agreed-upon usage and territory terms.</t>
  </si>
  <si>
    <t>Approved final talent tracking reports for residual and session fee processing.</t>
  </si>
  <si>
    <t>Ensured music cues and stock imagery were properly cleared and invoiced.</t>
  </si>
  <si>
    <t>Coordinated final network/legal review submissions for clearance approval.</t>
  </si>
  <si>
    <t>Managed claims substantiation documentation for any comparative or superlative statements.</t>
  </si>
  <si>
    <t>Processed talent and third-party rights payments in line with contract obligations.</t>
  </si>
  <si>
    <t>Archived legal documentation and clearance reports for internal records.</t>
  </si>
  <si>
    <t>Provided guidance on global usage extensions and renewal options.</t>
  </si>
  <si>
    <t>Issued final usage summaries and contractual close-out memos to stakeholders.</t>
  </si>
  <si>
    <t>Agency Prod</t>
  </si>
  <si>
    <t>Developed and managed detailed production schedules aligned with client deadlines.</t>
  </si>
  <si>
    <t>Coordinated internal agency teams and external vendors to align project objectives.</t>
  </si>
  <si>
    <t>Prepared and monitored production budgets, ensuring cost controls and approvals.</t>
  </si>
  <si>
    <t>Facilitated agency-client meetings to confirm creative direction and deliverables.</t>
  </si>
  <si>
    <t>Secured locations and coordinated necessary permits and clearances.</t>
  </si>
  <si>
    <t>Oversaw casting sessions and coordinated talent bookings with casting agencies.</t>
  </si>
  <si>
    <t>Collaborated with creative directors to refine scripts and storyboards.</t>
  </si>
  <si>
    <t>Managed vendor bids and negotiated contracts with production companies.</t>
  </si>
  <si>
    <t>Organized pre-production meetings with all stakeholders to clarify responsibilities.</t>
  </si>
  <si>
    <t>Compiled and distributed comprehensive production briefs to all departments</t>
  </si>
  <si>
    <t>Supervised day-to-day on-set operations to ensure schedule adherence.</t>
  </si>
  <si>
    <t>Managed communication between the agency, production crew, and talent.</t>
  </si>
  <si>
    <t>Resolved logistical issues promptly to minimize disruptions during shoots.</t>
  </si>
  <si>
    <t>Ensured adherence to health and safety protocols on set.</t>
  </si>
  <si>
    <t>Approved daily production reports and tracked progress against the budget.</t>
  </si>
  <si>
    <t>Coordinated transportation, accommodation, and catering for cast and crew.</t>
  </si>
  <si>
    <t>Monitored equipment rentals and technical requirements.</t>
  </si>
  <si>
    <t>Facilitated timely approvals for script or schedule changes on set.</t>
  </si>
  <si>
    <t>Maintained comprehensive production documentation and asset tracking.</t>
  </si>
  <si>
    <t>Liaised with directors and agency stakeholders to uphold creative vision.</t>
  </si>
  <si>
    <t>Coordinated post-production schedules with editors, VFX, and sound teams.</t>
  </si>
  <si>
    <t>Managed delivery of initial cuts for internal and client reviews.</t>
  </si>
  <si>
    <t>Oversaw implementation of client feedback and revisions within deadlines.</t>
  </si>
  <si>
    <t>Verified all deliverables met technical specifications for broadcast and digital platforms.</t>
  </si>
  <si>
    <t>Managed post-production budgets and approved vendor invoices.</t>
  </si>
  <si>
    <t>Organized final approvals from clients and agency leadership.</t>
  </si>
  <si>
    <t>Coordinated rights clearances and ensured proper licensing for all assets.</t>
  </si>
  <si>
    <t>Prepared and distributed final commercial materials to media buyers and networks.</t>
  </si>
  <si>
    <t>Archived production materials and documentation for future reference.</t>
  </si>
  <si>
    <t>Conducted project debriefs to identify lessons learned and best practices.</t>
  </si>
  <si>
    <t>Coordinated scheduling and resource allocation for the commercial shoot.</t>
  </si>
  <si>
    <t>Approved the final production budget and ensured cost controls.</t>
  </si>
  <si>
    <t>Selected and contracted key vendors, including studios, equipment rentals, and crew members.</t>
  </si>
  <si>
    <t>Oversaw location scouting and secured necessary permits for filming.</t>
  </si>
  <si>
    <t>Facilitated production meetings to align all departments on timelines and deliverables.</t>
  </si>
  <si>
    <t>Managed on-set operations to ensure smooth execution of the shooting schedule.</t>
  </si>
  <si>
    <t>Supervised the production crew and resolved logistical issues in real-time.</t>
  </si>
  <si>
    <t>Monitored compliance with safety protocols and industry regulations during filming.</t>
  </si>
  <si>
    <t>Communicated between the director, client representatives, and crew to maintain workflow efficiency.</t>
  </si>
  <si>
    <t>Documented daily production progress and reported updates to stakeholders.</t>
  </si>
  <si>
    <t>Coordinated with editors, sound designers, and VFX teams to oversee the post-production timeline.</t>
  </si>
  <si>
    <t>Reviewed rough cuts and provided feedback aligned with the creative vision.</t>
  </si>
  <si>
    <t>Managed post-production budgets and ensured adherence to financial constraints.</t>
  </si>
  <si>
    <t>Facilitated final approval processes with clients and internal teams.</t>
  </si>
  <si>
    <t>Organized delivery of final commercial assets in required formats and specifications.</t>
  </si>
  <si>
    <t>Presentation Designer</t>
  </si>
  <si>
    <t>Collaborated with creative teams to understand key messaging and visual concepts.</t>
  </si>
  <si>
    <t>Researched brand guidelines and competitor presentations to ensure alignment.</t>
  </si>
  <si>
    <t>Developed initial design mockups and presentation templates for client review.</t>
  </si>
  <si>
    <t>Prepared storyboards or visual outlines to map out the presentation flow.</t>
  </si>
  <si>
    <t>Incorporated client feedback to refine design direction before production</t>
  </si>
  <si>
    <t>Designed high-quality presentation slides incorporating graphics, typography, and animations.</t>
  </si>
  <si>
    <t>Synchronized visual elements with the commercial’s narrative and storyboard.</t>
  </si>
  <si>
    <t>Created custom illustrations, charts, or infographics to enhance communication.</t>
  </si>
  <si>
    <t>Collaborated with multimedia teams to integrate video clips or interactive content.</t>
  </si>
  <si>
    <t>Ensured consistency in style, color, and branding across all presentation materials.</t>
  </si>
  <si>
    <t>Reviewed final presentation decks for accuracy, visual impact, and technical functionality.</t>
  </si>
  <si>
    <t>Edited and optimized presentation files for different formats and delivery platforms.</t>
  </si>
  <si>
    <t>Prepared supporting materials such as handouts or digital summaries.</t>
  </si>
  <si>
    <t>Conducted quality assurance checks on animations and embedded media.</t>
  </si>
  <si>
    <t>Delivered final presentations to clients or internal teams with detailed usage instructions.</t>
  </si>
  <si>
    <t>Developed and refined the creative concept and overall messaging.</t>
  </si>
  <si>
    <t>Collaborated with the account team to understand client objectives and campaign goals.</t>
  </si>
  <si>
    <t>Wrote and edited the commercial script to align with the brand voice and strategy.</t>
  </si>
  <si>
    <t>Presented creative ideas and storyboards for client approval.</t>
  </si>
  <si>
    <t>Coordinated with the art director to ensure visual elements complemented the copy.</t>
  </si>
  <si>
    <t>Reviewed and approved casting choices for on-screen talent.</t>
  </si>
  <si>
    <t>Participated in location scouting to confirm suitability for the script’s requirements.</t>
  </si>
  <si>
    <t>Finalized the script and production brief for the production team.</t>
  </si>
  <si>
    <t>Attended pre-production meetings with producers, directors, and other key stakeholders.</t>
  </si>
  <si>
    <t>Ensured all legal and compliance checks were addressed in the creative materials</t>
  </si>
  <si>
    <t>Oversaw the execution of the script during the shoot to maintain creative integrity.</t>
  </si>
  <si>
    <t>Directed on-set copy adjustments and coached talent on delivering lines effectively.</t>
  </si>
  <si>
    <t>Collaborated with the director to ensure the tone and pacing matched the creative vision.</t>
  </si>
  <si>
    <t>Provided immediate feedback on takes related to dialogue and narration.</t>
  </si>
  <si>
    <t>Approved on-the-spot changes to dialogue or visuals when necessary.</t>
  </si>
  <si>
    <t>Monitored continuity to ensure the script’s message remained clear and consistent.</t>
  </si>
  <si>
    <t>Worked closely with the production team to manage any creative challenges during filming.</t>
  </si>
  <si>
    <t>Facilitated communication between the creative team and production crew.</t>
  </si>
  <si>
    <t>Recorded voiceovers or guided voice talent as required.</t>
  </si>
  <si>
    <t>Documented key production details for reference during post-production.</t>
  </si>
  <si>
    <t>Reviewed initial edits to ensure the narrative flow aligned with the approved script.</t>
  </si>
  <si>
    <t>Provided detailed notes on timing, tone, and pacing to the editors.</t>
  </si>
  <si>
    <t>Collaborated with sound designers to refine voiceover and audio elements.</t>
  </si>
  <si>
    <t>Approved revisions to the copy or on-screen text during the editing process.</t>
  </si>
  <si>
    <t>Ensured the final cut adhered to brand guidelines and creative objectives.</t>
  </si>
  <si>
    <t>Coordinated with legal and compliance teams to finalize disclaimers and mandatory text.</t>
  </si>
  <si>
    <t>Participated in client presentations to secure approval on final deliverables.</t>
  </si>
  <si>
    <t>Worked with the post-production team to oversee color grading and visual effects integration.</t>
  </si>
  <si>
    <t>Validated the final version of the commercial for distribution formats.</t>
  </si>
  <si>
    <t>Documented lessons learned and creative insights for future campaigns</t>
  </si>
  <si>
    <t>Group Bus Lead</t>
  </si>
  <si>
    <t>Aligned with strategy and creative leads to validate the campaign's business objectives.</t>
  </si>
  <si>
    <t>Reviewed and approved creative briefs prior to client presentation.</t>
  </si>
  <si>
    <t>Collaborated with media teams to ensure deliverables matched planned channel specifications.</t>
  </si>
  <si>
    <t>Led internal cross-functional meetings to define timelines, scopes, and resource needs.</t>
  </si>
  <si>
    <t>Oversaw the development of production budgets and secured client approval.</t>
  </si>
  <si>
    <t>Coordinated with legal and account management to ensure compliance with advertising regulations.</t>
  </si>
  <si>
    <t>Approved final scripts and storyboards for agency and client sign-off.</t>
  </si>
  <si>
    <t>Facilitated client alignment meetings to confirm production direction and messaging.</t>
  </si>
  <si>
    <t>Identified and approved production vendors in coordination with the executive producer.</t>
  </si>
  <si>
    <t>Monitored pre-production checklists to ensure all logistical requirements were fulfilled.</t>
  </si>
  <si>
    <t>Supervised on-site operations to ensure adherence to brand and creative guidelines.</t>
  </si>
  <si>
    <t>Served as agency liaison during shoot days, managing client interactions and feedback.</t>
  </si>
  <si>
    <t>Monitored production milestones and adjusted schedules as needed to maintain alignment.</t>
  </si>
  <si>
    <t>Reviewed real-time footage to confirm consistency with the approved concept.</t>
  </si>
  <si>
    <t>Managed agency and client communications to resolve production issues quickly.</t>
  </si>
  <si>
    <t>Ensured all required assets and footage were captured during principal photography.</t>
  </si>
  <si>
    <t>Supported production leads in maintaining cost control throughout shoot execution.</t>
  </si>
  <si>
    <t>Verified talent performance and usage rights were documented and archived.</t>
  </si>
  <si>
    <t>Coordinated the delivery of production dailies for agency and client review.</t>
  </si>
  <si>
    <t>Ensured production crews followed agency protocols and quality standards.</t>
  </si>
  <si>
    <t>Reviewed initial edits and provided consolidated agency feedback.</t>
  </si>
  <si>
    <t>Facilitated versioning conversations to align edits with platform requirements.</t>
  </si>
  <si>
    <t>Coordinated internal review sessions across creative, strategy, and account teams.</t>
  </si>
  <si>
    <t>Managed client feedback loops to ensure timely approvals of rough and final cuts.</t>
  </si>
  <si>
    <t>Approved visual effects and motion graphics integration for brand consistency.</t>
  </si>
  <si>
    <t>Oversaw the delivery of final audio, color grading, and mix approvals.</t>
  </si>
  <si>
    <t>Confirmed final assets matched technical specifications for all planned media channels.</t>
  </si>
  <si>
    <t>Directed trafficking and asset management teams for on-time deployment.</t>
  </si>
  <si>
    <t>Archived final deliverables and documentation in agency asset systems.</t>
  </si>
  <si>
    <t>Conducted post-mortem meetings to evaluate process effectiveness and key learnings.</t>
  </si>
  <si>
    <t>Bus Affairs Intern</t>
  </si>
  <si>
    <t>Assisted in organizing talent usage grids and tracking potential conflicts.</t>
  </si>
  <si>
    <t>Prepared initial drafts of legal documentation under supervision, including NDAs and appearance releases.</t>
  </si>
  <si>
    <t>Supported the clearance process by gathering reference materials and usage details.</t>
  </si>
  <si>
    <t>Maintained a database of vendor and talent contracts for team access.</t>
  </si>
  <si>
    <t>Logged and tracked status updates for legal reviews and script approvals.</t>
  </si>
  <si>
    <t>Compiled background information for regulatory compliance checks.</t>
  </si>
  <si>
    <t>Helped monitor internal timelines for contract execution and deliverable deadlines.</t>
  </si>
  <si>
    <t>Attended pre-production meetings to take notes and flag follow-up items.</t>
  </si>
  <si>
    <t>Reviewed talent specs and flagged discrepancies in usage terms or deliverables.</t>
  </si>
  <si>
    <t>Assisted in routing scripts and storyboards through internal clearance processes.</t>
  </si>
  <si>
    <t>Collected and organized signed talent and crew releases on set.</t>
  </si>
  <si>
    <t>Updated tracking sheets for talent usage, locations, and licensing assets.</t>
  </si>
  <si>
    <t>Assisted with real-time documentation of shoot-day legal and business affairs checklists.</t>
  </si>
  <si>
    <t>Helped confirm that usage rights matched what was being captured on set.</t>
  </si>
  <si>
    <t>Coordinated with producers to track appearances of third-party assets in footage.</t>
  </si>
  <si>
    <t>Maintained organized copies of insurance certificates, permits, and location agreements.</t>
  </si>
  <si>
    <t>Verified that all signed documents were properly labeled and stored.</t>
  </si>
  <si>
    <t>Helped manage on-set document distribution, including backup copies of releases.</t>
  </si>
  <si>
    <t>Participated in production check-ins to assist with legal compliance tasks.</t>
  </si>
  <si>
    <t>Filed shoot-day paperwork in the agency’s digital filing system for post-production reference.</t>
  </si>
  <si>
    <t>Cross-checked final footage against usage rights to confirm compliance.</t>
  </si>
  <si>
    <t>Assisted in routing edits for legal and clearance review.</t>
  </si>
  <si>
    <t>Logged feedback from business affairs and legal teams for version tracking.</t>
  </si>
  <si>
    <t>Updated asset tracking logs with finalized usage dates and renewal terms.</t>
  </si>
  <si>
    <t>Helped verify that third-party materials (music, footage, images) were properly licensed.</t>
  </si>
  <si>
    <t>Coordinated with post-production to ensure supers and disclaimers met legal standards.</t>
  </si>
  <si>
    <t>Archived final contracts, releases, and clearance documents for recordkeeping.</t>
  </si>
  <si>
    <t>Participated in post-project wrap-up sessions to document business affairs learnings.</t>
  </si>
  <si>
    <t>Supported the team in preparing reports on rights usage and expirations.</t>
  </si>
  <si>
    <t>Assisted in organizing closed files and legal documents for audit readiness.</t>
  </si>
  <si>
    <t>Sr Production Bus Mgr</t>
  </si>
  <si>
    <t>Reviewed and negotiated production estimates, vendor bids, and cost breakdowns for accuracy and compliance.</t>
  </si>
  <si>
    <t>Oversaw the development and execution of production contracts, including talent, crew, and vendor agreements.</t>
  </si>
  <si>
    <t>Ensured all creative materials were routed through legal for preliminary clearance review.</t>
  </si>
  <si>
    <t>Collaborated with producers to confirm compliance with union regulations and labor requirements.</t>
  </si>
  <si>
    <t>Secured all necessary insurance certificates, location permits, and indemnification documents.</t>
  </si>
  <si>
    <t>Assessed potential risk factors and advised production teams on legal and financial safeguards.</t>
  </si>
  <si>
    <t>Approved usage rights and licensing terms for third-party content proposed for use.</t>
  </si>
  <si>
    <t>Managed talent negotiation processes and finalized session and usage agreements.</t>
  </si>
  <si>
    <t>Coordinated closely with legal, finance, and account teams to align budgets with contractual obligations.</t>
  </si>
  <si>
    <t>Supervised internal pre-production checklists to verify all deliverables were cleared before production commenced.</t>
  </si>
  <si>
    <t>Ensured all required releases, contracts, and agreements were executed and filed during the shoot.</t>
  </si>
  <si>
    <t>Acted as the primary business affairs contact for producers and clients during production days.</t>
  </si>
  <si>
    <t>Monitored adherence to contractual terms for union labor, talent usage, and working hours.</t>
  </si>
  <si>
    <t>Addressed and resolved any legal or financial issues arising on set in real time.</t>
  </si>
  <si>
    <t>Validated that shoot-day content did not include unapproved third-party IP or talent appearances.</t>
  </si>
  <si>
    <t>Reviewed production activities to ensure compliance with insurance, safety, and labor requirements.</t>
  </si>
  <si>
    <t>Maintained oversight of asset usage to align with contracted rights and restrictions.</t>
  </si>
  <si>
    <t>Collaborated with producers to capture proper documentation for music, locations, and image rights.</t>
  </si>
  <si>
    <t>Coordinated talent documentation and SAG/AFTRA filing requirements.</t>
  </si>
  <si>
    <t>Ensured all original documentation from the shoot was secured and delivered to agency archives.</t>
  </si>
  <si>
    <t>Reviewed final edits to confirm compliance with usage rights, talent terms, and licensing agreements.</t>
  </si>
  <si>
    <t>Directed the clearance of all music, footage, graphics, and stock imagery used in final deliverables.</t>
  </si>
  <si>
    <t>Oversaw legal and business affairs approvals for final cuts and campaign assets.</t>
  </si>
  <si>
    <t>Ensured deliverables met all contractual obligations and were cleared for media release.</t>
  </si>
  <si>
    <t>Managed union reporting, session payments, and residual tracking for talent.</t>
  </si>
  <si>
    <t>Coordinated renewals or extensions of usage rights when edits exceeded original terms.</t>
  </si>
  <si>
    <t>Worked with finance to reconcile final production costs against approved budgets.</t>
  </si>
  <si>
    <t>Audited all legal documentation and archived files for agency compliance and client review.</t>
  </si>
  <si>
    <t>Participated in post-project wrap-ups to identify process improvements and risk mitigation strategies.</t>
  </si>
  <si>
    <t>Delivered business affairs reports summarizing rights usage, clearances, and contractual fulfillment.</t>
  </si>
  <si>
    <t>Global Segment Lead</t>
  </si>
  <si>
    <t>Defined global campaign objectives and ensured alignment with segment growth strategies.</t>
  </si>
  <si>
    <t>Collaborated with strategy and creative teams to shape messaging frameworks for multi-market execution.</t>
  </si>
  <si>
    <t>Reviewed and approved creative briefs to ensure market relevance and brand consistency.</t>
  </si>
  <si>
    <t>Engaged regional stakeholders to gather insights and validate campaign approach.</t>
  </si>
  <si>
    <t>Directed the development of transcreation guidelines for localized adaptation.</t>
  </si>
  <si>
    <t>Provided strategic oversight for media plans to ensure proper segmentation and targeting.</t>
  </si>
  <si>
    <t>Coordinated legal and regulatory review across priority markets for early-stage concepts.</t>
  </si>
  <si>
    <t>Led internal kickoff meetings to align teams on messaging priorities and success metrics.</t>
  </si>
  <si>
    <t>Oversaw budget allocations across markets and secured approvals for global campaign investments.</t>
  </si>
  <si>
    <t>Ensured all production partners understood global requirements for cultural sensitivity and compliance.</t>
  </si>
  <si>
    <t>Oversaw the adaptation of final assets into multiple regional formats and languages.</t>
  </si>
  <si>
    <t>Reviewed localized versions to ensure consistency with the global creative intent.</t>
  </si>
  <si>
    <t>Coordinated with legal and regulatory teams to validate post-production edits for regional compliance.</t>
  </si>
  <si>
    <t>Partnered with media leads to align final asset delivery with global launch timelines.</t>
  </si>
  <si>
    <t>Provided strategic input during final approval rounds to ensure commercial effectiveness across segments.</t>
  </si>
  <si>
    <t>Consolidated cross-market feedback and delivered actionable summaries to creative and production teams.</t>
  </si>
  <si>
    <t>Ensured all markets received the correct asset versions, aligned with their media plans and audience segments.</t>
  </si>
  <si>
    <t>Tracked performance readiness and content activation milestones across regions.</t>
  </si>
  <si>
    <t>Participated in post-campaign reviews to assess effectiveness by segment and geography.</t>
  </si>
  <si>
    <t>Compiled and presented campaign learnings to inform future global commercial initiatives.</t>
  </si>
  <si>
    <t>Assistant Acct Exec</t>
  </si>
  <si>
    <t>Scheduled and coordinated internal meetings and client touchpoints during project initiation.</t>
  </si>
  <si>
    <t>Compiled meeting recaps and distributed action items to relevant teams.</t>
  </si>
  <si>
    <t>Supported the preparation of creative briefs and ensured timely routing for approvals.</t>
  </si>
  <si>
    <t>Maintained status trackers and updated timelines based on input from cross-functional teams.</t>
  </si>
  <si>
    <t>Helped organize asset delivery schedules in collaboration with production and creative teams.</t>
  </si>
  <si>
    <t>Assisted in routing scripts, treatments, and storyboards through internal and client review processes.</t>
  </si>
  <si>
    <t>Collected and formatted materials for client presentations and pre-production meetings.</t>
  </si>
  <si>
    <t>Tracked client feedback and followed up on outstanding questions or deliverables.</t>
  </si>
  <si>
    <t>Logged creative revisions and ensured updated files were properly labeled and distributed.</t>
  </si>
  <si>
    <t>Supported the account team in coordinating legal and compliance documentation submissions.</t>
  </si>
  <si>
    <t>Helped manage shoot schedules and coordinated logistics with internal and external teams.</t>
  </si>
  <si>
    <t>Acted as a point of contact for basic client questions and ensured timely follow-up.</t>
  </si>
  <si>
    <t>Maintained on-site documentation such as call sheets, release forms, and production notes.</t>
  </si>
  <si>
    <t>Provided real-time updates to the account team during shoot days.</t>
  </si>
  <si>
    <t>Assisted in tracking talent, wardrobe, and prop details for continuity purposes.</t>
  </si>
  <si>
    <t>Delivered updated scripts and schedules to the production team as needed.</t>
  </si>
  <si>
    <t>Coordinated catering, transportation, and other logistics for agency personnel and clients.</t>
  </si>
  <si>
    <t>Took on-set notes during production to document approvals and client feedback.</t>
  </si>
  <si>
    <t>Helped collect and organize signed releases and other legal documentation.</t>
  </si>
  <si>
    <t>Uploaded shoot-day assets to internal systems for review and archiving.</t>
  </si>
  <si>
    <t>Routed initial edits internally and tracked feedback from creative, strategy, and production teams.</t>
  </si>
  <si>
    <t>Assisted in managing version control for commercial edits across platforms.</t>
  </si>
  <si>
    <t>Compiled and organized client feedback across rounds of review.</t>
  </si>
  <si>
    <t>Created and maintained distribution lists for final asset delivery.</t>
  </si>
  <si>
    <t>Coordinated with producers to ensure post timelines matched delivery deadlines.</t>
  </si>
  <si>
    <t>Helped update budget trackers and documented scope changes with account leads.</t>
  </si>
  <si>
    <t>Prepared materials for final approval meetings, including side-by-sides and edit logs.</t>
  </si>
  <si>
    <t>Supported the account team in confirming usage rights and licensing terms before asset release.</t>
  </si>
  <si>
    <t>Ensured all final files were correctly labeled, formatted, and delivered to media partners.</t>
  </si>
  <si>
    <t>Assisted in assembling wrap-up materials and case studies for internal and client reporting.</t>
  </si>
  <si>
    <t>Developed the overarching creative concept aligned with the campaign’s objectives.</t>
  </si>
  <si>
    <t>Directed the writing and refinement of the commercial script.</t>
  </si>
  <si>
    <t>Collaborated with the strategy team to ensure messaging consistency across platforms.</t>
  </si>
  <si>
    <t>Reviewed and approved storyboards and visual treatments.</t>
  </si>
  <si>
    <t>Selected and briefed the production company and director on creative expectations.</t>
  </si>
  <si>
    <t>Provided creative input during casting sessions and talent selection.</t>
  </si>
  <si>
    <t>Oversaw location scouting to ensure alignment with the visual style.</t>
  </si>
  <si>
    <t>Led internal reviews to finalize the creative brief and production guidelines.</t>
  </si>
  <si>
    <t>Presented the creative approach to clients and secured approvals.</t>
  </si>
  <si>
    <t>Partnered with producers to ensure the creative vision was achievable within the budget.</t>
  </si>
  <si>
    <t>Supervised on-set direction to ensure creative fidelity.</t>
  </si>
  <si>
    <t>Worked closely with the director to maintain tone, pacing, and visual identity.</t>
  </si>
  <si>
    <t>Provided real-time feedback on set design, wardrobe, and talent performance.</t>
  </si>
  <si>
    <t>Monitored shot composition and lighting to align with approved storyboards.</t>
  </si>
  <si>
    <t>Reviewed live playback footage to ensure consistency with the concept.</t>
  </si>
  <si>
    <t>Resolved creative discrepancies between production and agency teams.</t>
  </si>
  <si>
    <t>Approved adjustments to scripts or visuals during filming when necessary.</t>
  </si>
  <si>
    <t>Collaborated with agency producers to manage timing and shot priorities.</t>
  </si>
  <si>
    <t>Ensured brand elements were incorporated naturally within the scene.</t>
  </si>
  <si>
    <t>Maintained clear communication with the client regarding creative developments during the shoot</t>
  </si>
  <si>
    <t>Reviewed and provided direction on the initial rough cuts.</t>
  </si>
  <si>
    <t>Guided editors on pacing, transitions, and narrative clarity.</t>
  </si>
  <si>
    <t>Approved the music selection, voiceover tone, and audio mixing.</t>
  </si>
  <si>
    <t>Oversaw color grading to ensure visual consistency with brand aesthetics.</t>
  </si>
  <si>
    <t>Provided detailed feedback on graphics, typography, and supers.</t>
  </si>
  <si>
    <t>Ensured legal and compliance elements were visually and contextually integrated.</t>
  </si>
  <si>
    <t>Worked with producers to incorporate client revisions while preserving the creative vision.</t>
  </si>
  <si>
    <t>Finalized all creative decisions ahead of mastering and versioning.</t>
  </si>
  <si>
    <t>Participated in quality control checks before final delivery.</t>
  </si>
  <si>
    <t>Presented the final commercial to internal and client teams for sign-off.</t>
  </si>
  <si>
    <t>Digital and Broadcast Traffic Spec</t>
  </si>
  <si>
    <t>Confirmed all media deadlines and distribution specifications with media partners.</t>
  </si>
  <si>
    <t>Created a detailed trafficking timeline aligned with production and media schedules.</t>
  </si>
  <si>
    <t>Gathered clearance requirements and submission protocols from broadcast and digital platforms.</t>
  </si>
  <si>
    <t>Coordinated with legal and account teams to confirm required disclaimers and regulatory elements.</t>
  </si>
  <si>
    <t>Established file format and technical requirements for each platform and vendor.</t>
  </si>
  <si>
    <t>Set up naming conventions and metadata standards for all deliverables.</t>
  </si>
  <si>
    <t>Created and distributed traffic instructions for internal and external teams.</t>
  </si>
  <si>
    <t>Confirmed ISCI codes or ad-IDs were reserved and registered properly.</t>
  </si>
  <si>
    <t>Coordinated asset needs with post-production and creative teams.</t>
  </si>
  <si>
    <t>Aligned trafficking schedules with anticipated production milestones.</t>
  </si>
  <si>
    <t>Maintained regular communication with production teams to track delivery timelines.</t>
  </si>
  <si>
    <t>Updated trafficking documents in real time as changes to media plans occurred.</t>
  </si>
  <si>
    <t>Checked on-set to ensure versioning needs and platform-specific deliverables were accounted for.</t>
  </si>
  <si>
    <t>Coordinated with the producer and editor to pre-plan encoding and formatting.</t>
  </si>
  <si>
    <t>Confirmed that necessary visual or audio tags for each media channel were included in the shot list.</t>
  </si>
  <si>
    <t>Flagged potential timing issues that could impact trafficking deadlines.</t>
  </si>
  <si>
    <t>Updated media partners on any shifts in estimated delivery dates.</t>
  </si>
  <si>
    <t>Provided platform-specific guidelines to ensure creative compliance.</t>
  </si>
  <si>
    <t>Assisted in organizing take-down and embargo schedules for embargoed spots.</t>
  </si>
  <si>
    <t>Maintained a centralized tracking system for asset status across all commercial versions</t>
  </si>
  <si>
    <t>Collected final masters and ensured all assets were delivered in required specifications.</t>
  </si>
  <si>
    <t>Verified file integrity, aspect ratios, codecs, and audio levels against media requirements.</t>
  </si>
  <si>
    <t>Routed assets through internal quality control processes.</t>
  </si>
  <si>
    <t>Distributed final spots to media partners, stations, or digital platforms per trafficking instructions.</t>
  </si>
  <si>
    <t>Uploaded assets into ad servers, media exchanges, or distribution portals.</t>
  </si>
  <si>
    <t>Registered spots with relevant clearance bodies (e.g., Clearcast, Extreme Reach) where applicable.</t>
  </si>
  <si>
    <t>Archived final versions with appropriate metadata and backup protocols.</t>
  </si>
  <si>
    <t>Tracked confirmation receipts and air-dates from media vendors.</t>
  </si>
  <si>
    <t>Issued final trafficking reports to internal stakeholders and client teams.</t>
  </si>
  <si>
    <t>Logged and resolved any distribution issues, rejections, or late deliveries.</t>
  </si>
  <si>
    <t>Freelance Acct Exec</t>
  </si>
  <si>
    <t>Acted as the primary liaison between the client and internal teams to align on campaign goals.</t>
  </si>
  <si>
    <t>Gathered and documented all client input, mandatories, and brand guidelines.</t>
  </si>
  <si>
    <t>Scheduled and facilitated kickoff meetings with strategy, creative, and production leads.</t>
  </si>
  <si>
    <t>Managed client approvals on initial creative concepts, scripts, and production plans.</t>
  </si>
  <si>
    <t>Created and maintained a master project timeline and status tracker.</t>
  </si>
  <si>
    <t>Coordinated internal and external communications to ensure all stakeholders remained informed.</t>
  </si>
  <si>
    <t>Reviewed budgets with the project manager and flagged potential scope issues early.</t>
  </si>
  <si>
    <t>Briefed the client on the production schedule, roles, and key deliverables.</t>
  </si>
  <si>
    <t>Assisted with securing client-supplied assets and references required for creative development.</t>
  </si>
  <si>
    <t>Collected and distributed feedback from client reviews in an organized and actionable format</t>
  </si>
  <si>
    <t>Represented client interests on set or in virtual production environments.</t>
  </si>
  <si>
    <t>Provided real-time updates to the client on shoot progress and key moments.</t>
  </si>
  <si>
    <t>Ensured the production remained aligned with the approved creative brief.</t>
  </si>
  <si>
    <t>Relayed client or agency leadership feedback to the director or production team as needed.</t>
  </si>
  <si>
    <t>Addressed last-minute client concerns or requests in coordination with producers.</t>
  </si>
  <si>
    <t>Verified that all necessary legal, brand, and compliance elements were being captured.</t>
  </si>
  <si>
    <t>Maintained clear documentation of shoot details and any on-the-fly decisions.</t>
  </si>
  <si>
    <t>Escalated production issues to senior stakeholders promptly and constructively.</t>
  </si>
  <si>
    <t>Gathered behind-the-scenes content or stills as requested by the client.</t>
  </si>
  <si>
    <t>Confirmed delivery timelines were still achievable based on shoot performance.</t>
  </si>
  <si>
    <t>Managed the client review process for rough cuts, revisions, and final edits.</t>
  </si>
  <si>
    <t>Compiled consolidated client feedback and communicated it clearly to post-production.</t>
  </si>
  <si>
    <t>Ensured client requests were balanced with the integrity of the creative vision.</t>
  </si>
  <si>
    <t>Monitored progress of edits to ensure deadlines were met.</t>
  </si>
  <si>
    <t>Facilitated internal review sessions before sending versions to the client.</t>
  </si>
  <si>
    <t>Tracked all client approvals, change requests, and delivery confirmations.</t>
  </si>
  <si>
    <t>Verified all final deliverables met client specs before trafficking or handoff.</t>
  </si>
  <si>
    <t>Provided status updates to both the client and internal teams throughout post.</t>
  </si>
  <si>
    <t>Assisted with gathering performance assets for case studies or post-campaign reporting.</t>
  </si>
  <si>
    <t>Ensured all contractual deliverables were fulfilled and documented upon completion.</t>
  </si>
  <si>
    <t>Exec Bus Dir</t>
  </si>
  <si>
    <t>Defined the commercial’s strategic business objectives in alignment with the broader campaign.</t>
  </si>
  <si>
    <t>Secured senior client buy-in on the creative direction, media investment, and production scope.</t>
  </si>
  <si>
    <t>Oversaw the integration of brand, media, and creative strategies across departments.</t>
  </si>
  <si>
    <t>Aligned internal leadership teams on resource allocation, budget forecasting, and risk management.</t>
  </si>
  <si>
    <t>Reviewed and approved key agency deliverables, including creative briefs and production plans.</t>
  </si>
  <si>
    <t>Facilitated alignment between client-side decision-makers and agency leadership.</t>
  </si>
  <si>
    <t>Evaluated potential production partners in collaboration with executive producers and finance leads.</t>
  </si>
  <si>
    <t>Anticipated operational or financial risks and established contingency frameworks.</t>
  </si>
  <si>
    <t>Ensured all contractual obligations, scopes, and service agreements were clearly defined.</t>
  </si>
  <si>
    <t>Established performance metrics and success criteria for the commercial’s business impact</t>
  </si>
  <si>
    <t>Provided executive oversight to ensure production activities supported strategic goals.</t>
  </si>
  <si>
    <t>Maintained regular communication with senior client stakeholders throughout the shoot.</t>
  </si>
  <si>
    <t>Supported creative and production leadership in navigating client or logistical escalations.</t>
  </si>
  <si>
    <t>Evaluated real-time production progress against budget and schedule benchmarks.</t>
  </si>
  <si>
    <t>Ensured all deliverables remained compliant with legal, financial, and brand requirements.</t>
  </si>
  <si>
    <t>Authorized critical decisions affecting the project scope, resourcing, or creative execution.</t>
  </si>
  <si>
    <t>Supported high-profile client visits to set or production meetings as needed.</t>
  </si>
  <si>
    <t>Advised on potential implications of mid-production changes or delays.</t>
  </si>
  <si>
    <t>Maintained alignment between agency teams and client C-suite throughout execution.</t>
  </si>
  <si>
    <t>Reinforced cross-functional accountability across creative, production, and media leads</t>
  </si>
  <si>
    <t>Oversaw the final creative review process in collaboration with agency and client leadership.</t>
  </si>
  <si>
    <t>Ensured all deliverables adhered to contractual terms and media commitments.</t>
  </si>
  <si>
    <t>Reviewed final campaign assets to confirm alignment with strategic objectives.</t>
  </si>
  <si>
    <t>Facilitated final client sign-offs on creative and financial reconciliation.</t>
  </si>
  <si>
    <t>Managed high-level discussions around campaign launch, timing, and performance tracking.</t>
  </si>
  <si>
    <t>Reviewed project debriefs to extract insights and lessons for future initiatives.</t>
  </si>
  <si>
    <t>Approved final budget reconciliations and ensured fiscal accountability.</t>
  </si>
  <si>
    <t>Supported internal recognition of team performance and successful execution.</t>
  </si>
  <si>
    <t>Participated in executive-level reporting on campaign outcomes and ROI analysis.</t>
  </si>
  <si>
    <t>Led relationship continuity planning for future work and account growth opportunities</t>
  </si>
  <si>
    <t>Head of Program Mgt</t>
  </si>
  <si>
    <t>Defined the program structure, timelines, and key milestones in alignment with campaign objectives.</t>
  </si>
  <si>
    <t>Oversaw the creation and approval of integrated project plans across creative, production, and media.</t>
  </si>
  <si>
    <t>Facilitated alignment meetings with department leads to ensure cross-functional coordination.</t>
  </si>
  <si>
    <t>Identified potential delivery risks and implemented mitigation strategies early in planning.</t>
  </si>
  <si>
    <t>Secured resource commitments across teams and balanced workloads across programs.</t>
  </si>
  <si>
    <t>Reviewed scopes of work to ensure consistency with commercial objectives and budget.</t>
  </si>
  <si>
    <t>Standardized workflows and documentation to ensure clear ownership and accountability.</t>
  </si>
  <si>
    <t>Established communication protocols and escalation pathways across internal and external teams.</t>
  </si>
  <si>
    <t>Partnered with finance and operations leads to confirm project tracking and reporting structures.</t>
  </si>
  <si>
    <t>Ensured all legal, compliance, and procurement processes were accounted for in the project schedule</t>
  </si>
  <si>
    <t>Monitored production timelines to ensure adherence to the master schedule.</t>
  </si>
  <si>
    <t>Coordinated cross-functional syncs to address shifting priorities and resource reallocation.</t>
  </si>
  <si>
    <t>Maintained oversight of interdependencies between creative execution and production logistics.</t>
  </si>
  <si>
    <t>Served as a senior escalation point for schedule conflicts or delivery concerns.</t>
  </si>
  <si>
    <t>Ensured all stakeholders had access to updated production status reports and timelines.</t>
  </si>
  <si>
    <t>Conducted risk reviews and adjusted planning assumptions in real time as needed.</t>
  </si>
  <si>
    <t>Worked with the production team to verify that deliverables aligned with program scope.</t>
  </si>
  <si>
    <t>Facilitated change management processes when creative or operational shifts occurred.</t>
  </si>
  <si>
    <t>Aligned with legal, traffic, and business affairs to confirm all compliance tasks were progressing.</t>
  </si>
  <si>
    <t>Provided program-level reporting to executive leadership on production status and blockers.</t>
  </si>
  <si>
    <t>Oversaw the scheduling and coordination of post-production milestones across departments.</t>
  </si>
  <si>
    <t>Ensured final delivery timelines remained aligned with media flight dates and trafficking plans.</t>
  </si>
  <si>
    <t>Reviewed version control processes to prevent delays in asset finalization and approvals.</t>
  </si>
  <si>
    <t>Drove post-mortem planning and retrospectives to evaluate operational performance.</t>
  </si>
  <si>
    <t>Maintained cross-functional alignment as deliverables moved through editing, client review, and QC.</t>
  </si>
  <si>
    <t>Resolved workflow bottlenecks to maintain post-production momentum.</t>
  </si>
  <si>
    <t>Managed dependencies between editorial, trafficking, and distribution workflows.</t>
  </si>
  <si>
    <t>Delivered program-level wrap reports highlighting performance, risks, and outcomes.</t>
  </si>
  <si>
    <t>Partnered with finance to close out budgets and reconcile final production costs.</t>
  </si>
  <si>
    <t>Captured learnings and best practices to inform future campaign planning and delivery models.</t>
  </si>
  <si>
    <t>General Counsel</t>
  </si>
  <si>
    <t>Reviewed and approved all creative concepts and scripts for legal compliance and risk exposure.</t>
  </si>
  <si>
    <t>Conducted preliminary clearance assessments for potential claims, likeness issues, and IP usage.</t>
  </si>
  <si>
    <t>Drafted and negotiated production-related agreements, including vendor, talent, and licensing contracts.</t>
  </si>
  <si>
    <t>Ensured adherence to advertising laws, industry standards, and regulatory guidelines.</t>
  </si>
  <si>
    <t>Provided legal guidance on contest rules, pricing claims, endorsements, and substantiation requirements.</t>
  </si>
  <si>
    <t>Reviewed talent releases, union obligations, and contractual terms for third-party involvement.</t>
  </si>
  <si>
    <t>Coordinated with business affairs to finalize usage rights for music, imagery, and external content.</t>
  </si>
  <si>
    <t>Assessed potential liability in storyline elements, representations, or comparative claims.</t>
  </si>
  <si>
    <t>Worked with internal teams to ensure all disclosures and disclaimers were properly drafted.</t>
  </si>
  <si>
    <t>Advised leadership on jurisdictional considerations and international compliance issues where applicable.</t>
  </si>
  <si>
    <t>Monitored live production activities to ensure compliance with union rules, labor laws, and safety protocols.</t>
  </si>
  <si>
    <t>Reviewed any script or scene changes during filming for continued legal integrity.</t>
  </si>
  <si>
    <t>Responded to real-time legal inquiries or concerns raised by production or agency staff.</t>
  </si>
  <si>
    <t>Ensured appropriate documentation and releases were obtained for on-location shoots and background talent.</t>
  </si>
  <si>
    <t>Advised on issues related to defamation, likeness rights, or copyright during filming.</t>
  </si>
  <si>
    <t>Reviewed signage, props, and set elements to prevent inadvertent IP infringements.</t>
  </si>
  <si>
    <t>Collaborated with producers to address last-minute legal escalations or contractual constraints.</t>
  </si>
  <si>
    <t>Ensured sensitive content complied with advertising standards and community guidelines.</t>
  </si>
  <si>
    <t>Worked with outside counsel or compliance consultants when specialized jurisdictional input was required.</t>
  </si>
  <si>
    <t>Documented legal oversight activities to support risk management and post-project auditing</t>
  </si>
  <si>
    <t>Conducted final legal review of edited content to ensure all usage rights and clearances were secured.</t>
  </si>
  <si>
    <t>Verified that all required disclaimers, disclosures, and legal text were included in final deliverables.</t>
  </si>
  <si>
    <t>Confirmed that third-party IP, music, and talent usage adhered to the terms of negotiated licenses.</t>
  </si>
  <si>
    <t>Provided final sign-off on commercial assets before distribution and public release.</t>
  </si>
  <si>
    <t>Coordinated with media and traffic teams to ensure regulatory compliance across channels.</t>
  </si>
  <si>
    <t>Reviewed and archived all contracts, releases, and clearance documentation for future reference.</t>
  </si>
  <si>
    <t>Advised on legal risk in market-specific versions or adaptations of the commercial.</t>
  </si>
  <si>
    <t>Responded to any post-launch legal inquiries, challenges, or takedown requests.</t>
  </si>
  <si>
    <t>Supported the development of legal debrief materials for internal stakeholders.</t>
  </si>
  <si>
    <t>Identified opportunities to strengthen internal advertising compliance policies and training.</t>
  </si>
  <si>
    <t>Sr Bus Anlyst</t>
  </si>
  <si>
    <t>Analyzed client requirements and documented key business objectives.</t>
  </si>
  <si>
    <t>Collaborated with creative and account teams to define project scope and deliverables.</t>
  </si>
  <si>
    <t>Facilitated stakeholder meetings to gather detailed functional and technical specifications.</t>
  </si>
  <si>
    <t>Developed and maintained the project timeline and resource allocation plan.</t>
  </si>
  <si>
    <t>Prepared comprehensive business requirement documents and ensured alignment with marketing goals.</t>
  </si>
  <si>
    <t>Monitored project progress against requirements and identified potential risks or deviations.</t>
  </si>
  <si>
    <t>Coordinated communication between creative, technical, and client teams to resolve issues.</t>
  </si>
  <si>
    <t>Validated adherence to business requirements during production activities.</t>
  </si>
  <si>
    <t>Updated stakeholders with status reports and impact assessments of changes.</t>
  </si>
  <si>
    <t>Assisted in decision-making by providing data-driven insights and analysis.</t>
  </si>
  <si>
    <t>Conducted a detailed review of final deliverables against initial business requirements.</t>
  </si>
  <si>
    <t>Gathered feedback from stakeholders to assess project success and areas for improvement.</t>
  </si>
  <si>
    <t>Documented lessons learned and best practices for future projects.</t>
  </si>
  <si>
    <t>Facilitated post-mortem meetings to evaluate project outcomes and client satisfaction.</t>
  </si>
  <si>
    <t>Prepared final reports summarizing performance metrics and compliance with business objectives.</t>
  </si>
  <si>
    <t>Assoc Program Dir</t>
  </si>
  <si>
    <t>Coordinated internal kick-off meetings to align creative, strategy, and production teams.</t>
  </si>
  <si>
    <t>Reviewed project timelines and ensured all deliverables were scheduled appropriately.</t>
  </si>
  <si>
    <t>Consolidated client feedback into actionable notes for the creative and production teams.</t>
  </si>
  <si>
    <t>Oversaw budget outlines and confirmed allocation of resources across departments.</t>
  </si>
  <si>
    <t>Finalized vendor and partner agreements required for the shoot.</t>
  </si>
  <si>
    <t>Supervised daily production activities to ensure alignment with project objectives.</t>
  </si>
  <si>
    <t>Facilitated communication between the client, creative team, and production crew on set.</t>
  </si>
  <si>
    <t>Monitored adherence to the approved timeline and budget during the shoot.</t>
  </si>
  <si>
    <t>Addressed real-time issues by coordinating solutions with department leads.</t>
  </si>
  <si>
    <t>Documented progress and provided regular status updates to stakeholders.</t>
  </si>
  <si>
    <t>Reviewed rough cuts and gathered consolidated feedback from internal teams and clients.</t>
  </si>
  <si>
    <t>Tracked revisions and ensured delivery deadlines were met.</t>
  </si>
  <si>
    <t>Coordinated final approvals across creative, legal, and client stakeholders.</t>
  </si>
  <si>
    <t>Verified accuracy and consistency of deliverables before release.</t>
  </si>
  <si>
    <t>Managed the final delivery process across required platforms and formats.</t>
  </si>
  <si>
    <t>Integrated Prod</t>
  </si>
  <si>
    <t>Developed detailed production schedules and distributed them to all departments.</t>
  </si>
  <si>
    <t>Secured bids from vendors and negotiated contracts with external partners.</t>
  </si>
  <si>
    <t>Coordinated logistics for casting, locations, and crew requirements.</t>
  </si>
  <si>
    <t>Managed pre-production meetings to confirm creative, technical, and operational needs.</t>
  </si>
  <si>
    <t>Ensured compliance with budget constraints through cost estimates and approvals</t>
  </si>
  <si>
    <t>Oversaw on-set operations to maintain efficiency and quality standards.</t>
  </si>
  <si>
    <t>Supervised vendors, crew, and talent to ensure deliverables matched the creative vision.</t>
  </si>
  <si>
    <t>Managed daily call sheets, production reports, and expense tracking.</t>
  </si>
  <si>
    <t>Resolved technical and logistical issues as they arose during the shoot.</t>
  </si>
  <si>
    <t>Ensured all production assets were properly documented and archived.</t>
  </si>
  <si>
    <t>Coordinated handoff of production materials to post-production teams.</t>
  </si>
  <si>
    <t>Scheduled edit sessions and tracked progress against delivery milestones.</t>
  </si>
  <si>
    <t>Supervised sound, color, and visual effects workflows to maintain consistency.</t>
  </si>
  <si>
    <t>Consolidated client and internal feedback for editors and finishing teams.</t>
  </si>
  <si>
    <t>Oversaw final mastering and ensured assets were delivered in approved formats.</t>
  </si>
  <si>
    <t>Group Bus Dir</t>
  </si>
  <si>
    <t>Collaborated with clients to finalize the creative brief and campaign objectives.</t>
  </si>
  <si>
    <t>Aligned internal teams on the project scope, timelines, and key deliverables.</t>
  </si>
  <si>
    <t>Approved the creative concept and ensured alignment with the brand’s positioning.</t>
  </si>
  <si>
    <t>Oversaw budget allocations and confirmed financial approvals for the production.</t>
  </si>
  <si>
    <t>Reviewed director’s treatment and provided strategic feedback.</t>
  </si>
  <si>
    <t>Coordinated with the production house to confirm schedules and logistics.</t>
  </si>
  <si>
    <t>Ensured all contracts, releases, and legal requirements were completed.</t>
  </si>
  <si>
    <t>Managed client expectations through status meetings and progress updates.</t>
  </si>
  <si>
    <t>Supervised the selection of key talent, locations, and production vendors.</t>
  </si>
  <si>
    <t>Approved the final pre-production checklist before moving to the shoot phase.</t>
  </si>
  <si>
    <t>Represented the agency on set to oversee creative and strategic consistency.</t>
  </si>
  <si>
    <t>Monitored the shoot schedule to ensure adherence to approved timelines.</t>
  </si>
  <si>
    <t>Reviewed live takes and provided feedback on creative execution.</t>
  </si>
  <si>
    <t>Coordinated communication between the client, director, and production team.</t>
  </si>
  <si>
    <t>Managed real-time decision-making to resolve any production challenges.</t>
  </si>
  <si>
    <t>Ensured brand guidelines were maintained throughout all visual and verbal elements.</t>
  </si>
  <si>
    <t>Authorized any on-set adjustments within the approved budget and scope.</t>
  </si>
  <si>
    <t>Documented production updates for internal reporting and client review.</t>
  </si>
  <si>
    <t>Supported the creative team in aligning the shoot with campaign objectives.</t>
  </si>
  <si>
    <t>Confirmed completion of all planned scenes before wrap.</t>
  </si>
  <si>
    <t>Reviewed the first cut and provided consolidated feedback from the agency and client.</t>
  </si>
  <si>
    <t>Approved music, voiceover, and sound design selections.</t>
  </si>
  <si>
    <t>Coordinated revisions and ensured creative alignment across multiple deliverables.</t>
  </si>
  <si>
    <t>Oversaw color grading, graphics, and final visual treatments.</t>
  </si>
  <si>
    <t>Ensured all legal and compliance requirements were met in the final version.</t>
  </si>
  <si>
    <t>Managed final client presentations and secured approval for release.</t>
  </si>
  <si>
    <t>Reviewed post-production budgets and reconciled final costs.</t>
  </si>
  <si>
    <t>Supervised the delivery of broadcast and digital masters to media partners.</t>
  </si>
  <si>
    <t>Conducted a post-campaign evaluation meeting with the client and internal teams.</t>
  </si>
  <si>
    <t>Documented key learnings and best practices for future productions.</t>
  </si>
  <si>
    <t>Assoc Creative Dir/Copywriter</t>
  </si>
  <si>
    <t>Developed campaign concepts and scripts based on the approved creative brief.</t>
  </si>
  <si>
    <t>Collaborated with art directors and strategists to refine key campaign messaging.</t>
  </si>
  <si>
    <t>Presented creative ideas and scripts to clients and internal leadership for approval.</t>
  </si>
  <si>
    <t>Revised concepts and scripts following client and agency feedback.</t>
  </si>
  <si>
    <t>Worked with the director and production team to translate creative vision to screen.</t>
  </si>
  <si>
    <t>Participated in casting sessions to evaluate talent performance and tone.</t>
  </si>
  <si>
    <t>Reviewed storyboards and shot lists to ensure alignment with the script and brand voice.</t>
  </si>
  <si>
    <t>Prepared voiceover scripts, on-screen copy, and supers for the commercial.</t>
  </si>
  <si>
    <t>Ensured the creative tone and language reflected the campaign’s strategic direction.</t>
  </si>
  <si>
    <t>Finalized all copy and creative materials prior to the production shoot.</t>
  </si>
  <si>
    <t>Attended the shoot to oversee creative integrity and brand consistency.</t>
  </si>
  <si>
    <t>Provided on-set copy adjustments to enhance clarity and performance delivery.</t>
  </si>
  <si>
    <t>Collaborated with the director and production team to align visuals with the script.</t>
  </si>
  <si>
    <t>Supervised talent to ensure accurate tone and emotional delivery.</t>
  </si>
  <si>
    <t>Reviewed live playback and provided input on line delivery and pacing.</t>
  </si>
  <si>
    <t>Ensured all creative elements adhered to the approved messaging and brand tone.</t>
  </si>
  <si>
    <t>Coordinated with producers to manage real-time creative revisions.</t>
  </si>
  <si>
    <t>Assisted in capturing alternative lines or variations for editorial flexibility.</t>
  </si>
  <si>
    <t>Maintained communication with agency and client teams throughout production.</t>
  </si>
  <si>
    <t>Approved final takes before wrap to confirm creative satisfaction.</t>
  </si>
  <si>
    <t>Reviewed rough cuts and provided feedback on narrative flow and copy delivery.</t>
  </si>
  <si>
    <t>Refined voiceover scripts and supervised voice recording sessions.</t>
  </si>
  <si>
    <t>Collaborated with editors to ensure the storytelling matched the campaign intent.</t>
  </si>
  <si>
    <t>Approved music, tone, and pacing to maintain emotional and creative consistency.</t>
  </si>
  <si>
    <t>Reviewed on-screen text, legal lines, and end cards for accuracy and readability.</t>
  </si>
  <si>
    <t>Evaluated final color grade and sound mix for tone consistency.</t>
  </si>
  <si>
    <t>Coordinated with motion graphics teams to finalize supers and typography.</t>
  </si>
  <si>
    <t>Provided creative direction during the final edit review sessions.</t>
  </si>
  <si>
    <t>Secured client and internal approvals for the finished commercial.</t>
  </si>
  <si>
    <t>Archived scripts and creative materials for future campaign reference</t>
  </si>
  <si>
    <t>Defined the campaign’s strategic direction based on client objectives and market insights.</t>
  </si>
  <si>
    <t>Conducted audience research and data analysis to identify key consumer motivations.</t>
  </si>
  <si>
    <t>Developed the communication framework and core messaging strategy.</t>
  </si>
  <si>
    <t>Collaborated with creative and account teams to ensure strategic alignment.</t>
  </si>
  <si>
    <t>Presented strategic recommendations and insights to clients for approval.</t>
  </si>
  <si>
    <t>Supervised the development of the creative brief to translate strategy into execution.</t>
  </si>
  <si>
    <t>Reviewed early creative concepts to ensure alignment with the brand positioning.</t>
  </si>
  <si>
    <t>Provided data-driven guidance on channel mix, audience targeting, and tone.</t>
  </si>
  <si>
    <t>Validated the creative and production plan against campaign KPIs.</t>
  </si>
  <si>
    <t>Supported the client team in aligning multiple stakeholders on the strategic approach.</t>
  </si>
  <si>
    <t>Observed the shoot to ensure the execution reflected the strategic intent.</t>
  </si>
  <si>
    <t>Advised the creative team on narrative clarity and brand relevance.</t>
  </si>
  <si>
    <t>Monitored production elements to confirm alignment with audience insights.</t>
  </si>
  <si>
    <t>Reviewed script and scene execution to ensure consistency with the campaign message.</t>
  </si>
  <si>
    <t>Supported the agency and client teams in resolving strategy-related questions on set.</t>
  </si>
  <si>
    <t>Provided feedback on visual and verbal cues to strengthen strategic storytelling.</t>
  </si>
  <si>
    <t>Coordinated with the account team to ensure production decisions upheld brand goals.</t>
  </si>
  <si>
    <t>Assessed potential content variations for different media placements.</t>
  </si>
  <si>
    <t>Maintained oversight on message hierarchy and brand tone throughout filming.</t>
  </si>
  <si>
    <t>Documented key strategy observations for post-production reference.</t>
  </si>
  <si>
    <t>Reviewed rough cuts to ensure the final edit reinforced the campaign strategy.</t>
  </si>
  <si>
    <t>Evaluated narrative pacing and emotional resonance against audience insights.</t>
  </si>
  <si>
    <t>Provided feedback on copy, visuals, and sound to optimize strategic impact.</t>
  </si>
  <si>
    <t>Reviewed analytics from test edits or focus groups for performance validation.</t>
  </si>
  <si>
    <t>Collaborated with media planners to ensure strategic consistency across formats.</t>
  </si>
  <si>
    <t>Approved final messaging and tone prior to client delivery.</t>
  </si>
  <si>
    <t>Participated in final client reviews to articulate strategic rationale.</t>
  </si>
  <si>
    <t>Ensured the final work adhered to the brand’s positioning and market objectives.</t>
  </si>
  <si>
    <t>Conducted a post-campaign evaluation of results versus KPIs.</t>
  </si>
  <si>
    <t>Compiled strategic learnings and insights for future campaign planning</t>
  </si>
  <si>
    <t>Coordinated with the client to confirm campaign objectives and key deliverables.</t>
  </si>
  <si>
    <t>Facilitated internal briefings between creative, strategy, and production teams.</t>
  </si>
  <si>
    <t>Reviewed and approved the creative brief prior to presentation.</t>
  </si>
  <si>
    <t>Scheduled client meetings to present initial concepts and gather feedback.</t>
  </si>
  <si>
    <t>Aligned budget estimates and secured client approval for production costs.</t>
  </si>
  <si>
    <t>Managed timelines and ensured all pre-production milestones were met.</t>
  </si>
  <si>
    <t>Oversaw the preparation of production contracts and vendor agreements.</t>
  </si>
  <si>
    <t>Communicated revisions and approvals between the client and internal teams.</t>
  </si>
  <si>
    <t>Confirmed final scripts, storyboards, and casting selections with the client.</t>
  </si>
  <si>
    <t>Ensured all legal and brand compliance documents were submitted before shoot.</t>
  </si>
  <si>
    <t>Acted as the primary liaison between the client and production team on set.</t>
  </si>
  <si>
    <t>Monitored adherence to approved budgets and production schedules.</t>
  </si>
  <si>
    <t>Facilitated real-time client feedback during filming sessions.</t>
  </si>
  <si>
    <t>Ensured brand guidelines were maintained throughout the shoot.</t>
  </si>
  <si>
    <t>Coordinated logistics for client attendance during production days.</t>
  </si>
  <si>
    <t>Managed communication between agency departments and external vendors.</t>
  </si>
  <si>
    <t>Verified that all required releases and documentation were completed on site.</t>
  </si>
  <si>
    <t>Resolved client concerns promptly to maintain workflow efficiency.</t>
  </si>
  <si>
    <t>Recorded key updates and relayed progress reports to internal stakeholders.</t>
  </si>
  <si>
    <t>Reviewed preliminary footage with the production team before client delivery.</t>
  </si>
  <si>
    <t>Organized review sessions for rough cuts and edits with the client.</t>
  </si>
  <si>
    <t>Gathered and consolidated feedback from client stakeholders.</t>
  </si>
  <si>
    <t>Coordinated revisions with the creative and post-production teams.</t>
  </si>
  <si>
    <t>Verified that final outputs matched approved storyboards and messaging.</t>
  </si>
  <si>
    <t>Ensured timely delivery of finished assets across all required formats.</t>
  </si>
  <si>
    <t>Reviewed and approved post-production invoices and expense reports.</t>
  </si>
  <si>
    <t>Managed final sign-off processes with the client and internal departments.</t>
  </si>
  <si>
    <t>Oversaw the archiving of project files and production documentation.</t>
  </si>
  <si>
    <t>Assisted in preparing final performance and budget summary reports.</t>
  </si>
  <si>
    <t>Maintained ongoing communication with the client for future campaign follow-ups.</t>
  </si>
  <si>
    <t>Production Mgr</t>
  </si>
  <si>
    <t>Developed detailed production schedules and shooting timelines.</t>
  </si>
  <si>
    <t>Coordinated with directors, producers, and agency teams to define production requirements.</t>
  </si>
  <si>
    <t>Prepared and managed the overall production budget for client approval.</t>
  </si>
  <si>
    <t>Secured filming locations and obtained necessary permits and insurance.</t>
  </si>
  <si>
    <t>Hired production crew, including technical staff, set designers, and equipment operators.</t>
  </si>
  <si>
    <t>Arranged casting sessions and confirmed talent availability and contracts.</t>
  </si>
  <si>
    <t>Scheduled pre-production meetings to align all departments on shoot logistics.</t>
  </si>
  <si>
    <t>Oversaw procurement of equipment, props, and wardrobe for the shoot.</t>
  </si>
  <si>
    <t>Reviewed storyboards and shot lists to identify potential logistical challenges.</t>
  </si>
  <si>
    <t>Ensured all pre-production documentation, safety plans, and compliance requirements were completed.</t>
  </si>
  <si>
    <t>Supervised all on-set operations to ensure the shoot ran smoothly and on schedule.</t>
  </si>
  <si>
    <t>Managed day-to-day logistics, including call times, crew coordination, and location setup.</t>
  </si>
  <si>
    <t>Monitored adherence to production budgets and managed any cost adjustments.</t>
  </si>
  <si>
    <t>Oversaw the proper setup and operation of production equipment.</t>
  </si>
  <si>
    <t>Maintained communication between the director, agency team, and client representatives.</t>
  </si>
  <si>
    <t>Addressed and resolved on-site issues or delays promptly.</t>
  </si>
  <si>
    <t>Ensured safety protocols and industry standards were followed throughout filming.</t>
  </si>
  <si>
    <t>Approved daily production reports and tracked progress against the schedule.</t>
  </si>
  <si>
    <t>Coordinated meal breaks, transport, and accommodations for cast and crew.</t>
  </si>
  <si>
    <t>Verified that all required shots were completed before wrap.</t>
  </si>
  <si>
    <t>Reviewed and confirmed delivery of raw footage and production materials to the post team.</t>
  </si>
  <si>
    <t>Organized post-production timelines in collaboration with editors and producers.</t>
  </si>
  <si>
    <t>Managed vendor coordination for editing, color grading, sound design, and visual effects.</t>
  </si>
  <si>
    <t>Monitored post-production expenses and reconciled final costs against the budget.</t>
  </si>
  <si>
    <t>Ensured adherence to delivery schedules and technical specifications.</t>
  </si>
  <si>
    <t>Facilitated communication between the post-production team and account management.</t>
  </si>
  <si>
    <t>Oversaw the review process for rough cuts and client revisions.</t>
  </si>
  <si>
    <t>Verified quality control of final outputs before delivery.</t>
  </si>
  <si>
    <t>Supervised final asset delivery to the agency or client in required formats.</t>
  </si>
  <si>
    <t>Compiled post-production reports and maintained documentation for future reference.</t>
  </si>
  <si>
    <t>Dir of Bus Affairs</t>
  </si>
  <si>
    <t>Reviewed and approved all vendor and talent contracts to ensure compliance with company policies.</t>
  </si>
  <si>
    <t>Negotiated usage rights and licensing terms for music, footage, and intellectual property.</t>
  </si>
  <si>
    <t>Coordinated with legal counsel to confirm adherence to advertising regulations and union guidelines.</t>
  </si>
  <si>
    <t>Assessed production budgets for contractual accuracy and financial feasibility.</t>
  </si>
  <si>
    <t>Finalized talent agreements and secured required releases prior to shoot commencement.</t>
  </si>
  <si>
    <t>Collaborated with producers to determine appropriate insurance coverage and risk management plans.</t>
  </si>
  <si>
    <t>Verified all third-party vendor credentials and ensured legal documentation was properly executed.</t>
  </si>
  <si>
    <t>Oversaw the clearance of scripts and storyboards for potential legal or regulatory issues.</t>
  </si>
  <si>
    <t>Ensured all necessary permits and location agreements were completed and filed.</t>
  </si>
  <si>
    <t>Provided guidance to internal teams on business and legal considerations during project planning.</t>
  </si>
  <si>
    <t>Monitored on-set operations to ensure compliance with union, talent, and vendor agreements.</t>
  </si>
  <si>
    <t>Addressed any contract-related issues or disputes that arose during filming.</t>
  </si>
  <si>
    <t>Confirmed that usage and compensation terms were adhered to for all performers and crew.</t>
  </si>
  <si>
    <t>Reviewed and approved on-site changes to budgets and scopes of work.</t>
  </si>
  <si>
    <t>Coordinated with the production manager to verify insurance and safety requirements were met.</t>
  </si>
  <si>
    <t>Documented any production adjustments impacting contractual terms or deliverables.</t>
  </si>
  <si>
    <t>Ensured that all required releases and documentation were obtained during the shoot.</t>
  </si>
  <si>
    <t>Managed communications between legal, finance, and production teams regarding compliance.</t>
  </si>
  <si>
    <t>Oversaw execution of payment schedules for vendors and talent in accordance with contracts.</t>
  </si>
  <si>
    <t>Supported producers in resolving last-minute licensing or clearance concerns</t>
  </si>
  <si>
    <t>Reviewed final edits to confirm compliance with licensed materials and contractual limitations.</t>
  </si>
  <si>
    <t>Verified that all talent usage and residual obligations were accurately tracked and documented.</t>
  </si>
  <si>
    <t>Coordinated with finance to process final payments and close out production accounts.</t>
  </si>
  <si>
    <t>Ensured that music, footage, and visual elements were cleared for final broadcast or digital release.</t>
  </si>
  <si>
    <t>Oversaw the preparation of legal and compliance deliverables for network submission.</t>
  </si>
  <si>
    <t>Addressed any post-production claims or legal inquiries related to usage or representation.</t>
  </si>
  <si>
    <t>Maintained detailed records of all contracts, clearances, and licensing agreements.</t>
  </si>
  <si>
    <t>Collaborated with distribution partners to confirm media rights and territory restrictions.</t>
  </si>
  <si>
    <t>Conducted a final review of project files to ensure all business affairs documentation was complete.</t>
  </si>
  <si>
    <t>Provided post-mortem feedback to senior management on contractual performance and risk management.</t>
  </si>
  <si>
    <t>Jr Copywriter</t>
  </si>
  <si>
    <t>Assisted in developing initial concept ideas and creative themes for the commercial.</t>
  </si>
  <si>
    <t>Wrote and refined copy for scripts, taglines, and campaign materials under senior direction.</t>
  </si>
  <si>
    <t>Participated in creative briefings to align messaging with client objectives and brand tone.</t>
  </si>
  <si>
    <t>Supported the Senior Copywriter and Creative Director in preparing presentation decks.</t>
  </si>
  <si>
    <t>Collaborated with art directors to ensure copy complemented visual direction.</t>
  </si>
  <si>
    <t>Edited and proofread scripts to maintain clarity, consistency, and brand voice.</t>
  </si>
  <si>
    <t>Contributed alternative lines and punch-ups during creative brainstorming sessions.</t>
  </si>
  <si>
    <t>Incorporated client and internal feedback into revised drafts of scripts and captions.</t>
  </si>
  <si>
    <t>Researched audience insights and competitor messaging to inform tone and language.</t>
  </si>
  <si>
    <t>Prepared final approved scripts for production handoff and distribution to stakeholders</t>
  </si>
  <si>
    <t>Attended the shoot to provide on-site copy adjustments as needed.</t>
  </si>
  <si>
    <t>Reviewed performances to ensure dialogue and tone matched the approved script.</t>
  </si>
  <si>
    <t>Collaborated with the director and producer to clarify copy intent during takes.</t>
  </si>
  <si>
    <t>Assisted in revising on-screen supers, end tags, or VO lines during filming.</t>
  </si>
  <si>
    <t>Observed brand consistency across all spoken and visual communication.</t>
  </si>
  <si>
    <t>Provided quick line rewrites to address timing or performance constraints.</t>
  </si>
  <si>
    <t>Ensured that any changes to script copy were documented for post-production reference.</t>
  </si>
  <si>
    <t>Maintained communication with the creative team regarding copy-related concerns.</t>
  </si>
  <si>
    <t>Verified that pronunciation and phrasing aligned with brand and regional standards.</t>
  </si>
  <si>
    <t>Supported senior creatives by reviewing footage for alignment with key messaging</t>
  </si>
  <si>
    <t>Reviewed rough cuts to confirm that voiceover and on-screen text matched the final script.</t>
  </si>
  <si>
    <t>Provided copy adjustments for timing, clarity, or compliance during editing.</t>
  </si>
  <si>
    <t>Checked supers, titles, and end cards for grammatical and stylistic accuracy.</t>
  </si>
  <si>
    <t>Assisted in reviewing final voiceover recordings to ensure tone consistency.</t>
  </si>
  <si>
    <t>Updated final copy decks to reflect approved post-production changes.</t>
  </si>
  <si>
    <t>Collaborated with editors and producers to align captions and subtitles with the script.</t>
  </si>
  <si>
    <t>Proofread all on-screen and promotional copy before final approval.</t>
  </si>
  <si>
    <t>Contributed to writing social and digital extensions of the main commercial.</t>
  </si>
  <si>
    <t>Ensured all written elements adhered to brand guidelines and legal requirements.</t>
  </si>
  <si>
    <t>Archived final scripts and copy materials for future campaign reference.</t>
  </si>
  <si>
    <t>Led the visual development of the campaign concept in collaboration with creative leadership.</t>
  </si>
  <si>
    <t>Supervised the creation of storyboards, mood boards, and design references for client presentation.</t>
  </si>
  <si>
    <t>Reviewed and approved all key visual elements to ensure alignment with brand identity.</t>
  </si>
  <si>
    <t>Collaborated with copywriters and art directors to establish a cohesive creative direction.</t>
  </si>
  <si>
    <t>Provided design guidance on set design, wardrobe, color palette, and overall visual tone.</t>
  </si>
  <si>
    <t>Coordinated with producers to align design deliverables with production schedules and budgets.</t>
  </si>
  <si>
    <t>Oversaw the preparation of client presentation materials and ensured visual consistency.</t>
  </si>
  <si>
    <t>Directed the design team in developing layout options for title cards, supers, and end frames.</t>
  </si>
  <si>
    <t>Approved design mockups and key visuals for pre-production review and client sign-off.</t>
  </si>
  <si>
    <t>Ensured all visual concepts adhered to brand standards and production feasibility.</t>
  </si>
  <si>
    <t>Supervised on-set art direction to maintain visual integrity of the design concept.</t>
  </si>
  <si>
    <t>Collaborated with the director and cinematographer to ensure proper framing, lighting, and composition.</t>
  </si>
  <si>
    <t>Provided feedback on set decoration and prop styling to align with the approved design vision.</t>
  </si>
  <si>
    <t>Reviewed wardrobe, makeup, and set details for color harmony and brand consistency.</t>
  </si>
  <si>
    <t>Oversaw execution of motion graphics or on-screen visual elements during filming.</t>
  </si>
  <si>
    <t>Approved on-set still photography for key visuals or campaign assets.</t>
  </si>
  <si>
    <t>Coordinated with production designers to adjust visual elements based on shooting conditions.</t>
  </si>
  <si>
    <t>Ensured adherence to the established brand aesthetic across all design components.</t>
  </si>
  <si>
    <t>Documented design-related adjustments for post-production reference.</t>
  </si>
  <si>
    <t>Provided real-time creative feedback to maintain visual continuity across scenes.</t>
  </si>
  <si>
    <t>Directed the visual finishing process, including color grading and graphic integration.</t>
  </si>
  <si>
    <t>Reviewed motion graphics, titles, and supers for accuracy and brand alignment.</t>
  </si>
  <si>
    <t>Collaborated with editors to refine pacing and transitions for optimal visual flow.</t>
  </si>
  <si>
    <t>Approved the final visual treatment of the commercial before client review.</t>
  </si>
  <si>
    <t>Oversaw design consistency across all deliverables, including digital and print extensions.</t>
  </si>
  <si>
    <t>Reviewed typography, logo placement, and lower thirds for clarity and balance.</t>
  </si>
  <si>
    <t>Provided feedback on animation timing and visual effects integration.</t>
  </si>
  <si>
    <t>Ensured all design assets met technical specifications for broadcast and online release.</t>
  </si>
  <si>
    <t>Coordinated with the production team to archive final design files and templates.</t>
  </si>
  <si>
    <t>Presented final design outcomes to internal leadership and clients for closing review</t>
  </si>
  <si>
    <t>Reviewed the script and creative brief to establish the overall visual style.</t>
  </si>
  <si>
    <t>Developed concept boards and mood references to guide the art direction.</t>
  </si>
  <si>
    <t>Designed initial sketches and layout plans for each scene setup.</t>
  </si>
  <si>
    <t>Collaborated with the director and art director to finalize the visual tone.</t>
  </si>
  <si>
    <t>Prepared detailed set design drawings and floor plans.</t>
  </si>
  <si>
    <t>Coordinated with the props and set construction teams to source materials.</t>
  </si>
  <si>
    <t>Selected color palettes, textures, and finishes aligned with the creative vision.</t>
  </si>
  <si>
    <t>Conducted location visits to assess design feasibility and lighting conditions.</t>
  </si>
  <si>
    <t>Created a comprehensive design budget and materials list for approval.</t>
  </si>
  <si>
    <t>Presented final design concepts for client and internal team sign-off</t>
  </si>
  <si>
    <t>Supervised set construction and ensured all visual elements matched the approved design.</t>
  </si>
  <si>
    <t>Oversaw set dressing and placement of props before each shoot.</t>
  </si>
  <si>
    <t>Worked closely with the director of photography to maintain visual consistency.</t>
  </si>
  <si>
    <t>Adjusted set layouts to accommodate camera angles and lighting requirements.</t>
  </si>
  <si>
    <t>Ensured all design elements were safely and efficiently installed on set.</t>
  </si>
  <si>
    <t>Managed quick design changes during filming to meet creative or logistical needs.</t>
  </si>
  <si>
    <t>Coordinated with costume and makeup departments for cohesive aesthetics.</t>
  </si>
  <si>
    <t>Monitored the art department’s daily progress and resolved design-related issues.</t>
  </si>
  <si>
    <t>Verified that each scene’s set design remained consistent with continuity notes.</t>
  </si>
  <si>
    <t>Conducted end-of-day checks to secure and preserve set pieces for subsequent shoot days</t>
  </si>
  <si>
    <t>Reviewed footage to confirm the design elements translated accurately on camera.</t>
  </si>
  <si>
    <t>Provided feedback on color grading to ensure visual alignment with the intended palette.</t>
  </si>
  <si>
    <t>Collaborated with VFX artists to integrate digital elements with physical set designs.</t>
  </si>
  <si>
    <t>Approved final stills and frames for marketing and promotional materials.</t>
  </si>
  <si>
    <t>Assisted in correcting any visual inconsistencies identified during editing.</t>
  </si>
  <si>
    <t>Archived all design documents, sketches, and references for future use.</t>
  </si>
  <si>
    <t>Participated in debrief meetings to discuss set performance and design outcomes.</t>
  </si>
  <si>
    <t>Updated design documentation to reflect lessons learned for future productions.</t>
  </si>
  <si>
    <t>Reviewed behind-the-scenes content for accurate portrayal of the design process.</t>
  </si>
  <si>
    <t>Supported the final presentation of the commercial to internal and client teams by providing design insights</t>
  </si>
  <si>
    <t>Dir of Production OPS</t>
  </si>
  <si>
    <t>Oversaw the development of the production schedule and ensured alignment with creative and client timelines.</t>
  </si>
  <si>
    <t>Coordinated resource allocation across departments to meet project requirements.</t>
  </si>
  <si>
    <t>Reviewed production budgets and confirmed cost estimates with finance and account teams.</t>
  </si>
  <si>
    <t>Supervised vendor selection and negotiated service agreements for production logistics.</t>
  </si>
  <si>
    <t>Ensured all necessary permits and insurance documentation were secured prior to shoot.</t>
  </si>
  <si>
    <t>Collaborated with creative leads to finalize technical specifications and production needs.</t>
  </si>
  <si>
    <t>Established operational workflows for the production team to maintain efficiency.</t>
  </si>
  <si>
    <t>Conducted pre-production meetings to review schedules, responsibilities, and deliverables.</t>
  </si>
  <si>
    <t>Approved final production plans, call sheets, and staffing requirements.</t>
  </si>
  <si>
    <t>Assessed risk factors and developed contingency plans for potential production challenges</t>
  </si>
  <si>
    <t>Managed on-site production activities to ensure adherence to schedule and budget.</t>
  </si>
  <si>
    <t>Oversaw crew performance and addressed any operational or logistical issues.</t>
  </si>
  <si>
    <t>Maintained communication between production, creative, and client representatives.</t>
  </si>
  <si>
    <t>Reviewed and approved daily production reports and cost updates.</t>
  </si>
  <si>
    <t>Ensured equipment and location setups were completed according to technical requirements.</t>
  </si>
  <si>
    <t>Resolved unforeseen production challenges to minimize downtime.</t>
  </si>
  <si>
    <t>Coordinated transportation and logistics for talent and crew.</t>
  </si>
  <si>
    <t>Monitored workflow efficiency and adjusted schedules as needed.</t>
  </si>
  <si>
    <t>Provided final on-set approvals for deliverable footage and production materials.</t>
  </si>
  <si>
    <t>Supervised the handoff of production assets to the post-production team.</t>
  </si>
  <si>
    <t>Reviewed and approved post-production schedules and resource assignments.</t>
  </si>
  <si>
    <t>Oversaw editing progress to ensure consistency with the approved creative direction.</t>
  </si>
  <si>
    <t>Coordinated with sound, color, and visual effects teams to align final outputs.</t>
  </si>
  <si>
    <t>Managed post-production budgets and vendor invoices.</t>
  </si>
  <si>
    <t>Ensured timely delivery of rough cuts and final versions for client review.</t>
  </si>
  <si>
    <t>Facilitated internal quality control before submission of deliverables.</t>
  </si>
  <si>
    <t>Addressed operational or technical issues that arose during post-production.</t>
  </si>
  <si>
    <t>Approved final master files for distribution or broadcast.</t>
  </si>
  <si>
    <t>Conducted post-mortem meetings to evaluate production efficiency and identify improvements</t>
  </si>
  <si>
    <t>Bus Affairs Mgr - Legal</t>
  </si>
  <si>
    <t>Reviewed and approved production contracts, vendor agreements, and talent releases.</t>
  </si>
  <si>
    <t>Advised the production team on legal and compliance requirements for the project.</t>
  </si>
  <si>
    <t>Drafted and negotiated contracts with agencies, freelancers, and service providers.</t>
  </si>
  <si>
    <t>Ensured intellectual property rights were properly secured for creative materials.</t>
  </si>
  <si>
    <t>Verified that all union and guild requirements were documented and met.</t>
  </si>
  <si>
    <t>Coordinated with finance to confirm contract terms aligned with budget allocations.</t>
  </si>
  <si>
    <t>Provided legal guidance on usage rights for scripts, music, and visual content.</t>
  </si>
  <si>
    <t>Reviewed insurance policies and ensured coverage met production standards.</t>
  </si>
  <si>
    <t>Prepared legal documentation for location use, permits, and clearances.</t>
  </si>
  <si>
    <t>Conducted legal briefings with producers and department heads before production began.</t>
  </si>
  <si>
    <t>Monitored daily production activities for compliance with contractual and legal terms.</t>
  </si>
  <si>
    <t>Reviewed and approved on-site agreements, such as location or appearance releases.</t>
  </si>
  <si>
    <t>Addressed legal or rights-related issues that arose during filming.</t>
  </si>
  <si>
    <t>Ensured all production participants signed the required legal documents.</t>
  </si>
  <si>
    <t>Coordinated with producers to manage any talent or vendor disputes.</t>
  </si>
  <si>
    <t>Oversaw adherence to labor laws, working hours, and safety regulations.</t>
  </si>
  <si>
    <t>Provided immediate legal consultation for unforeseen production incidents.</t>
  </si>
  <si>
    <t>Maintained documentation of all executed contracts and agreements.</t>
  </si>
  <si>
    <t>Verified that no unauthorized materials or content were captured during filming.</t>
  </si>
  <si>
    <t>Supported risk management by liaising with insurance and compliance teams</t>
  </si>
  <si>
    <t>Reviewed post-production contracts for editing, music licensing, and distribution.</t>
  </si>
  <si>
    <t>Ensured all third-party materials used in the final cut were properly licensed.</t>
  </si>
  <si>
    <t>Verified legal compliance of final edits, disclaimers, and credits.</t>
  </si>
  <si>
    <t>Addressed any legal concerns raised during client or regulatory reviews.</t>
  </si>
  <si>
    <t>Oversaw final music cue sheets, talent residuals, and rights documentation.</t>
  </si>
  <si>
    <t>Coordinated with clearance teams to confirm all footage and assets were approved.</t>
  </si>
  <si>
    <t>Finalized release forms and usage rights for long-term or multi-platform distribution.</t>
  </si>
  <si>
    <t>Reviewed final deliverables to ensure no violations of advertising or content laws.</t>
  </si>
  <si>
    <t>Managed archiving of contracts, legal documents, and compliance certifications.</t>
  </si>
  <si>
    <t>Conducted post-project evaluations to improve future contract and clearance processes</t>
  </si>
  <si>
    <t>Line Prod</t>
  </si>
  <si>
    <t>Developed and managed the master production budget based on creative requirements.</t>
  </si>
  <si>
    <t>Created detailed production schedules in coordination with department leads.</t>
  </si>
  <si>
    <t>Hired key crew members and confirmed staffing needs across all production stages.</t>
  </si>
  <si>
    <t>Reviewed vendor bids and negotiated rates for equipment, locations, and services.</t>
  </si>
  <si>
    <t>Secured necessary permits, insurance, and production-related paperwork.</t>
  </si>
  <si>
    <t>Oversaw logistics planning, including travel, accommodations, and transport.</t>
  </si>
  <si>
    <t>Coordinated with creative and business affairs teams to align production feasibility with legal and financial standards.</t>
  </si>
  <si>
    <t>Conducted production meetings to review schedules, responsibilities, and deadlines.</t>
  </si>
  <si>
    <t>Approved cost reports and purchase orders prior to production start.</t>
  </si>
  <si>
    <t>Established contingency plans and addressed potential budget or scheduling risks</t>
  </si>
  <si>
    <t>Supervised daily operations on set to ensure adherence to budget and schedule.</t>
  </si>
  <si>
    <t>Managed payroll, timecards, and crew hours throughout the shoot.</t>
  </si>
  <si>
    <t>Oversaw expenditures and maintained up-to-date cost tracking reports.</t>
  </si>
  <si>
    <t>Coordinated communication between creative, technical, and production departments.</t>
  </si>
  <si>
    <t>Ensured that safety standards and compliance requirements were met on set.</t>
  </si>
  <si>
    <t>Approved call sheets, shooting schedules, and production reports.</t>
  </si>
  <si>
    <t>Solved logistical and operational issues that arose during filming.</t>
  </si>
  <si>
    <t>Managed vendor deliveries, rentals, and service contracts in real time.</t>
  </si>
  <si>
    <t>Oversaw transportation, catering, and accommodation logistics for crew and talent.</t>
  </si>
  <si>
    <t>Reported daily progress and financial updates to the producer and executive team</t>
  </si>
  <si>
    <t>Reviewed final cost reports and reconciled all production-related expenses.</t>
  </si>
  <si>
    <t>Managed vendor wrap-out and ensured all outstanding invoices were processed.</t>
  </si>
  <si>
    <t>Oversaw the return of rental equipment and closure of production accounts.</t>
  </si>
  <si>
    <t>Verified that post-production teams received all necessary materials and assets.</t>
  </si>
  <si>
    <t>Conducted final reviews of crew payroll and union reporting documentation.</t>
  </si>
  <si>
    <t>Coordinated with finance and business affairs to finalize cost summaries.</t>
  </si>
  <si>
    <t>Ensured compliance with insurance and contractual wrap requirements.</t>
  </si>
  <si>
    <t>Managed archive and delivery of production reports, contracts, and documentation.</t>
  </si>
  <si>
    <t>Provided post-project analysis on budget performance and resource allocation.</t>
  </si>
  <si>
    <t>Participated in wrap meetings to evaluate production efficiency and identify improvements for future projects.</t>
  </si>
  <si>
    <t>Broadcast Bus Assoc</t>
  </si>
  <si>
    <t>Reviewed and prepared broadcast budgets for upcoming commercial shoots.</t>
  </si>
  <si>
    <t>Coordinated with media vendors to secure airtime and production resources.</t>
  </si>
  <si>
    <t>Compiled and organized contracts, licenses, and necessary legal documentation.</t>
  </si>
  <si>
    <t>Communicated with internal teams to confirm production schedules and deliverables.</t>
  </si>
  <si>
    <t>Maintained a tracking system for project timelines, approvals, and budget updates.</t>
  </si>
  <si>
    <t>Monitored production expenses and ensured adherence to allocated budgets.</t>
  </si>
  <si>
    <t>Liaised with production crew and vendors to facilitate smooth on-set operations.</t>
  </si>
  <si>
    <t>Verified talent contracts, usage rights, and on-set paperwork compliance.</t>
  </si>
  <si>
    <t>Tracked daily production costs and reported variances to management.</t>
  </si>
  <si>
    <t>Assisted in resolving logistical or administrative issues during shoots.</t>
  </si>
  <si>
    <t>Reviewed invoices and reconciled post-production expenses against the budget.</t>
  </si>
  <si>
    <t>Coordinated with post-production vendors for final asset delivery and clearance.</t>
  </si>
  <si>
    <t>Maintained accurate records of completed projects for internal reporting.</t>
  </si>
  <si>
    <t>Processed usage reports and ensured compliance with broadcast regulations.</t>
  </si>
  <si>
    <t>Supported management with post-project financial summaries and documentation</t>
  </si>
  <si>
    <t>SVP Executive Creative Director</t>
  </si>
  <si>
    <t>Reviewed and approved creative concepts, scripts, and storyboards for campaigns.</t>
  </si>
  <si>
    <t>Guided the creative team to ensure alignment with brand strategy and objectives.</t>
  </si>
  <si>
    <t>Participated in client presentations to pitch creative ideas and gain approvals.</t>
  </si>
  <si>
    <t>Oversaw development of mood boards, visual references, and tone guidelines.</t>
  </si>
  <si>
    <t>Collaborated with producers and planners to ensure feasibility and budget alignment.</t>
  </si>
  <si>
    <t>Directed on-set creative execution, providing guidance to talent and crew.</t>
  </si>
  <si>
    <t>Reviewed dailies to ensure visual and narrative consistency with the creative vision.</t>
  </si>
  <si>
    <t>Provided feedback on performances, shot composition, and overall aesthetic.</t>
  </si>
  <si>
    <t>Coordinated with production teams to maintain schedule and quality standards.</t>
  </si>
  <si>
    <t>Made key creative decisions in real time to resolve production challenges</t>
  </si>
  <si>
    <t>Reviewed rough cuts and provided notes for editing, sound, and visual effects.</t>
  </si>
  <si>
    <t>Ensured the final commercial adhered to creative vision, brand guidelines, and client expectations.</t>
  </si>
  <si>
    <t>Approved color grading, audio mixing, and final visual effects.</t>
  </si>
  <si>
    <t>Collaborated with marketing and media teams to optimize final deliverables.</t>
  </si>
  <si>
    <t>Provided feedback and mentorship to the creative team on post-production processes</t>
  </si>
  <si>
    <t>Creative Dir, SVP</t>
  </si>
  <si>
    <t>Provided final approval on the creative concept and overarching campaign direction.</t>
  </si>
  <si>
    <t>Reviewed scripts and storyboards to ensure alignment with the creative vision.</t>
  </si>
  <si>
    <t>Guided the development of visual references and treatments for production teams.</t>
  </si>
  <si>
    <t>Evaluated casting, styling, and art direction proposals before production lock.</t>
  </si>
  <si>
    <t>Led creative briefings with internal teams to solidify execution across disciplines.</t>
  </si>
  <si>
    <t>Oversaw on-set creative execution to maintain consistency with the approved concept.</t>
  </si>
  <si>
    <t>Collaborated with the director to refine shot compositions and visual details.</t>
  </si>
  <si>
    <t>Assessed scene setups and performances to ensure they met creative standards.</t>
  </si>
  <si>
    <t>Provided timely creative direction during shoots to address emerging needs.</t>
  </si>
  <si>
    <t>Coordinated with department leads to validate production design and aesthetics.</t>
  </si>
  <si>
    <t>Reviewed initial edits to confirm pacing, tone, and narrative clarity.</t>
  </si>
  <si>
    <t>Provided direction on color grading, sound design, and visual effects integration.</t>
  </si>
  <si>
    <t>Evaluated revised cuts and ensured alignment with the established creative intent.</t>
  </si>
  <si>
    <t>Approved final music selections and audio mixes to support the campaign voice.</t>
  </si>
  <si>
    <t>Signed off on the final master after confirming all creative elements were completed</t>
  </si>
  <si>
    <t>Mgt Dir - VP</t>
  </si>
  <si>
    <t>Aligned project scope and expectations with senior stakeholders before creative development advanced.</t>
  </si>
  <si>
    <t>Confirmed budget parameters and resource allocations with cross-functional leads.</t>
  </si>
  <si>
    <t>Reviewed strategic positioning to ensure the commercial aligned with broader business objectives.</t>
  </si>
  <si>
    <t>Approved key timelines and milestone schedules to guide all departments.</t>
  </si>
  <si>
    <t>Coordinated with agency leadership to validate team readiness and workflow processes.</t>
  </si>
  <si>
    <t>Oversaw risk assessments and mitigations related to production planning</t>
  </si>
  <si>
    <t>Maintained oversight on production progress to ensure adherence to approved budgets and schedules.</t>
  </si>
  <si>
    <t>Facilitated communication between agency leadership and on-set teams during critical shoot days.</t>
  </si>
  <si>
    <t>Addressed high-level operational issues that emerged during filming.</t>
  </si>
  <si>
    <t>Verified that production quality standards met expectations set during pre-production.</t>
  </si>
  <si>
    <t>Supported senior creative and production leads with executive-level decision making.</t>
  </si>
  <si>
    <t>Monitored vendor performance to ensure contractual obligations were met</t>
  </si>
  <si>
    <t>Reviewed progress updates on edits, ensuring delivery timelines were upheld.</t>
  </si>
  <si>
    <t>Provided executive oversight on post-production workflows and resource utilization.</t>
  </si>
  <si>
    <t>Assessed final deliverable readiness before creative and client approvals proceeded.</t>
  </si>
  <si>
    <t>Evaluated compliance with legal, financial, and operational requirements.</t>
  </si>
  <si>
    <t>Confirmed that final outputs aligned with strategic objectives established at project start.</t>
  </si>
  <si>
    <t>Authorized final release of the commercial following cross-departmental sign-off.</t>
  </si>
  <si>
    <t>Designer - Jr</t>
  </si>
  <si>
    <t>Developed initial visual concepts based on creative briefs and direction.</t>
  </si>
  <si>
    <t>Assisted in creating mood boards and visual references for the commercial.</t>
  </si>
  <si>
    <t>Prepared layout drafts and design explorations for internal review.</t>
  </si>
  <si>
    <t>Updated design assets based on feedback from senior creatives.</t>
  </si>
  <si>
    <t>Organized and managed design files for pre-production use.</t>
  </si>
  <si>
    <t>Researched visual styles, typography, and color palettes relevant to the concept.</t>
  </si>
  <si>
    <t>Adapted key visuals into preliminary storyboards or frames.</t>
  </si>
  <si>
    <t>Ensured design elements aligned with approved creative guidelines.</t>
  </si>
  <si>
    <t>Supported presentations by preparing visual materials and mockups.</t>
  </si>
  <si>
    <t>Coordinated with the creative team to finalize pre-production design deliverables.</t>
  </si>
  <si>
    <t>Provided on-set design support as needed for visual consistency.</t>
  </si>
  <si>
    <t>Reviewed live or captured visuals to ensure alignment with approved designs.</t>
  </si>
  <si>
    <t>Assisted in adjusting graphic elements based on production requirements.</t>
  </si>
  <si>
    <t>Supplied updated design files to the production team in real time.</t>
  </si>
  <si>
    <t>Collaborated with art and creative leads to address design-related changes.</t>
  </si>
  <si>
    <t>Verified proper usage of typography, colors, and graphic layouts during shoots.</t>
  </si>
  <si>
    <t>Managed version control of design assets used in production.</t>
  </si>
  <si>
    <t>Responded to production requests for additional design materials.</t>
  </si>
  <si>
    <t>Ensured all design outputs met technical and formatting standards.</t>
  </si>
  <si>
    <t>Documented design updates made during the production phase</t>
  </si>
  <si>
    <t>Adapted approved designs for post-production formats and outputs.</t>
  </si>
  <si>
    <t>Assisted in creating final graphics for editing and compositing.</t>
  </si>
  <si>
    <t>Implemented revisions based on creative and client feedback.</t>
  </si>
  <si>
    <t>Prepared multiple layout versions for different deliverables.</t>
  </si>
  <si>
    <t>Conducted quality checks on final visual assets.</t>
  </si>
  <si>
    <t>Organized and archived final design files according to agency standards.</t>
  </si>
  <si>
    <t>Coordinated with post-production teams to ensure smooth asset handoff.</t>
  </si>
  <si>
    <t>Updated design elements to reflect final edits and timing.</t>
  </si>
  <si>
    <t>Ensured consistency across all final visual materials.</t>
  </si>
  <si>
    <t>Delivered finalized design assets ready for release and distribution.</t>
  </si>
  <si>
    <t>Designer - Sr</t>
  </si>
  <si>
    <t>Led the development of visual concepts in alignment with creative briefs.</t>
  </si>
  <si>
    <t>Translated strategic direction into refined design approaches and systems.</t>
  </si>
  <si>
    <t>Established visual style guides and design frameworks for the project.</t>
  </si>
  <si>
    <t>Directed junior designers in creating mood boards and concept explorations.</t>
  </si>
  <si>
    <t>Reviewed and refined key visuals, layouts, and design mockups.</t>
  </si>
  <si>
    <t>Ensured visual concepts aligned with overall creative and production requirements.</t>
  </si>
  <si>
    <t>Prepared polished presentation materials for internal and external reviews.</t>
  </si>
  <si>
    <t>Provided clear design direction and feedback to the creative team.</t>
  </si>
  <si>
    <t>Approved pre-production design assets prior to production handoff.</t>
  </si>
  <si>
    <t>Coordinated with cross-functional teams to finalize visual direction.</t>
  </si>
  <si>
    <t>Oversaw the execution of design elements during production.</t>
  </si>
  <si>
    <t>Provided on-set or real-time design guidance to maintain visual integrity.</t>
  </si>
  <si>
    <t>Reviewed production visuals to ensure consistency with approved designs.</t>
  </si>
  <si>
    <t>Approved design adjustments required to meet production needs.</t>
  </si>
  <si>
    <t>Collaborated with production and creative leads to resolve visual challenges.</t>
  </si>
  <si>
    <t>Ensured all design assets were delivered accurately and on schedule.</t>
  </si>
  <si>
    <t>Managed version control and approvals for active design files.</t>
  </si>
  <si>
    <t>Directed junior designers in implementing production-related revisions.</t>
  </si>
  <si>
    <t>Maintained adherence to established visual standards throughout production.</t>
  </si>
  <si>
    <t>Signed off on design-related elements prior to post-production transition.</t>
  </si>
  <si>
    <t>Led the review of final visuals and graphic executions.</t>
  </si>
  <si>
    <t>Provided creative direction for motion graphics and final layouts.</t>
  </si>
  <si>
    <t>Approved design revisions based on post-production feedback.</t>
  </si>
  <si>
    <t>Ensured final assets met creative, technical, and quality standards.</t>
  </si>
  <si>
    <t>Collaborated with post-production teams to refine visual details.</t>
  </si>
  <si>
    <t>Reviewed and approved final color, typography, and graphic treatments.</t>
  </si>
  <si>
    <t>Guided junior designers in preparing final deliverables.</t>
  </si>
  <si>
    <t>Conducted final quality checks before project completion.</t>
  </si>
  <si>
    <t>Approved design assets for final delivery and archiving.</t>
  </si>
  <si>
    <t>Supported final project wrap by confirming all design requirements were met.</t>
  </si>
  <si>
    <t>Planner - Dir</t>
  </si>
  <si>
    <t>Led the development of strategic insights based on the creative brief.</t>
  </si>
  <si>
    <t>Defined the communication strategy and key messaging framework.</t>
  </si>
  <si>
    <t>Reviewed research and data to inform the overall planning approach.</t>
  </si>
  <si>
    <t>Aligned strategy with creative and production teams during early planning.</t>
  </si>
  <si>
    <t>Provided strategic direction for concept development.</t>
  </si>
  <si>
    <t>Validated target audience and channel considerations.</t>
  </si>
  <si>
    <t>Refined strategic deliverables for internal approval.</t>
  </si>
  <si>
    <t>Presented planning recommendations to senior stakeholders.</t>
  </si>
  <si>
    <t>Ensured strategic alignment across all pre-production materials.</t>
  </si>
  <si>
    <t>Approved final strategy prior to production kickoff.</t>
  </si>
  <si>
    <t>Oversaw the strategic integrity of work during production.</t>
  </si>
  <si>
    <t>Reviewed production outputs to ensure alignment with approved strategy.</t>
  </si>
  <si>
    <t>Provided guidance on messaging adjustments during production.</t>
  </si>
  <si>
    <t>Collaborated with creative leads to address strategic considerations.</t>
  </si>
  <si>
    <t>Responded to production questions related to audience and messaging.</t>
  </si>
  <si>
    <t>Evaluated changes for strategic impact and consistency.</t>
  </si>
  <si>
    <t>Ensured strategic objectives were maintained throughout production.</t>
  </si>
  <si>
    <t>Approved strategy-related refinements as production progressed.</t>
  </si>
  <si>
    <t>Supported production teams with real-time strategic input.</t>
  </si>
  <si>
    <t>Maintained alignment between execution and planning intent.</t>
  </si>
  <si>
    <t>Reviewed final edits for strategic and messaging consistency.</t>
  </si>
  <si>
    <t>Approved final outputs against original planning objectives.</t>
  </si>
  <si>
    <t>Evaluated overall effectiveness of the completed work.</t>
  </si>
  <si>
    <t>Provided strategic feedback on post-production refinements.</t>
  </si>
  <si>
    <t>Ensured final deliverables reflected approved communication strategy.</t>
  </si>
  <si>
    <t>Collaborated with teams on final messaging adjustments.</t>
  </si>
  <si>
    <t>Reviewed post-production materials for audience relevance.</t>
  </si>
  <si>
    <t>Signed off on strategy-related components of final delivery.</t>
  </si>
  <si>
    <t>Supported project wrap-up with strategic assessments.</t>
  </si>
  <si>
    <t>Confirmed strategic requirements were fully met prior to completion.</t>
  </si>
  <si>
    <t>Prod - Exec</t>
  </si>
  <si>
    <t>Oversaw overall project planning and production strategy.</t>
  </si>
  <si>
    <t>Reviewed and approved production budgets and schedules.</t>
  </si>
  <si>
    <t>Evaluated production approaches for feasibility and efficiency.</t>
  </si>
  <si>
    <t>Aligned production plans with creative and strategic objectives.</t>
  </si>
  <si>
    <t>Approved key production partners and resource allocations.</t>
  </si>
  <si>
    <t>Provided high-level guidance on production scope and execution.</t>
  </si>
  <si>
    <t>Ensured pre-production readiness across all departments.</t>
  </si>
  <si>
    <t>Reviewed risk considerations and mitigation plans.</t>
  </si>
  <si>
    <t>Approved final pre-production materials prior to production start.</t>
  </si>
  <si>
    <t>Confirmed production alignment with overall project requirements.</t>
  </si>
  <si>
    <t>Oversaw production execution to ensure alignment with approved plans.</t>
  </si>
  <si>
    <t>Monitored production progress, budget adherence, and timelines.</t>
  </si>
  <si>
    <t>Provided executive-level decision-making during production.</t>
  </si>
  <si>
    <t>Addressed high-level production issues and escalations.</t>
  </si>
  <si>
    <t>Ensured compliance with approved production standards.</t>
  </si>
  <si>
    <t>Reviewed production updates and key deliverables.</t>
  </si>
  <si>
    <t>Approved significant production changes or adjustments.</t>
  </si>
  <si>
    <t>Supported production leadership with guidance and oversight.</t>
  </si>
  <si>
    <t>Maintained accountability across production teams.</t>
  </si>
  <si>
    <t>Confirmed production milestones were achieved as scheduled.</t>
  </si>
  <si>
    <t>Oversaw post-production timelines and delivery milestones.</t>
  </si>
  <si>
    <t>Reviewed post-production budgets and final cost reports.</t>
  </si>
  <si>
    <t>Approved final edits and deliverables at an executive level.</t>
  </si>
  <si>
    <t>Ensured post-production activities aligned with project scope.</t>
  </si>
  <si>
    <t>Addressed escalations related to post-production execution.</t>
  </si>
  <si>
    <t>Reviewed final outputs for overall quality and completion.</t>
  </si>
  <si>
    <t>Approved final payments and production close-out.</t>
  </si>
  <si>
    <t>Confirmed all contractual and production obligations were met.</t>
  </si>
  <si>
    <t>Supported project wrap-up and final reporting.</t>
  </si>
  <si>
    <t>Signed off on project completion and final delivery.</t>
  </si>
  <si>
    <t>Production Dir</t>
  </si>
  <si>
    <t>Led overall production planning and execution strategy.</t>
  </si>
  <si>
    <t>Reviewed creative concepts for production feasibility.</t>
  </si>
  <si>
    <t>Established production timelines and workflow plans.</t>
  </si>
  <si>
    <t>Oversaw budget development and resource allocation.</t>
  </si>
  <si>
    <t>Approved production methodologies and technical approaches.</t>
  </si>
  <si>
    <t>Coordinated with creative, planning, and production leadership.</t>
  </si>
  <si>
    <t>Identified production risks and approved mitigation plans.</t>
  </si>
  <si>
    <t>Confirmed staffing, vendors, and production requirements.</t>
  </si>
  <si>
    <t>Reviewed and approved pre-production schedules and deliverables.</t>
  </si>
  <si>
    <t>Signed off on production readiness prior to shoot.</t>
  </si>
  <si>
    <t>Directed overall production operations during active production.</t>
  </si>
  <si>
    <t>Ensured execution aligned with approved plans, budget, and schedule.</t>
  </si>
  <si>
    <t>Provided leadership to producers and department heads.</t>
  </si>
  <si>
    <t>Addressed high-level production issues and decision points.</t>
  </si>
  <si>
    <t>Monitored quality, efficiency, and compliance on set.</t>
  </si>
  <si>
    <t>Approved production changes and adjustments as required.</t>
  </si>
  <si>
    <t>Maintained coordination across all production departments.</t>
  </si>
  <si>
    <t>Reviewed daily production reports and progress updates.</t>
  </si>
  <si>
    <t>Ensured safety and operational standards were upheld.</t>
  </si>
  <si>
    <t>Confirmed production milestones were met as scheduled.</t>
  </si>
  <si>
    <t>Oversaw post-production workflows and schedules.</t>
  </si>
  <si>
    <t>Reviewed post-production budgets and cost tracking.</t>
  </si>
  <si>
    <t>Ensured alignment between post-production output and production intent.</t>
  </si>
  <si>
    <t>Approved post-production timelines and key deliverables.</t>
  </si>
  <si>
    <t>Addressed escalated post-production issues.</t>
  </si>
  <si>
    <t>Reviewed final edits for overall production quality.</t>
  </si>
  <si>
    <t>Coordinated final approvals with executive stakeholders.</t>
  </si>
  <si>
    <t>Ensured completion of all production documentation.</t>
  </si>
  <si>
    <t>Supported final delivery and project close-out.</t>
  </si>
  <si>
    <t>Signed off on production completion and final handover</t>
  </si>
  <si>
    <t>Sr Content Prod</t>
  </si>
  <si>
    <t>Defined the overall production scope, timeline, and deliverables for the commercial.</t>
  </si>
  <si>
    <t>Collaborated with creative and strategy teams to translate concepts into producible plans.</t>
  </si>
  <si>
    <t>Developed and managed preliminary budgets and production estimates.</t>
  </si>
  <si>
    <t>Evaluated and approved scripts, storyboards, and production treatments.</t>
  </si>
  <si>
    <t>Identified and secured key production resources and vendors.</t>
  </si>
  <si>
    <t>Oversaw casting, location planning, and scheduling activities.</t>
  </si>
  <si>
    <t>Reviewed and approved production schedules and call sheets.</t>
  </si>
  <si>
    <t>Ensured all legal, insurance, and compliance requirements were addressed.</t>
  </si>
  <si>
    <t>Aligned stakeholders on production expectations and milestones.</t>
  </si>
  <si>
    <t>Provided senior-level guidance to production staff during planning.</t>
  </si>
  <si>
    <t>Supervised on-set production activities to ensure alignment with approved plans.</t>
  </si>
  <si>
    <t>Managed production budgets and monitored daily costs.</t>
  </si>
  <si>
    <t>Served as the primary liaison between agency leadership and the production team.</t>
  </si>
  <si>
    <t>Addressed on-set challenges and approved real-time adjustments.</t>
  </si>
  <si>
    <t>Ensured creative intent and quality standards were maintained during filming.</t>
  </si>
  <si>
    <t>Oversaw adherence to schedules, safety protocols, and workflows.</t>
  </si>
  <si>
    <t>Reviewed daily production reports and footage summaries.</t>
  </si>
  <si>
    <t>Approved key production decisions requiring senior oversight.</t>
  </si>
  <si>
    <t>Coordinated communication across departments during active shoots.</t>
  </si>
  <si>
    <t>Maintained accountability for deliverables throughout production days.</t>
  </si>
  <si>
    <t>Oversaw post-production timelines, workflows, and deliverable schedules.</t>
  </si>
  <si>
    <t>Reviewed and approved edits, sound, and visual elements at key milestones.</t>
  </si>
  <si>
    <t>Coordinated feedback cycles between creative teams and post-production partners.</t>
  </si>
  <si>
    <t>Ensured final content met technical and quality standards.</t>
  </si>
  <si>
    <t>Approved final cuts and versions for delivery.</t>
  </si>
  <si>
    <t>Confirmed all contractual and rights-related requirements were fulfilled.</t>
  </si>
  <si>
    <t>Supervised final asset preparation and handoff.</t>
  </si>
  <si>
    <t>Led post-production status updates with internal stakeholders.</t>
  </si>
  <si>
    <t>Closed out production documentation and finalized reporting.</t>
  </si>
  <si>
    <t>Studio - Video</t>
  </si>
  <si>
    <t>Reviewed creative briefs and scripts to assess studio video requirements.</t>
  </si>
  <si>
    <t>Prepared technical plans for studio-based video production.</t>
  </si>
  <si>
    <t>Coordinated equipment needs, crew assignments, and studio schedules.</t>
  </si>
  <si>
    <t>Set up workflows for recording, ingest, and file management.</t>
  </si>
  <si>
    <t>Tested cameras, lighting, audio, and studio systems prior to production.</t>
  </si>
  <si>
    <t>Collaborated with producers to confirm production timelines and needs.</t>
  </si>
  <si>
    <t>Assisted in planning studio layouts and shot setups.</t>
  </si>
  <si>
    <t>Ensured studio readiness and compliance with technical standards.</t>
  </si>
  <si>
    <t>Prepared production documentation and setup checklists.</t>
  </si>
  <si>
    <t>Supported rehearsals and technical run-throughs</t>
  </si>
  <si>
    <t>Operated studio video equipment during recording sessions.</t>
  </si>
  <si>
    <t>Managed camera setups, framing, and technical adjustments in real time.</t>
  </si>
  <si>
    <t>Monitored audio and video quality throughout production.</t>
  </si>
  <si>
    <t>Supported directors and producers with technical execution.</t>
  </si>
  <si>
    <t>Adjusted lighting and equipment as needed during shoots.</t>
  </si>
  <si>
    <t>Maintained studio organization and workflow efficiency.</t>
  </si>
  <si>
    <t>Recorded and labeled video assets accurately.</t>
  </si>
  <si>
    <t>Troubleshot technical issues during live or recorded sessions.</t>
  </si>
  <si>
    <t>Followed studio safety and operational protocols.</t>
  </si>
  <si>
    <t>Documented production notes and technical observations.</t>
  </si>
  <si>
    <t>Ingested, organized, and archived recorded studio footage.</t>
  </si>
  <si>
    <t>Performed basic video edits or assisted editors as required.</t>
  </si>
  <si>
    <t>Synced audio and video files for post-production use.</t>
  </si>
  <si>
    <t>Applied initial quality checks to recorded assets.</t>
  </si>
  <si>
    <t>Prepared files according to post-production specifications.</t>
  </si>
  <si>
    <t>Coordinated handoff of footage to post-production teams.</t>
  </si>
  <si>
    <t>Assisted with revisions and technical updates as requested.</t>
  </si>
  <si>
    <t>Maintained file naming conventions and version control.</t>
  </si>
  <si>
    <t>Ensured proper storage and backup of final assets.</t>
  </si>
  <si>
    <t>Completed studio wrap documentation and equipment shutdown</t>
  </si>
  <si>
    <t>CCO</t>
  </si>
  <si>
    <t>Defined the overarching creative vision and tone for the commercial.</t>
  </si>
  <si>
    <t>Approved the final script and creative concept prior to production.</t>
  </si>
  <si>
    <t>Led high-level creative reviews with internal stakeholders.</t>
  </si>
  <si>
    <t>Provided strategic creative direction to align execution with campaign objectives.</t>
  </si>
  <si>
    <t>Signed off on key visual, messaging, and stylistic decisions.</t>
  </si>
  <si>
    <t>Oversaw on-set creative execution to ensure alignment with the approved vision.</t>
  </si>
  <si>
    <t>Provided real-time creative feedback during filming.</t>
  </si>
  <si>
    <t>Reviewed performances, visuals, and framing for creative consistency.</t>
  </si>
  <si>
    <t>Collaborated with the director to resolve creative adjustments on set.</t>
  </si>
  <si>
    <t>Ensured creative standards were upheld throughout the shoot</t>
  </si>
  <si>
    <t>Reviewed initial edits and provided high-level creative feedback.</t>
  </si>
  <si>
    <t>Approved final narrative structure and pacing.</t>
  </si>
  <si>
    <t>Evaluated color, sound, and overall finish for creative quality.</t>
  </si>
  <si>
    <t>Directed final creative refinements prior to delivery.</t>
  </si>
  <si>
    <t>Gave final creative approval on the completed commercial.</t>
  </si>
  <si>
    <t>VP, Strategy</t>
  </si>
  <si>
    <t>Defined the strategic objective and success metrics for the commercial.</t>
  </si>
  <si>
    <t>Led audience and market analysis to inform the creative direction.</t>
  </si>
  <si>
    <t>Developed the strategic brief aligning business goals with creative approach.</t>
  </si>
  <si>
    <t>Evaluated insights and trends relevant to the campaign context.</t>
  </si>
  <si>
    <t>Collaborated with creative leadership to shape the core message.</t>
  </si>
  <si>
    <t>Assessed competitive positioning to ensure differentiation.</t>
  </si>
  <si>
    <t>Validated strategic alignment across stakeholders prior to production.</t>
  </si>
  <si>
    <t>Reviewed scripts and concepts for strategic consistency.</t>
  </si>
  <si>
    <t>Provided guidance on channel and format considerations.</t>
  </si>
  <si>
    <t>Approved the final strategic recommendation for production readiness.</t>
  </si>
  <si>
    <t>Oversaw strategic integrity during filming and execution.</t>
  </si>
  <si>
    <t>Reviewed on-set decisions for alignment with the approved strategy.</t>
  </si>
  <si>
    <t>Advised creative and account teams on real-time strategic adjustments.</t>
  </si>
  <si>
    <t>Ensured the commercial execution reflected target audience insights.</t>
  </si>
  <si>
    <t>Monitored messaging clarity and brand voice throughout production.</t>
  </si>
  <si>
    <t>Participated in key production check-ins and reviews.</t>
  </si>
  <si>
    <t>Addressed strategic risks identified during production.</t>
  </si>
  <si>
    <t>Supported decision-making related to performance-driven elements.</t>
  </si>
  <si>
    <t>Confirmed continuity between planned strategy and live execution.</t>
  </si>
  <si>
    <t>Signed off on production outputs from a strategic perspective.</t>
  </si>
  <si>
    <t>Reviewed edits to ensure strategic intent was maintained.</t>
  </si>
  <si>
    <t>Evaluated narrative flow and message effectiveness in final cuts.</t>
  </si>
  <si>
    <t>Provided feedback on pacing, tone, and clarity relative to strategy.</t>
  </si>
  <si>
    <t>Assessed the commercial’s alignment with audience and channel strategy.</t>
  </si>
  <si>
    <t>Approved final deliverables from a strategic standpoint.</t>
  </si>
  <si>
    <t>Collaborated on performance measurement frameworks.</t>
  </si>
  <si>
    <t>Analyzed early feedback or test results when available.</t>
  </si>
  <si>
    <t>Documented strategic learnings from the campaign process.</t>
  </si>
  <si>
    <t>Supported optimization recommendations for future placements or edits.</t>
  </si>
  <si>
    <t>Contributed to post-campaign evaluations and strategic reporting.</t>
  </si>
  <si>
    <t>Creative Dir, Performance Creative</t>
  </si>
  <si>
    <t>Developed the creative concept aligned with performance objectives and audience insights.</t>
  </si>
  <si>
    <t>Defined the key message hierarchy and performance-driven creative framework.</t>
  </si>
  <si>
    <t>Collaborated with strategy and media teams to align creative direction with channel requirements.</t>
  </si>
  <si>
    <t>Reviewed and approved scripts, storyboards, and creative treatments.</t>
  </si>
  <si>
    <t>Established visual tone, style guidelines, and performance-focused creative benchmarks.</t>
  </si>
  <si>
    <t>Directed creative testing hypotheses and variant planning for the commercial.</t>
  </si>
  <si>
    <t>Provided guidance on casting direction to support messaging and engagement goals.</t>
  </si>
  <si>
    <t>Reviewed production plans to ensure creative feasibility and performance alignment.</t>
  </si>
  <si>
    <t>Approved creative assets and layouts prior to final production readiness.</t>
  </si>
  <si>
    <t>Aligned stakeholders on creative direction, deliverables, and success criteria.</t>
  </si>
  <si>
    <t>Oversaw on-set creative execution to ensure adherence to the approved concept.</t>
  </si>
  <si>
    <t>Directed performance-focused framing, pacing, and visual emphasis during filming.</t>
  </si>
  <si>
    <t>Provided real-time creative feedback to optimize shots for multiple placements.</t>
  </si>
  <si>
    <t>Ensured messaging clarity and brand consistency throughout production.</t>
  </si>
  <si>
    <t>Collaborated with production teams to adapt creative elements as needed.</t>
  </si>
  <si>
    <t>Monitored content capture to support testing and modular asset creation.</t>
  </si>
  <si>
    <t>Approved performance-critical takes and creative variations on set.</t>
  </si>
  <si>
    <t>Ensured efficient use of production time while maintaining creative quality.</t>
  </si>
  <si>
    <t>Maintained alignment between creative intent and execution during filming.</t>
  </si>
  <si>
    <t>Documented creative notes and priorities for post-production handoff.</t>
  </si>
  <si>
    <t>Reviewed initial edits to ensure alignment with performance objectives.</t>
  </si>
  <si>
    <t>Provided creative direction on pacing, structure, and narrative clarity.</t>
  </si>
  <si>
    <t>Approved multiple cut-downs and formats optimized for various platforms.</t>
  </si>
  <si>
    <t>Guided the integration of graphics, text overlays, and visual enhancements.</t>
  </si>
  <si>
    <t>Reviewed sound design and music selections for performance impact.</t>
  </si>
  <si>
    <t>Ensured creative consistency across all deliverable versions.</t>
  </si>
  <si>
    <t>Approved final edits based on clarity, engagement, and performance readiness.</t>
  </si>
  <si>
    <t>Collaborated with analytics teams to align creative outputs with testing plans.</t>
  </si>
  <si>
    <t>Provided feedback on creative learnings to inform future iterations.</t>
  </si>
  <si>
    <t>Signed off on final assets for distribution and performance deployment.</t>
  </si>
  <si>
    <t>Senior Business Manager, Business Affairs</t>
  </si>
  <si>
    <t>Reviewed scripts and creative treatments for business affairs considerations.</t>
  </si>
  <si>
    <t>Evaluated proposed production plans for contractual and risk implications.</t>
  </si>
  <si>
    <t>Negotiated and finalized preliminary talent, vendor, and crew agreements.</t>
  </si>
  <si>
    <t>Advised creative and production teams on usage, rights, and clearance requirements.</t>
  </si>
  <si>
    <t>Developed initial cost structures aligned with approved scopes of work.</t>
  </si>
  <si>
    <t>Coordinated with legal partners on compliance and regulatory standards.</t>
  </si>
  <si>
    <t>Established business affairs guidelines for production execution.</t>
  </si>
  <si>
    <t>Reviewed union and non-union requirements applicable to the project.</t>
  </si>
  <si>
    <t>Approved preliminary budgets and contractual assumptions prior to production.</t>
  </si>
  <si>
    <t>Aligned stakeholders on business terms, deliverables, and usage parameters.</t>
  </si>
  <si>
    <t>Oversaw contract compliance throughout the production process.</t>
  </si>
  <si>
    <t>Managed on-set business affairs issues related to talent and crew agreements.</t>
  </si>
  <si>
    <t>Approved deal memos and contract amendments as production needs evolved.</t>
  </si>
  <si>
    <t>Addressed usage, overtime, and scope changes in real time.</t>
  </si>
  <si>
    <t>Ensured adherence to union regulations and labor requirements.</t>
  </si>
  <si>
    <t>Coordinated with production accounting on cost tracking and approvals.</t>
  </si>
  <si>
    <t>Resolved contractual and operational issues during filming.</t>
  </si>
  <si>
    <t>Maintained documentation of agreements and approvals executed on set.</t>
  </si>
  <si>
    <t>Provided guidance on rights, releases, and clearances during production.</t>
  </si>
  <si>
    <t>Communicated business affairs updates to internal stakeholders</t>
  </si>
  <si>
    <t>Finalized contracts and ensured all agreements were fully executed.</t>
  </si>
  <si>
    <t>Verified talent, music, and content usage aligned with licensed terms.</t>
  </si>
  <si>
    <t>Reviewed final costs against approved budgets and scopes.</t>
  </si>
  <si>
    <t>Resolved outstanding business affairs issues prior to delivery.</t>
  </si>
  <si>
    <t>Approved final payments related to contractual obligations.</t>
  </si>
  <si>
    <t>Ensured proper archiving of contracts and production documentation.</t>
  </si>
  <si>
    <t>Confirmed compliance with usage, expiration, and renewal requirements.</t>
  </si>
  <si>
    <t>Coordinated with legal teams on any post-production concerns.</t>
  </si>
  <si>
    <t>Provided post-project business affairs summaries and documentation.</t>
  </si>
  <si>
    <t>Supported internal reviews and audits related to production activities</t>
  </si>
  <si>
    <t>Assoc Creative Dir, Performance Creative</t>
  </si>
  <si>
    <t>Assisted in developing performance-driven creative concepts and frameworks.</t>
  </si>
  <si>
    <t>Translated strategic objectives into actionable creative directions.</t>
  </si>
  <si>
    <t>Collaborated with cross-functional teams to align creative with channel needs.</t>
  </si>
  <si>
    <t>Reviewed scripts, storyboards, and layouts for performance effectiveness.</t>
  </si>
  <si>
    <t>Developed creative variations to support testing and optimization plans.</t>
  </si>
  <si>
    <t>Defined visual and messaging guidelines for asset development.</t>
  </si>
  <si>
    <t>Provided feedback on casting, locations, and production approach.</t>
  </si>
  <si>
    <t>Prepared creative briefs and documentation for production teams.</t>
  </si>
  <si>
    <t>Ensured creative concepts were production-ready and performance-aligned.</t>
  </si>
  <si>
    <t>Supported alignment of stakeholders on creative deliverables and timelines</t>
  </si>
  <si>
    <t>Supported on-set creative direction to ensure alignment with approved concepts.</t>
  </si>
  <si>
    <t>Reviewed framing, pacing, and messaging during filming for performance impact.</t>
  </si>
  <si>
    <t>Provided real-time creative feedback to production and talent.</t>
  </si>
  <si>
    <t>Ensured consistent execution of visual and messaging standards.</t>
  </si>
  <si>
    <t>Assisted in capturing creative variations for testing purposes.</t>
  </si>
  <si>
    <t>Monitored content capture to meet multi-platform requirements.</t>
  </si>
  <si>
    <t>Flagged creative issues and proposed solutions during production.</t>
  </si>
  <si>
    <t>Documented creative decisions and updates for post-production.</t>
  </si>
  <si>
    <t>Maintained alignment between creative intent and on-set execution.</t>
  </si>
  <si>
    <t>Coordinated with senior creative leadership on approvals and adjustments</t>
  </si>
  <si>
    <t>Reviewed edits for clarity, engagement, and performance alignment.</t>
  </si>
  <si>
    <t>Provided detailed feedback on pacing, structure, and visual hierarchy.</t>
  </si>
  <si>
    <t>Supported development of cut-downs and alternate versions.</t>
  </si>
  <si>
    <t>Reviewed motion graphics, text overlays, and performance elements.</t>
  </si>
  <si>
    <t>Ensured consistency across all asset versions and formats.</t>
  </si>
  <si>
    <t>Collaborated with editors to refine creative outputs.</t>
  </si>
  <si>
    <t>Prepared creative notes and recommendations for final approvals.</t>
  </si>
  <si>
    <t>Supported creative testing and iteration processes.</t>
  </si>
  <si>
    <t>Documented creative learnings for future performance optimization.</t>
  </si>
  <si>
    <t>Assisted in final asset approvals for delivery and deployment.</t>
  </si>
  <si>
    <t>Production Bus Mgr</t>
  </si>
  <si>
    <t>Coordinated travel arrangements and accommodations for cast and crew.</t>
  </si>
  <si>
    <t>Prepared and maintained detailed transportation schedules for all production vehicles.</t>
  </si>
  <si>
    <t>Secured permits for on-location parking and vehicle access.</t>
  </si>
  <si>
    <t>Arranged catering and meal logistics for transportation staff.</t>
  </si>
  <si>
    <t>Managed the budget for transportation and ground logistics.</t>
  </si>
  <si>
    <t>Communicated schedules and requirements to drivers and transportation vendors.</t>
  </si>
  <si>
    <t>Oversaw equipment transport planning, ensuring timely delivery to locations.</t>
  </si>
  <si>
    <t>Conducted site visits to assess vehicle access and parking logistics.</t>
  </si>
  <si>
    <t>Created and distributed call sheets including transportation details.</t>
  </si>
  <si>
    <t>Coordinated shuttle services for crew between hotels, sets, and locations</t>
  </si>
  <si>
    <t>Oversaw daily vehicle operations, ensuring timely arrival and departure.</t>
  </si>
  <si>
    <t>Supervised drivers and transportation staff during on-set operations.</t>
  </si>
  <si>
    <t>Managed last-minute changes to transportation schedules.</t>
  </si>
  <si>
    <t>Ensured all vehicles were fueled, serviced, and ready for production needs.</t>
  </si>
  <si>
    <t>Monitored compliance with safety regulations for all transportation activities.</t>
  </si>
  <si>
    <t>Assisted with loading and unloading of equipment from production vehicles.</t>
  </si>
  <si>
    <t>Maintained accurate records of vehicle usage and mileage.</t>
  </si>
  <si>
    <t>Communicated with production management regarding transportation delays or issues.</t>
  </si>
  <si>
    <t>Coordinated emergency transportation solutions when needed.</t>
  </si>
  <si>
    <t>Verified crew and talent pick-up and drop-off times were adhered to</t>
  </si>
  <si>
    <t>Reconciled transportation expenses against the production budget.</t>
  </si>
  <si>
    <t>Collected receipts and invoices for all vehicle rentals and services.</t>
  </si>
  <si>
    <t>Completed post-production reports detailing vehicle and driver usage.</t>
  </si>
  <si>
    <t>Evaluated vendor performance and provided feedback.</t>
  </si>
  <si>
    <t>Returned rental vehicles and ensured all equipment was accounted for.</t>
  </si>
  <si>
    <t>Updated internal records for future production planning.</t>
  </si>
  <si>
    <t>Reviewed transportation schedules for efficiency improvements.</t>
  </si>
  <si>
    <t>Archived call sheets and transportation logs.</t>
  </si>
  <si>
    <t>Coordinated final settlements with drivers and transportation vendors.</t>
  </si>
  <si>
    <t>Provided post-mortem feedback to production management regarding transportation logistics.</t>
  </si>
  <si>
    <t>Reviewed creative briefs and visual references provided by the creative team.</t>
  </si>
  <si>
    <t>Assisted in developing motion design concepts aligned with the approved direction.</t>
  </si>
  <si>
    <t>Created style frames and exploratory motion studies for internal review.</t>
  </si>
  <si>
    <t>Participated in brainstorming sessions for visual storytelling approaches.</t>
  </si>
  <si>
    <t>Organized and prepared design assets for animation workflows.</t>
  </si>
  <si>
    <t>Interpreted storyboards and scripts to plan motion requirements.</t>
  </si>
  <si>
    <t>Collaborated with art directors to refine visual treatments.</t>
  </si>
  <si>
    <t>Built rough animatics to support timing and pacing discussions.</t>
  </si>
  <si>
    <t>Conducted visual research to support design decisions.</t>
  </si>
  <si>
    <t>Prepared project files and templates for production use</t>
  </si>
  <si>
    <t>Animated graphics and visual elements according to approved designs.</t>
  </si>
  <si>
    <t>Applied motion principles to enhance clarity, rhythm, and flow.</t>
  </si>
  <si>
    <t>Integrated typography, illustrations, and graphic assets into animations.</t>
  </si>
  <si>
    <t>Executed revisions based on creative and client feedback.</t>
  </si>
  <si>
    <t>Maintained organized project files throughout production.</t>
  </si>
  <si>
    <t>Collaborated with editors to ensure seamless integration of motion assets.</t>
  </si>
  <si>
    <t>Adjusted animations to align with timing changes and editorial updates.</t>
  </si>
  <si>
    <t>Optimized animations for performance and playback requirements.</t>
  </si>
  <si>
    <t>Ensured consistency with established motion design guidelines.</t>
  </si>
  <si>
    <t>Met production deadlines while maintaining quality standards.</t>
  </si>
  <si>
    <t>Refined animations based on final review notes.</t>
  </si>
  <si>
    <t>Assisted in color adjustments and visual polish of motion elements.</t>
  </si>
  <si>
    <t>Prepared final motion assets for delivery across required formats.</t>
  </si>
  <si>
    <t>Conducted quality checks to ensure accuracy and consistency.</t>
  </si>
  <si>
    <t>Exported and organized final files according to delivery specifications.</t>
  </si>
  <si>
    <t>Coordinated with post-production teams to resolve technical issues.</t>
  </si>
  <si>
    <t>Updated project files to reflect final approved versions.</t>
  </si>
  <si>
    <t>Archived assets and working files following project completion.</t>
  </si>
  <si>
    <t>Supported versioning for different durations or placements.</t>
  </si>
  <si>
    <t>Documented workflows and asset usage for future reference.</t>
  </si>
  <si>
    <t>Sr Program Mgr</t>
  </si>
  <si>
    <t>Reviewed project scope, timelines, and deliverables with stakeholders.</t>
  </si>
  <si>
    <t>Defined program milestones and aligned them with creative and production schedules.</t>
  </si>
  <si>
    <t>Coordinated cross-functional teams to confirm roles and responsibilities.</t>
  </si>
  <si>
    <t>Consolidated requirements and ensured alignment across departments.</t>
  </si>
  <si>
    <t>Developed detailed project plans and tracking documents.</t>
  </si>
  <si>
    <t>Identified risks and established mitigation strategies.</t>
  </si>
  <si>
    <t>Facilitated kickoff meetings and planning sessions.</t>
  </si>
  <si>
    <t>Managed resource allocation and scheduling forecasts.</t>
  </si>
  <si>
    <t>Approved workflows and communication protocols.</t>
  </si>
  <si>
    <t>Ensured pre-production deliverables met quality and timeline standards.</t>
  </si>
  <si>
    <t>Oversaw day-to-day program execution across multiple workstreams.</t>
  </si>
  <si>
    <t>Monitored progress against timelines, scope, and budget.</t>
  </si>
  <si>
    <t>Led status meetings and communicated updates to stakeholders.</t>
  </si>
  <si>
    <t>Resolved scheduling conflicts and operational blockers.</t>
  </si>
  <si>
    <t>Managed change requests and scope adjustments.</t>
  </si>
  <si>
    <t>Ensured dependencies between teams were tracked and addressed.</t>
  </si>
  <si>
    <t>Coordinated approvals to maintain production momentum.</t>
  </si>
  <si>
    <t>Maintained alignment between creative, production, and post teams.</t>
  </si>
  <si>
    <t>Enforced process adherence and delivery standards.</t>
  </si>
  <si>
    <t>Escalated risks and issues with recommended solutions.</t>
  </si>
  <si>
    <t>Oversaw final delivery schedules and release milestones.</t>
  </si>
  <si>
    <t>Ensured all deliverables met agreed specifications and timelines.</t>
  </si>
  <si>
    <t>Coordinated final reviews and approvals across stakeholders.</t>
  </si>
  <si>
    <t>Managed versioning and delivery of final assets.</t>
  </si>
  <si>
    <t>Confirmed completion of contractual and operational requirements.</t>
  </si>
  <si>
    <t>Led post-mortem reviews to capture learnings.</t>
  </si>
  <si>
    <t>Documented outcomes, metrics, and process improvements.</t>
  </si>
  <si>
    <t>Closed out project plans and program documentation.</t>
  </si>
  <si>
    <t>Ensured proper handoff and archival of project materials.</t>
  </si>
  <si>
    <t>Reported final status and performance summaries to leadership.</t>
  </si>
  <si>
    <t>Campaign/Proj Mgr</t>
  </si>
  <si>
    <t>Developed the overall project timeline for the commercial.</t>
  </si>
  <si>
    <t>Coordinated client briefings and clarified campaign objectives.</t>
  </si>
  <si>
    <t>Prepared detailed budgets and cost estimates for the production.</t>
  </si>
  <si>
    <t>Secured approvals for scripts, storyboards, and creative concepts.</t>
  </si>
  <si>
    <t>Identified and booked locations for shooting.</t>
  </si>
  <si>
    <t>Sourced and confirmed vendors, including production crews and equipment rental.</t>
  </si>
  <si>
    <t>Organized casting sessions and finalized talent selections.</t>
  </si>
  <si>
    <t>Scheduled pre-production meetings and distributed agendas.</t>
  </si>
  <si>
    <t>Monitored compliance with legal, regulatory, and brand guidelines.</t>
  </si>
  <si>
    <t>Prepared production packages including shot lists, call sheets, and schedules.</t>
  </si>
  <si>
    <t>Oversaw day-to-day operations on set to ensure adherence to schedule.</t>
  </si>
  <si>
    <t>Managed communication between creative, technical, and client teams.</t>
  </si>
  <si>
    <t>Tracked budget expenditures and approved on-the-spot expenses.</t>
  </si>
  <si>
    <t>Facilitated problem-solving for unexpected production challenges.</t>
  </si>
  <si>
    <t>Ensured proper setup and coordination of equipment and technical teams.</t>
  </si>
  <si>
    <t>Verified that talent, crew, and resources were present and prepared.</t>
  </si>
  <si>
    <t>Maintained production logs documenting progress and incidents.</t>
  </si>
  <si>
    <t>Coordinated transportation and logistics for cast and crew.</t>
  </si>
  <si>
    <t>Ensured adherence to safety protocols and site regulations.</t>
  </si>
  <si>
    <t>Reviewed footage on-site to confirm coverage and quality standards.</t>
  </si>
  <si>
    <t>Managed delivery of raw footage to editing teams.</t>
  </si>
  <si>
    <t>Oversaw editing schedules and tracked milestones for post-production.</t>
  </si>
  <si>
    <t>Coordinated visual effects, motion graphics, and sound design teams.</t>
  </si>
  <si>
    <t>Reviewed rough cuts and provided structured feedback.</t>
  </si>
  <si>
    <t>Ensured color correction, audio mixing, and final visual edits were completed.</t>
  </si>
  <si>
    <t>Facilitated client approvals for drafts and final cut versions.</t>
  </si>
  <si>
    <t>Monitored post-production budget and controlled additional costs.</t>
  </si>
  <si>
    <t>Coordinated subtitling, localization, or versioning if required.</t>
  </si>
  <si>
    <t>Prepared final deliverables and ensured timely distribution to media channels.</t>
  </si>
  <si>
    <t>Compiled post-production reports summarizing project completion and lessons learned.</t>
  </si>
  <si>
    <t>Exec VP, Creative Dir</t>
  </si>
  <si>
    <t>Reviewed the creative brief and established the overall creative direction for the commercial.</t>
  </si>
  <si>
    <t>Led internal creative meetings to align the team on concept and messaging.</t>
  </si>
  <si>
    <t>Evaluated and approved initial script drafts and creative treatments.</t>
  </si>
  <si>
    <t>Provided strategic feedback on storyboards and visual concepts.</t>
  </si>
  <si>
    <t>Collaborated with senior creative staff to refine the campaign narrative.</t>
  </si>
  <si>
    <t>Presented the creative concept and direction to stakeholders for approval.</t>
  </si>
  <si>
    <t>Oversaw revisions to the script and visual materials based on feedback.</t>
  </si>
  <si>
    <t>Coordinated with production leadership to ensure the creative vision was feasible for execution.</t>
  </si>
  <si>
    <t>Approved final creative assets, including scripts, storyboards, and visual references.</t>
  </si>
  <si>
    <t>Confirmed that the creative approach aligned with the overall campaign objectives.</t>
  </si>
  <si>
    <t>Attended the production shoot to oversee execution of the approved creative vision.</t>
  </si>
  <si>
    <t>Provided on-set creative direction to ensure consistency with the storyboard.</t>
  </si>
  <si>
    <t>Reviewed performances and visual setups to confirm alignment with the concept.</t>
  </si>
  <si>
    <t>Collaborated with the director and production team on creative adjustments during filming.</t>
  </si>
  <si>
    <t>Evaluated shot compositions and visual style during filming.</t>
  </si>
  <si>
    <t>Approved key scenes and takes during the shoot.</t>
  </si>
  <si>
    <t>Addressed creative issues that arose during production.</t>
  </si>
  <si>
    <t>Ensured the narrative tone and visual style remained consistent throughout filming.</t>
  </si>
  <si>
    <t>Reviewed daily footage to confirm the material met creative expectations.</t>
  </si>
  <si>
    <t>Communicated creative updates and decisions to the internal team.</t>
  </si>
  <si>
    <t>Reviewed initial edits to evaluate narrative flow and creative execution.</t>
  </si>
  <si>
    <t>Provided feedback on the rough cut to refine pacing and storytelling.</t>
  </si>
  <si>
    <t>Approved revisions to visual elements and sequence structure.</t>
  </si>
  <si>
    <t>Evaluated color, visual style, and overall presentation in the edit.</t>
  </si>
  <si>
    <t>Reviewed sound design and music selections for creative alignment.</t>
  </si>
  <si>
    <t>Collaborated with the post-production team to refine the final cut.</t>
  </si>
  <si>
    <t>Ensured the final edit maintained the intended creative direction.</t>
  </si>
  <si>
    <t>Reviewed updated versions of the commercial for quality and consistency.</t>
  </si>
  <si>
    <t>Approved the final version of the commercial for delivery.</t>
  </si>
  <si>
    <t>Confirmed that the completed commercial aligned with the approved creative concept</t>
  </si>
  <si>
    <t>Sr VP, Creative Dir, Copywriter</t>
  </si>
  <si>
    <t>Reviewed the creative brief and developed initial copy concepts for the commercial.</t>
  </si>
  <si>
    <t>Wrote and refined script drafts based on the approved creative direction.</t>
  </si>
  <si>
    <t>Collaborated with the creative team to align messaging and tone with the campaign concept.</t>
  </si>
  <si>
    <t>Revised dialogue and voiceover copy to improve clarity and impact.</t>
  </si>
  <si>
    <t>Participated in creative meetings to discuss story development and script direction.</t>
  </si>
  <si>
    <t>Assisted in the development of storyboards by providing script guidance and copy notes.</t>
  </si>
  <si>
    <t>Incorporated feedback from senior leadership into updated script versions.</t>
  </si>
  <si>
    <t>Ensured that the script maintained consistent messaging throughout all scenes.</t>
  </si>
  <si>
    <t>Prepared finalized script materials for production readiness.</t>
  </si>
  <si>
    <t>Confirmed that the written content aligned with the overall campaign message.</t>
  </si>
  <si>
    <t>Attended the production shoot to support the execution of the approved script.</t>
  </si>
  <si>
    <t>Provided guidance on dialogue delivery and voiceover interpretation.</t>
  </si>
  <si>
    <t>Reviewed script adherence during filming to ensure accuracy.</t>
  </si>
  <si>
    <t>Assisted the production team in addressing script-related adjustments on set.</t>
  </si>
  <si>
    <t>Evaluated dialogue timing and pacing during scene execution.</t>
  </si>
  <si>
    <t>Clarified script intent when questions arose during filming.</t>
  </si>
  <si>
    <t>Coordinated with the director to ensure key messaging was clearly conveyed.</t>
  </si>
  <si>
    <t>Reviewed performances to confirm alignment with the written narrative.</t>
  </si>
  <si>
    <t>Verified that scripted lines and voiceover content were captured correctly.</t>
  </si>
  <si>
    <t>Documented any necessary script revisions identified during production.</t>
  </si>
  <si>
    <t>Reviewed initial edits to confirm the script was accurately represented in the cut.</t>
  </si>
  <si>
    <t>Provided feedback on dialogue flow and narrative clarity in the rough cut.</t>
  </si>
  <si>
    <t>Assisted in refining voiceover scripts for final recording.</t>
  </si>
  <si>
    <t>Reviewed voiceover recordings to ensure consistency with the approved script.</t>
  </si>
  <si>
    <t>Suggested adjustments to on-screen text and supers for clarity.</t>
  </si>
  <si>
    <t>Evaluated pacing of dialogue and narration in the edit.</t>
  </si>
  <si>
    <t>Collaborated with editors to maintain narrative consistency.</t>
  </si>
  <si>
    <t>Reviewed revised cuts to confirm that key messages were clearly communicated.</t>
  </si>
  <si>
    <t>Approved final copy elements, including voiceover and on-screen text.</t>
  </si>
  <si>
    <t>Confirmed that the final commercial reflected the intended script and messaging.</t>
  </si>
  <si>
    <t>Assoc Creative Dir, Copywriter</t>
  </si>
  <si>
    <t>Reviewed the creative brief and contributed copy ideas for the commercial concept.</t>
  </si>
  <si>
    <t>Assisted in drafting and revising the commercial script.</t>
  </si>
  <si>
    <t>Collaborated with senior creative staff to refine dialogue and messaging.</t>
  </si>
  <si>
    <t>Participated in brainstorming sessions to develop creative copy concepts.</t>
  </si>
  <si>
    <t>Provided input on storyboards to ensure alignment with the script.</t>
  </si>
  <si>
    <t>Edited script drafts for clarity, tone, and consistency.</t>
  </si>
  <si>
    <t>Incorporated feedback from leadership into updated script versions.</t>
  </si>
  <si>
    <t>Coordinated with the creative team to maintain consistent messaging across scenes.</t>
  </si>
  <si>
    <t>Prepared supporting copy elements for use during production.</t>
  </si>
  <si>
    <t>Reviewed the final script to confirm readiness for filming.</t>
  </si>
  <si>
    <t>Attended the production shoot to support script execution.</t>
  </si>
  <si>
    <t>Monitored dialogue delivery to ensure it followed the approved script.</t>
  </si>
  <si>
    <t>Provided guidance on wording and phrasing during scene rehearsals.</t>
  </si>
  <si>
    <t>Assisted with minor script adjustments when required during filming.</t>
  </si>
  <si>
    <t>Confirmed that key lines and messaging were delivered accurately.</t>
  </si>
  <si>
    <t>Collaborated with the director and creative team to address copy-related concerns.</t>
  </si>
  <si>
    <t>Reviewed scenes during filming to ensure narrative consistency.</t>
  </si>
  <si>
    <t>Clarified script intent for production team members when needed.</t>
  </si>
  <si>
    <t>Documented any script changes that occurred during the shoot.</t>
  </si>
  <si>
    <t>Ensured that essential copy elements were properly captured on set.</t>
  </si>
  <si>
    <t>Reviewed rough cuts to ensure the script translated effectively on screen.</t>
  </si>
  <si>
    <t>Provided feedback on dialogue pacing and narrative clarity.</t>
  </si>
  <si>
    <t>Assisted in refining voiceover copy for final recording.</t>
  </si>
  <si>
    <t>Reviewed voiceover drafts and suggested improvements where necessary.</t>
  </si>
  <si>
    <t>Evaluated on-screen text and captions for clarity and tone.</t>
  </si>
  <si>
    <t>Collaborated with editors to maintain consistency in messaging.</t>
  </si>
  <si>
    <t>Reviewed revised edits to ensure copy accuracy.</t>
  </si>
  <si>
    <t>Suggested improvements to dialogue flow and narrative structure.</t>
  </si>
  <si>
    <t>Approved final copy elements included in the commercial.</t>
  </si>
  <si>
    <t>Confirmed that the final edit reflected the intended script and messaging.</t>
  </si>
  <si>
    <t>SVP, Creative Director</t>
  </si>
  <si>
    <t>Interpreted the strategic brief and defined the overarching creative direction for the commercial.</t>
  </si>
  <si>
    <t>Led the development of core campaign concepts with copywriters and art directors.</t>
  </si>
  <si>
    <t>Reviewed and refined scripts to ensure alignment with the approved creative vision.</t>
  </si>
  <si>
    <t>Evaluated and approved storyboards to establish the visual narrative and tone.</t>
  </si>
  <si>
    <t>Directed the development of visual style references and mood boards for the production team.</t>
  </si>
  <si>
    <t>Provided guidance on casting direction and character portrayal within the narrative framework.</t>
  </si>
  <si>
    <t>Reviewed proposed production approaches and ensured they aligned with the intended creative concept.</t>
  </si>
  <si>
    <t>Participated in pre-production meetings to align the creative team and production partners on expectations.</t>
  </si>
  <si>
    <t>Provided creative feedback on set design concepts, wardrobe direction, and visual styling.</t>
  </si>
  <si>
    <t>Presented the finalized creative concept and visual approach to senior stakeholders for approval.</t>
  </si>
  <si>
    <t>Oversaw the on-set execution of the commercial to maintain consistency with the approved creative direction.</t>
  </si>
  <si>
    <t>Collaborated with the director to guide the visual storytelling during filming.</t>
  </si>
  <si>
    <t>Reviewed scene compositions and shot framing to ensure alignment with the storyboard.</t>
  </si>
  <si>
    <t>Provided creative direction to ensure performances reflected the intended tone and narrative.</t>
  </si>
  <si>
    <t>Evaluated real-time playback of filmed footage to confirm adherence to creative standards.</t>
  </si>
  <si>
    <t>Addressed creative adjustments required during filming to maintain narrative clarity.</t>
  </si>
  <si>
    <t>Supervised the integration of art direction, lighting, and camera work to support the visual concept.</t>
  </si>
  <si>
    <t>Coordinated with the production team to ensure key visual moments were captured as planned.</t>
  </si>
  <si>
    <t>Maintained creative oversight across departments to ensure a cohesive execution.</t>
  </si>
  <si>
    <t>Approved significant creative decisions affecting the visual storytelling while on set.</t>
  </si>
  <si>
    <t>Reviewed initial rough cuts to evaluate narrative structure and pacing.</t>
  </si>
  <si>
    <t>Provided detailed feedback to editors on storytelling flow and visual continuity.</t>
  </si>
  <si>
    <t>Directed refinements to scene sequencing and timing during edit revisions.</t>
  </si>
  <si>
    <t>Collaborated with sound designers to shape the overall auditory experience.</t>
  </si>
  <si>
    <t>Reviewed visual effects and motion elements for consistency with the creative vision.</t>
  </si>
  <si>
    <t>Evaluated color grading and final visual treatments to ensure visual cohesion.</t>
  </si>
  <si>
    <t>Provided guidance on music selection and integration within the final edit.</t>
  </si>
  <si>
    <t>Led internal creative review sessions to finalize the commercial cut.</t>
  </si>
  <si>
    <t>Ensured the final edit maintained alignment with the original creative concept.</t>
  </si>
  <si>
    <t>Approved the completed commercial for final delivery and distribution.</t>
  </si>
  <si>
    <t>Reviewed the client brief and clarified project objectives, deliverables, and success criteria with internal teams.</t>
  </si>
  <si>
    <t>Established the project scope, timeline, and key milestones for the commercial development process.</t>
  </si>
  <si>
    <t>Coordinated internal planning sessions with creative, strategy, and production teams to align on project direction.</t>
  </si>
  <si>
    <t>Managed client communications related to concept development and production planning.</t>
  </si>
  <si>
    <t>Facilitated the presentation of creative concepts and production approaches to client stakeholders.</t>
  </si>
  <si>
    <t>Consolidated client feedback on proposed concepts and communicated revisions to the creative team.</t>
  </si>
  <si>
    <t>Oversaw the development and approval of the production budget and associated cost estimates.</t>
  </si>
  <si>
    <t>Coordinated the approval process for scripts, storyboards, and production plans.</t>
  </si>
  <si>
    <t>Confirmed project timelines and deliverables with production partners and internal departments.</t>
  </si>
  <si>
    <t>Documented client approvals and ensured all pre-production requirements were completed prior to filming.</t>
  </si>
  <si>
    <t>Maintained regular communication with the client regarding filming progress and production updates.</t>
  </si>
  <si>
    <t>Monitored adherence to the approved production schedule and budget.</t>
  </si>
  <si>
    <t>Coordinated with the production team to ensure client expectations were reflected during filming.</t>
  </si>
  <si>
    <t>Addressed client inquiries and provided timely updates on key production developments.</t>
  </si>
  <si>
    <t>Managed any scope adjustments or timeline changes that arose during filming.</t>
  </si>
  <si>
    <t>Facilitated communication between the client, creative leadership, and production teams during the shoot.</t>
  </si>
  <si>
    <t>Ensured required approvals were obtained for significant production decisions.</t>
  </si>
  <si>
    <t>Documented production updates and shared status reports with internal stakeholders.</t>
  </si>
  <si>
    <t>Monitored deliverables captured during filming to ensure alignment with agreed project scope.</t>
  </si>
  <si>
    <t>Resolved operational issues impacting timelines, budget, or deliverables during production.</t>
  </si>
  <si>
    <t>Coordinated the delivery of rough cuts and edited versions of the commercial to the client for review.</t>
  </si>
  <si>
    <t>Consolidated client feedback from review sessions and communicated required revisions to post-production teams.</t>
  </si>
  <si>
    <t>Monitored post-production schedules to ensure editing and finishing milestones were achieved.</t>
  </si>
  <si>
    <t>Facilitated review meetings between the client and internal creative leadership for edit approvals.</t>
  </si>
  <si>
    <t>Managed version control and documentation of client feedback across edit iterations.</t>
  </si>
  <si>
    <t>Ensured all revisions were completed in accordance with client feedback and project scope.</t>
  </si>
  <si>
    <t>Confirmed that final deliverables met the technical specifications required for distribution.</t>
  </si>
  <si>
    <t>Coordinated final approval from client stakeholders on the completed commercial.</t>
  </si>
  <si>
    <t>Oversaw the final delivery of assets and supporting materials to the client.</t>
  </si>
  <si>
    <t>Documented project completion and confirmed that all contractual deliverables were fulfilled.</t>
  </si>
  <si>
    <t>Chief Creative Officer</t>
  </si>
  <si>
    <t>Approved the overall creative concept for the commercial.</t>
  </si>
  <si>
    <t>Provided strategic creative direction to the creative and production teams.</t>
  </si>
  <si>
    <t>Reviewed and approved the final script and storyboard.</t>
  </si>
  <si>
    <t>Guided the development of the visual and narrative style for the commercial.</t>
  </si>
  <si>
    <t>Evaluated and approved key creative elements presented by the creative directors.</t>
  </si>
  <si>
    <t>Participated in high-level concept review meetings with internal teams.</t>
  </si>
  <si>
    <t>Ensured the creative approach aligned with the campaign objectives.</t>
  </si>
  <si>
    <t>Approved the final creative treatment prior to production.</t>
  </si>
  <si>
    <t>Reviewed proposed casting, locations, and visual references from a creative perspective.</t>
  </si>
  <si>
    <t>Provided final creative sign-off on pre-production deliverables.</t>
  </si>
  <si>
    <t>Monitored the execution of the creative vision during the shoot.</t>
  </si>
  <si>
    <t>Provided high-level creative guidance to the director and production team.</t>
  </si>
  <si>
    <t>Reviewed key shots and scenes to ensure alignment with the approved concept.</t>
  </si>
  <si>
    <t>Addressed creative concerns that arose during filming.</t>
  </si>
  <si>
    <t>Confirmed that the visual style and storytelling matched the approved treatment.</t>
  </si>
  <si>
    <t>Coordinated with senior creative staff regarding on-set creative decisions.</t>
  </si>
  <si>
    <t>Evaluated performance and delivery of key scenes from a creative standpoint.</t>
  </si>
  <si>
    <t>Approved necessary creative adjustments made during filming.</t>
  </si>
  <si>
    <t>Ensured consistency between the planned creative concept and the captured footage.</t>
  </si>
  <si>
    <t>Provided executive-level creative oversight throughout the production process</t>
  </si>
  <si>
    <t>Reviewed initial edits of the commercial.</t>
  </si>
  <si>
    <t>Provided creative feedback on pacing, tone, and storytelling.</t>
  </si>
  <si>
    <t>Approved revisions to the edit based on creative direction.</t>
  </si>
  <si>
    <t>Reviewed visual effects, graphics, and motion design elements.</t>
  </si>
  <si>
    <t>Evaluated the integration of music, sound design, and voice-over.</t>
  </si>
  <si>
    <t>Ensured the final cut aligned with the original creative concept.</t>
  </si>
  <si>
    <t>Participated in internal review sessions for the edited commercial.</t>
  </si>
  <si>
    <t>Approved the final creative version of the commercial.</t>
  </si>
  <si>
    <t>Provided final creative sign-off on post-production deliverables.</t>
  </si>
  <si>
    <t>Confirmed that the completed commercial met the established creative standards.</t>
  </si>
  <si>
    <t>EVP, Production</t>
  </si>
  <si>
    <t>Reviewed the production plan and provided executive-level direction.</t>
  </si>
  <si>
    <t>Approved the preliminary production schedule and timeline.</t>
  </si>
  <si>
    <t>Evaluated and approved the proposed production budget.</t>
  </si>
  <si>
    <t>Coordinated with senior creative and account leadership regarding production requirements.</t>
  </si>
  <si>
    <t>Oversaw the selection of key production personnel.</t>
  </si>
  <si>
    <t>Reviewed proposed locations, vendors, and production resources.</t>
  </si>
  <si>
    <t>Provided guidance on production logistics and operational planning.</t>
  </si>
  <si>
    <t>Approved major production expenditures and contractual commitments.</t>
  </si>
  <si>
    <t>Participated in internal planning meetings related to production readiness.</t>
  </si>
  <si>
    <t>Provided final production approval prior to the start of filming.</t>
  </si>
  <si>
    <t>Monitored overall production progress and operational execution.</t>
  </si>
  <si>
    <t>Ensured the production team adhered to the approved schedule and budget.</t>
  </si>
  <si>
    <t>Provided executive oversight for on-set production operations.</t>
  </si>
  <si>
    <t>Addressed high-level production challenges during filming.</t>
  </si>
  <si>
    <t>Coordinated with senior staff regarding production updates and adjustments.</t>
  </si>
  <si>
    <t>Reviewed daily production reports and status updates.</t>
  </si>
  <si>
    <t>Confirmed that production activities followed the approved production plan.</t>
  </si>
  <si>
    <t>Evaluated the effectiveness of production processes during filming.</t>
  </si>
  <si>
    <t>Authorized necessary production adjustments when required.</t>
  </si>
  <si>
    <t>Maintained executive supervision of production operations throughout the shoot</t>
  </si>
  <si>
    <t>Reviewed the post-production schedule and workflow.</t>
  </si>
  <si>
    <t>Monitored post-production progress against the approved timeline.</t>
  </si>
  <si>
    <t>Ensured post-production resources were allocated appropriately.</t>
  </si>
  <si>
    <t>Coordinated with post-production supervisors regarding deliverables.</t>
  </si>
  <si>
    <t>Reviewed updates on editing, visual effects, and finishing processes.</t>
  </si>
  <si>
    <t>Addressed operational issues affecting post-production timelines.</t>
  </si>
  <si>
    <t>Evaluated the efficiency of post-production workflows.</t>
  </si>
  <si>
    <t>Approved major post-production expenditures when required.</t>
  </si>
  <si>
    <t>Confirmed completion of post-production milestones.</t>
  </si>
  <si>
    <t>Provided final production oversight until all deliverables were completed.</t>
  </si>
  <si>
    <t>SVP, Dir of Pro</t>
  </si>
  <si>
    <t>Oversaw the development of the production schedule and coordinated timelines with internal teams and external partners.</t>
  </si>
  <si>
    <t>Reviewed and approved creative concepts and scripts to ensure feasibility within production parameters.</t>
  </si>
  <si>
    <t>Led production planning meetings with agency leadership and creative stakeholders.</t>
  </si>
  <si>
    <t>Evaluated and selected production partners, including directors and production companies.</t>
  </si>
  <si>
    <t>Managed preliminary production budgets and approved cost estimates.</t>
  </si>
  <si>
    <t>Coordinated the planning of locations, casting, and key production logistics.</t>
  </si>
  <si>
    <t>Supervised the development of storyboards and visual references for production alignment.</t>
  </si>
  <si>
    <t>Reviewed production plans to ensure compliance with project scope and timelines.</t>
  </si>
  <si>
    <t>Approved final production schedules and pre-production deliverables.</t>
  </si>
  <si>
    <t>Communicated production plans and expectations to internal teams and external collaborators.</t>
  </si>
  <si>
    <t>Oversaw principal photography and monitored adherence to the production schedule.</t>
  </si>
  <si>
    <t>Supervised production teams to ensure execution aligned with the approved creative direction.</t>
  </si>
  <si>
    <t>Reviewed daily production reports and monitored progress against planned milestones.</t>
  </si>
  <si>
    <t>Coordinated with creative leadership regarding on-set production decisions.</t>
  </si>
  <si>
    <t>Approved adjustments to production plans as required during filming.</t>
  </si>
  <si>
    <t>Monitored production budgets and authorized necessary expenditures.</t>
  </si>
  <si>
    <t>Managed communication between agency leadership and the production team during filming.</t>
  </si>
  <si>
    <t>Ensured production activities adhered to established operational and safety standards.</t>
  </si>
  <si>
    <t>Evaluated captured footage with creative leadership to confirm coverage requirements.</t>
  </si>
  <si>
    <t>Documented production outcomes and coordinated wrap-up activities.</t>
  </si>
  <si>
    <t>Oversaw the post-production schedule and coordinated timelines with editorial teams.</t>
  </si>
  <si>
    <t>Reviewed initial edits and provided feedback aligned with creative direction.</t>
  </si>
  <si>
    <t>Supervised the development of graphics, visual effects, and finishing elements.</t>
  </si>
  <si>
    <t>Managed post-production budgets and approved associated costs.</t>
  </si>
  <si>
    <t>Coordinated review sessions with agency leadership and creative stakeholders.</t>
  </si>
  <si>
    <t>Approved revisions to editorial cuts and post-production deliverables.</t>
  </si>
  <si>
    <t>Oversaw color grading, sound design, and final finishing processes.</t>
  </si>
  <si>
    <t>Ensured all deliverables met technical and quality standards.</t>
  </si>
  <si>
    <t>Approved final versions of the commercial for distribution.</t>
  </si>
  <si>
    <t>Documented final production outcomes and coordinated project closure.</t>
  </si>
  <si>
    <t>Assoc Proj Mngr</t>
  </si>
  <si>
    <t>Coordinated project timelines and tracked key pre-production milestones.</t>
  </si>
  <si>
    <t>Organized internal meetings and distributed agendas and follow-up notes.</t>
  </si>
  <si>
    <t>Maintained project documentation, including schedules, briefs, and production plans.</t>
  </si>
  <si>
    <t>Assisted in the preparation and tracking of preliminary production budgets.</t>
  </si>
  <si>
    <t>Communicated project updates between internal teams and production partners.</t>
  </si>
  <si>
    <t>Managed the collection and organization of pre-production deliverables.</t>
  </si>
  <si>
    <t>Coordinated approvals for scripts, storyboards, and production materials.</t>
  </si>
  <si>
    <t>Monitored project timelines and updated schedules as planning progressed.</t>
  </si>
  <si>
    <t>Supported the scheduling of casting sessions, location scouts, and technical meetings.</t>
  </si>
  <si>
    <t>Tracked action items and ensured completion of assigned pre-production tasks.</t>
  </si>
  <si>
    <t>Monitored daily production schedules and tracked progress against planned timelines.</t>
  </si>
  <si>
    <t>Coordinated communication between the agency team and production personnel during filming.</t>
  </si>
  <si>
    <t>Maintained records of production updates and distributed status reports.</t>
  </si>
  <si>
    <t>Tracked production deliverables and ensured proper documentation of completed work.</t>
  </si>
  <si>
    <t>Assisted in resolving scheduling conflicts and coordinating adjustments.</t>
  </si>
  <si>
    <t>Documented production activities and maintained updated project records.</t>
  </si>
  <si>
    <t>Coordinated logistics for agency team members involved in production activities.</t>
  </si>
  <si>
    <t>Monitored budget tracking reports and recorded production expenses.</t>
  </si>
  <si>
    <t>Facilitated communication regarding changes to production timelines or requirements.</t>
  </si>
  <si>
    <t>Organized production documentation and maintained project files.</t>
  </si>
  <si>
    <t>Coordinated post-production schedules and tracked editorial milestones.</t>
  </si>
  <si>
    <t>Organized review sessions and distributed materials for internal feedback.</t>
  </si>
  <si>
    <t>Collected and consolidated feedback from stakeholders during edit reviews.</t>
  </si>
  <si>
    <t>Maintained version control for editorial cuts and production assets.</t>
  </si>
  <si>
    <t>Updated project schedules to reflect post-production progress.</t>
  </si>
  <si>
    <t>Tracked completion of post-production deliverables and milestones.</t>
  </si>
  <si>
    <t>Coordinated communication between editorial teams and agency stakeholders.</t>
  </si>
  <si>
    <t>Documented revisions and distributed updated production materials.</t>
  </si>
  <si>
    <t>Maintained records of approvals for final edits and deliverables.</t>
  </si>
  <si>
    <t>Compiled final project documentation and organized project closure materials.</t>
  </si>
  <si>
    <t>Reviewed and approved production plans to ensure alignment with broadcast requirements.</t>
  </si>
  <si>
    <t>Evaluated scripts and creative materials to confirm suitability for broadcast distribution.</t>
  </si>
  <si>
    <t>Coordinated with agency leadership and production teams to finalize broadcast production strategies.</t>
  </si>
  <si>
    <t>Approved production budgets and monitored cost allocations for broadcast deliverables.</t>
  </si>
  <si>
    <t>Supervised the selection of directors, production vendors, and key broadcast partners.</t>
  </si>
  <si>
    <t>Reviewed storyboards and production outlines to confirm broadcast feasibility.</t>
  </si>
  <si>
    <t>Established broadcast timelines and coordinated scheduling expectations.</t>
  </si>
  <si>
    <t>Oversaw compliance with broadcast technical standards during production planning.</t>
  </si>
  <si>
    <t>Approved final pre-production deliverables related to broadcast execution.</t>
  </si>
  <si>
    <t>Communicated broadcast production guidelines to internal teams and production partners.</t>
  </si>
  <si>
    <t>Oversaw broadcast-related aspects of principal photography.</t>
  </si>
  <si>
    <t>Monitored production progress to ensure alignment with broadcast specifications.</t>
  </si>
  <si>
    <t>Coordinated with production leadership regarding broadcast considerations during filming.</t>
  </si>
  <si>
    <t>Reviewed daily production reports and monitored key production milestones.</t>
  </si>
  <si>
    <t>Evaluated captured footage to confirm broadcast usability.</t>
  </si>
  <si>
    <t>Approved necessary production adjustments affecting broadcast deliverables.</t>
  </si>
  <si>
    <t>Maintained communication with agency leadership regarding production status.</t>
  </si>
  <si>
    <t>Monitored production costs related to broadcast execution.</t>
  </si>
  <si>
    <t>Ensured production activities adhered to established broadcast standards.</t>
  </si>
  <si>
    <t>Documented production outcomes relevant to broadcast deliverables.</t>
  </si>
  <si>
    <t>Oversaw the post-production process for broadcast deliverables.</t>
  </si>
  <si>
    <t>Reviewed editorial cuts to ensure compliance with broadcast standards.</t>
  </si>
  <si>
    <t>Coordinated review sessions with internal stakeholders for broadcast approvals.</t>
  </si>
  <si>
    <t>Approved revisions to edits, graphics, and finishing elements intended for broadcast.</t>
  </si>
  <si>
    <t>Monitored post-production schedules to ensure timely completion of broadcast assets.</t>
  </si>
  <si>
    <t>Supervised color grading and audio finishing to meet broadcast specifications.</t>
  </si>
  <si>
    <t>Verified that final deliverables met required broadcast technical standards.</t>
  </si>
  <si>
    <t>Approved final broadcast versions of the commercial.</t>
  </si>
  <si>
    <t>Coordinated delivery of completed assets for broadcast distribution.</t>
  </si>
  <si>
    <t>Documented final approvals and completed broadcast production records.</t>
  </si>
  <si>
    <t>Dir Tal Mgt Bcast</t>
  </si>
  <si>
    <t>Reviewed casting requirements and aligned talent needs with production plans.</t>
  </si>
  <si>
    <t>Coordinated the sourcing and evaluation of on-camera and voice talent.</t>
  </si>
  <si>
    <t>Managed communication with talent representatives regarding availability and scheduling.</t>
  </si>
  <si>
    <t>Negotiated preliminary talent terms and confirmed engagement details.</t>
  </si>
  <si>
    <t>Organized casting sessions and coordinated logistics for talent evaluations.</t>
  </si>
  <si>
    <t>Reviewed talent submissions and prepared recommendations for internal stakeholders.</t>
  </si>
  <si>
    <t>Coordinated the development and execution of talent agreements.</t>
  </si>
  <si>
    <t>Confirmed talent participation and finalized scheduling for production activities.</t>
  </si>
  <si>
    <t>Maintained records of talent documentation and contractual materials.</t>
  </si>
  <si>
    <t>Communicated finalized talent arrangements to production and agency teams.</t>
  </si>
  <si>
    <t>Coordinated talent arrival schedules and on-set participation.</t>
  </si>
  <si>
    <t>Managed communication between talent representatives and production teams during filming.</t>
  </si>
  <si>
    <t>Ensured talent agreements and participation terms were followed during production.</t>
  </si>
  <si>
    <t>Addressed scheduling adjustments related to talent availability.</t>
  </si>
  <si>
    <t>Monitored talent participation throughout principal photography.</t>
  </si>
  <si>
    <t>Coordinated approvals related to talent appearances and performance requirements.</t>
  </si>
  <si>
    <t>Maintained documentation of talent activity during production.</t>
  </si>
  <si>
    <t>Facilitated communication between agency leadership and talent representatives.</t>
  </si>
  <si>
    <t>Confirmed completion of contracted talent obligations during filming.</t>
  </si>
  <si>
    <t>Documented talent-related outcomes at the conclusion of production activities.</t>
  </si>
  <si>
    <t>Reviewed edited footage to confirm proper use of contracted talent appearances.</t>
  </si>
  <si>
    <t>Verified compliance with talent agreements in post-production materials.</t>
  </si>
  <si>
    <t>Coordinated approvals related to talent usage in final edits.</t>
  </si>
  <si>
    <t>Managed communication with talent representatives regarding post-production updates.</t>
  </si>
  <si>
    <t>Oversaw documentation related to talent usage and rights management.</t>
  </si>
  <si>
    <t>Confirmed completion of talent deliverables required for broadcast distribution.</t>
  </si>
  <si>
    <t>Addressed talent-related revisions requested during post-production reviews.</t>
  </si>
  <si>
    <t>Maintained records of talent approvals for final deliverables.</t>
  </si>
  <si>
    <t>Coordinated final confirmations related to talent rights and usage terms.</t>
  </si>
  <si>
    <t>Documented completion of talent management responsibilities for project closure.</t>
  </si>
  <si>
    <t>Art Dir - Jr</t>
  </si>
  <si>
    <t>Developed initial visual concepts based on the creative brief.</t>
  </si>
  <si>
    <t>Created mood boards to establish visual direction for the campaign.</t>
  </si>
  <si>
    <t>Sketched layout ideas and storyboards for review by the creative team.</t>
  </si>
  <si>
    <t>Collaborated with the creative director to refine visual concepts.</t>
  </si>
  <si>
    <t>Selected typefaces, color palettes, and visual styles for the project.</t>
  </si>
  <si>
    <t>Coordinated with designers and illustrators to produce draft assets.</t>
  </si>
  <si>
    <t>Prepared visual presentations for client approval.</t>
  </si>
  <si>
    <t>Assisted in location scouting by providing visual references.</t>
  </si>
  <si>
    <t>Reviewed reference materials and competitor visuals to inform design decisions.</t>
  </si>
  <si>
    <t>Documented design specifications for production teams.</t>
  </si>
  <si>
    <t>Oversaw on-set execution of visual concepts during filming.</t>
  </si>
  <si>
    <t>Directed props, set dressing, and visual elements to align with storyboards.</t>
  </si>
  <si>
    <t>Provided guidance to photographers and videographers on composition and framing.</t>
  </si>
  <si>
    <t>Adjusted lighting and set visuals to maintain the intended aesthetic.</t>
  </si>
  <si>
    <t>Monitored wardrobe and makeup to ensure visual consistency.</t>
  </si>
  <si>
    <t>Reviewed live shots and suggested visual improvements on set.</t>
  </si>
  <si>
    <t>Coordinated with the director and producer to resolve visual challenges.</t>
  </si>
  <si>
    <t>Captured reference images for post-production use.</t>
  </si>
  <si>
    <t>Approved practical effects and set details before filming scenes.</t>
  </si>
  <si>
    <t>Documented on-set design changes for the post-production team.</t>
  </si>
  <si>
    <t>Reviewed raw footage to identify shots requiring visual adjustments.</t>
  </si>
  <si>
    <t>Collaborated with editors to implement visual corrections and enhancements.</t>
  </si>
  <si>
    <t>Provided feedback on color grading and compositing to maintain aesthetic consistency.</t>
  </si>
  <si>
    <t>Selected and approved graphic elements for integration into the commercial.</t>
  </si>
  <si>
    <t>Reviewed motion graphics and visual effects for accuracy and style adherence.</t>
  </si>
  <si>
    <t>Coordinated with the sound and editing team to ensure visual harmony.</t>
  </si>
  <si>
    <t>Annotated changes and revisions for final visual approval.</t>
  </si>
  <si>
    <t>Conducted quality checks on final renders and proofs.</t>
  </si>
  <si>
    <t>Prepared visual assets for delivery to clients or broadcasting platforms.</t>
  </si>
  <si>
    <t>Archived final visual files and documentation for future reference.</t>
  </si>
  <si>
    <t>Strategy - Dir</t>
  </si>
  <si>
    <t>Analyzed market research and consumer insights to define campaign direction.</t>
  </si>
  <si>
    <t>Developed overarching brand and communication strategies for the commercial.</t>
  </si>
  <si>
    <t>Defined target audience segments and messaging priorities.</t>
  </si>
  <si>
    <t>Collaborated with creative teams to translate strategic objectives into concepts.</t>
  </si>
  <si>
    <t>Conducted competitor benchmarking to inform positioning.</t>
  </si>
  <si>
    <t>Prepared strategic briefs for internal teams and external partners.</t>
  </si>
  <si>
    <t>Presented strategy recommendations to senior leadership for approval.</t>
  </si>
  <si>
    <t>Identified key performance indicators (KPIs) for campaign success.</t>
  </si>
  <si>
    <t>Reviewed client objectives and aligned them with creative proposals.</t>
  </si>
  <si>
    <t>Facilitated strategy workshops with cross-functional teams.</t>
  </si>
  <si>
    <t>Monitored on-set execution to ensure alignment with strategic objectives.</t>
  </si>
  <si>
    <t>Provided guidance on messaging consistency during filming.</t>
  </si>
  <si>
    <t>Advised creative and production teams on tone and brand voice.</t>
  </si>
  <si>
    <t>Evaluated scene content for audience relevance and impact.</t>
  </si>
  <si>
    <t>Coordinated with the producer and director to maintain strategic focus.</t>
  </si>
  <si>
    <t>Addressed potential risks to brand perception during production.</t>
  </si>
  <si>
    <t>Tracked production progress against strategic timelines and milestones.</t>
  </si>
  <si>
    <t>Provided real-time feedback to ensure campaign objectives were met.</t>
  </si>
  <si>
    <t>Documented production insights for post-campaign analysis.</t>
  </si>
  <si>
    <t>Validated that all strategic considerations were incorporated on set.</t>
  </si>
  <si>
    <t>Reviewed edits and rough cuts to ensure messaging alignment.</t>
  </si>
  <si>
    <t>Assessed final content against strategic objectives and KPIs.</t>
  </si>
  <si>
    <t>Coordinated with the analytics team to define tracking mechanisms.</t>
  </si>
  <si>
    <t>Provided feedback on story sequencing to optimize audience engagement.</t>
  </si>
  <si>
    <t>Evaluated the commercial for brand consistency and compliance.</t>
  </si>
  <si>
    <t>Recommended adjustments for pacing, tone, or messaging if needed.</t>
  </si>
  <si>
    <t>Prepared strategic reports for internal teams and clients.</t>
  </si>
  <si>
    <t>Collaborated with media teams to ensure proper distribution strategy.</t>
  </si>
  <si>
    <t>Documented lessons learned and strategic insights for future campaigns.</t>
  </si>
  <si>
    <t>Presented post-campaign evaluation highlighting performance versus objectives.</t>
  </si>
  <si>
    <t>Copywriter - Jr</t>
  </si>
  <si>
    <t>Drafted initial script ideas based on the creative brief.</t>
  </si>
  <si>
    <t>Researched target audience, brand tone, and product messaging.</t>
  </si>
  <si>
    <t>Assisted in brainstorming sessions to generate campaign concepts.</t>
  </si>
  <si>
    <t>Developed taglines, headlines, and supporting copy for scripts.</t>
  </si>
  <si>
    <t>Edited and refined copy under guidance from senior copywriters.</t>
  </si>
  <si>
    <t>Created variations of scripts for internal review and testing.</t>
  </si>
  <si>
    <t>Collaborated with art directors to align copy with visual concepts.</t>
  </si>
  <si>
    <t>Prepared written content for client presentations.</t>
  </si>
  <si>
    <t>Incorporated feedback from creative directors into script revisions.</t>
  </si>
  <si>
    <t>Maintained organized versions of all draft materials for reference.</t>
  </si>
  <si>
    <t>Reviewed on-set delivery of dialogue and voiceover for accuracy.</t>
  </si>
  <si>
    <t>Provided on-the-spot script adjustments to match production needs.</t>
  </si>
  <si>
    <t>Ensured that actors’ lines adhered to approved copy and tone.</t>
  </si>
  <si>
    <t>Worked with the director to clarify wordings during takes.</t>
  </si>
  <si>
    <t>Coordinated with production teams to update copy in real time.</t>
  </si>
  <si>
    <t>Annotated changes required for post-production edits.</t>
  </si>
  <si>
    <t>Verified captions, subtitles, and on-screen text for consistency.</t>
  </si>
  <si>
    <t>Monitored brand voice across all live-recorded elements.</t>
  </si>
  <si>
    <t>Assisted with ad-libs or alternative phrasing as needed on set.</t>
  </si>
  <si>
    <t>Documented final on-set copy for handoff to post-production.</t>
  </si>
  <si>
    <t>Reviewed edited footage to ensure copy matched approved scripts.</t>
  </si>
  <si>
    <t>Provided corrections for voiceover, on-screen text, and captions.</t>
  </si>
  <si>
    <t>Collaborated with editors and motion graphics teams on text integration.</t>
  </si>
  <si>
    <t>Refined copy for timing, pacing, and readability in the final cut.</t>
  </si>
  <si>
    <t>Proofread all written elements for grammar, style, and brand consistency.</t>
  </si>
  <si>
    <t>Approved final taglines and messaging before client submission.</t>
  </si>
  <si>
    <t>Coordinated with sound and effects teams to synchronize copy with visuals.</t>
  </si>
  <si>
    <t>Updated scripts to reflect any last-minute creative changes.</t>
  </si>
  <si>
    <t>Maintained a record of all copy versions for client and internal archives.</t>
  </si>
  <si>
    <t>Assisted in post-campaign reporting by documenting messaging outcomes.</t>
  </si>
  <si>
    <t>Assoc Creative Dir/ Art Dir</t>
  </si>
  <si>
    <t>Developed visual concepts and mood boards for the commercial.</t>
  </si>
  <si>
    <t>Reviewed scripts and provided creative input on visual storytelling.</t>
  </si>
  <si>
    <t>Collaborated with copywriters to refine messaging and tone.</t>
  </si>
  <si>
    <t>Approved storyboard sketches and animatics.</t>
  </si>
  <si>
    <t>Selected key visual styles, color palettes, and design elements.</t>
  </si>
  <si>
    <t>Coordinated with production designers on set and location requirements.</t>
  </si>
  <si>
    <t>Provided feedback on casting and talent choices.</t>
  </si>
  <si>
    <t>Ensured visual consistency across all creative materials.</t>
  </si>
  <si>
    <t>Reviewed and approved pre-visualization materials, including concept art.</t>
  </si>
  <si>
    <t>Conducted creative presentations for internal and client review.</t>
  </si>
  <si>
    <t>Oversaw on-set art direction to ensure visual integrity.</t>
  </si>
  <si>
    <t>Guided camera angles, framing, and composition with the director.</t>
  </si>
  <si>
    <t>Reviewed set dressing and props for adherence to the concept.</t>
  </si>
  <si>
    <t>Directed lighting and color schemes in collaboration with cinematographers.</t>
  </si>
  <si>
    <t>Monitored wardrobe, makeup, and styling to maintain brand consistency.</t>
  </si>
  <si>
    <t>Coordinated with the production team to solve creative challenges.</t>
  </si>
  <si>
    <t>Approved key frames and shots during filming.</t>
  </si>
  <si>
    <t>Provided real-time feedback on performances from a visual perspective.</t>
  </si>
  <si>
    <t>Ensured adherence to the storyboard and shot list.</t>
  </si>
  <si>
    <t>Maintained visual continuity across multiple shooting locations</t>
  </si>
  <si>
    <t>Reviewed and approved rough edits for pacing and composition.</t>
  </si>
  <si>
    <t>Directed color grading to align with the creative vision.</t>
  </si>
  <si>
    <t>Provided feedback on visual effects and motion graphics.</t>
  </si>
  <si>
    <t>Coordinated with editors to refine transitions and scene flow.</t>
  </si>
  <si>
    <t>Approved final visual assets, including titles and overlays.</t>
  </si>
  <si>
    <t>Ensured consistency of branding elements across the commercial.</t>
  </si>
  <si>
    <t>Reviewed audio-visual integration for overall impact.</t>
  </si>
  <si>
    <t>Provided notes on final cut revisions.</t>
  </si>
  <si>
    <t>Collaborated with post-production vendors to finalize deliverables.</t>
  </si>
  <si>
    <t>Signed off on the completed commercial before distribution</t>
  </si>
  <si>
    <t>VP, Acct Dir</t>
  </si>
  <si>
    <t>Developed client briefs and ensured alignment with marketing objectives.</t>
  </si>
  <si>
    <t>Reviewed creative proposals and provided strategic guidance.</t>
  </si>
  <si>
    <t>Coordinated budget planning and resource allocation for the project.</t>
  </si>
  <si>
    <t>Scheduled pre-production meetings and approved timelines.</t>
  </si>
  <si>
    <t>Negotiated contracts with vendors, talent, and production partners.</t>
  </si>
  <si>
    <t>Presented campaign strategy and creative direction to clients.</t>
  </si>
  <si>
    <t>Identified potential risks and devised mitigation plans.</t>
  </si>
  <si>
    <t>Approved overall project scope and deliverables.</t>
  </si>
  <si>
    <t>Facilitated internal alignment between creative, production, and media teams.</t>
  </si>
  <si>
    <t>Monitored adherence to brand guidelines and compliance requirements</t>
  </si>
  <si>
    <t>Oversaw production schedules to ensure timely execution.</t>
  </si>
  <si>
    <t>Monitored project budget and controlled costs during filming.</t>
  </si>
  <si>
    <t>Communicated between clients and production teams for approvals.</t>
  </si>
  <si>
    <t>Addressed operational or logistical challenges on set.</t>
  </si>
  <si>
    <t>Ensured contract compliance with talent, crew, and vendors.</t>
  </si>
  <si>
    <t>Approved key production milestones, including location and set decisions.</t>
  </si>
  <si>
    <t>Maintained client satisfaction through proactive updates.</t>
  </si>
  <si>
    <t>Reviewed adherence to creative brief and brand standards on set.</t>
  </si>
  <si>
    <t>Coordinated with legal and compliance teams on production requirements.</t>
  </si>
  <si>
    <t>Documented production progress and reported status to senior leadership.</t>
  </si>
  <si>
    <t>Reviewed final cuts and ensured alignment with client objectives.</t>
  </si>
  <si>
    <t>Approved post-production budgets and managed additional costs.</t>
  </si>
  <si>
    <t>Facilitated client feedback sessions and incorporated revisions.</t>
  </si>
  <si>
    <t>Coordinated delivery schedules for multiple formats and channels.</t>
  </si>
  <si>
    <t>Ensured quality control across all visual and audio outputs.</t>
  </si>
  <si>
    <t>Managed vendor relationships for editing, VFX, and sound design.</t>
  </si>
  <si>
    <t>Monitored performance metrics and projected campaign impact.</t>
  </si>
  <si>
    <t>Provided strategic sign-off on final deliverables.</t>
  </si>
  <si>
    <t>Conducted post-campaign evaluations and shared insights with clients.</t>
  </si>
  <si>
    <t>Documented lessons learned and recommended process improvements for future projects.</t>
  </si>
  <si>
    <t>Strategist</t>
  </si>
  <si>
    <t>Conducted audience research and synthesized key consumer insights.</t>
  </si>
  <si>
    <t>Developed the strategic brief outlining campaign objectives and communication direction.</t>
  </si>
  <si>
    <t>Collaborated with account and creative teams to align on the core messaging framework.</t>
  </si>
  <si>
    <t>Defined target audience segments based on behavioral and demographic data.</t>
  </si>
  <si>
    <t>Evaluated market trends and competitive positioning to inform strategy.</t>
  </si>
  <si>
    <t>Translated client objectives into clear strategic territories for creative exploration.</t>
  </si>
  <si>
    <t>Facilitated briefing sessions with internal stakeholders to ensure alignment.</t>
  </si>
  <si>
    <t>Reviewed initial creative concepts against the approved strategy.</t>
  </si>
  <si>
    <t>Provided strategic input on script direction and narrative structure.</t>
  </si>
  <si>
    <t>Approved pre-production materials to ensure consistency with the strategic brief.</t>
  </si>
  <si>
    <t>Attended shoot days to ensure alignment between execution and strategic intent.</t>
  </si>
  <si>
    <t>Monitored content capture to verify adherence to key messaging priorities.</t>
  </si>
  <si>
    <t>Provided real-time feedback on scene execution relative to audience strategy.</t>
  </si>
  <si>
    <t>Coordinated with directors and producers to maintain strategic consistency.</t>
  </si>
  <si>
    <t>Evaluated rough footage to assess alignment with communication objectives.</t>
  </si>
  <si>
    <t>Advised on adjustments to performance or scene composition when necessary.</t>
  </si>
  <si>
    <t>Reviewed on-set content to ensure relevance to defined audience insights.</t>
  </si>
  <si>
    <t>Supported decision-making during production based on strategic priorities.</t>
  </si>
  <si>
    <t>Documented key observations to guide post-production refinement.</t>
  </si>
  <si>
    <t>Ensured that brand positioning was consistently represented throughout filming.</t>
  </si>
  <si>
    <t>Reviewed edited cuts to evaluate alignment with the strategic brief.</t>
  </si>
  <si>
    <t>Provided feedback on pacing, tone, and messaging clarity in rough edits.</t>
  </si>
  <si>
    <t>Assessed final versions against defined audience insights and objectives.</t>
  </si>
  <si>
    <t>Collaborated with editors to refine narrative structure and message delivery.</t>
  </si>
  <si>
    <t>Ensured consistency between visual storytelling and strategic positioning.</t>
  </si>
  <si>
    <t>Evaluated color grading, sound design, and music choices for brand fit.</t>
  </si>
  <si>
    <t>Approved final commercial outputs for strategic accuracy.</t>
  </si>
  <si>
    <t>Analyzed audience resonance of final cuts based on pre-defined metrics.</t>
  </si>
  <si>
    <t>Presented strategic rationale behind the final version to stakeholders.</t>
  </si>
  <si>
    <t>Confirmed that the final deliverables met campaign communication goals</t>
  </si>
  <si>
    <t>Analytics Dir</t>
  </si>
  <si>
    <t>Developed audience segmentation frameworks for the commercial campaign.</t>
  </si>
  <si>
    <t>Analyzed historical campaign performance data to inform creative direction.</t>
  </si>
  <si>
    <t>Prepared forecasting models for projected campaign reach and engagement.</t>
  </si>
  <si>
    <t>Consolidated consumer insights into strategic briefing documents.</t>
  </si>
  <si>
    <t>Evaluated media consumption trends relevant to the target demographic.</t>
  </si>
  <si>
    <t>Collaborated with creative and strategy teams to align messaging objectives.</t>
  </si>
  <si>
    <t>Assessed competitive advertising activity and summarized market findings.</t>
  </si>
  <si>
    <t>Defined measurement criteria and key performance indicators for the campaign.</t>
  </si>
  <si>
    <t>Reviewed budget allocation scenarios based on projected media performance.</t>
  </si>
  <si>
    <t>Presented analytical recommendations during pre-production planning meetings.</t>
  </si>
  <si>
    <t>Monitored production deliverables against approved campaign objectives.</t>
  </si>
  <si>
    <t>Reviewed live production updates to ensure alignment with audience strategy.</t>
  </si>
  <si>
    <t>Coordinated with cross-functional teams to validate data-driven creative adjustments.</t>
  </si>
  <si>
    <t>Tracked production timelines and reported status updates to stakeholders.</t>
  </si>
  <si>
    <t>Evaluated on-set content variations for anticipated performance effectiveness.</t>
  </si>
  <si>
    <t>Verified that campaign assets adhered to approved targeting requirements.</t>
  </si>
  <si>
    <t>Conducted interim reporting on projected media and audience outcomes.</t>
  </si>
  <si>
    <t>Maintained documentation of production-related analytical observations.</t>
  </si>
  <si>
    <t>Reviewed performance assumptions related to placement and distribution plans.</t>
  </si>
  <si>
    <t>Supported decision-making processes with real-time campaign data assessments.</t>
  </si>
  <si>
    <t>Analyzed campaign performance metrics across multiple distribution channels.</t>
  </si>
  <si>
    <t>Prepared post-campaign reporting presentations for internal stakeholders.</t>
  </si>
  <si>
    <t>Evaluated audience engagement data against established benchmarks.</t>
  </si>
  <si>
    <t>Compiled insights from campaign analytics into summary reports.</t>
  </si>
  <si>
    <t>Assessed return on investment using finalized campaign performance data.</t>
  </si>
  <si>
    <t>Identified trends and performance patterns within audience response metrics.</t>
  </si>
  <si>
    <t>Compared campaign outcomes against initial forecasting projections.</t>
  </si>
  <si>
    <t>Delivered recommendations for optimization based on post-campaign findings.</t>
  </si>
  <si>
    <t>Archived analytical reports and campaign measurement documentation.</t>
  </si>
  <si>
    <t>Presented final performance evaluations during campaign review sessions.</t>
  </si>
  <si>
    <t>Broadcast Assoc Prod</t>
  </si>
  <si>
    <t>Reviewed the creative brief and assisted in translating requirements into actionable production plans.</t>
  </si>
  <si>
    <t>Coordinated with internal teams to develop production schedules and key milestone timelines.</t>
  </si>
  <si>
    <t>Assisted in preparing and organizing production documents, including call sheets and shot lists.</t>
  </si>
  <si>
    <t>Supported the coordination of talent, crew availability, and logistical requirements for the shoot.</t>
  </si>
  <si>
    <t>Participated in production meetings to align on scope, budget considerations, and execution details.</t>
  </si>
  <si>
    <t>Managed on-set coordination to ensure scheduled activities were executed efficiently.</t>
  </si>
  <si>
    <t>Monitored shoot progress and communicated updates between production teams and stakeholders.</t>
  </si>
  <si>
    <t>Assisted in maintaining continuity by tracking takes, shots, and production notes.</t>
  </si>
  <si>
    <t>Supported real-time problem-solving for scheduling or logistical adjustments during filming.</t>
  </si>
  <si>
    <t>Documented production progress and ensured alignment with planned deliverables.</t>
  </si>
  <si>
    <t>Coordinated the delivery and organization of raw footage and production materials to the post team.</t>
  </si>
  <si>
    <t>Assisted in managing edit review cycles and tracking revision feedback from stakeholders.</t>
  </si>
  <si>
    <t>Ensured adherence to broadcast specifications and technical delivery requirements.</t>
  </si>
  <si>
    <t>Supported the consolidation and finalization of approved commercial versions.</t>
  </si>
  <si>
    <t>Organized and archived completed project assets for future reference and compliance.</t>
  </si>
  <si>
    <t>Sr Mgr, Bus Affairs</t>
  </si>
  <si>
    <t>Reviewed and finalized production-related contracts and agreements.</t>
  </si>
  <si>
    <t>Negotiated terms for talent, crew, and key service providers.</t>
  </si>
  <si>
    <t>Ensured rights clearance for all proposed scripts, concepts, and materials.</t>
  </si>
  <si>
    <t>Verified budget allocations aligned with contractual obligations and approvals.</t>
  </si>
  <si>
    <t>Coordinated insurance requirements and ensured appropriate coverage was secured.</t>
  </si>
  <si>
    <t>Conducted legal and compliance reviews for all production documentation.</t>
  </si>
  <si>
    <t>Approved vendor contracts and service agreements for pre-production activities.</t>
  </si>
  <si>
    <t>Managed licensing requirements for music, stock assets, and third-party materials.</t>
  </si>
  <si>
    <t>Confirmed execution of release forms and related documentation templates.</t>
  </si>
  <si>
    <t>Aligned payment terms and schedules with finance and production stakeholders.</t>
  </si>
  <si>
    <t>Monitored on-set compliance with contractual and legal obligations.</t>
  </si>
  <si>
    <t>Reviewed and approved production changes impacting scope or cost.</t>
  </si>
  <si>
    <t>Authorized issuance of additional work orders and contract amendments.</t>
  </si>
  <si>
    <t>Verified accurate completion of timesheets and labor classifications.</t>
  </si>
  <si>
    <t>Ensured proper execution and collection of talent and location releases.</t>
  </si>
  <si>
    <t>Coordinated resolution of legal or insurance issues arising during shoot.</t>
  </si>
  <si>
    <t>Oversaw correct usage of licensed materials during production activities.</t>
  </si>
  <si>
    <t>Documented real-time contractual adjustments and production variances.</t>
  </si>
  <si>
    <t>Confirmed vendor deliverables aligned with agreed contractual terms.</t>
  </si>
  <si>
    <t>Tracked and recorded production-related financial and legal updates.</t>
  </si>
  <si>
    <t>Reviewed post-production agreements and finalized contractual amendments.</t>
  </si>
  <si>
    <t>Approved final usage rights for all delivered creative assets.</t>
  </si>
  <si>
    <t>Verified clearance of music, footage, and third-party materials.</t>
  </si>
  <si>
    <t>Audited final invoices against contracted terms and approved budgets.</t>
  </si>
  <si>
    <t>Processed completion of payments and contract closeout requirements.</t>
  </si>
  <si>
    <t>Confirmed compliance with delivery specifications and usage terms.</t>
  </si>
  <si>
    <t>Reviewed and reconciled talent residuals and usage obligations.</t>
  </si>
  <si>
    <t>Archived all legal, licensing, and contractual documentation.</t>
  </si>
  <si>
    <t>Resolved outstanding claims, disputes, or contractual issues.</t>
  </si>
  <si>
    <t>Completed final compliance and production closeout review.</t>
  </si>
  <si>
    <t>Assoc Strategy Dir</t>
  </si>
  <si>
    <t>Conducted background research on market, audience, and category trends.</t>
  </si>
  <si>
    <t>Developed the core communication strategy for the commercial.</t>
  </si>
  <si>
    <t>Defined target audience segments and behavioral insights.</t>
  </si>
  <si>
    <t>Translated client objectives into strategic campaign direction.</t>
  </si>
  <si>
    <t>Collaborated on writing the creative and strategic brief.</t>
  </si>
  <si>
    <t>Identified key consumer tensions and opportunity areas.</t>
  </si>
  <si>
    <t>Established positioning and messaging frameworks for the campaign.</t>
  </si>
  <si>
    <t>Reviewed early creative routes against strategic intent.</t>
  </si>
  <si>
    <t>Aligned stakeholders on strategic direction and success metrics.</t>
  </si>
  <si>
    <t>Supported development of research inputs for concept validation.</t>
  </si>
  <si>
    <t>Ensured ongoing alignment of execution with approved strategy.</t>
  </si>
  <si>
    <t>Provided strategic input on script, storyboard, and concept refinements.</t>
  </si>
  <si>
    <t>Evaluated production decisions against audience relevance and messaging.</t>
  </si>
  <si>
    <t>Participated in shoot reviews to ensure strategic consistency.</t>
  </si>
  <si>
    <t>Assessed on-set adjustments for alignment with brand positioning.</t>
  </si>
  <si>
    <t>Advised on narrative clarity and communication effectiveness during production.</t>
  </si>
  <si>
    <t>Reviewed real-time content captures for strategic fidelity.</t>
  </si>
  <si>
    <t>Coordinated with creative and production teams on message integrity.</t>
  </si>
  <si>
    <t>Flagged deviations from strategic intent for corrective action.</t>
  </si>
  <si>
    <t>Supported decision-making on content variations during filming.</t>
  </si>
  <si>
    <t>Evaluated rough cuts against the original strategic brief.</t>
  </si>
  <si>
    <t>Provided feedback on narrative structure and message delivery.</t>
  </si>
  <si>
    <t>Ensured final edits aligned with defined positioning and audience insight.</t>
  </si>
  <si>
    <t>Reviewed versions of the commercial for strategic effectiveness.</t>
  </si>
  <si>
    <t>Assessed whether final output met communication objectives.</t>
  </si>
  <si>
    <t>Contributed to refinement of voiceover, captions, and messaging clarity.</t>
  </si>
  <si>
    <t>Validated consistency of final assets with campaign strategy.</t>
  </si>
  <si>
    <t>Participated in stakeholder reviews of final deliverables.</t>
  </si>
  <si>
    <t>Documented strategic learnings from campaign execution.</t>
  </si>
  <si>
    <t>Supported post-campaign analysis and effectiveness review inputs</t>
  </si>
  <si>
    <t>Design &amp; Creative Services</t>
  </si>
  <si>
    <t>Reviewed the creative brief and aligned design direction with campaign objectives.</t>
  </si>
  <si>
    <t>Developed initial visual concepts and design routes for client and internal review.</t>
  </si>
  <si>
    <t>Created storyboards and visual frames to support the commercial narrative.</t>
  </si>
  <si>
    <t>Produced mood boards to establish the visual tone and style of the production.</t>
  </si>
  <si>
    <t>Collaborated with copywriters to integrate visuals with key messaging.</t>
  </si>
  <si>
    <t>Refined key art and design elements based on internal feedback.</t>
  </si>
  <si>
    <t>Prepared presentation decks for client approval of creative direction.</t>
  </si>
  <si>
    <t>Coordinated with production teams to ensure design feasibility for shoot execution.</t>
  </si>
  <si>
    <t>Selected reference materials and visual inspirations for the production team.</t>
  </si>
  <si>
    <t>Finalized approved design assets for use during filming preparation.</t>
  </si>
  <si>
    <t>Supported the production team in executing approved visual designs on set.</t>
  </si>
  <si>
    <t>Provided real-time design adjustments based on on-set requirements.</t>
  </si>
  <si>
    <t>Ensured consistency of branding and visual identity during filming.</t>
  </si>
  <si>
    <t>Assisted in reviewing set design and props for alignment with creative direction.</t>
  </si>
  <si>
    <t>Collaborated with art directors to maintain visual continuity across scenes.</t>
  </si>
  <si>
    <t>Supplied updated design references to guide production execution.</t>
  </si>
  <si>
    <t>Monitored visual elements captured on camera for accuracy and quality.</t>
  </si>
  <si>
    <t>Addressed design-related issues raised during shoot implementation.</t>
  </si>
  <si>
    <t>Coordinated with styling and set teams to align visual details.</t>
  </si>
  <si>
    <t>Documented design executions for reference in post-production.</t>
  </si>
  <si>
    <t>Reviewed edited footage to ensure alignment with approved visual direction.</t>
  </si>
  <si>
    <t>Provided feedback on color grading and visual tone adjustments.</t>
  </si>
  <si>
    <t>Supervised integration of motion graphics and design overlays.</t>
  </si>
  <si>
    <t>Refined visual assets for final composition and consistency.</t>
  </si>
  <si>
    <t>Collaborated with editors to ensure design accuracy in final cuts.</t>
  </si>
  <si>
    <t>Approved typography and layout treatments in video sequences.</t>
  </si>
  <si>
    <t>Ensured brand identity consistency across all post-production outputs.</t>
  </si>
  <si>
    <t>Reviewed and validated final deliverables prior to client submission.</t>
  </si>
  <si>
    <t>Coordinated revisions based on internal and client feedback.</t>
  </si>
  <si>
    <t>Finalized design assets for distribution across media formats.</t>
  </si>
  <si>
    <t>Production Bus Coord</t>
  </si>
  <si>
    <t>Reviewed production requirements and coordinated initial business documentation.</t>
  </si>
  <si>
    <t>Assisted in preparing budgets and cost estimates for the commercial shoot.</t>
  </si>
  <si>
    <t>Organized and tracked vendor quotations and service agreements.</t>
  </si>
  <si>
    <t>Coordinated contract preparation for crew, talent, and suppliers.</t>
  </si>
  <si>
    <t>Monitored approval workflows for production-related expenditures.</t>
  </si>
  <si>
    <t>Assisted in securing permits and compliance requirements for filming.</t>
  </si>
  <si>
    <t>Maintained updated records of production schedules and cost breakdowns.</t>
  </si>
  <si>
    <t>Coordinated with finance teams regarding billing procedures and payment terms.</t>
  </si>
  <si>
    <t>Verified insurance requirements for production activities and vendors.</t>
  </si>
  <si>
    <t>Supported pre-production meetings by documenting business-related action points.</t>
  </si>
  <si>
    <t>Monitored daily production expenses and tracked actual spend against budget.</t>
  </si>
  <si>
    <t>Processed on-set payments and petty cash allocations.</t>
  </si>
  <si>
    <t>Coordinated purchase orders and urgent vendor requests during shoot execution.</t>
  </si>
  <si>
    <t>Verified timesheets and attendance records for production crew.</t>
  </si>
  <si>
    <t>Addressed billing issues and discrepancies with suppliers in real time.</t>
  </si>
  <si>
    <t>Ensured compliance with approved budget allocations during production activities.</t>
  </si>
  <si>
    <t>Maintained communication with finance teams regarding updated cost reports.</t>
  </si>
  <si>
    <t>Organized documentation for production-related transactions on set.</t>
  </si>
  <si>
    <t>Assisted in resolving logistics and cost-related concerns during filming.</t>
  </si>
  <si>
    <t>Recorded financial adjustments based on production changes or extensions.</t>
  </si>
  <si>
    <t>Consolidated all production expenses for final cost reporting.</t>
  </si>
  <si>
    <t>Reviewed and verified supplier invoices for accuracy and completeness.</t>
  </si>
  <si>
    <t>Coordinated payment processing for outstanding production obligations.</t>
  </si>
  <si>
    <t>Reconciled actual spend against approved production budget.</t>
  </si>
  <si>
    <t>Prepared financial summaries and wrap reports for project closure.</t>
  </si>
  <si>
    <t>Organized and archived all production financial documents.</t>
  </si>
  <si>
    <t>Assisted in resolving pending billing issues with vendors and freelancers.</t>
  </si>
  <si>
    <t>Ensured final cost tracking aligned with internal accounting systems.</t>
  </si>
  <si>
    <t>Supported audit requirements by providing complete financial records.</t>
  </si>
  <si>
    <t>Finalized production cost reports for management review and approval.</t>
  </si>
  <si>
    <t>Content Bus Mgr</t>
  </si>
  <si>
    <t>Reviewed content strategy and aligned business objectives with production plans.</t>
  </si>
  <si>
    <t>Developed content budgets and financial forecasts for campaign execution.</t>
  </si>
  <si>
    <t>Coordinated contract preparation for content creators, vendors, and partners.</t>
  </si>
  <si>
    <t>Evaluated licensing requirements for music, footage, and creative assets.</t>
  </si>
  <si>
    <t>Organized approval workflows for content-related expenditures and deliverables.</t>
  </si>
  <si>
    <t>Collaborated with creative and strategy teams to define content scope and timelines.</t>
  </si>
  <si>
    <t>Managed procurement planning for content production resources and services.</t>
  </si>
  <si>
    <t>Verified compliance requirements for content usage and distribution rights.</t>
  </si>
  <si>
    <t>Maintained documentation of content production schedules and cost structures.</t>
  </si>
  <si>
    <t>Supported stakeholder alignment meetings on content business priorities</t>
  </si>
  <si>
    <t>Monitored production spend against approved content budgets.</t>
  </si>
  <si>
    <t>Coordinated licensing confirmations for assets used during production.</t>
  </si>
  <si>
    <t>Processed vendor invoices and tracked on-set content-related expenses.</t>
  </si>
  <si>
    <t>Managed approvals for content adjustments during active production.</t>
  </si>
  <si>
    <t>Ensured proper documentation of all content assets captured during shoot.</t>
  </si>
  <si>
    <t>Addressed rights and usage queries from production teams in real time.</t>
  </si>
  <si>
    <t>Coordinated with legal and finance teams on content-related requirements.</t>
  </si>
  <si>
    <t>Verified deliverables against contractual content obligations.</t>
  </si>
  <si>
    <t>Supported resolution of budget variances during production execution.</t>
  </si>
  <si>
    <t>Maintained updated cost tracking reports for ongoing content production.</t>
  </si>
  <si>
    <t>Reviewed final content outputs for compliance with licensing and usage rights.</t>
  </si>
  <si>
    <t>Approved final content deliverables prior to distribution and publication.</t>
  </si>
  <si>
    <t>Consolidated production costs and prepared final content budget reports.</t>
  </si>
  <si>
    <t>Verified clearance of all assets used in the final commercial edit.</t>
  </si>
  <si>
    <t>Coordinated final invoice processing and vendor settlements.</t>
  </si>
  <si>
    <t>Documented rights management details for completed content assets.</t>
  </si>
  <si>
    <t>Reconciled projected versus actual content production expenses.</t>
  </si>
  <si>
    <t>Prepared wrap reports summarizing content performance and cost efficiency.</t>
  </si>
  <si>
    <t>Archived all content contracts, licenses, and production documentation.</t>
  </si>
  <si>
    <t>Supported post-campaign financial audits and compliance reviews</t>
  </si>
  <si>
    <t>Production Tax Incentives
Agency Sub-Vendors</t>
  </si>
  <si>
    <t xml:space="preserve"> Invoice Date</t>
  </si>
  <si>
    <t>Invoice $</t>
  </si>
  <si>
    <t>Non-Eligible $</t>
  </si>
  <si>
    <t>Eligible Total $</t>
  </si>
  <si>
    <t>Received Invoice?</t>
  </si>
  <si>
    <t>W9 and Valid Date</t>
  </si>
  <si>
    <t>Proof of Payment?</t>
  </si>
  <si>
    <t>Pymt #</t>
  </si>
  <si>
    <t>Revised Qualified Total</t>
  </si>
  <si>
    <t>LOAN OUT WITHHOLDING</t>
  </si>
  <si>
    <t>Job Code</t>
  </si>
  <si>
    <t>GM 006</t>
  </si>
  <si>
    <t>GENERAL MILLS REESES PUFFS</t>
  </si>
  <si>
    <t>JOB CODE</t>
  </si>
  <si>
    <t>WTH REMITTED?</t>
  </si>
  <si>
    <t>Crew / Employee Name (Last, First)</t>
  </si>
  <si>
    <t>POSITION / TITLE</t>
  </si>
  <si>
    <t>LOAN OUT NAME</t>
  </si>
  <si>
    <t>Federal Tax Classification</t>
  </si>
  <si>
    <t>SSN</t>
  </si>
  <si>
    <t>FEIN</t>
  </si>
  <si>
    <t>INVOICE/ GROSS AMOUNT</t>
  </si>
  <si>
    <t>AMOUNT WITHELD</t>
  </si>
  <si>
    <t>CREW POSITION</t>
  </si>
  <si>
    <t>PAYROLL COMPANY</t>
  </si>
  <si>
    <t>HOME STATE</t>
  </si>
  <si>
    <t>WORK STATE</t>
  </si>
  <si>
    <t>NOTES</t>
  </si>
  <si>
    <t>Jones, Hunter</t>
  </si>
  <si>
    <t>Prop Master</t>
  </si>
  <si>
    <t>HUNTER JONES</t>
  </si>
  <si>
    <t>Individual</t>
  </si>
  <si>
    <t>67-0902390</t>
  </si>
  <si>
    <t>PRODUCTION ASSISTANT</t>
  </si>
  <si>
    <t>WRAPBOOK</t>
  </si>
  <si>
    <t>123 Main Street, El Segundo, CA</t>
  </si>
  <si>
    <t>CA</t>
  </si>
  <si>
    <t>IL</t>
  </si>
  <si>
    <t>Doe, John</t>
  </si>
  <si>
    <t>Director of Photography</t>
  </si>
  <si>
    <t>AISLE 35 STUDIOS LLC</t>
  </si>
  <si>
    <t>LLC</t>
  </si>
  <si>
    <t>67-0902391</t>
  </si>
  <si>
    <t>SWING G&amp;E</t>
  </si>
  <si>
    <t>124 Main Street, El Segundo, CA</t>
  </si>
  <si>
    <t>Knobloch, Jason</t>
  </si>
  <si>
    <t>BB Electric</t>
  </si>
  <si>
    <t>JASON KNOBLOCH</t>
  </si>
  <si>
    <t>S-Corp</t>
  </si>
  <si>
    <t>67-0902392</t>
  </si>
  <si>
    <t>CAMERA OPERATOR</t>
  </si>
  <si>
    <t>125 Main Street, El Segundo, CA</t>
  </si>
  <si>
    <t>GA</t>
  </si>
  <si>
    <t>101-34</t>
  </si>
  <si>
    <t>Miller, Elaine</t>
  </si>
  <si>
    <t>Director</t>
  </si>
  <si>
    <t>ELAINE SUZANNE MILLER</t>
  </si>
  <si>
    <t>C-Corp</t>
  </si>
  <si>
    <t>67-0902393</t>
  </si>
  <si>
    <t>DIGITAL TECH</t>
  </si>
  <si>
    <t>126 Main Street, El Segundo, CA</t>
  </si>
  <si>
    <t>1qw123</t>
  </si>
  <si>
    <t>Reed, Don</t>
  </si>
  <si>
    <t>Swing</t>
  </si>
  <si>
    <t>DON REED JR.</t>
  </si>
  <si>
    <t>67-0902394</t>
  </si>
  <si>
    <t>DIT/VTR</t>
  </si>
  <si>
    <t>127 Main Street, El Segundo, CA</t>
  </si>
  <si>
    <t>2025-34</t>
  </si>
  <si>
    <t>Smith, Joe</t>
  </si>
  <si>
    <t>Digitech</t>
  </si>
  <si>
    <t>MAD SWORDSMAN PRODUCTIONS LLC</t>
  </si>
  <si>
    <t>67-0902395</t>
  </si>
  <si>
    <t>PRODUCTION DESIGNER</t>
  </si>
  <si>
    <t>INVOICE - 1099</t>
  </si>
  <si>
    <t>128 Main Street, El Segundo, CA</t>
  </si>
  <si>
    <t>2025-00001</t>
  </si>
  <si>
    <t>Withholdings Amount</t>
  </si>
  <si>
    <t>Withholdings Needed</t>
  </si>
  <si>
    <t>Automation_Total</t>
  </si>
  <si>
    <t>Automation_Check</t>
  </si>
  <si>
    <t>Signatory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</si>
</sst>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quot;#,##0.00_);\(&quot;$&quot;#,##0.00\)"/>
    <numFmt numFmtId="8" formatCode="&quot;$&quot;#,##0.00_);[Red]\(&quot;$&quot;#,##0.00\)"/>
    <numFmt numFmtId="44" formatCode="_(&quot;$&quot;* #,##0.00_);_(&quot;$&quot;* \(#,##0.00\);_(&quot;$&quot;* &quot;-&quot;??_);_(@_)"/>
    <numFmt numFmtId="43" formatCode="_(* #,##0.00_);_(* \(#,##0.00\);_(* &quot;-&quot;??_);_(@_)"/>
    <numFmt numFmtId="164" formatCode="_-* #,##0.00_-;\-* #,##0.00_-;_-* &quot;-&quot;??_-;_-@_-"/>
    <numFmt numFmtId="165" formatCode="0000"/>
    <numFmt numFmtId="166" formatCode="0.0"/>
    <numFmt numFmtId="167" formatCode="m/dd/yy"/>
    <numFmt numFmtId="168" formatCode="m/dd/yy;@"/>
    <numFmt numFmtId="169" formatCode="mm/dd/yy;@"/>
    <numFmt numFmtId="170" formatCode="m/d/yy;@"/>
  </numFmts>
  <fonts count="66" x14ac:knownFonts="1">
    <font>
      <sz val="11"/>
      <color theme="1"/>
      <name val="Calibri"/>
      <family val="2"/>
      <scheme val="minor"/>
    </font>
    <font>
      <b/>
      <sz val="11"/>
      <color theme="1"/>
      <name val="Calibri"/>
      <family val="2"/>
      <scheme val="minor"/>
    </font>
    <font>
      <sz val="11"/>
      <name val="Calibri"/>
      <family val="2"/>
      <scheme val="minor"/>
    </font>
    <font>
      <b/>
      <sz val="14"/>
      <color theme="1"/>
      <name val="Calibri"/>
      <family val="2"/>
      <scheme val="minor"/>
    </font>
    <font>
      <sz val="11"/>
      <color theme="1"/>
      <name val="Calibri"/>
      <family val="2"/>
      <scheme val="minor"/>
    </font>
    <font>
      <b/>
      <sz val="12"/>
      <color theme="1"/>
      <name val="Calibri"/>
      <family val="2"/>
      <scheme val="minor"/>
    </font>
    <font>
      <sz val="9"/>
      <color indexed="81"/>
      <name val="Tahoma"/>
      <family val="2"/>
    </font>
    <font>
      <b/>
      <sz val="9"/>
      <color indexed="81"/>
      <name val="Tahoma"/>
      <family val="2"/>
    </font>
    <font>
      <u/>
      <sz val="11"/>
      <color theme="10"/>
      <name val="Calibri"/>
      <family val="2"/>
      <scheme val="minor"/>
    </font>
    <font>
      <sz val="10"/>
      <name val="Arial"/>
      <family val="2"/>
    </font>
    <font>
      <b/>
      <sz val="10"/>
      <name val="Arial"/>
      <family val="2"/>
    </font>
    <font>
      <sz val="11"/>
      <color rgb="FFFF0000"/>
      <name val="Calibri"/>
      <family val="2"/>
      <scheme val="minor"/>
    </font>
    <font>
      <sz val="11"/>
      <color indexed="8"/>
      <name val="Calibri"/>
      <family val="2"/>
      <scheme val="minor"/>
    </font>
    <font>
      <b/>
      <sz val="11"/>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sz val="14"/>
      <color theme="1"/>
      <name val="Calibri"/>
      <family val="2"/>
      <scheme val="minor"/>
    </font>
    <font>
      <sz val="11"/>
      <color theme="1"/>
      <name val="Calibri"/>
      <family val="2"/>
      <scheme val="minor"/>
    </font>
    <font>
      <u val="singleAccounting"/>
      <sz val="11"/>
      <color rgb="FF0000FF"/>
      <name val="Calibri"/>
      <family val="2"/>
      <scheme val="minor"/>
    </font>
    <font>
      <sz val="11"/>
      <color theme="10"/>
      <name val="Calibri"/>
      <family val="2"/>
      <scheme val="minor"/>
    </font>
    <font>
      <b/>
      <sz val="11"/>
      <color indexed="8"/>
      <name val="Calibri"/>
      <family val="2"/>
      <scheme val="minor"/>
    </font>
    <font>
      <sz val="12"/>
      <name val="Arial"/>
      <family val="2"/>
    </font>
    <font>
      <i/>
      <sz val="11"/>
      <color theme="1"/>
      <name val="Calibri"/>
      <family val="2"/>
      <scheme val="minor"/>
    </font>
    <font>
      <b/>
      <i/>
      <sz val="11"/>
      <color theme="1"/>
      <name val="Calibri"/>
      <family val="2"/>
      <scheme val="minor"/>
    </font>
    <font>
      <sz val="12"/>
      <color theme="1"/>
      <name val="Calibri"/>
      <family val="2"/>
      <scheme val="minor"/>
    </font>
    <font>
      <sz val="11"/>
      <color theme="5"/>
      <name val="Calibri"/>
      <family val="2"/>
      <scheme val="minor"/>
    </font>
    <font>
      <i/>
      <sz val="11"/>
      <name val="Calibri"/>
      <family val="2"/>
      <scheme val="minor"/>
    </font>
    <font>
      <b/>
      <sz val="16"/>
      <color theme="1"/>
      <name val="Calibri"/>
      <family val="2"/>
      <scheme val="minor"/>
    </font>
    <font>
      <sz val="16"/>
      <color theme="1"/>
      <name val="Calibri"/>
      <family val="2"/>
      <scheme val="minor"/>
    </font>
    <font>
      <b/>
      <u/>
      <sz val="11"/>
      <color theme="1"/>
      <name val="Calibri"/>
      <family val="2"/>
      <scheme val="minor"/>
    </font>
    <font>
      <b/>
      <sz val="12"/>
      <name val="Arial"/>
      <family val="2"/>
    </font>
    <font>
      <b/>
      <u/>
      <sz val="12"/>
      <name val="Arial"/>
      <family val="2"/>
    </font>
    <font>
      <sz val="12"/>
      <color indexed="8"/>
      <name val="Arial"/>
      <family val="2"/>
    </font>
    <font>
      <b/>
      <sz val="11"/>
      <color rgb="FF000000"/>
      <name val="Calibri"/>
      <family val="2"/>
    </font>
    <font>
      <b/>
      <sz val="11"/>
      <color theme="1"/>
      <name val="Calibri"/>
      <family val="2"/>
    </font>
    <font>
      <b/>
      <strike/>
      <sz val="11"/>
      <color rgb="FF000000"/>
      <name val="Calibri"/>
      <family val="2"/>
    </font>
    <font>
      <strike/>
      <sz val="11"/>
      <color theme="1"/>
      <name val="Wingdings"/>
      <charset val="2"/>
    </font>
    <font>
      <b/>
      <strike/>
      <sz val="11"/>
      <color theme="1"/>
      <name val="Calibri"/>
      <family val="2"/>
      <scheme val="minor"/>
    </font>
    <font>
      <i/>
      <strike/>
      <sz val="11"/>
      <color theme="1"/>
      <name val="Calibri"/>
      <family val="2"/>
      <scheme val="minor"/>
    </font>
    <font>
      <b/>
      <strike/>
      <sz val="11"/>
      <color rgb="FF000000"/>
      <name val="Wingdings"/>
      <charset val="2"/>
    </font>
    <font>
      <sz val="11"/>
      <color theme="1"/>
      <name val="Wingdings"/>
      <charset val="2"/>
    </font>
    <font>
      <b/>
      <sz val="11"/>
      <color rgb="FF000000"/>
      <name val="Wingdings"/>
      <charset val="2"/>
    </font>
    <font>
      <b/>
      <sz val="11"/>
      <color indexed="81"/>
      <name val="Tahoma"/>
      <family val="2"/>
    </font>
    <font>
      <sz val="11"/>
      <color indexed="81"/>
      <name val="Tahoma"/>
      <family val="2"/>
    </font>
    <font>
      <b/>
      <sz val="12"/>
      <color rgb="FF00B0F0"/>
      <name val="Calibri"/>
      <family val="2"/>
      <scheme val="minor"/>
    </font>
    <font>
      <b/>
      <sz val="11"/>
      <color rgb="FF00B0F0"/>
      <name val="Calibri"/>
      <family val="2"/>
      <scheme val="minor"/>
    </font>
    <font>
      <b/>
      <u/>
      <sz val="11"/>
      <color rgb="FFFF0000"/>
      <name val="Calibri"/>
      <family val="2"/>
      <scheme val="minor"/>
    </font>
    <font>
      <i/>
      <u/>
      <sz val="11"/>
      <color theme="1"/>
      <name val="Calibri"/>
      <family val="2"/>
      <scheme val="minor"/>
    </font>
    <font>
      <b/>
      <sz val="16"/>
      <name val="Calibri"/>
      <family val="2"/>
      <scheme val="minor"/>
    </font>
    <font>
      <b/>
      <sz val="12"/>
      <name val="Calibri"/>
      <family val="2"/>
      <scheme val="minor"/>
    </font>
    <font>
      <i/>
      <u/>
      <sz val="11"/>
      <color rgb="FF66CCFF"/>
      <name val="Calibri"/>
      <family val="2"/>
      <scheme val="minor"/>
    </font>
    <font>
      <b/>
      <sz val="11"/>
      <color theme="0"/>
      <name val="Calibri"/>
      <family val="2"/>
      <scheme val="minor"/>
    </font>
    <font>
      <b/>
      <sz val="10"/>
      <color theme="0"/>
      <name val="Arial"/>
      <family val="2"/>
    </font>
    <font>
      <sz val="8"/>
      <name val="Calibri"/>
      <family val="2"/>
      <scheme val="minor"/>
    </font>
    <font>
      <sz val="10"/>
      <color rgb="FFFF0000"/>
      <name val="Calibri"/>
      <family val="2"/>
      <scheme val="minor"/>
    </font>
    <font>
      <sz val="9"/>
      <color rgb="FFFF0000"/>
      <name val="Calibri"/>
      <family val="2"/>
      <scheme val="minor"/>
    </font>
    <font>
      <sz val="10"/>
      <color theme="1"/>
      <name val="Calibri"/>
      <family val="2"/>
      <scheme val="minor"/>
    </font>
    <font>
      <b/>
      <sz val="10"/>
      <color rgb="FFFF0000"/>
      <name val="Calibri"/>
      <family val="2"/>
      <scheme val="minor"/>
    </font>
    <font>
      <b/>
      <sz val="10"/>
      <color theme="1"/>
      <name val="Calibri"/>
      <family val="2"/>
      <scheme val="minor"/>
    </font>
    <font>
      <b/>
      <sz val="28"/>
      <color theme="1"/>
      <name val="Calibri"/>
      <family val="2"/>
      <scheme val="minor"/>
    </font>
    <font>
      <sz val="11"/>
      <color rgb="FF000000"/>
      <name val="Calibri"/>
      <family val="2"/>
      <scheme val="minor"/>
    </font>
    <font>
      <sz val="12"/>
      <color rgb="FF000000"/>
      <name val="Segoe UI"/>
      <family val="2"/>
    </font>
    <font>
      <b/>
      <sz val="11"/>
      <color rgb="FF000000"/>
      <name val="Calibri"/>
      <family val="2"/>
      <scheme val="minor"/>
    </font>
    <font>
      <sz val="12"/>
      <color rgb="FF000000"/>
      <name val="Arial"/>
      <family val="2"/>
    </font>
    <font>
      <b/>
      <sz val="12"/>
      <color rgb="FF000000"/>
      <name val="Arial"/>
      <family val="2"/>
    </font>
  </fonts>
  <fills count="38">
    <fill>
      <patternFill patternType="none"/>
    </fill>
    <fill>
      <patternFill patternType="gray125"/>
    </fill>
    <fill>
      <patternFill patternType="solid">
        <fgColor rgb="FF99FF33"/>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FCF305"/>
        <bgColor rgb="FFFCF305"/>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theme="6" tint="0.59999389629810485"/>
        <bgColor indexed="64"/>
      </patternFill>
    </fill>
    <fill>
      <patternFill patternType="solid">
        <fgColor rgb="FFFF66CC"/>
        <bgColor indexed="64"/>
      </patternFill>
    </fill>
    <fill>
      <patternFill patternType="solid">
        <fgColor rgb="FFFFFFD9"/>
        <bgColor indexed="64"/>
      </patternFill>
    </fill>
    <fill>
      <patternFill patternType="solid">
        <fgColor rgb="FFFFE9A3"/>
        <bgColor indexed="64"/>
      </patternFill>
    </fill>
    <fill>
      <patternFill patternType="solid">
        <fgColor theme="9" tint="0.39997558519241921"/>
        <bgColor indexed="64"/>
      </patternFill>
    </fill>
    <fill>
      <patternFill patternType="solid">
        <fgColor rgb="FFFFFF99"/>
        <bgColor indexed="64"/>
      </patternFill>
    </fill>
    <fill>
      <patternFill patternType="solid">
        <fgColor rgb="FFFFC000"/>
        <bgColor indexed="64"/>
      </patternFill>
    </fill>
    <fill>
      <patternFill patternType="solid">
        <fgColor rgb="FFCCFFCC"/>
        <bgColor indexed="64"/>
      </patternFill>
    </fill>
    <fill>
      <patternFill patternType="solid">
        <fgColor rgb="FFEBF1DE"/>
        <bgColor rgb="FF000000"/>
      </patternFill>
    </fill>
    <fill>
      <patternFill patternType="solid">
        <fgColor rgb="FFFDE9D9"/>
        <bgColor rgb="FF000000"/>
      </patternFill>
    </fill>
    <fill>
      <patternFill patternType="solid">
        <fgColor rgb="FFA9D08E"/>
        <bgColor rgb="FF000000"/>
      </patternFill>
    </fill>
    <fill>
      <patternFill patternType="solid">
        <fgColor rgb="FFBDD7EE"/>
        <bgColor rgb="FF000000"/>
      </patternFill>
    </fill>
    <fill>
      <patternFill patternType="solid">
        <fgColor rgb="FFF8CBAD"/>
        <bgColor rgb="FF000000"/>
      </patternFill>
    </fill>
    <fill>
      <patternFill patternType="solid">
        <fgColor rgb="FFFFFF00"/>
        <bgColor rgb="FF000000"/>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double">
        <color indexed="64"/>
      </bottom>
      <diagonal/>
    </border>
    <border>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xf numFmtId="0" fontId="9" fillId="0" borderId="0"/>
    <xf numFmtId="44" fontId="9" fillId="0" borderId="0" applyFont="0" applyFill="0" applyBorder="0" applyAlignment="0" applyProtection="0"/>
    <xf numFmtId="9" fontId="4" fillId="0" borderId="0" applyFont="0" applyFill="0" applyBorder="0" applyAlignment="0" applyProtection="0"/>
    <xf numFmtId="44" fontId="9" fillId="0" borderId="0" applyFont="0" applyFill="0" applyBorder="0" applyAlignment="0" applyProtection="0"/>
  </cellStyleXfs>
  <cellXfs count="712">
    <xf numFmtId="0" fontId="0" fillId="0" borderId="0" xfId="0"/>
    <xf numFmtId="44" fontId="0" fillId="0" borderId="1" xfId="0" applyNumberFormat="1" applyBorder="1"/>
    <xf numFmtId="0" fontId="0" fillId="0" borderId="1" xfId="0" applyBorder="1"/>
    <xf numFmtId="44" fontId="1" fillId="0" borderId="1" xfId="0" applyNumberFormat="1" applyFont="1" applyBorder="1"/>
    <xf numFmtId="8" fontId="0" fillId="0" borderId="0" xfId="0" applyNumberFormat="1"/>
    <xf numFmtId="0" fontId="1" fillId="0" borderId="0" xfId="0" applyFont="1" applyAlignment="1">
      <alignment horizontal="left"/>
    </xf>
    <xf numFmtId="0" fontId="3" fillId="0" borderId="0" xfId="0" applyFont="1" applyAlignment="1">
      <alignment horizontal="left"/>
    </xf>
    <xf numFmtId="0" fontId="1" fillId="0" borderId="0" xfId="0" applyFont="1"/>
    <xf numFmtId="0" fontId="0" fillId="0" borderId="0" xfId="0" applyAlignment="1">
      <alignment horizontal="center"/>
    </xf>
    <xf numFmtId="1" fontId="0" fillId="0" borderId="0" xfId="0" applyNumberFormat="1" applyAlignment="1">
      <alignment horizontal="center"/>
    </xf>
    <xf numFmtId="1" fontId="1" fillId="2" borderId="1" xfId="0" applyNumberFormat="1" applyFont="1" applyFill="1" applyBorder="1" applyAlignment="1">
      <alignment horizontal="center"/>
    </xf>
    <xf numFmtId="1" fontId="0" fillId="0" borderId="1" xfId="0" applyNumberFormat="1" applyBorder="1" applyAlignment="1">
      <alignment horizontal="center"/>
    </xf>
    <xf numFmtId="1" fontId="1" fillId="0" borderId="1" xfId="0" applyNumberFormat="1" applyFont="1" applyBorder="1" applyAlignment="1">
      <alignment horizontal="center"/>
    </xf>
    <xf numFmtId="0" fontId="1" fillId="2" borderId="1" xfId="0" applyFont="1" applyFill="1" applyBorder="1" applyAlignment="1">
      <alignment horizontal="center"/>
    </xf>
    <xf numFmtId="44" fontId="0" fillId="0" borderId="1" xfId="0" applyNumberFormat="1" applyBorder="1" applyAlignment="1">
      <alignment horizontal="center"/>
    </xf>
    <xf numFmtId="8" fontId="0" fillId="0" borderId="0" xfId="0" applyNumberFormat="1" applyAlignment="1">
      <alignment horizontal="center"/>
    </xf>
    <xf numFmtId="1" fontId="0" fillId="0" borderId="1" xfId="1" applyNumberFormat="1" applyFont="1" applyBorder="1" applyAlignment="1">
      <alignment horizontal="center"/>
    </xf>
    <xf numFmtId="44" fontId="1" fillId="0" borderId="3" xfId="0" applyNumberFormat="1" applyFont="1" applyBorder="1" applyAlignment="1">
      <alignment horizontal="center"/>
    </xf>
    <xf numFmtId="44" fontId="1" fillId="0" borderId="2" xfId="0" applyNumberFormat="1" applyFont="1" applyBorder="1" applyAlignment="1">
      <alignment horizontal="center"/>
    </xf>
    <xf numFmtId="44" fontId="1" fillId="0" borderId="4" xfId="0" applyNumberFormat="1" applyFont="1" applyBorder="1" applyAlignment="1">
      <alignment horizontal="center"/>
    </xf>
    <xf numFmtId="8" fontId="1" fillId="0" borderId="0" xfId="0" applyNumberFormat="1" applyFont="1" applyAlignment="1">
      <alignment horizontal="right"/>
    </xf>
    <xf numFmtId="0" fontId="1" fillId="0" borderId="6" xfId="0" applyFont="1" applyBorder="1"/>
    <xf numFmtId="44" fontId="1" fillId="0" borderId="4" xfId="0" applyNumberFormat="1" applyFont="1" applyBorder="1"/>
    <xf numFmtId="0" fontId="8" fillId="0" borderId="0" xfId="3" applyAlignment="1">
      <alignment horizontal="left"/>
    </xf>
    <xf numFmtId="44" fontId="8" fillId="0" borderId="5" xfId="3" applyNumberFormat="1" applyBorder="1"/>
    <xf numFmtId="14" fontId="5" fillId="0" borderId="0" xfId="0" applyNumberFormat="1" applyFont="1" applyAlignment="1">
      <alignment horizontal="center"/>
    </xf>
    <xf numFmtId="14" fontId="1" fillId="2" borderId="1" xfId="0" applyNumberFormat="1" applyFont="1" applyFill="1" applyBorder="1" applyAlignment="1">
      <alignment horizontal="center"/>
    </xf>
    <xf numFmtId="14" fontId="0" fillId="0" borderId="0" xfId="0" applyNumberFormat="1" applyAlignment="1">
      <alignment horizontal="center"/>
    </xf>
    <xf numFmtId="14" fontId="1" fillId="0" borderId="0" xfId="0" applyNumberFormat="1" applyFont="1" applyAlignment="1">
      <alignment horizontal="right"/>
    </xf>
    <xf numFmtId="0" fontId="0" fillId="0" borderId="1" xfId="0" applyBorder="1" applyAlignment="1">
      <alignment horizontal="center"/>
    </xf>
    <xf numFmtId="0" fontId="1" fillId="0" borderId="1" xfId="0" applyFont="1" applyBorder="1" applyAlignment="1">
      <alignment horizontal="center"/>
    </xf>
    <xf numFmtId="1" fontId="5" fillId="0" borderId="0" xfId="0" applyNumberFormat="1" applyFont="1" applyAlignment="1">
      <alignment horizontal="left"/>
    </xf>
    <xf numFmtId="0" fontId="0" fillId="0" borderId="0" xfId="0" applyAlignment="1">
      <alignment horizontal="left"/>
    </xf>
    <xf numFmtId="44" fontId="1" fillId="0" borderId="4" xfId="0" applyNumberFormat="1" applyFont="1" applyBorder="1" applyAlignment="1">
      <alignment horizontal="left"/>
    </xf>
    <xf numFmtId="8" fontId="0" fillId="0" borderId="0" xfId="0" applyNumberFormat="1" applyAlignment="1">
      <alignment horizontal="left"/>
    </xf>
    <xf numFmtId="0" fontId="0" fillId="0" borderId="1" xfId="0" applyBorder="1" applyAlignment="1">
      <alignment horizontal="left"/>
    </xf>
    <xf numFmtId="0" fontId="1" fillId="0" borderId="4" xfId="0" applyFont="1" applyBorder="1" applyAlignment="1">
      <alignment horizontal="left"/>
    </xf>
    <xf numFmtId="44" fontId="1" fillId="0" borderId="0" xfId="0" applyNumberFormat="1" applyFont="1"/>
    <xf numFmtId="0" fontId="1" fillId="0" borderId="6" xfId="0" applyFont="1" applyBorder="1" applyAlignment="1">
      <alignment horizontal="center"/>
    </xf>
    <xf numFmtId="44" fontId="0" fillId="0" borderId="0" xfId="0" applyNumberFormat="1"/>
    <xf numFmtId="0" fontId="12" fillId="0" borderId="1" xfId="0" applyFont="1" applyBorder="1" applyAlignment="1" applyProtection="1">
      <alignment horizontal="center" vertical="top" wrapText="1" readingOrder="1"/>
      <protection locked="0"/>
    </xf>
    <xf numFmtId="1" fontId="0" fillId="0" borderId="0" xfId="1" applyNumberFormat="1" applyFont="1" applyAlignment="1">
      <alignment horizontal="center"/>
    </xf>
    <xf numFmtId="44" fontId="0" fillId="0" borderId="1" xfId="1" applyNumberFormat="1" applyFont="1" applyBorder="1"/>
    <xf numFmtId="44" fontId="0" fillId="0" borderId="0" xfId="1" applyNumberFormat="1" applyFont="1"/>
    <xf numFmtId="44" fontId="1" fillId="0" borderId="1" xfId="2" applyFont="1" applyBorder="1"/>
    <xf numFmtId="44" fontId="0" fillId="0" borderId="0" xfId="2" applyFont="1"/>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44" fontId="11" fillId="0" borderId="1" xfId="1" applyNumberFormat="1" applyFont="1" applyBorder="1"/>
    <xf numFmtId="44" fontId="1" fillId="0" borderId="11" xfId="1" applyNumberFormat="1" applyFont="1" applyBorder="1"/>
    <xf numFmtId="44" fontId="0" fillId="0" borderId="0" xfId="0" applyNumberFormat="1" applyAlignment="1">
      <alignment horizontal="center"/>
    </xf>
    <xf numFmtId="44" fontId="0" fillId="0" borderId="4" xfId="0" applyNumberFormat="1" applyBorder="1"/>
    <xf numFmtId="44" fontId="1" fillId="0" borderId="2" xfId="0" applyNumberFormat="1" applyFont="1" applyBorder="1"/>
    <xf numFmtId="0" fontId="0" fillId="0" borderId="4" xfId="0" applyBorder="1"/>
    <xf numFmtId="1" fontId="0" fillId="0" borderId="4" xfId="0" applyNumberFormat="1" applyBorder="1" applyAlignment="1">
      <alignment horizontal="center"/>
    </xf>
    <xf numFmtId="1" fontId="1" fillId="0" borderId="4" xfId="0" applyNumberFormat="1" applyFont="1" applyBorder="1" applyAlignment="1">
      <alignment horizontal="right"/>
    </xf>
    <xf numFmtId="0" fontId="2" fillId="0" borderId="0" xfId="0" applyFont="1"/>
    <xf numFmtId="0" fontId="0" fillId="0" borderId="4" xfId="0" applyBorder="1" applyAlignment="1">
      <alignment horizontal="left"/>
    </xf>
    <xf numFmtId="1" fontId="2" fillId="0" borderId="1" xfId="1" applyNumberFormat="1" applyFont="1" applyBorder="1" applyAlignment="1">
      <alignment horizontal="center"/>
    </xf>
    <xf numFmtId="2" fontId="0" fillId="0" borderId="0" xfId="0" applyNumberFormat="1"/>
    <xf numFmtId="2" fontId="1" fillId="0" borderId="2" xfId="0" applyNumberFormat="1" applyFont="1" applyBorder="1" applyAlignment="1">
      <alignment horizontal="center"/>
    </xf>
    <xf numFmtId="166" fontId="0" fillId="0" borderId="1" xfId="0" applyNumberFormat="1" applyBorder="1" applyAlignment="1">
      <alignment horizontal="center"/>
    </xf>
    <xf numFmtId="0" fontId="2" fillId="0" borderId="0" xfId="3" applyFont="1" applyAlignment="1">
      <alignment horizontal="center"/>
    </xf>
    <xf numFmtId="0" fontId="0" fillId="0" borderId="1" xfId="0" quotePrefix="1" applyBorder="1" applyAlignment="1">
      <alignment horizontal="center"/>
    </xf>
    <xf numFmtId="44" fontId="15" fillId="0" borderId="5" xfId="2" applyFont="1" applyBorder="1"/>
    <xf numFmtId="2" fontId="15" fillId="0" borderId="0" xfId="0" applyNumberFormat="1" applyFont="1"/>
    <xf numFmtId="0" fontId="0" fillId="0" borderId="4" xfId="0" applyBorder="1" applyAlignment="1">
      <alignment horizontal="center"/>
    </xf>
    <xf numFmtId="44" fontId="1" fillId="0" borderId="14" xfId="2" applyFont="1" applyBorder="1"/>
    <xf numFmtId="14" fontId="1" fillId="0" borderId="4" xfId="0" applyNumberFormat="1" applyFont="1" applyBorder="1" applyAlignment="1">
      <alignment horizontal="right"/>
    </xf>
    <xf numFmtId="0" fontId="13" fillId="2" borderId="1" xfId="0" applyFont="1" applyFill="1" applyBorder="1" applyAlignment="1">
      <alignment horizontal="center"/>
    </xf>
    <xf numFmtId="8" fontId="2" fillId="0" borderId="0" xfId="0" applyNumberFormat="1" applyFont="1"/>
    <xf numFmtId="44" fontId="13" fillId="0" borderId="0" xfId="0" applyNumberFormat="1" applyFont="1"/>
    <xf numFmtId="43" fontId="11" fillId="0" borderId="0" xfId="0" applyNumberFormat="1" applyFont="1"/>
    <xf numFmtId="1" fontId="2" fillId="0" borderId="14" xfId="3" applyNumberFormat="1" applyFont="1" applyBorder="1" applyAlignment="1">
      <alignment horizontal="center"/>
    </xf>
    <xf numFmtId="0" fontId="2" fillId="0" borderId="14" xfId="3" applyFont="1" applyBorder="1" applyAlignment="1">
      <alignment horizontal="center"/>
    </xf>
    <xf numFmtId="1" fontId="2" fillId="0" borderId="14" xfId="3" quotePrefix="1" applyNumberFormat="1" applyFont="1" applyBorder="1" applyAlignment="1">
      <alignment horizontal="center"/>
    </xf>
    <xf numFmtId="165" fontId="2" fillId="0" borderId="14" xfId="0" applyNumberFormat="1" applyFont="1" applyBorder="1" applyAlignment="1">
      <alignment horizontal="center"/>
    </xf>
    <xf numFmtId="49" fontId="0" fillId="0" borderId="1" xfId="0" applyNumberFormat="1" applyBorder="1" applyAlignment="1">
      <alignment horizontal="center"/>
    </xf>
    <xf numFmtId="44" fontId="0" fillId="3" borderId="1" xfId="0" applyNumberFormat="1" applyFill="1" applyBorder="1"/>
    <xf numFmtId="0" fontId="0" fillId="3" borderId="1" xfId="0" applyFill="1" applyBorder="1" applyAlignment="1">
      <alignment horizontal="left"/>
    </xf>
    <xf numFmtId="0" fontId="0" fillId="3" borderId="1" xfId="0" applyFill="1" applyBorder="1" applyAlignment="1">
      <alignment horizontal="center"/>
    </xf>
    <xf numFmtId="1" fontId="0" fillId="3" borderId="1" xfId="1" applyNumberFormat="1" applyFont="1" applyFill="1" applyBorder="1" applyAlignment="1">
      <alignment horizontal="center"/>
    </xf>
    <xf numFmtId="44" fontId="0" fillId="0" borderId="0" xfId="2" applyFont="1" applyAlignment="1">
      <alignment horizontal="center"/>
    </xf>
    <xf numFmtId="0" fontId="0" fillId="4" borderId="1" xfId="0" applyFill="1" applyBorder="1" applyAlignment="1">
      <alignment horizontal="center"/>
    </xf>
    <xf numFmtId="0" fontId="0" fillId="5" borderId="14" xfId="0" applyFill="1" applyBorder="1" applyAlignment="1">
      <alignment horizontal="center"/>
    </xf>
    <xf numFmtId="44" fontId="0" fillId="0" borderId="16" xfId="2" applyFont="1" applyBorder="1" applyAlignment="1">
      <alignment horizontal="center"/>
    </xf>
    <xf numFmtId="44" fontId="1" fillId="0" borderId="0" xfId="1" applyNumberFormat="1" applyFont="1"/>
    <xf numFmtId="43" fontId="11" fillId="0" borderId="0" xfId="2" applyNumberFormat="1" applyFont="1" applyAlignment="1">
      <alignment horizontal="center"/>
    </xf>
    <xf numFmtId="43" fontId="11" fillId="0" borderId="0" xfId="0" applyNumberFormat="1" applyFont="1" applyAlignment="1">
      <alignment horizontal="center"/>
    </xf>
    <xf numFmtId="44" fontId="0" fillId="0" borderId="17" xfId="1" applyNumberFormat="1" applyFont="1" applyBorder="1"/>
    <xf numFmtId="0" fontId="14" fillId="0" borderId="0" xfId="0" applyFont="1" applyAlignment="1">
      <alignment horizontal="center"/>
    </xf>
    <xf numFmtId="0" fontId="0" fillId="5" borderId="1" xfId="0" applyFill="1" applyBorder="1" applyAlignment="1">
      <alignment horizontal="center"/>
    </xf>
    <xf numFmtId="44" fontId="16" fillId="0" borderId="5" xfId="0" applyNumberFormat="1" applyFont="1" applyBorder="1"/>
    <xf numFmtId="44" fontId="11" fillId="0" borderId="0" xfId="0" applyNumberFormat="1" applyFont="1"/>
    <xf numFmtId="44" fontId="15" fillId="0" borderId="0" xfId="0" applyNumberFormat="1" applyFont="1"/>
    <xf numFmtId="0" fontId="2" fillId="0" borderId="0" xfId="0" applyFont="1" applyAlignment="1">
      <alignment horizontal="center"/>
    </xf>
    <xf numFmtId="1" fontId="13" fillId="0" borderId="4" xfId="0" applyNumberFormat="1" applyFont="1" applyBorder="1" applyAlignment="1">
      <alignment horizontal="right"/>
    </xf>
    <xf numFmtId="8" fontId="13" fillId="0" borderId="0" xfId="0" applyNumberFormat="1" applyFont="1" applyAlignment="1">
      <alignment horizontal="right"/>
    </xf>
    <xf numFmtId="0" fontId="2" fillId="0" borderId="1" xfId="3" applyFont="1" applyBorder="1" applyAlignment="1">
      <alignment horizontal="center"/>
    </xf>
    <xf numFmtId="0" fontId="2" fillId="0" borderId="0" xfId="1" applyNumberFormat="1" applyFont="1" applyAlignment="1">
      <alignment horizontal="center"/>
    </xf>
    <xf numFmtId="0" fontId="13" fillId="0" borderId="0" xfId="0" applyFont="1" applyAlignment="1">
      <alignment horizontal="center"/>
    </xf>
    <xf numFmtId="0" fontId="1" fillId="0" borderId="0" xfId="0" applyFont="1" applyAlignment="1">
      <alignment horizontal="center"/>
    </xf>
    <xf numFmtId="1" fontId="5" fillId="0" borderId="0" xfId="0" applyNumberFormat="1" applyFont="1" applyAlignment="1">
      <alignment horizontal="center"/>
    </xf>
    <xf numFmtId="44" fontId="1" fillId="0" borderId="0" xfId="1" applyNumberFormat="1" applyFont="1" applyAlignment="1">
      <alignment horizontal="center"/>
    </xf>
    <xf numFmtId="2" fontId="0" fillId="0" borderId="0" xfId="0" applyNumberFormat="1" applyAlignment="1">
      <alignment horizontal="center"/>
    </xf>
    <xf numFmtId="167" fontId="0" fillId="0" borderId="1" xfId="1" applyNumberFormat="1" applyFont="1" applyBorder="1" applyAlignment="1">
      <alignment horizontal="center"/>
    </xf>
    <xf numFmtId="167" fontId="0" fillId="0" borderId="1" xfId="0" applyNumberFormat="1" applyBorder="1" applyAlignment="1">
      <alignment horizontal="center"/>
    </xf>
    <xf numFmtId="44" fontId="0" fillId="0" borderId="0" xfId="1" applyNumberFormat="1" applyFont="1" applyAlignment="1">
      <alignment horizontal="center"/>
    </xf>
    <xf numFmtId="44" fontId="1" fillId="0" borderId="0" xfId="0" applyNumberFormat="1" applyFont="1" applyAlignment="1">
      <alignment horizontal="center"/>
    </xf>
    <xf numFmtId="44" fontId="0" fillId="0" borderId="17" xfId="2" applyFont="1" applyBorder="1"/>
    <xf numFmtId="0" fontId="17" fillId="0" borderId="0" xfId="0" applyFont="1"/>
    <xf numFmtId="0" fontId="18" fillId="0" borderId="0" xfId="0" applyFont="1"/>
    <xf numFmtId="43" fontId="19" fillId="0" borderId="0" xfId="1" applyFont="1" applyProtection="1">
      <protection locked="0"/>
    </xf>
    <xf numFmtId="43" fontId="19" fillId="0" borderId="0" xfId="1" applyFont="1"/>
    <xf numFmtId="43" fontId="20" fillId="0" borderId="0" xfId="1" applyFont="1" applyProtection="1">
      <protection locked="0"/>
    </xf>
    <xf numFmtId="43" fontId="20" fillId="0" borderId="5" xfId="1" applyFont="1" applyBorder="1"/>
    <xf numFmtId="0" fontId="0" fillId="0" borderId="15" xfId="0" applyBorder="1" applyAlignment="1">
      <alignment horizontal="left"/>
    </xf>
    <xf numFmtId="0" fontId="0" fillId="0" borderId="15" xfId="0" applyBorder="1"/>
    <xf numFmtId="0" fontId="0" fillId="0" borderId="15" xfId="0" applyBorder="1" applyAlignment="1">
      <alignment horizontal="center"/>
    </xf>
    <xf numFmtId="0" fontId="0" fillId="0" borderId="1" xfId="1" applyNumberFormat="1" applyFont="1" applyBorder="1" applyAlignment="1">
      <alignment horizontal="left"/>
    </xf>
    <xf numFmtId="0" fontId="12" fillId="0" borderId="1" xfId="0" applyFont="1" applyBorder="1" applyAlignment="1" applyProtection="1">
      <alignment horizontal="left" vertical="top"/>
      <protection locked="0"/>
    </xf>
    <xf numFmtId="0" fontId="0" fillId="0" borderId="0" xfId="0" applyAlignment="1">
      <alignment horizontal="right"/>
    </xf>
    <xf numFmtId="44" fontId="0" fillId="0" borderId="1" xfId="2" applyFont="1" applyBorder="1" applyAlignment="1">
      <alignment horizontal="center"/>
    </xf>
    <xf numFmtId="44" fontId="11" fillId="0" borderId="0" xfId="0" applyNumberFormat="1" applyFont="1" applyAlignment="1">
      <alignment horizontal="center"/>
    </xf>
    <xf numFmtId="43" fontId="11" fillId="0" borderId="0" xfId="1" applyFont="1"/>
    <xf numFmtId="0" fontId="0" fillId="0" borderId="17" xfId="0" applyBorder="1" applyAlignment="1">
      <alignment horizontal="right"/>
    </xf>
    <xf numFmtId="44" fontId="0" fillId="0" borderId="17" xfId="0" applyNumberFormat="1" applyBorder="1"/>
    <xf numFmtId="0" fontId="3" fillId="0" borderId="0" xfId="0" applyFont="1" applyAlignment="1">
      <alignment horizontal="center"/>
    </xf>
    <xf numFmtId="0" fontId="0" fillId="0" borderId="1" xfId="1" applyNumberFormat="1" applyFont="1" applyBorder="1" applyAlignment="1">
      <alignment horizontal="center"/>
    </xf>
    <xf numFmtId="14" fontId="0" fillId="0" borderId="4" xfId="1" applyNumberFormat="1" applyFont="1" applyBorder="1" applyAlignment="1">
      <alignment horizontal="center"/>
    </xf>
    <xf numFmtId="44" fontId="0" fillId="0" borderId="17" xfId="2" applyFont="1" applyBorder="1" applyAlignment="1">
      <alignment horizontal="center"/>
    </xf>
    <xf numFmtId="0" fontId="13" fillId="0" borderId="6" xfId="0" applyFont="1" applyBorder="1" applyAlignment="1">
      <alignment horizontal="center"/>
    </xf>
    <xf numFmtId="14" fontId="1" fillId="0" borderId="6" xfId="0" applyNumberFormat="1" applyFont="1" applyBorder="1" applyAlignment="1">
      <alignment horizontal="center"/>
    </xf>
    <xf numFmtId="44" fontId="0" fillId="0" borderId="4" xfId="2" applyFont="1" applyBorder="1" applyAlignment="1">
      <alignment horizontal="center"/>
    </xf>
    <xf numFmtId="0" fontId="5" fillId="3" borderId="0" xfId="0" quotePrefix="1" applyFont="1" applyFill="1" applyAlignment="1" applyProtection="1">
      <alignment horizontal="left"/>
      <protection locked="0"/>
    </xf>
    <xf numFmtId="0" fontId="0" fillId="3" borderId="0" xfId="0" applyFill="1" applyProtection="1">
      <protection locked="0"/>
    </xf>
    <xf numFmtId="14" fontId="0" fillId="3" borderId="0" xfId="0" applyNumberFormat="1" applyFill="1" applyAlignment="1">
      <alignment horizontal="left"/>
    </xf>
    <xf numFmtId="0" fontId="8" fillId="0" borderId="1" xfId="3" applyBorder="1" applyAlignment="1">
      <alignment horizontal="center"/>
    </xf>
    <xf numFmtId="14" fontId="0" fillId="0" borderId="1" xfId="0" applyNumberFormat="1" applyBorder="1" applyAlignment="1">
      <alignment horizontal="center"/>
    </xf>
    <xf numFmtId="1" fontId="0" fillId="0" borderId="16" xfId="1" applyNumberFormat="1" applyFont="1" applyBorder="1" applyAlignment="1">
      <alignment horizontal="center"/>
    </xf>
    <xf numFmtId="44" fontId="0" fillId="0" borderId="0" xfId="0" applyNumberFormat="1" applyAlignment="1">
      <alignment wrapText="1"/>
    </xf>
    <xf numFmtId="44" fontId="1" fillId="6" borderId="6" xfId="0" applyNumberFormat="1" applyFont="1" applyFill="1" applyBorder="1" applyAlignment="1">
      <alignment horizontal="center" wrapText="1"/>
    </xf>
    <xf numFmtId="44" fontId="0" fillId="6" borderId="0" xfId="2" applyFont="1" applyFill="1" applyAlignment="1">
      <alignment horizontal="center"/>
    </xf>
    <xf numFmtId="44" fontId="0" fillId="6" borderId="17" xfId="2" applyFont="1" applyFill="1" applyBorder="1" applyAlignment="1">
      <alignment horizontal="center"/>
    </xf>
    <xf numFmtId="44" fontId="0" fillId="0" borderId="17" xfId="0" applyNumberFormat="1" applyBorder="1" applyAlignment="1">
      <alignment horizontal="center"/>
    </xf>
    <xf numFmtId="49" fontId="0" fillId="3" borderId="1" xfId="0" applyNumberFormat="1" applyFill="1" applyBorder="1" applyAlignment="1">
      <alignment horizontal="center"/>
    </xf>
    <xf numFmtId="49" fontId="2" fillId="0" borderId="1" xfId="0" applyNumberFormat="1" applyFont="1" applyBorder="1" applyAlignment="1">
      <alignment horizontal="center"/>
    </xf>
    <xf numFmtId="44" fontId="0" fillId="0" borderId="1" xfId="2" applyFont="1" applyBorder="1"/>
    <xf numFmtId="0" fontId="0" fillId="0" borderId="2" xfId="0" applyBorder="1" applyAlignment="1">
      <alignment horizontal="center"/>
    </xf>
    <xf numFmtId="0" fontId="4" fillId="0" borderId="4" xfId="0" applyFont="1" applyBorder="1"/>
    <xf numFmtId="0" fontId="4" fillId="0" borderId="4" xfId="0" applyFont="1" applyBorder="1" applyAlignment="1">
      <alignment horizontal="center"/>
    </xf>
    <xf numFmtId="0" fontId="4" fillId="0" borderId="3" xfId="0" applyFont="1" applyBorder="1"/>
    <xf numFmtId="44" fontId="4" fillId="0" borderId="18" xfId="2" applyBorder="1"/>
    <xf numFmtId="0" fontId="0" fillId="0" borderId="12" xfId="0" applyBorder="1"/>
    <xf numFmtId="44" fontId="4" fillId="0" borderId="19" xfId="2" applyBorder="1"/>
    <xf numFmtId="0" fontId="0" fillId="0" borderId="20" xfId="0" applyBorder="1"/>
    <xf numFmtId="0" fontId="4" fillId="0" borderId="6" xfId="0" applyFont="1" applyBorder="1"/>
    <xf numFmtId="0" fontId="0" fillId="0" borderId="6" xfId="0" applyBorder="1" applyAlignment="1">
      <alignment horizontal="right"/>
    </xf>
    <xf numFmtId="44" fontId="11" fillId="0" borderId="21" xfId="2" applyFont="1" applyBorder="1"/>
    <xf numFmtId="0" fontId="2" fillId="0" borderId="12" xfId="0" applyFont="1" applyBorder="1" applyAlignment="1">
      <alignment horizontal="center"/>
    </xf>
    <xf numFmtId="0" fontId="1" fillId="7" borderId="0" xfId="0" applyFont="1" applyFill="1"/>
    <xf numFmtId="0" fontId="1" fillId="8" borderId="11" xfId="0" applyFont="1" applyFill="1" applyBorder="1" applyAlignment="1">
      <alignment horizontal="center"/>
    </xf>
    <xf numFmtId="0" fontId="1" fillId="9" borderId="11" xfId="0" applyFont="1" applyFill="1" applyBorder="1" applyAlignment="1">
      <alignment horizontal="center"/>
    </xf>
    <xf numFmtId="1" fontId="0" fillId="0" borderId="17" xfId="0" applyNumberFormat="1" applyBorder="1" applyAlignment="1">
      <alignment horizontal="center"/>
    </xf>
    <xf numFmtId="44" fontId="0" fillId="0" borderId="4" xfId="0" applyNumberFormat="1" applyBorder="1" applyAlignment="1">
      <alignment horizontal="center"/>
    </xf>
    <xf numFmtId="44" fontId="0" fillId="6" borderId="4" xfId="2" applyFont="1" applyFill="1" applyBorder="1" applyAlignment="1">
      <alignment horizontal="center"/>
    </xf>
    <xf numFmtId="0" fontId="2" fillId="0" borderId="17" xfId="0" applyFont="1" applyBorder="1" applyAlignment="1">
      <alignment horizontal="center"/>
    </xf>
    <xf numFmtId="44" fontId="0" fillId="6" borderId="0" xfId="0" applyNumberFormat="1" applyFill="1"/>
    <xf numFmtId="0" fontId="13" fillId="0" borderId="6" xfId="0" applyFont="1" applyBorder="1" applyAlignment="1">
      <alignment horizontal="center" wrapText="1"/>
    </xf>
    <xf numFmtId="14" fontId="1" fillId="0" borderId="6" xfId="0" applyNumberFormat="1" applyFont="1" applyBorder="1" applyAlignment="1">
      <alignment horizontal="center" wrapText="1"/>
    </xf>
    <xf numFmtId="44" fontId="1" fillId="0" borderId="6" xfId="0" applyNumberFormat="1" applyFont="1" applyBorder="1" applyAlignment="1">
      <alignment wrapText="1"/>
    </xf>
    <xf numFmtId="14" fontId="5" fillId="0" borderId="0" xfId="0" applyNumberFormat="1" applyFont="1"/>
    <xf numFmtId="14" fontId="0" fillId="0" borderId="0" xfId="0" applyNumberFormat="1"/>
    <xf numFmtId="14" fontId="1" fillId="0" borderId="0" xfId="0" applyNumberFormat="1" applyFont="1"/>
    <xf numFmtId="44" fontId="0" fillId="6" borderId="0" xfId="2" applyFont="1" applyFill="1"/>
    <xf numFmtId="44" fontId="0" fillId="6" borderId="17" xfId="2" applyFont="1" applyFill="1" applyBorder="1"/>
    <xf numFmtId="0" fontId="0" fillId="0" borderId="0" xfId="0" applyAlignment="1">
      <alignment horizontal="center" vertical="center"/>
    </xf>
    <xf numFmtId="44" fontId="1" fillId="0" borderId="6" xfId="2" applyFont="1" applyBorder="1"/>
    <xf numFmtId="14" fontId="1" fillId="0" borderId="6" xfId="0" applyNumberFormat="1" applyFont="1" applyBorder="1" applyAlignment="1">
      <alignment horizontal="left"/>
    </xf>
    <xf numFmtId="0" fontId="2" fillId="0" borderId="0" xfId="0" applyFont="1" applyAlignment="1">
      <alignment horizontal="left"/>
    </xf>
    <xf numFmtId="1" fontId="0" fillId="0" borderId="0" xfId="2" applyNumberFormat="1" applyFont="1" applyAlignment="1">
      <alignment horizontal="center"/>
    </xf>
    <xf numFmtId="44" fontId="16" fillId="0" borderId="0" xfId="0" applyNumberFormat="1" applyFont="1"/>
    <xf numFmtId="44" fontId="0" fillId="0" borderId="0" xfId="1" applyNumberFormat="1" applyFont="1" applyBorder="1"/>
    <xf numFmtId="0" fontId="4" fillId="0" borderId="0" xfId="0" applyFont="1"/>
    <xf numFmtId="1" fontId="5" fillId="0" borderId="0" xfId="0" applyNumberFormat="1" applyFont="1"/>
    <xf numFmtId="0" fontId="0" fillId="0" borderId="17" xfId="0" applyBorder="1" applyAlignment="1">
      <alignment horizontal="center"/>
    </xf>
    <xf numFmtId="10" fontId="0" fillId="0" borderId="0" xfId="6" applyNumberFormat="1" applyFont="1"/>
    <xf numFmtId="0" fontId="0" fillId="0" borderId="0" xfId="0" applyAlignment="1" applyProtection="1">
      <alignment horizontal="right"/>
      <protection locked="0"/>
    </xf>
    <xf numFmtId="44" fontId="0" fillId="6" borderId="0" xfId="2" applyFont="1" applyFill="1" applyBorder="1" applyAlignment="1">
      <alignment horizontal="center"/>
    </xf>
    <xf numFmtId="44" fontId="2" fillId="0" borderId="1" xfId="1" applyNumberFormat="1" applyFont="1" applyBorder="1"/>
    <xf numFmtId="44" fontId="11" fillId="0" borderId="1" xfId="1" applyNumberFormat="1" applyFont="1" applyFill="1" applyBorder="1"/>
    <xf numFmtId="0" fontId="0" fillId="3" borderId="0" xfId="0" applyFill="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3" borderId="1" xfId="0" applyFill="1" applyBorder="1"/>
    <xf numFmtId="0" fontId="1" fillId="3" borderId="1" xfId="0" applyFont="1" applyFill="1" applyBorder="1" applyAlignment="1">
      <alignment horizontal="left"/>
    </xf>
    <xf numFmtId="0" fontId="2" fillId="0" borderId="1" xfId="3" applyNumberFormat="1" applyFont="1" applyBorder="1" applyAlignment="1">
      <alignment horizontal="center"/>
    </xf>
    <xf numFmtId="0" fontId="2" fillId="0" borderId="1" xfId="1" applyNumberFormat="1" applyFont="1" applyBorder="1" applyAlignment="1">
      <alignment horizontal="center"/>
    </xf>
    <xf numFmtId="14" fontId="1" fillId="0" borderId="0" xfId="0" applyNumberFormat="1" applyFont="1" applyAlignment="1">
      <alignment horizontal="left"/>
    </xf>
    <xf numFmtId="14" fontId="21" fillId="0" borderId="0" xfId="0" applyNumberFormat="1" applyFont="1" applyAlignment="1">
      <alignment horizontal="left"/>
    </xf>
    <xf numFmtId="44" fontId="4" fillId="0" borderId="0" xfId="2" applyFont="1" applyBorder="1"/>
    <xf numFmtId="167" fontId="0" fillId="3" borderId="0" xfId="0" applyNumberFormat="1" applyFill="1" applyAlignment="1">
      <alignment horizontal="left"/>
    </xf>
    <xf numFmtId="1" fontId="1" fillId="0" borderId="0" xfId="0" applyNumberFormat="1" applyFont="1" applyAlignment="1">
      <alignment horizontal="left"/>
    </xf>
    <xf numFmtId="2" fontId="1" fillId="0" borderId="4" xfId="0" applyNumberFormat="1" applyFont="1" applyBorder="1" applyAlignment="1">
      <alignment horizontal="center"/>
    </xf>
    <xf numFmtId="0" fontId="1" fillId="3" borderId="28" xfId="0" applyFont="1" applyFill="1" applyBorder="1" applyAlignment="1">
      <alignment horizontal="center" vertical="center"/>
    </xf>
    <xf numFmtId="167" fontId="0" fillId="3" borderId="8" xfId="1" applyNumberFormat="1" applyFont="1" applyFill="1" applyBorder="1" applyAlignment="1">
      <alignment horizontal="center"/>
    </xf>
    <xf numFmtId="169" fontId="1" fillId="3" borderId="30" xfId="0" applyNumberFormat="1" applyFont="1" applyFill="1" applyBorder="1" applyAlignment="1">
      <alignment horizontal="center" vertical="center"/>
    </xf>
    <xf numFmtId="44" fontId="2" fillId="0" borderId="1" xfId="2" applyFont="1" applyBorder="1" applyAlignment="1">
      <alignment horizontal="center"/>
    </xf>
    <xf numFmtId="44" fontId="0" fillId="0" borderId="1" xfId="2" applyFont="1" applyBorder="1" applyAlignment="1">
      <alignment horizontal="left"/>
    </xf>
    <xf numFmtId="0" fontId="2" fillId="0" borderId="1" xfId="0" applyFont="1" applyBorder="1" applyAlignment="1">
      <alignment horizontal="left"/>
    </xf>
    <xf numFmtId="14" fontId="1" fillId="6" borderId="6" xfId="0" applyNumberFormat="1" applyFont="1" applyFill="1" applyBorder="1" applyAlignment="1">
      <alignment horizontal="center" wrapText="1"/>
    </xf>
    <xf numFmtId="0" fontId="1" fillId="2" borderId="15" xfId="0" applyFont="1" applyFill="1" applyBorder="1" applyAlignment="1">
      <alignment horizontal="center"/>
    </xf>
    <xf numFmtId="0" fontId="22" fillId="0" borderId="1" xfId="0" applyFont="1" applyBorder="1" applyAlignment="1">
      <alignment horizontal="center"/>
    </xf>
    <xf numFmtId="44" fontId="0" fillId="0" borderId="0" xfId="2" applyFont="1" applyBorder="1"/>
    <xf numFmtId="44" fontId="0" fillId="0" borderId="26" xfId="2" applyFont="1" applyBorder="1"/>
    <xf numFmtId="0" fontId="1" fillId="7" borderId="6" xfId="0" applyFont="1" applyFill="1" applyBorder="1" applyAlignment="1">
      <alignment horizontal="center"/>
    </xf>
    <xf numFmtId="44" fontId="0" fillId="0" borderId="18" xfId="0" applyNumberFormat="1" applyBorder="1"/>
    <xf numFmtId="0" fontId="0" fillId="0" borderId="13" xfId="0" applyBorder="1"/>
    <xf numFmtId="0" fontId="0" fillId="0" borderId="11" xfId="0" applyBorder="1"/>
    <xf numFmtId="0" fontId="0" fillId="0" borderId="14" xfId="0" applyBorder="1"/>
    <xf numFmtId="0" fontId="0" fillId="11" borderId="1" xfId="0" applyFill="1" applyBorder="1" applyAlignment="1">
      <alignment horizontal="center"/>
    </xf>
    <xf numFmtId="44" fontId="0" fillId="0" borderId="0" xfId="1" applyNumberFormat="1" applyFont="1" applyAlignment="1">
      <alignment horizontal="right"/>
    </xf>
    <xf numFmtId="0" fontId="0" fillId="6" borderId="0" xfId="0" applyFill="1" applyAlignment="1">
      <alignment horizontal="right"/>
    </xf>
    <xf numFmtId="43" fontId="19" fillId="6" borderId="0" xfId="1" applyFont="1" applyFill="1"/>
    <xf numFmtId="0" fontId="1" fillId="7" borderId="6" xfId="0" applyFont="1" applyFill="1" applyBorder="1" applyAlignment="1">
      <alignment horizontal="center" wrapText="1"/>
    </xf>
    <xf numFmtId="43" fontId="19" fillId="6" borderId="0" xfId="1" applyFont="1" applyFill="1" applyProtection="1">
      <protection locked="0"/>
    </xf>
    <xf numFmtId="0" fontId="0" fillId="0" borderId="16" xfId="0" applyBorder="1" applyAlignment="1">
      <alignment horizontal="center"/>
    </xf>
    <xf numFmtId="167" fontId="0" fillId="0" borderId="16" xfId="1" applyNumberFormat="1" applyFont="1" applyBorder="1" applyAlignment="1">
      <alignment horizontal="center"/>
    </xf>
    <xf numFmtId="1" fontId="1"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xf>
    <xf numFmtId="44" fontId="1" fillId="2" borderId="1" xfId="1" applyNumberFormat="1" applyFont="1" applyFill="1" applyBorder="1" applyAlignment="1">
      <alignment horizontal="center" vertical="center" wrapText="1"/>
    </xf>
    <xf numFmtId="44" fontId="14" fillId="2" borderId="1" xfId="1" applyNumberFormat="1" applyFont="1" applyFill="1" applyBorder="1" applyAlignment="1">
      <alignment horizontal="center" vertical="center" wrapText="1"/>
    </xf>
    <xf numFmtId="0" fontId="1" fillId="0" borderId="0" xfId="0" applyFont="1" applyAlignment="1">
      <alignment vertical="center" wrapText="1"/>
    </xf>
    <xf numFmtId="44" fontId="1" fillId="0" borderId="0" xfId="1" applyNumberFormat="1" applyFont="1" applyFill="1" applyBorder="1"/>
    <xf numFmtId="44" fontId="0" fillId="0" borderId="13" xfId="0" applyNumberFormat="1" applyBorder="1"/>
    <xf numFmtId="1" fontId="0" fillId="0" borderId="14" xfId="1" applyNumberFormat="1" applyFont="1" applyBorder="1" applyAlignment="1">
      <alignment horizontal="center"/>
    </xf>
    <xf numFmtId="1" fontId="1" fillId="10" borderId="0" xfId="0" applyNumberFormat="1" applyFont="1" applyFill="1" applyAlignment="1">
      <alignment horizontal="center"/>
    </xf>
    <xf numFmtId="0" fontId="0" fillId="14" borderId="0" xfId="0" applyFill="1"/>
    <xf numFmtId="0" fontId="0" fillId="14" borderId="0" xfId="0" applyFill="1" applyProtection="1">
      <protection locked="0"/>
    </xf>
    <xf numFmtId="0" fontId="23" fillId="0" borderId="0" xfId="0" applyFont="1"/>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0" borderId="0" xfId="0" applyFont="1" applyAlignment="1">
      <alignment vertical="center"/>
    </xf>
    <xf numFmtId="44" fontId="10" fillId="3" borderId="16" xfId="5" applyFont="1" applyFill="1" applyBorder="1" applyAlignment="1">
      <alignment horizontal="center" vertical="center" wrapText="1"/>
    </xf>
    <xf numFmtId="44" fontId="10" fillId="3" borderId="16" xfId="5" applyFont="1" applyFill="1" applyBorder="1" applyAlignment="1">
      <alignment horizontal="center" vertical="center"/>
    </xf>
    <xf numFmtId="0" fontId="10" fillId="3" borderId="20" xfId="0" applyFont="1" applyFill="1" applyBorder="1" applyAlignment="1">
      <alignment horizontal="center" vertical="center"/>
    </xf>
    <xf numFmtId="0" fontId="14" fillId="0" borderId="0" xfId="0" applyFont="1" applyAlignment="1">
      <alignment vertical="center"/>
    </xf>
    <xf numFmtId="44" fontId="1" fillId="2" borderId="14" xfId="0" applyNumberFormat="1" applyFont="1" applyFill="1" applyBorder="1" applyAlignment="1">
      <alignment horizontal="center" vertical="center"/>
    </xf>
    <xf numFmtId="44" fontId="1" fillId="2" borderId="1" xfId="0" applyNumberFormat="1" applyFont="1" applyFill="1" applyBorder="1" applyAlignment="1">
      <alignment horizontal="center" vertical="center"/>
    </xf>
    <xf numFmtId="44" fontId="14" fillId="2" borderId="1" xfId="0" applyNumberFormat="1" applyFont="1" applyFill="1" applyBorder="1" applyAlignment="1">
      <alignment horizontal="center" vertical="center"/>
    </xf>
    <xf numFmtId="0" fontId="1" fillId="0" borderId="0" xfId="0" applyFont="1" applyAlignment="1">
      <alignment horizontal="center" vertical="center"/>
    </xf>
    <xf numFmtId="1" fontId="25" fillId="0" borderId="1" xfId="0" applyNumberFormat="1" applyFont="1" applyBorder="1" applyAlignment="1">
      <alignment horizontal="center"/>
    </xf>
    <xf numFmtId="0" fontId="0" fillId="15" borderId="0" xfId="0" applyFill="1" applyAlignment="1">
      <alignment horizontal="center"/>
    </xf>
    <xf numFmtId="170" fontId="0" fillId="0" borderId="1" xfId="1" applyNumberFormat="1" applyFont="1" applyBorder="1" applyAlignment="1">
      <alignment horizontal="center"/>
    </xf>
    <xf numFmtId="170" fontId="26" fillId="0" borderId="1" xfId="1" applyNumberFormat="1" applyFont="1" applyBorder="1" applyAlignment="1">
      <alignment horizontal="center"/>
    </xf>
    <xf numFmtId="167" fontId="0" fillId="0" borderId="12" xfId="1" applyNumberFormat="1" applyFont="1" applyFill="1" applyBorder="1" applyAlignment="1">
      <alignment horizontal="center"/>
    </xf>
    <xf numFmtId="0" fontId="24" fillId="14" borderId="0" xfId="0" applyFont="1" applyFill="1" applyAlignment="1">
      <alignment horizontal="left"/>
    </xf>
    <xf numFmtId="0" fontId="27" fillId="14" borderId="0" xfId="0" applyFont="1" applyFill="1" applyAlignment="1">
      <alignment horizontal="left"/>
    </xf>
    <xf numFmtId="167" fontId="0" fillId="0" borderId="0" xfId="1" applyNumberFormat="1" applyFont="1" applyFill="1" applyBorder="1" applyAlignment="1">
      <alignment horizontal="center"/>
    </xf>
    <xf numFmtId="0" fontId="1" fillId="13" borderId="28" xfId="0" applyFont="1" applyFill="1" applyBorder="1" applyAlignment="1">
      <alignment horizontal="centerContinuous"/>
    </xf>
    <xf numFmtId="2" fontId="1" fillId="2" borderId="16" xfId="0" applyNumberFormat="1" applyFont="1" applyFill="1" applyBorder="1" applyAlignment="1">
      <alignment horizontal="center" vertical="center" wrapText="1"/>
    </xf>
    <xf numFmtId="2" fontId="1" fillId="13" borderId="30" xfId="0" applyNumberFormat="1" applyFont="1" applyFill="1" applyBorder="1" applyAlignment="1">
      <alignment horizontal="centerContinuous"/>
    </xf>
    <xf numFmtId="44" fontId="0" fillId="3" borderId="13" xfId="0" applyNumberFormat="1" applyFill="1" applyBorder="1"/>
    <xf numFmtId="1" fontId="1" fillId="10" borderId="0" xfId="0" applyNumberFormat="1" applyFont="1" applyFill="1"/>
    <xf numFmtId="44" fontId="8" fillId="0" borderId="0" xfId="3" applyNumberFormat="1" applyBorder="1"/>
    <xf numFmtId="44" fontId="1" fillId="6" borderId="0" xfId="0" applyNumberFormat="1" applyFont="1" applyFill="1" applyAlignment="1">
      <alignment horizontal="center" wrapText="1"/>
    </xf>
    <xf numFmtId="44" fontId="0" fillId="0" borderId="15" xfId="0" applyNumberFormat="1" applyBorder="1"/>
    <xf numFmtId="1" fontId="0" fillId="0" borderId="14" xfId="0" applyNumberFormat="1" applyBorder="1" applyAlignment="1">
      <alignment horizontal="center"/>
    </xf>
    <xf numFmtId="1" fontId="1" fillId="0" borderId="14" xfId="0" applyNumberFormat="1" applyFont="1" applyBorder="1" applyAlignment="1">
      <alignment horizontal="center"/>
    </xf>
    <xf numFmtId="167" fontId="26" fillId="0" borderId="1" xfId="1" applyNumberFormat="1" applyFont="1" applyBorder="1" applyAlignment="1">
      <alignment horizontal="center"/>
    </xf>
    <xf numFmtId="0" fontId="26" fillId="0" borderId="16" xfId="0" applyFont="1" applyBorder="1" applyAlignment="1">
      <alignment horizontal="center"/>
    </xf>
    <xf numFmtId="167" fontId="0" fillId="0" borderId="15" xfId="1" applyNumberFormat="1" applyFont="1" applyBorder="1" applyAlignment="1">
      <alignment horizontal="center"/>
    </xf>
    <xf numFmtId="49" fontId="0" fillId="0" borderId="15" xfId="0" applyNumberFormat="1" applyBorder="1" applyAlignment="1">
      <alignment horizontal="center"/>
    </xf>
    <xf numFmtId="167" fontId="0" fillId="0" borderId="4" xfId="1" applyNumberFormat="1" applyFont="1" applyBorder="1" applyAlignment="1">
      <alignment horizontal="center"/>
    </xf>
    <xf numFmtId="0" fontId="2" fillId="0" borderId="4" xfId="3" applyFont="1" applyBorder="1" applyAlignment="1">
      <alignment horizontal="center"/>
    </xf>
    <xf numFmtId="1" fontId="28" fillId="0" borderId="0" xfId="0" applyNumberFormat="1" applyFont="1" applyAlignment="1">
      <alignment horizontal="center" vertical="center" wrapText="1"/>
    </xf>
    <xf numFmtId="0" fontId="29" fillId="0" borderId="0" xfId="0" applyFont="1"/>
    <xf numFmtId="1" fontId="28" fillId="0" borderId="0" xfId="0" applyNumberFormat="1" applyFont="1"/>
    <xf numFmtId="1" fontId="28" fillId="0" borderId="0" xfId="0" applyNumberFormat="1" applyFont="1" applyAlignment="1">
      <alignment vertical="center" wrapText="1"/>
    </xf>
    <xf numFmtId="10" fontId="0" fillId="0" borderId="0" xfId="6" applyNumberFormat="1" applyFont="1" applyFill="1"/>
    <xf numFmtId="10" fontId="0" fillId="16" borderId="0" xfId="6" applyNumberFormat="1" applyFont="1" applyFill="1"/>
    <xf numFmtId="1" fontId="1" fillId="2" borderId="1" xfId="0" applyNumberFormat="1" applyFont="1" applyFill="1" applyBorder="1" applyAlignment="1">
      <alignment horizontal="center" vertical="center"/>
    </xf>
    <xf numFmtId="1" fontId="1" fillId="3" borderId="1" xfId="0" applyNumberFormat="1" applyFont="1" applyFill="1" applyBorder="1" applyAlignment="1">
      <alignment horizontal="center" vertical="center" wrapText="1"/>
    </xf>
    <xf numFmtId="4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xf>
    <xf numFmtId="0" fontId="1" fillId="0" borderId="0" xfId="0" applyFont="1" applyAlignment="1">
      <alignment horizontal="centerContinuous"/>
    </xf>
    <xf numFmtId="1" fontId="1" fillId="3" borderId="13" xfId="0" applyNumberFormat="1" applyFont="1" applyFill="1" applyBorder="1" applyAlignment="1">
      <alignment horizontal="center" vertical="center" wrapText="1"/>
    </xf>
    <xf numFmtId="44" fontId="1" fillId="0" borderId="13" xfId="0" applyNumberFormat="1" applyFont="1" applyBorder="1"/>
    <xf numFmtId="49" fontId="2" fillId="0" borderId="14" xfId="3" applyNumberFormat="1" applyFont="1" applyBorder="1" applyAlignment="1">
      <alignment horizontal="center"/>
    </xf>
    <xf numFmtId="0" fontId="0" fillId="0" borderId="13" xfId="0" applyBorder="1" applyAlignment="1">
      <alignment horizontal="left"/>
    </xf>
    <xf numFmtId="14" fontId="1" fillId="2" borderId="14" xfId="0" applyNumberFormat="1" applyFont="1" applyFill="1" applyBorder="1" applyAlignment="1">
      <alignment horizontal="center" vertical="center"/>
    </xf>
    <xf numFmtId="44" fontId="0" fillId="0" borderId="0" xfId="2" applyFont="1" applyBorder="1" applyAlignment="1">
      <alignment horizontal="left"/>
    </xf>
    <xf numFmtId="0" fontId="1" fillId="2" borderId="16" xfId="0" applyFont="1" applyFill="1" applyBorder="1" applyAlignment="1">
      <alignment horizontal="center" vertical="center"/>
    </xf>
    <xf numFmtId="0" fontId="2" fillId="0" borderId="13" xfId="0" applyFont="1" applyBorder="1" applyAlignment="1">
      <alignment horizontal="left"/>
    </xf>
    <xf numFmtId="1" fontId="0" fillId="3" borderId="14" xfId="0" applyNumberFormat="1" applyFill="1" applyBorder="1" applyAlignment="1">
      <alignment horizontal="center"/>
    </xf>
    <xf numFmtId="44" fontId="0" fillId="0" borderId="0" xfId="2" applyFont="1" applyBorder="1" applyAlignment="1">
      <alignment horizontal="center"/>
    </xf>
    <xf numFmtId="167" fontId="0" fillId="0" borderId="0" xfId="0" applyNumberFormat="1"/>
    <xf numFmtId="167" fontId="1" fillId="0" borderId="0" xfId="0" applyNumberFormat="1" applyFont="1" applyAlignment="1">
      <alignment horizontal="left"/>
    </xf>
    <xf numFmtId="167" fontId="1" fillId="0" borderId="0" xfId="0" applyNumberFormat="1" applyFont="1" applyAlignment="1">
      <alignment horizontal="centerContinuous"/>
    </xf>
    <xf numFmtId="167" fontId="0" fillId="0" borderId="1" xfId="0" applyNumberFormat="1" applyBorder="1"/>
    <xf numFmtId="167" fontId="1" fillId="0" borderId="1" xfId="0" applyNumberFormat="1" applyFont="1" applyBorder="1"/>
    <xf numFmtId="167" fontId="16" fillId="0" borderId="0" xfId="0" applyNumberFormat="1" applyFont="1"/>
    <xf numFmtId="167" fontId="2" fillId="0" borderId="0" xfId="0" applyNumberFormat="1" applyFont="1"/>
    <xf numFmtId="2" fontId="23" fillId="0" borderId="0" xfId="0" applyNumberFormat="1" applyFont="1"/>
    <xf numFmtId="0" fontId="30" fillId="0" borderId="0" xfId="0" applyFont="1" applyAlignment="1">
      <alignment horizontal="center"/>
    </xf>
    <xf numFmtId="1" fontId="28" fillId="0" borderId="0" xfId="0" applyNumberFormat="1" applyFont="1" applyAlignment="1">
      <alignment horizontal="centerContinuous" vertical="center" wrapText="1"/>
    </xf>
    <xf numFmtId="14" fontId="0" fillId="0" borderId="1" xfId="0" applyNumberFormat="1" applyBorder="1"/>
    <xf numFmtId="0" fontId="23" fillId="17" borderId="0" xfId="0" applyFont="1" applyFill="1"/>
    <xf numFmtId="44" fontId="10" fillId="3" borderId="1" xfId="5" applyFont="1" applyFill="1" applyBorder="1" applyAlignment="1">
      <alignment horizontal="center" vertical="center"/>
    </xf>
    <xf numFmtId="44" fontId="10" fillId="3" borderId="1" xfId="5" applyFont="1" applyFill="1" applyBorder="1" applyAlignment="1">
      <alignment horizontal="center" vertical="center" wrapText="1"/>
    </xf>
    <xf numFmtId="0" fontId="10" fillId="3" borderId="1" xfId="0" applyFont="1" applyFill="1" applyBorder="1" applyAlignment="1">
      <alignment horizontal="center" vertical="center"/>
    </xf>
    <xf numFmtId="1" fontId="0" fillId="0" borderId="1" xfId="0" applyNumberFormat="1" applyBorder="1"/>
    <xf numFmtId="0" fontId="1" fillId="0" borderId="28" xfId="0" applyFont="1" applyBorder="1" applyAlignment="1">
      <alignment horizontal="centerContinuous"/>
    </xf>
    <xf numFmtId="0" fontId="1" fillId="0" borderId="29" xfId="0" applyFont="1" applyBorder="1" applyAlignment="1">
      <alignment horizontal="centerContinuous"/>
    </xf>
    <xf numFmtId="0" fontId="18" fillId="0" borderId="0" xfId="0" applyFont="1" applyAlignment="1">
      <alignment horizontal="left"/>
    </xf>
    <xf numFmtId="0" fontId="4" fillId="0" borderId="0" xfId="0" applyFont="1" applyAlignment="1">
      <alignment horizontal="left"/>
    </xf>
    <xf numFmtId="0" fontId="23" fillId="0" borderId="0" xfId="0" applyFont="1" applyAlignment="1">
      <alignment horizontal="left" vertical="center" wrapText="1"/>
    </xf>
    <xf numFmtId="0" fontId="4" fillId="0" borderId="24" xfId="0" applyFont="1" applyBorder="1"/>
    <xf numFmtId="44" fontId="11" fillId="0" borderId="24" xfId="0" applyNumberFormat="1" applyFont="1" applyBorder="1"/>
    <xf numFmtId="1" fontId="1" fillId="2" borderId="16" xfId="0" applyNumberFormat="1" applyFont="1" applyFill="1" applyBorder="1" applyAlignment="1">
      <alignment horizontal="center" vertical="center" wrapText="1"/>
    </xf>
    <xf numFmtId="1" fontId="1" fillId="2" borderId="20" xfId="0" applyNumberFormat="1" applyFont="1" applyFill="1" applyBorder="1" applyAlignment="1">
      <alignment horizontal="center" vertical="center" wrapText="1"/>
    </xf>
    <xf numFmtId="0" fontId="1" fillId="13" borderId="30" xfId="0" applyFont="1" applyFill="1" applyBorder="1" applyAlignment="1">
      <alignment horizontal="centerContinuous"/>
    </xf>
    <xf numFmtId="0" fontId="31" fillId="18" borderId="35" xfId="0" applyFont="1" applyFill="1" applyBorder="1" applyAlignment="1">
      <alignment horizontal="center" vertical="center" wrapText="1"/>
    </xf>
    <xf numFmtId="170" fontId="31" fillId="18" borderId="35" xfId="0" applyNumberFormat="1" applyFont="1" applyFill="1" applyBorder="1" applyAlignment="1">
      <alignment horizontal="center" vertical="center" wrapText="1"/>
    </xf>
    <xf numFmtId="0" fontId="32" fillId="0" borderId="36" xfId="0" applyFont="1" applyBorder="1" applyAlignment="1">
      <alignment horizontal="center"/>
    </xf>
    <xf numFmtId="0" fontId="33" fillId="0" borderId="1" xfId="0" applyFont="1" applyBorder="1" applyAlignment="1">
      <alignment horizontal="center" vertical="center"/>
    </xf>
    <xf numFmtId="168"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44" fontId="22" fillId="0" borderId="1" xfId="5" applyFont="1" applyBorder="1" applyAlignment="1">
      <alignment vertical="center"/>
    </xf>
    <xf numFmtId="0" fontId="33" fillId="0" borderId="1" xfId="0" applyFont="1" applyBorder="1" applyAlignment="1">
      <alignment horizontal="center"/>
    </xf>
    <xf numFmtId="1" fontId="22" fillId="0" borderId="1" xfId="0" applyNumberFormat="1" applyFont="1" applyBorder="1" applyAlignment="1">
      <alignment horizontal="center"/>
    </xf>
    <xf numFmtId="0" fontId="22" fillId="0" borderId="1" xfId="0" applyFont="1" applyBorder="1" applyAlignment="1">
      <alignment horizontal="left"/>
    </xf>
    <xf numFmtId="0" fontId="0" fillId="17" borderId="0" xfId="0" applyFill="1"/>
    <xf numFmtId="164" fontId="11" fillId="0" borderId="0" xfId="0" applyNumberFormat="1" applyFont="1" applyAlignment="1">
      <alignment horizontal="center"/>
    </xf>
    <xf numFmtId="0" fontId="13" fillId="3" borderId="1" xfId="0" applyFont="1" applyFill="1" applyBorder="1" applyAlignment="1">
      <alignment horizontal="center" vertical="center"/>
    </xf>
    <xf numFmtId="167" fontId="4" fillId="3" borderId="0" xfId="2" applyNumberFormat="1" applyFill="1" applyAlignment="1">
      <alignment horizontal="center"/>
    </xf>
    <xf numFmtId="167" fontId="2" fillId="3" borderId="0" xfId="2" applyNumberFormat="1" applyFont="1" applyFill="1" applyAlignment="1">
      <alignment horizontal="center"/>
    </xf>
    <xf numFmtId="10" fontId="4" fillId="3" borderId="0" xfId="6" applyNumberFormat="1" applyFill="1" applyAlignment="1">
      <alignment horizontal="center"/>
    </xf>
    <xf numFmtId="7" fontId="4" fillId="3" borderId="22" xfId="2" applyNumberFormat="1" applyFill="1" applyBorder="1" applyAlignment="1">
      <alignment horizontal="center"/>
    </xf>
    <xf numFmtId="0" fontId="1" fillId="19" borderId="26" xfId="0" applyFont="1" applyFill="1" applyBorder="1" applyAlignment="1">
      <alignment horizontal="left"/>
    </xf>
    <xf numFmtId="0" fontId="1" fillId="19" borderId="26" xfId="0" applyFont="1" applyFill="1" applyBorder="1" applyAlignment="1">
      <alignment horizontal="center"/>
    </xf>
    <xf numFmtId="0" fontId="1" fillId="19" borderId="0" xfId="0" applyFont="1" applyFill="1" applyAlignment="1">
      <alignment horizontal="center"/>
    </xf>
    <xf numFmtId="0" fontId="0" fillId="19" borderId="0" xfId="0" applyFill="1"/>
    <xf numFmtId="0" fontId="0" fillId="19" borderId="18" xfId="0" applyFill="1" applyBorder="1"/>
    <xf numFmtId="0" fontId="30" fillId="19" borderId="0" xfId="0" applyFont="1" applyFill="1" applyAlignment="1">
      <alignment horizontal="center"/>
    </xf>
    <xf numFmtId="0" fontId="30" fillId="19" borderId="18" xfId="0" applyFont="1" applyFill="1" applyBorder="1" applyAlignment="1">
      <alignment horizontal="center"/>
    </xf>
    <xf numFmtId="44" fontId="0" fillId="19" borderId="0" xfId="2" applyFont="1" applyFill="1" applyBorder="1"/>
    <xf numFmtId="44" fontId="0" fillId="19" borderId="18" xfId="2" applyFont="1" applyFill="1" applyBorder="1"/>
    <xf numFmtId="0" fontId="0" fillId="19" borderId="0" xfId="0" applyFill="1" applyAlignment="1">
      <alignment horizontal="left" vertical="center"/>
    </xf>
    <xf numFmtId="44" fontId="1" fillId="19" borderId="5" xfId="2" applyFont="1" applyFill="1" applyBorder="1" applyAlignment="1">
      <alignment horizontal="left" vertical="center"/>
    </xf>
    <xf numFmtId="0" fontId="2" fillId="19" borderId="0" xfId="0" applyFont="1" applyFill="1" applyAlignment="1">
      <alignment horizontal="left"/>
    </xf>
    <xf numFmtId="0" fontId="2" fillId="19" borderId="0" xfId="0" applyFont="1" applyFill="1" applyAlignment="1">
      <alignment horizontal="right"/>
    </xf>
    <xf numFmtId="44" fontId="4" fillId="19" borderId="0" xfId="0" applyNumberFormat="1" applyFont="1" applyFill="1"/>
    <xf numFmtId="44" fontId="4" fillId="19" borderId="18" xfId="0" applyNumberFormat="1" applyFont="1" applyFill="1" applyBorder="1"/>
    <xf numFmtId="44" fontId="4" fillId="19" borderId="0" xfId="2" applyFill="1" applyBorder="1"/>
    <xf numFmtId="44" fontId="4" fillId="19" borderId="18" xfId="2" applyFill="1" applyBorder="1"/>
    <xf numFmtId="167" fontId="0" fillId="0" borderId="0" xfId="0" applyNumberFormat="1" applyAlignment="1">
      <alignment horizontal="centerContinuous"/>
    </xf>
    <xf numFmtId="1" fontId="5" fillId="0" borderId="0" xfId="0" applyNumberFormat="1" applyFont="1" applyAlignment="1">
      <alignment horizontal="centerContinuous"/>
    </xf>
    <xf numFmtId="44" fontId="25" fillId="0" borderId="1" xfId="2" applyFont="1" applyBorder="1" applyAlignment="1">
      <alignment horizontal="center"/>
    </xf>
    <xf numFmtId="7" fontId="4" fillId="0" borderId="22" xfId="2" applyNumberFormat="1" applyFill="1" applyBorder="1" applyAlignment="1">
      <alignment horizontal="center"/>
    </xf>
    <xf numFmtId="49" fontId="33" fillId="0" borderId="1" xfId="0" applyNumberFormat="1" applyFont="1" applyBorder="1" applyAlignment="1">
      <alignment horizontal="center" vertical="center"/>
    </xf>
    <xf numFmtId="49" fontId="22" fillId="0" borderId="36" xfId="0" applyNumberFormat="1" applyFont="1" applyBorder="1" applyAlignment="1">
      <alignment horizontal="left"/>
    </xf>
    <xf numFmtId="49" fontId="33" fillId="0" borderId="1" xfId="0" applyNumberFormat="1" applyFont="1" applyBorder="1" applyAlignment="1">
      <alignment horizontal="left" vertical="center"/>
    </xf>
    <xf numFmtId="0" fontId="1" fillId="0" borderId="37" xfId="0" applyFont="1" applyBorder="1" applyAlignment="1">
      <alignment horizontal="center"/>
    </xf>
    <xf numFmtId="7" fontId="1" fillId="0" borderId="37" xfId="2" applyNumberFormat="1" applyFont="1" applyBorder="1" applyAlignment="1">
      <alignment horizontal="center"/>
    </xf>
    <xf numFmtId="44" fontId="0" fillId="19" borderId="0" xfId="2" applyFont="1" applyFill="1"/>
    <xf numFmtId="0" fontId="1" fillId="19" borderId="0" xfId="0" applyFont="1" applyFill="1"/>
    <xf numFmtId="44" fontId="1" fillId="19" borderId="5" xfId="2" applyFont="1" applyFill="1" applyBorder="1"/>
    <xf numFmtId="0" fontId="0" fillId="0" borderId="13" xfId="0" applyBorder="1" applyAlignment="1">
      <alignment horizontal="centerContinuous"/>
    </xf>
    <xf numFmtId="0" fontId="0" fillId="0" borderId="11" xfId="0" applyBorder="1" applyAlignment="1">
      <alignment horizontal="centerContinuous"/>
    </xf>
    <xf numFmtId="44" fontId="0" fillId="0" borderId="5" xfId="2" applyFont="1" applyBorder="1" applyAlignment="1">
      <alignment horizontal="center"/>
    </xf>
    <xf numFmtId="0" fontId="23" fillId="0" borderId="0" xfId="0" applyFont="1" applyAlignment="1">
      <alignment horizontal="left" vertical="center"/>
    </xf>
    <xf numFmtId="0" fontId="0" fillId="0" borderId="14" xfId="0" applyBorder="1" applyAlignment="1">
      <alignment horizontal="centerContinuous"/>
    </xf>
    <xf numFmtId="0" fontId="1" fillId="3" borderId="28" xfId="0" applyFont="1" applyFill="1" applyBorder="1" applyAlignment="1">
      <alignment horizontal="centerContinuous"/>
    </xf>
    <xf numFmtId="0" fontId="1" fillId="20" borderId="0" xfId="0" applyFont="1" applyFill="1"/>
    <xf numFmtId="44" fontId="1" fillId="0" borderId="0" xfId="2" applyFont="1"/>
    <xf numFmtId="44" fontId="4" fillId="3" borderId="0" xfId="2" applyFill="1" applyAlignment="1">
      <alignment horizontal="center"/>
    </xf>
    <xf numFmtId="44" fontId="0" fillId="0" borderId="1" xfId="1" applyNumberFormat="1" applyFont="1" applyFill="1" applyBorder="1"/>
    <xf numFmtId="0" fontId="34" fillId="3" borderId="38" xfId="0" applyFont="1" applyFill="1" applyBorder="1" applyAlignment="1">
      <alignment horizontal="center" vertical="center" wrapText="1"/>
    </xf>
    <xf numFmtId="0" fontId="34" fillId="3" borderId="39"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4" fillId="3" borderId="40" xfId="0" applyFont="1" applyFill="1" applyBorder="1" applyAlignment="1">
      <alignment horizontal="center" vertical="center" wrapText="1"/>
    </xf>
    <xf numFmtId="0" fontId="34" fillId="3" borderId="41" xfId="0" applyFont="1" applyFill="1" applyBorder="1" applyAlignment="1">
      <alignment horizontal="center" vertical="center" wrapText="1"/>
    </xf>
    <xf numFmtId="0" fontId="34" fillId="3" borderId="9" xfId="0" applyFont="1" applyFill="1" applyBorder="1" applyAlignment="1">
      <alignment horizontal="center" vertical="center" wrapText="1"/>
    </xf>
    <xf numFmtId="0" fontId="34" fillId="21" borderId="42" xfId="0" applyFont="1" applyFill="1" applyBorder="1" applyAlignment="1">
      <alignment vertical="center" wrapText="1"/>
    </xf>
    <xf numFmtId="0" fontId="34" fillId="8" borderId="40" xfId="0" applyFont="1" applyFill="1" applyBorder="1" applyAlignment="1">
      <alignment horizontal="center" vertical="center" wrapText="1"/>
    </xf>
    <xf numFmtId="0" fontId="34" fillId="8" borderId="9" xfId="0" applyFont="1" applyFill="1" applyBorder="1" applyAlignment="1">
      <alignment horizontal="center" vertical="center" wrapText="1"/>
    </xf>
    <xf numFmtId="0" fontId="34" fillId="8" borderId="41" xfId="0" applyFont="1" applyFill="1" applyBorder="1" applyAlignment="1">
      <alignment horizontal="center" vertical="center" wrapText="1"/>
    </xf>
    <xf numFmtId="0" fontId="34" fillId="21" borderId="7" xfId="0" applyFont="1" applyFill="1" applyBorder="1" applyAlignment="1">
      <alignment vertical="center" wrapText="1"/>
    </xf>
    <xf numFmtId="0" fontId="1" fillId="8" borderId="43" xfId="0" applyFont="1" applyFill="1" applyBorder="1" applyAlignment="1">
      <alignment horizontal="center" vertical="center"/>
    </xf>
    <xf numFmtId="0" fontId="34" fillId="8" borderId="16" xfId="0" applyFont="1" applyFill="1" applyBorder="1" applyAlignment="1">
      <alignment horizontal="center" vertical="center" wrapText="1"/>
    </xf>
    <xf numFmtId="0" fontId="34" fillId="8" borderId="44" xfId="0" applyFont="1" applyFill="1" applyBorder="1" applyAlignment="1">
      <alignment horizontal="center" vertical="center" wrapText="1"/>
    </xf>
    <xf numFmtId="0" fontId="34" fillId="8" borderId="43" xfId="0" applyFont="1" applyFill="1" applyBorder="1" applyAlignment="1">
      <alignment horizontal="center" vertical="center" wrapText="1"/>
    </xf>
    <xf numFmtId="0" fontId="1" fillId="8" borderId="39" xfId="0" applyFont="1" applyFill="1" applyBorder="1" applyAlignment="1">
      <alignment horizontal="center" vertical="center" wrapText="1"/>
    </xf>
    <xf numFmtId="0" fontId="1" fillId="8" borderId="38" xfId="0" applyFont="1" applyFill="1" applyBorder="1" applyAlignment="1">
      <alignment horizontal="center" vertical="center"/>
    </xf>
    <xf numFmtId="0" fontId="34" fillId="8" borderId="45" xfId="0" applyFont="1" applyFill="1" applyBorder="1" applyAlignment="1">
      <alignment horizontal="center" vertical="center" wrapText="1"/>
    </xf>
    <xf numFmtId="0" fontId="34" fillId="8" borderId="46" xfId="0" applyFont="1" applyFill="1" applyBorder="1" applyAlignment="1">
      <alignment horizontal="center" vertical="center" wrapText="1"/>
    </xf>
    <xf numFmtId="0" fontId="34" fillId="21" borderId="38" xfId="0" applyFont="1" applyFill="1" applyBorder="1" applyAlignment="1">
      <alignment vertical="center" wrapText="1"/>
    </xf>
    <xf numFmtId="0" fontId="1" fillId="22" borderId="45" xfId="0" applyFont="1" applyFill="1" applyBorder="1" applyAlignment="1">
      <alignment horizontal="center" vertical="center"/>
    </xf>
    <xf numFmtId="0" fontId="1" fillId="22" borderId="46" xfId="0" applyFont="1" applyFill="1" applyBorder="1" applyAlignment="1">
      <alignment horizontal="center" vertical="center"/>
    </xf>
    <xf numFmtId="0" fontId="36" fillId="21" borderId="0" xfId="0" applyFont="1" applyFill="1" applyAlignment="1">
      <alignment vertical="center" wrapText="1"/>
    </xf>
    <xf numFmtId="0" fontId="37" fillId="23" borderId="0" xfId="0" applyFont="1" applyFill="1" applyAlignment="1">
      <alignment horizontal="center" vertical="center"/>
    </xf>
    <xf numFmtId="0" fontId="38" fillId="23" borderId="0" xfId="0" applyFont="1" applyFill="1" applyAlignment="1">
      <alignment horizontal="center" vertical="center"/>
    </xf>
    <xf numFmtId="0" fontId="39" fillId="23" borderId="0" xfId="0" applyFont="1" applyFill="1" applyAlignment="1">
      <alignment horizontal="center" vertical="center" wrapText="1"/>
    </xf>
    <xf numFmtId="0" fontId="40" fillId="23" borderId="0" xfId="0" applyFont="1" applyFill="1" applyAlignment="1">
      <alignment horizontal="center" vertical="center" wrapText="1"/>
    </xf>
    <xf numFmtId="0" fontId="34" fillId="21" borderId="0" xfId="0" applyFont="1" applyFill="1" applyAlignment="1">
      <alignment vertical="center" wrapText="1"/>
    </xf>
    <xf numFmtId="0" fontId="41" fillId="23" borderId="0" xfId="0" applyFont="1" applyFill="1" applyAlignment="1">
      <alignment horizontal="center" vertical="center"/>
    </xf>
    <xf numFmtId="0" fontId="42" fillId="23" borderId="0" xfId="0" applyFont="1" applyFill="1" applyAlignment="1">
      <alignment horizontal="center" vertical="center" wrapText="1"/>
    </xf>
    <xf numFmtId="0" fontId="23" fillId="23" borderId="0" xfId="0" applyFont="1" applyFill="1" applyAlignment="1">
      <alignment horizontal="center" vertical="center" wrapText="1"/>
    </xf>
    <xf numFmtId="0" fontId="1" fillId="3" borderId="0" xfId="0" applyFont="1" applyFill="1" applyAlignment="1">
      <alignment vertical="center"/>
    </xf>
    <xf numFmtId="0" fontId="0" fillId="3" borderId="0" xfId="0" applyFill="1" applyAlignment="1">
      <alignment vertical="center"/>
    </xf>
    <xf numFmtId="0" fontId="30" fillId="0" borderId="0" xfId="0" applyFont="1"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xf>
    <xf numFmtId="0" fontId="23" fillId="0" borderId="0" xfId="0" applyFont="1" applyAlignment="1">
      <alignment horizontal="center" vertical="center" wrapText="1"/>
    </xf>
    <xf numFmtId="1" fontId="45" fillId="0" borderId="0" xfId="0" applyNumberFormat="1" applyFont="1"/>
    <xf numFmtId="0" fontId="47" fillId="3" borderId="0" xfId="0" applyFont="1" applyFill="1"/>
    <xf numFmtId="0" fontId="46" fillId="3" borderId="0" xfId="0" applyFont="1" applyFill="1"/>
    <xf numFmtId="1" fontId="45" fillId="3" borderId="0" xfId="0" applyNumberFormat="1" applyFont="1" applyFill="1"/>
    <xf numFmtId="0" fontId="14" fillId="3" borderId="0" xfId="0" applyFont="1" applyFill="1" applyAlignment="1">
      <alignment horizontal="left"/>
    </xf>
    <xf numFmtId="0" fontId="14" fillId="3" borderId="0" xfId="0" applyFont="1" applyFill="1" applyAlignment="1">
      <alignment horizontal="center"/>
    </xf>
    <xf numFmtId="1" fontId="11" fillId="3" borderId="0" xfId="0" applyNumberFormat="1" applyFont="1" applyFill="1" applyAlignment="1">
      <alignment horizontal="center"/>
    </xf>
    <xf numFmtId="0" fontId="11" fillId="3" borderId="0" xfId="0" applyFont="1" applyFill="1" applyAlignment="1">
      <alignment horizontal="center"/>
    </xf>
    <xf numFmtId="44" fontId="4" fillId="0" borderId="4" xfId="0" applyNumberFormat="1" applyFont="1" applyBorder="1"/>
    <xf numFmtId="44" fontId="2" fillId="0" borderId="0" xfId="0" applyNumberFormat="1" applyFont="1"/>
    <xf numFmtId="44" fontId="4" fillId="0" borderId="4" xfId="2" applyFont="1" applyBorder="1"/>
    <xf numFmtId="44" fontId="1" fillId="24" borderId="5" xfId="2" applyFont="1" applyFill="1" applyBorder="1"/>
    <xf numFmtId="0" fontId="0" fillId="0" borderId="0" xfId="0" quotePrefix="1"/>
    <xf numFmtId="1" fontId="49" fillId="0" borderId="0" xfId="0" applyNumberFormat="1" applyFont="1" applyAlignment="1">
      <alignment horizontal="centerContinuous" vertical="center" wrapText="1"/>
    </xf>
    <xf numFmtId="14" fontId="50" fillId="0" borderId="0" xfId="0" applyNumberFormat="1" applyFont="1" applyAlignment="1">
      <alignment horizontal="center"/>
    </xf>
    <xf numFmtId="14" fontId="2" fillId="0" borderId="0" xfId="0" applyNumberFormat="1" applyFont="1" applyAlignment="1">
      <alignment horizontal="center"/>
    </xf>
    <xf numFmtId="0" fontId="13" fillId="0" borderId="0" xfId="0" applyFont="1" applyAlignment="1">
      <alignment horizontal="left"/>
    </xf>
    <xf numFmtId="1" fontId="13" fillId="2" borderId="1" xfId="0" applyNumberFormat="1" applyFont="1" applyFill="1" applyBorder="1" applyAlignment="1">
      <alignment horizontal="center" vertical="center" wrapText="1"/>
    </xf>
    <xf numFmtId="170" fontId="2" fillId="0" borderId="1" xfId="1" applyNumberFormat="1" applyFont="1" applyBorder="1" applyAlignment="1">
      <alignment horizontal="center"/>
    </xf>
    <xf numFmtId="14" fontId="13" fillId="0" borderId="0" xfId="0" applyNumberFormat="1" applyFont="1" applyAlignment="1">
      <alignment horizontal="right"/>
    </xf>
    <xf numFmtId="0" fontId="0" fillId="0" borderId="1" xfId="0" applyBorder="1" applyAlignment="1">
      <alignment horizontal="center" vertical="center"/>
    </xf>
    <xf numFmtId="0" fontId="51" fillId="0" borderId="0" xfId="3" applyFont="1"/>
    <xf numFmtId="9" fontId="4" fillId="19" borderId="18" xfId="6" applyFill="1" applyBorder="1"/>
    <xf numFmtId="0" fontId="53" fillId="0" borderId="0" xfId="0" applyFont="1" applyAlignment="1">
      <alignment horizontal="center" vertical="center"/>
    </xf>
    <xf numFmtId="1" fontId="0" fillId="25" borderId="1" xfId="1" applyNumberFormat="1" applyFont="1" applyFill="1" applyBorder="1" applyAlignment="1">
      <alignment horizontal="center"/>
    </xf>
    <xf numFmtId="0" fontId="3" fillId="0" borderId="0" xfId="0" applyFont="1" applyAlignment="1">
      <alignment horizontal="centerContinuous"/>
    </xf>
    <xf numFmtId="44" fontId="0" fillId="0" borderId="26" xfId="1" applyNumberFormat="1" applyFont="1" applyBorder="1"/>
    <xf numFmtId="0" fontId="0" fillId="0" borderId="0" xfId="1" applyNumberFormat="1" applyFont="1" applyAlignment="1">
      <alignment horizontal="center"/>
    </xf>
    <xf numFmtId="14" fontId="1" fillId="19" borderId="6" xfId="0" applyNumberFormat="1" applyFont="1" applyFill="1" applyBorder="1" applyAlignment="1">
      <alignment horizontal="center" wrapText="1"/>
    </xf>
    <xf numFmtId="44" fontId="0" fillId="19" borderId="17" xfId="2" applyFont="1" applyFill="1" applyBorder="1"/>
    <xf numFmtId="44" fontId="0" fillId="19" borderId="0" xfId="0" applyNumberFormat="1" applyFill="1"/>
    <xf numFmtId="0" fontId="0" fillId="11" borderId="16" xfId="0" applyFill="1" applyBorder="1" applyAlignment="1">
      <alignment horizontal="center"/>
    </xf>
    <xf numFmtId="0" fontId="0" fillId="0" borderId="4" xfId="0" applyBorder="1" applyAlignment="1">
      <alignment horizontal="centerContinuous"/>
    </xf>
    <xf numFmtId="44" fontId="0" fillId="0" borderId="3" xfId="0" applyNumberFormat="1" applyBorder="1" applyAlignment="1">
      <alignment horizontal="centerContinuous"/>
    </xf>
    <xf numFmtId="14" fontId="0" fillId="25" borderId="1" xfId="0" applyNumberFormat="1" applyFill="1" applyBorder="1" applyAlignment="1">
      <alignment horizontal="center"/>
    </xf>
    <xf numFmtId="0" fontId="0" fillId="0" borderId="4" xfId="0" applyBorder="1" applyAlignment="1">
      <alignment horizontal="centerContinuous" wrapText="1"/>
    </xf>
    <xf numFmtId="0" fontId="0" fillId="0" borderId="3" xfId="0" applyBorder="1" applyAlignment="1">
      <alignment horizontal="centerContinuous" wrapText="1"/>
    </xf>
    <xf numFmtId="1" fontId="52" fillId="0" borderId="31" xfId="0" applyNumberFormat="1" applyFont="1" applyBorder="1" applyAlignment="1">
      <alignment horizontal="center" vertical="center" wrapText="1"/>
    </xf>
    <xf numFmtId="43" fontId="2" fillId="0" borderId="0" xfId="0" applyNumberFormat="1" applyFont="1" applyAlignment="1">
      <alignment horizontal="center"/>
    </xf>
    <xf numFmtId="43" fontId="0" fillId="0" borderId="0" xfId="0" applyNumberFormat="1"/>
    <xf numFmtId="0" fontId="0" fillId="0" borderId="2" xfId="0" applyBorder="1" applyAlignment="1">
      <alignment horizontal="centerContinuous"/>
    </xf>
    <xf numFmtId="0" fontId="0" fillId="0" borderId="2" xfId="0" applyBorder="1" applyAlignment="1">
      <alignment horizontal="centerContinuous" wrapText="1"/>
    </xf>
    <xf numFmtId="0" fontId="0" fillId="0" borderId="0" xfId="0" applyAlignment="1">
      <alignment horizontal="centerContinuous" wrapText="1"/>
    </xf>
    <xf numFmtId="44" fontId="0" fillId="0" borderId="4" xfId="0" applyNumberFormat="1" applyBorder="1" applyAlignment="1">
      <alignment horizontal="centerContinuous"/>
    </xf>
    <xf numFmtId="14" fontId="0" fillId="0" borderId="26" xfId="0" applyNumberFormat="1" applyBorder="1" applyAlignment="1">
      <alignment horizontal="center"/>
    </xf>
    <xf numFmtId="44" fontId="0" fillId="0" borderId="26" xfId="1" applyNumberFormat="1" applyFont="1" applyBorder="1" applyAlignment="1">
      <alignment horizontal="center"/>
    </xf>
    <xf numFmtId="0" fontId="0" fillId="0" borderId="26" xfId="0" applyBorder="1" applyAlignment="1">
      <alignment horizontal="center"/>
    </xf>
    <xf numFmtId="44" fontId="0" fillId="0" borderId="26" xfId="0" applyNumberFormat="1" applyBorder="1"/>
    <xf numFmtId="0" fontId="2" fillId="0" borderId="14" xfId="3" applyNumberFormat="1" applyFont="1" applyFill="1" applyBorder="1" applyAlignment="1">
      <alignment horizontal="center"/>
    </xf>
    <xf numFmtId="0" fontId="2" fillId="0" borderId="14" xfId="3" applyNumberFormat="1" applyFont="1" applyBorder="1" applyAlignment="1">
      <alignment horizontal="center"/>
    </xf>
    <xf numFmtId="0" fontId="0" fillId="14" borderId="0" xfId="0" applyFill="1" applyAlignment="1">
      <alignment horizontal="center"/>
    </xf>
    <xf numFmtId="0" fontId="2" fillId="16" borderId="0" xfId="0" applyFont="1" applyFill="1" applyAlignment="1">
      <alignment horizontal="centerContinuous"/>
    </xf>
    <xf numFmtId="44" fontId="11" fillId="0" borderId="17" xfId="0" applyNumberFormat="1" applyFont="1" applyBorder="1"/>
    <xf numFmtId="0" fontId="0" fillId="0" borderId="3" xfId="0" applyBorder="1" applyAlignment="1">
      <alignment horizontal="centerContinuous"/>
    </xf>
    <xf numFmtId="44" fontId="0" fillId="0" borderId="0" xfId="1" applyNumberFormat="1" applyFont="1" applyAlignment="1"/>
    <xf numFmtId="44" fontId="0" fillId="8" borderId="26" xfId="0" applyNumberFormat="1" applyFill="1" applyBorder="1"/>
    <xf numFmtId="44" fontId="0" fillId="8" borderId="0" xfId="0" applyNumberFormat="1" applyFill="1"/>
    <xf numFmtId="0" fontId="0" fillId="10" borderId="0" xfId="0" applyFill="1" applyAlignment="1">
      <alignment horizontal="right"/>
    </xf>
    <xf numFmtId="43" fontId="19" fillId="10" borderId="0" xfId="1" applyFont="1" applyFill="1" applyProtection="1">
      <protection locked="0"/>
    </xf>
    <xf numFmtId="44" fontId="11" fillId="0" borderId="0" xfId="1" applyNumberFormat="1" applyFont="1"/>
    <xf numFmtId="44" fontId="0" fillId="0" borderId="0" xfId="1" applyNumberFormat="1" applyFont="1" applyAlignment="1">
      <alignment horizontal="left"/>
    </xf>
    <xf numFmtId="44" fontId="0" fillId="0" borderId="17" xfId="1" applyNumberFormat="1" applyFont="1" applyBorder="1" applyAlignment="1">
      <alignment horizontal="left"/>
    </xf>
    <xf numFmtId="14" fontId="0" fillId="0" borderId="14" xfId="0" applyNumberFormat="1" applyBorder="1" applyAlignment="1">
      <alignment horizontal="center"/>
    </xf>
    <xf numFmtId="14" fontId="1" fillId="3" borderId="14" xfId="0" applyNumberFormat="1" applyFont="1" applyFill="1" applyBorder="1" applyAlignment="1">
      <alignment horizontal="center"/>
    </xf>
    <xf numFmtId="44" fontId="0" fillId="0" borderId="13" xfId="2" applyFont="1" applyBorder="1"/>
    <xf numFmtId="44" fontId="0" fillId="3" borderId="13" xfId="2" applyFont="1" applyFill="1" applyBorder="1"/>
    <xf numFmtId="0" fontId="1" fillId="5" borderId="0" xfId="0" applyFont="1" applyFill="1" applyAlignment="1">
      <alignment horizontal="centerContinuous"/>
    </xf>
    <xf numFmtId="0" fontId="0" fillId="0" borderId="5" xfId="0" applyBorder="1"/>
    <xf numFmtId="0" fontId="2" fillId="0" borderId="5" xfId="0" applyFont="1" applyBorder="1" applyAlignment="1">
      <alignment horizontal="center"/>
    </xf>
    <xf numFmtId="0" fontId="2" fillId="0" borderId="23" xfId="0" applyFont="1" applyBorder="1" applyAlignment="1">
      <alignment horizontal="left"/>
    </xf>
    <xf numFmtId="44" fontId="4" fillId="0" borderId="24" xfId="2" applyBorder="1"/>
    <xf numFmtId="44" fontId="4" fillId="0" borderId="27" xfId="2" applyBorder="1"/>
    <xf numFmtId="44" fontId="0" fillId="0" borderId="24" xfId="2" applyFont="1" applyBorder="1"/>
    <xf numFmtId="0" fontId="2" fillId="0" borderId="47" xfId="0" applyFont="1" applyBorder="1" applyAlignment="1">
      <alignment horizontal="left"/>
    </xf>
    <xf numFmtId="44" fontId="4" fillId="0" borderId="48" xfId="2" applyBorder="1"/>
    <xf numFmtId="0" fontId="4" fillId="0" borderId="26" xfId="0" applyFont="1" applyBorder="1"/>
    <xf numFmtId="0" fontId="0" fillId="0" borderId="26" xfId="0" applyBorder="1" applyAlignment="1">
      <alignment horizontal="right"/>
    </xf>
    <xf numFmtId="0" fontId="1" fillId="8" borderId="33" xfId="0" applyFont="1" applyFill="1" applyBorder="1" applyAlignment="1">
      <alignment horizontal="center"/>
    </xf>
    <xf numFmtId="0" fontId="0" fillId="0" borderId="28" xfId="0" applyBorder="1" applyAlignment="1">
      <alignment horizontal="center"/>
    </xf>
    <xf numFmtId="0" fontId="4" fillId="0" borderId="29" xfId="0" applyFont="1" applyBorder="1"/>
    <xf numFmtId="0" fontId="4" fillId="0" borderId="29" xfId="0" applyFont="1" applyBorder="1" applyAlignment="1">
      <alignment horizontal="center"/>
    </xf>
    <xf numFmtId="0" fontId="0" fillId="26" borderId="1" xfId="0" applyFill="1" applyBorder="1"/>
    <xf numFmtId="14" fontId="0" fillId="26" borderId="14" xfId="0" applyNumberFormat="1" applyFill="1" applyBorder="1" applyAlignment="1">
      <alignment horizontal="center"/>
    </xf>
    <xf numFmtId="1" fontId="0" fillId="26" borderId="14" xfId="0" applyNumberFormat="1" applyFill="1" applyBorder="1" applyAlignment="1">
      <alignment horizontal="center"/>
    </xf>
    <xf numFmtId="1" fontId="0" fillId="26" borderId="1" xfId="1" applyNumberFormat="1" applyFont="1" applyFill="1" applyBorder="1" applyAlignment="1">
      <alignment horizontal="center"/>
    </xf>
    <xf numFmtId="0" fontId="0" fillId="26" borderId="1" xfId="0" applyFill="1" applyBorder="1" applyAlignment="1">
      <alignment horizontal="left"/>
    </xf>
    <xf numFmtId="0" fontId="0" fillId="26" borderId="1" xfId="0" applyFill="1" applyBorder="1" applyAlignment="1">
      <alignment horizontal="center"/>
    </xf>
    <xf numFmtId="1" fontId="0" fillId="26" borderId="1" xfId="0" applyNumberFormat="1" applyFill="1" applyBorder="1" applyAlignment="1">
      <alignment horizontal="center"/>
    </xf>
    <xf numFmtId="44" fontId="0" fillId="26" borderId="13" xfId="0" applyNumberFormat="1" applyFill="1" applyBorder="1"/>
    <xf numFmtId="44" fontId="0" fillId="26" borderId="13" xfId="2" applyFont="1" applyFill="1" applyBorder="1"/>
    <xf numFmtId="1" fontId="1" fillId="26" borderId="14" xfId="0" applyNumberFormat="1" applyFont="1" applyFill="1" applyBorder="1" applyAlignment="1">
      <alignment horizontal="center"/>
    </xf>
    <xf numFmtId="1" fontId="1" fillId="26" borderId="1" xfId="0" applyNumberFormat="1" applyFont="1" applyFill="1" applyBorder="1" applyAlignment="1">
      <alignment horizontal="center"/>
    </xf>
    <xf numFmtId="44" fontId="0" fillId="26" borderId="15" xfId="0" applyNumberFormat="1" applyFill="1" applyBorder="1"/>
    <xf numFmtId="0" fontId="0" fillId="26" borderId="15" xfId="0" applyFill="1" applyBorder="1"/>
    <xf numFmtId="0" fontId="0" fillId="26" borderId="15" xfId="0" applyFill="1" applyBorder="1" applyAlignment="1">
      <alignment horizontal="left"/>
    </xf>
    <xf numFmtId="44" fontId="2" fillId="0" borderId="5" xfId="2" applyFont="1" applyBorder="1" applyAlignment="1">
      <alignment horizontal="center"/>
    </xf>
    <xf numFmtId="0" fontId="0" fillId="0" borderId="23"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26" borderId="13" xfId="0" applyFill="1" applyBorder="1" applyAlignment="1">
      <alignment horizontal="centerContinuous"/>
    </xf>
    <xf numFmtId="0" fontId="0" fillId="26" borderId="11" xfId="0" applyFill="1" applyBorder="1" applyAlignment="1">
      <alignment horizontal="centerContinuous"/>
    </xf>
    <xf numFmtId="0" fontId="0" fillId="26" borderId="14" xfId="0" applyFill="1" applyBorder="1" applyAlignment="1">
      <alignment horizontal="centerContinuous"/>
    </xf>
    <xf numFmtId="44" fontId="0" fillId="26" borderId="16" xfId="2" applyFont="1" applyFill="1" applyBorder="1" applyAlignment="1">
      <alignment horizontal="center"/>
    </xf>
    <xf numFmtId="44" fontId="1" fillId="0" borderId="30" xfId="2" applyFont="1" applyBorder="1" applyAlignment="1">
      <alignment horizontal="center" wrapText="1"/>
    </xf>
    <xf numFmtId="43" fontId="19" fillId="27" borderId="0" xfId="1" applyFont="1" applyFill="1"/>
    <xf numFmtId="43" fontId="19" fillId="27" borderId="0" xfId="1" applyFont="1" applyFill="1" applyProtection="1">
      <protection locked="0"/>
    </xf>
    <xf numFmtId="43" fontId="2" fillId="0" borderId="5" xfId="1" applyFont="1" applyBorder="1"/>
    <xf numFmtId="44" fontId="5" fillId="0" borderId="1" xfId="2" applyFont="1" applyBorder="1" applyAlignment="1">
      <alignment horizontal="center"/>
    </xf>
    <xf numFmtId="0" fontId="1" fillId="0" borderId="49" xfId="0" applyFont="1" applyBorder="1" applyAlignment="1">
      <alignment horizontal="centerContinuous"/>
    </xf>
    <xf numFmtId="167" fontId="1" fillId="3" borderId="1" xfId="0" applyNumberFormat="1" applyFont="1" applyFill="1" applyBorder="1" applyAlignment="1">
      <alignment horizontal="center" vertical="center" wrapText="1"/>
    </xf>
    <xf numFmtId="0" fontId="1" fillId="9" borderId="0" xfId="0" applyFont="1" applyFill="1" applyAlignment="1">
      <alignment horizontal="right"/>
    </xf>
    <xf numFmtId="0" fontId="0" fillId="9" borderId="17" xfId="0" applyFill="1" applyBorder="1"/>
    <xf numFmtId="44" fontId="14" fillId="9" borderId="0" xfId="0" applyNumberFormat="1" applyFont="1" applyFill="1" applyAlignment="1">
      <alignment horizontal="center"/>
    </xf>
    <xf numFmtId="0" fontId="5" fillId="28" borderId="26" xfId="0" applyFont="1" applyFill="1" applyBorder="1"/>
    <xf numFmtId="0" fontId="5" fillId="28" borderId="26" xfId="0" applyFont="1" applyFill="1" applyBorder="1" applyAlignment="1">
      <alignment horizontal="left"/>
    </xf>
    <xf numFmtId="0" fontId="5" fillId="28" borderId="26" xfId="0" applyFont="1" applyFill="1" applyBorder="1" applyAlignment="1">
      <alignment horizontal="center"/>
    </xf>
    <xf numFmtId="0" fontId="0" fillId="9" borderId="29" xfId="0" applyFill="1" applyBorder="1" applyAlignment="1">
      <alignment horizontal="left"/>
    </xf>
    <xf numFmtId="44" fontId="1" fillId="0" borderId="5" xfId="2" applyFont="1" applyFill="1" applyBorder="1"/>
    <xf numFmtId="44" fontId="1" fillId="0" borderId="5" xfId="0" applyNumberFormat="1" applyFont="1" applyBorder="1"/>
    <xf numFmtId="44" fontId="0" fillId="29" borderId="0" xfId="2" applyFont="1" applyFill="1" applyBorder="1"/>
    <xf numFmtId="44" fontId="4" fillId="29" borderId="0" xfId="2" applyFont="1" applyFill="1" applyBorder="1"/>
    <xf numFmtId="44" fontId="14" fillId="0" borderId="0" xfId="2" applyFont="1" applyFill="1" applyBorder="1"/>
    <xf numFmtId="44" fontId="11" fillId="29" borderId="0" xfId="2" applyFont="1" applyFill="1" applyBorder="1"/>
    <xf numFmtId="44" fontId="11" fillId="0" borderId="0" xfId="2" applyFont="1" applyBorder="1"/>
    <xf numFmtId="0" fontId="48" fillId="0" borderId="0" xfId="0" applyFont="1" applyAlignment="1">
      <alignment horizontal="center"/>
    </xf>
    <xf numFmtId="0" fontId="24" fillId="29" borderId="0" xfId="0" applyFont="1" applyFill="1" applyAlignment="1">
      <alignment horizontal="center" vertical="top"/>
    </xf>
    <xf numFmtId="44" fontId="0" fillId="0" borderId="24" xfId="0" applyNumberFormat="1" applyBorder="1"/>
    <xf numFmtId="0" fontId="1" fillId="0" borderId="26" xfId="0" applyFont="1" applyBorder="1" applyAlignment="1">
      <alignment horizontal="center"/>
    </xf>
    <xf numFmtId="44" fontId="1" fillId="0" borderId="26" xfId="2" applyFont="1" applyBorder="1" applyAlignment="1">
      <alignment horizontal="center"/>
    </xf>
    <xf numFmtId="44" fontId="1" fillId="0" borderId="0" xfId="2" applyFont="1" applyFill="1" applyAlignment="1">
      <alignment horizontal="center"/>
    </xf>
    <xf numFmtId="44" fontId="1" fillId="12" borderId="5" xfId="2" applyFont="1" applyFill="1" applyBorder="1"/>
    <xf numFmtId="0" fontId="5" fillId="0" borderId="0" xfId="0" applyFont="1"/>
    <xf numFmtId="0" fontId="5" fillId="0" borderId="0" xfId="0" applyFont="1" applyAlignment="1">
      <alignment horizontal="left"/>
    </xf>
    <xf numFmtId="0" fontId="5" fillId="0" borderId="0" xfId="0" applyFont="1" applyAlignment="1">
      <alignment horizontal="center"/>
    </xf>
    <xf numFmtId="0" fontId="1" fillId="0" borderId="0" xfId="0" applyFont="1" applyAlignment="1">
      <alignment horizontal="right"/>
    </xf>
    <xf numFmtId="0" fontId="0" fillId="0" borderId="6" xfId="0" applyBorder="1" applyAlignment="1">
      <alignment horizontal="left"/>
    </xf>
    <xf numFmtId="44" fontId="4" fillId="29" borderId="6" xfId="2" applyFont="1" applyFill="1" applyBorder="1"/>
    <xf numFmtId="44" fontId="4" fillId="0" borderId="6" xfId="2" applyFont="1" applyBorder="1"/>
    <xf numFmtId="43" fontId="56" fillId="0" borderId="0" xfId="1" applyFont="1"/>
    <xf numFmtId="43" fontId="58" fillId="0" borderId="0" xfId="1" applyFont="1" applyFill="1" applyBorder="1"/>
    <xf numFmtId="43" fontId="58" fillId="0" borderId="0" xfId="1" applyFont="1" applyFill="1" applyBorder="1" applyAlignment="1">
      <alignment horizontal="center"/>
    </xf>
    <xf numFmtId="43" fontId="55" fillId="0" borderId="0" xfId="1" applyFont="1" applyFill="1" applyBorder="1"/>
    <xf numFmtId="164" fontId="57" fillId="0" borderId="0" xfId="0" applyNumberFormat="1" applyFont="1"/>
    <xf numFmtId="0" fontId="2" fillId="29" borderId="29" xfId="0" applyFont="1" applyFill="1" applyBorder="1"/>
    <xf numFmtId="0" fontId="50" fillId="29" borderId="29" xfId="0" applyFont="1" applyFill="1" applyBorder="1" applyAlignment="1">
      <alignment horizontal="center"/>
    </xf>
    <xf numFmtId="44" fontId="50" fillId="29" borderId="29" xfId="2" applyFont="1" applyFill="1" applyBorder="1" applyAlignment="1">
      <alignment horizontal="center"/>
    </xf>
    <xf numFmtId="43" fontId="58" fillId="9" borderId="0" xfId="1" applyFont="1" applyFill="1" applyAlignment="1">
      <alignment horizontal="center"/>
    </xf>
    <xf numFmtId="44" fontId="11" fillId="0" borderId="0" xfId="2" applyFont="1" applyFill="1" applyBorder="1"/>
    <xf numFmtId="0" fontId="23" fillId="0" borderId="0" xfId="0" applyFont="1" applyAlignment="1">
      <alignment horizontal="right"/>
    </xf>
    <xf numFmtId="44" fontId="2" fillId="0" borderId="0" xfId="2" applyFont="1"/>
    <xf numFmtId="0" fontId="24" fillId="29" borderId="28" xfId="0" applyFont="1" applyFill="1" applyBorder="1"/>
    <xf numFmtId="0" fontId="0" fillId="29" borderId="29" xfId="0" applyFill="1" applyBorder="1"/>
    <xf numFmtId="0" fontId="0" fillId="29" borderId="30" xfId="0" applyFill="1" applyBorder="1"/>
    <xf numFmtId="44" fontId="4" fillId="19" borderId="37" xfId="0" applyNumberFormat="1" applyFont="1" applyFill="1" applyBorder="1"/>
    <xf numFmtId="44" fontId="1" fillId="12" borderId="37" xfId="2" applyFont="1" applyFill="1" applyBorder="1"/>
    <xf numFmtId="44" fontId="1" fillId="24" borderId="37" xfId="2" applyFont="1" applyFill="1" applyBorder="1"/>
    <xf numFmtId="44" fontId="1" fillId="12" borderId="37" xfId="2" applyFont="1" applyFill="1" applyBorder="1" applyAlignment="1">
      <alignment horizontal="left" vertical="center"/>
    </xf>
    <xf numFmtId="9" fontId="50" fillId="29" borderId="29" xfId="6" applyFont="1" applyFill="1" applyBorder="1" applyAlignment="1">
      <alignment horizontal="center"/>
    </xf>
    <xf numFmtId="14" fontId="22" fillId="0" borderId="1" xfId="0" applyNumberFormat="1" applyFont="1" applyBorder="1" applyAlignment="1">
      <alignment horizontal="center"/>
    </xf>
    <xf numFmtId="0" fontId="4" fillId="0" borderId="0" xfId="0" applyFont="1" applyAlignment="1">
      <alignment horizontal="right"/>
    </xf>
    <xf numFmtId="0" fontId="5" fillId="3" borderId="0" xfId="0" applyFont="1" applyFill="1"/>
    <xf numFmtId="0" fontId="3" fillId="0" borderId="0" xfId="0" applyFont="1" applyAlignment="1" applyProtection="1">
      <alignment horizontal="left"/>
      <protection locked="0"/>
    </xf>
    <xf numFmtId="0" fontId="4" fillId="3" borderId="29" xfId="0" applyFont="1" applyFill="1" applyBorder="1" applyAlignment="1">
      <alignment horizontal="centerContinuous"/>
    </xf>
    <xf numFmtId="0" fontId="4" fillId="3" borderId="30" xfId="0" applyFont="1" applyFill="1" applyBorder="1" applyAlignment="1">
      <alignment horizontal="centerContinuous"/>
    </xf>
    <xf numFmtId="0" fontId="4" fillId="0" borderId="30" xfId="0" applyFont="1" applyBorder="1" applyAlignment="1">
      <alignment horizontal="centerContinuous"/>
    </xf>
    <xf numFmtId="0" fontId="4" fillId="0" borderId="30" xfId="0" applyFont="1" applyBorder="1"/>
    <xf numFmtId="44" fontId="4" fillId="0" borderId="0" xfId="2" applyFont="1"/>
    <xf numFmtId="43" fontId="4" fillId="0" borderId="0" xfId="1" applyFont="1"/>
    <xf numFmtId="0" fontId="4" fillId="3" borderId="0" xfId="0" applyFont="1" applyFill="1" applyProtection="1">
      <protection locked="0"/>
    </xf>
    <xf numFmtId="0" fontId="4" fillId="6" borderId="0" xfId="0" applyFont="1" applyFill="1" applyAlignment="1">
      <alignment horizontal="right"/>
    </xf>
    <xf numFmtId="0" fontId="4" fillId="0" borderId="0" xfId="0" applyFont="1" applyAlignment="1" applyProtection="1">
      <alignment horizontal="right"/>
      <protection locked="0"/>
    </xf>
    <xf numFmtId="0" fontId="4" fillId="0" borderId="0" xfId="0" applyFont="1" applyProtection="1">
      <protection locked="0"/>
    </xf>
    <xf numFmtId="0" fontId="4" fillId="0" borderId="0" xfId="0" applyFont="1" applyAlignment="1">
      <alignment horizontal="center"/>
    </xf>
    <xf numFmtId="0" fontId="4" fillId="27" borderId="0" xfId="0" applyFont="1" applyFill="1" applyAlignment="1">
      <alignment horizontal="right"/>
    </xf>
    <xf numFmtId="0" fontId="4" fillId="3" borderId="0" xfId="0" applyFont="1" applyFill="1"/>
    <xf numFmtId="43" fontId="4" fillId="0" borderId="0" xfId="0" applyNumberFormat="1" applyFont="1"/>
    <xf numFmtId="44" fontId="4" fillId="0" borderId="0" xfId="0" applyNumberFormat="1" applyFont="1"/>
    <xf numFmtId="43" fontId="4" fillId="0" borderId="0" xfId="1" applyFont="1" applyProtection="1">
      <protection locked="0"/>
    </xf>
    <xf numFmtId="44" fontId="4" fillId="3" borderId="0" xfId="2" applyFont="1" applyFill="1"/>
    <xf numFmtId="0" fontId="4" fillId="0" borderId="32" xfId="0" applyFont="1" applyBorder="1"/>
    <xf numFmtId="0" fontId="4" fillId="0" borderId="33" xfId="0" applyFont="1" applyBorder="1"/>
    <xf numFmtId="0" fontId="4" fillId="0" borderId="33" xfId="0" applyFont="1" applyBorder="1" applyAlignment="1">
      <alignment horizontal="left"/>
    </xf>
    <xf numFmtId="0" fontId="4" fillId="0" borderId="34" xfId="0" applyFont="1" applyBorder="1"/>
    <xf numFmtId="0" fontId="4" fillId="0" borderId="23" xfId="0" applyFont="1" applyBorder="1"/>
    <xf numFmtId="0" fontId="4" fillId="19" borderId="2" xfId="0" applyFont="1" applyFill="1" applyBorder="1"/>
    <xf numFmtId="0" fontId="4" fillId="19" borderId="4" xfId="0" applyFont="1" applyFill="1" applyBorder="1"/>
    <xf numFmtId="0" fontId="4" fillId="19" borderId="3" xfId="0" applyFont="1" applyFill="1" applyBorder="1"/>
    <xf numFmtId="0" fontId="4" fillId="19" borderId="12" xfId="0" applyFont="1" applyFill="1" applyBorder="1"/>
    <xf numFmtId="0" fontId="1" fillId="19" borderId="18" xfId="0" applyFont="1" applyFill="1" applyBorder="1" applyAlignment="1">
      <alignment horizontal="center"/>
    </xf>
    <xf numFmtId="43" fontId="4" fillId="0" borderId="0" xfId="1" applyFont="1" applyFill="1" applyBorder="1"/>
    <xf numFmtId="0" fontId="4" fillId="0" borderId="23" xfId="0" applyFont="1" applyBorder="1" applyAlignment="1">
      <alignment horizontal="right"/>
    </xf>
    <xf numFmtId="0" fontId="4" fillId="19" borderId="12" xfId="0" applyFont="1" applyFill="1" applyBorder="1" applyAlignment="1">
      <alignment horizontal="right"/>
    </xf>
    <xf numFmtId="44" fontId="4" fillId="12" borderId="0" xfId="2" applyFont="1" applyFill="1"/>
    <xf numFmtId="44" fontId="4" fillId="24" borderId="0" xfId="2" applyFont="1" applyFill="1"/>
    <xf numFmtId="9" fontId="4" fillId="0" borderId="0" xfId="6" applyFont="1"/>
    <xf numFmtId="164" fontId="4" fillId="0" borderId="0" xfId="0" applyNumberFormat="1" applyFont="1"/>
    <xf numFmtId="0" fontId="4" fillId="0" borderId="0" xfId="6" applyNumberFormat="1" applyFont="1"/>
    <xf numFmtId="0" fontId="4" fillId="19" borderId="18" xfId="0" applyFont="1" applyFill="1" applyBorder="1"/>
    <xf numFmtId="44" fontId="4" fillId="12" borderId="0" xfId="2" applyFont="1" applyFill="1" applyAlignment="1">
      <alignment horizontal="left" vertical="center"/>
    </xf>
    <xf numFmtId="44" fontId="4" fillId="0" borderId="0" xfId="2" applyFont="1" applyFill="1" applyAlignment="1">
      <alignment horizontal="left" vertical="center"/>
    </xf>
    <xf numFmtId="44" fontId="4" fillId="0" borderId="0" xfId="2" applyFont="1" applyFill="1"/>
    <xf numFmtId="0" fontId="4" fillId="19" borderId="20" xfId="0" applyFont="1" applyFill="1" applyBorder="1"/>
    <xf numFmtId="0" fontId="4" fillId="19" borderId="6" xfId="0" applyFont="1" applyFill="1" applyBorder="1"/>
    <xf numFmtId="0" fontId="4" fillId="19" borderId="21" xfId="0" applyFont="1" applyFill="1" applyBorder="1"/>
    <xf numFmtId="44" fontId="4" fillId="29" borderId="0" xfId="2" applyFont="1" applyFill="1"/>
    <xf numFmtId="0" fontId="4" fillId="0" borderId="6" xfId="0" applyFont="1" applyBorder="1" applyAlignment="1">
      <alignment horizontal="center"/>
    </xf>
    <xf numFmtId="44" fontId="1" fillId="29" borderId="0" xfId="0" applyNumberFormat="1" applyFont="1" applyFill="1" applyAlignment="1">
      <alignment horizontal="center"/>
    </xf>
    <xf numFmtId="0" fontId="4" fillId="9" borderId="0" xfId="0" applyFont="1" applyFill="1"/>
    <xf numFmtId="0" fontId="4" fillId="9" borderId="0" xfId="0" applyFont="1" applyFill="1" applyAlignment="1">
      <alignment horizontal="left"/>
    </xf>
    <xf numFmtId="44" fontId="4" fillId="9" borderId="0" xfId="0" applyNumberFormat="1" applyFont="1" applyFill="1"/>
    <xf numFmtId="0" fontId="4" fillId="9" borderId="17" xfId="0" applyFont="1" applyFill="1" applyBorder="1"/>
    <xf numFmtId="9" fontId="4" fillId="9" borderId="17" xfId="6" applyFont="1" applyFill="1" applyBorder="1"/>
    <xf numFmtId="0" fontId="1" fillId="9" borderId="17" xfId="0" applyFont="1" applyFill="1" applyBorder="1" applyAlignment="1">
      <alignment horizontal="left"/>
    </xf>
    <xf numFmtId="44" fontId="4" fillId="9" borderId="17" xfId="0" applyNumberFormat="1" applyFont="1" applyFill="1" applyBorder="1"/>
    <xf numFmtId="0" fontId="1" fillId="9" borderId="0" xfId="0" applyFont="1" applyFill="1" applyAlignment="1">
      <alignment horizontal="left"/>
    </xf>
    <xf numFmtId="0" fontId="1" fillId="9" borderId="0" xfId="0" applyFont="1" applyFill="1" applyAlignment="1">
      <alignment horizontal="center"/>
    </xf>
    <xf numFmtId="44" fontId="1" fillId="9" borderId="0" xfId="0" applyNumberFormat="1" applyFont="1" applyFill="1" applyAlignment="1">
      <alignment horizontal="center"/>
    </xf>
    <xf numFmtId="0" fontId="4" fillId="9" borderId="17" xfId="0" applyFont="1" applyFill="1" applyBorder="1" applyAlignment="1">
      <alignment horizontal="left"/>
    </xf>
    <xf numFmtId="44" fontId="4" fillId="0" borderId="24" xfId="2" applyFont="1" applyFill="1" applyBorder="1"/>
    <xf numFmtId="0" fontId="4" fillId="9" borderId="28" xfId="0" applyFont="1" applyFill="1" applyBorder="1"/>
    <xf numFmtId="44" fontId="1" fillId="9" borderId="29" xfId="0" applyNumberFormat="1" applyFont="1" applyFill="1" applyBorder="1" applyAlignment="1">
      <alignment horizontal="center"/>
    </xf>
    <xf numFmtId="0" fontId="4" fillId="9" borderId="30" xfId="0" applyFont="1" applyFill="1" applyBorder="1"/>
    <xf numFmtId="0" fontId="4" fillId="0" borderId="25" xfId="0" applyFont="1" applyBorder="1"/>
    <xf numFmtId="44" fontId="4" fillId="20" borderId="0" xfId="0" applyNumberFormat="1" applyFont="1" applyFill="1"/>
    <xf numFmtId="9" fontId="4" fillId="8" borderId="18" xfId="6" applyFont="1" applyFill="1" applyBorder="1" applyAlignment="1">
      <alignment horizontal="center" vertical="center"/>
    </xf>
    <xf numFmtId="0" fontId="4" fillId="19" borderId="0" xfId="0" applyFont="1" applyFill="1"/>
    <xf numFmtId="0" fontId="4" fillId="8" borderId="13" xfId="0" applyFont="1" applyFill="1" applyBorder="1"/>
    <xf numFmtId="0" fontId="4" fillId="8" borderId="11" xfId="0" applyFont="1" applyFill="1" applyBorder="1"/>
    <xf numFmtId="0" fontId="4" fillId="8" borderId="14" xfId="0" applyFont="1" applyFill="1" applyBorder="1"/>
    <xf numFmtId="0" fontId="4" fillId="9" borderId="13" xfId="0" applyFont="1" applyFill="1" applyBorder="1"/>
    <xf numFmtId="0" fontId="4" fillId="9" borderId="11" xfId="0" applyFont="1" applyFill="1" applyBorder="1"/>
    <xf numFmtId="0" fontId="4" fillId="9" borderId="14" xfId="0" applyFont="1" applyFill="1" applyBorder="1"/>
    <xf numFmtId="0" fontId="4" fillId="8" borderId="32" xfId="0" applyFont="1" applyFill="1" applyBorder="1"/>
    <xf numFmtId="0" fontId="4" fillId="8" borderId="33" xfId="0" applyFont="1" applyFill="1" applyBorder="1"/>
    <xf numFmtId="0" fontId="4" fillId="8" borderId="34" xfId="0" applyFont="1" applyFill="1" applyBorder="1"/>
    <xf numFmtId="0" fontId="4" fillId="0" borderId="24" xfId="0" applyFont="1" applyBorder="1">
      <extLst>
        <ext xmlns:xfpb="http://schemas.microsoft.com/office/spreadsheetml/2022/featurepropertybag" uri="{C7286773-470A-42A8-94C5-96B5CB345126}">
          <xfpb:xfComplement i="0"/>
        </ext>
      </extLst>
    </xf>
    <xf numFmtId="0" fontId="4" fillId="0" borderId="27" xfId="0" applyFont="1" applyBorder="1">
      <extLst>
        <ext xmlns:xfpb="http://schemas.microsoft.com/office/spreadsheetml/2022/featurepropertybag" uri="{C7286773-470A-42A8-94C5-96B5CB345126}">
          <xfpb:xfComplement i="0"/>
        </ext>
      </extLst>
    </xf>
    <xf numFmtId="0" fontId="1" fillId="0" borderId="32" xfId="0" applyFont="1" applyBorder="1"/>
    <xf numFmtId="0" fontId="0" fillId="0" borderId="0" xfId="0">
      <extLst>
        <ext xmlns:xfpb="http://schemas.microsoft.com/office/spreadsheetml/2022/featurepropertybag" uri="{C7286773-470A-42A8-94C5-96B5CB345126}">
          <xfpb:xfComplement i="0"/>
        </ext>
      </extLst>
    </xf>
    <xf numFmtId="14" fontId="28" fillId="0" borderId="0" xfId="0" applyNumberFormat="1" applyFont="1" applyAlignment="1">
      <alignment horizontal="left"/>
    </xf>
    <xf numFmtId="14" fontId="10" fillId="30" borderId="0" xfId="0" applyNumberFormat="1" applyFont="1" applyFill="1" applyAlignment="1">
      <alignment horizontal="left" vertical="center"/>
    </xf>
    <xf numFmtId="0" fontId="10" fillId="30" borderId="0" xfId="0" applyFont="1" applyFill="1" applyAlignment="1">
      <alignment horizontal="left" vertical="center"/>
    </xf>
    <xf numFmtId="0" fontId="59" fillId="30" borderId="0" xfId="0" applyFont="1" applyFill="1" applyAlignment="1">
      <alignment horizontal="left" vertical="center"/>
    </xf>
    <xf numFmtId="0" fontId="59" fillId="30" borderId="0" xfId="0" applyFont="1" applyFill="1"/>
    <xf numFmtId="0" fontId="59" fillId="30" borderId="0" xfId="0" applyFont="1" applyFill="1" applyAlignment="1">
      <alignment horizontal="center"/>
    </xf>
    <xf numFmtId="14" fontId="0" fillId="31" borderId="0" xfId="0" applyNumberFormat="1" applyFill="1" applyAlignment="1">
      <alignment horizontal="center"/>
    </xf>
    <xf numFmtId="0" fontId="9" fillId="0" borderId="0" xfId="0" applyFont="1" applyAlignment="1">
      <alignment horizontal="left" vertical="center"/>
    </xf>
    <xf numFmtId="44" fontId="9" fillId="31" borderId="0" xfId="2" applyFont="1" applyFill="1" applyAlignment="1">
      <alignment horizontal="left" vertical="center"/>
    </xf>
    <xf numFmtId="44" fontId="9" fillId="0" borderId="0" xfId="2" applyFont="1" applyAlignment="1">
      <alignment horizontal="left" vertical="center"/>
    </xf>
    <xf numFmtId="0" fontId="28" fillId="0" borderId="0" xfId="0" applyFont="1" applyAlignment="1">
      <alignment horizontal="left"/>
    </xf>
    <xf numFmtId="0" fontId="60" fillId="0" borderId="0" xfId="0" applyFont="1"/>
    <xf numFmtId="0" fontId="10" fillId="30" borderId="0" xfId="0" applyFont="1" applyFill="1" applyAlignment="1">
      <alignment horizontal="right" vertical="center" wrapText="1"/>
    </xf>
    <xf numFmtId="0" fontId="61" fillId="0" borderId="0" xfId="0" applyFont="1"/>
    <xf numFmtId="0" fontId="61" fillId="0" borderId="0" xfId="0" applyFont="1" applyAlignment="1">
      <alignment wrapText="1"/>
    </xf>
    <xf numFmtId="0" fontId="61" fillId="0" borderId="0" xfId="0" applyFont="1" applyAlignment="1">
      <alignment horizontal="left" vertical="center"/>
    </xf>
    <xf numFmtId="0" fontId="61" fillId="32" borderId="0" xfId="0" applyFont="1" applyFill="1"/>
    <xf numFmtId="0" fontId="62" fillId="0" borderId="0" xfId="0" applyFont="1"/>
    <xf numFmtId="0" fontId="61" fillId="0" borderId="0" xfId="0" applyFont="1" applyAlignment="1">
      <alignment horizontal="left" vertical="center" indent="1"/>
    </xf>
    <xf numFmtId="0" fontId="61" fillId="33" borderId="0" xfId="0" applyFont="1" applyFill="1"/>
    <xf numFmtId="10" fontId="61" fillId="0" borderId="0" xfId="0" applyNumberFormat="1" applyFont="1"/>
    <xf numFmtId="0" fontId="63" fillId="0" borderId="1" xfId="0" applyFont="1" applyBorder="1" applyAlignment="1">
      <alignment horizontal="center" vertical="top"/>
    </xf>
    <xf numFmtId="0" fontId="64" fillId="0" borderId="1" xfId="0" applyFont="1" applyBorder="1" applyAlignment="1">
      <alignment horizontal="center" vertical="top"/>
    </xf>
    <xf numFmtId="0" fontId="22" fillId="0" borderId="16" xfId="0" applyFont="1" applyBorder="1" applyAlignment="1">
      <alignment horizontal="left" vertical="top" wrapText="1"/>
    </xf>
    <xf numFmtId="0" fontId="22" fillId="0" borderId="31" xfId="0" applyFont="1" applyBorder="1" applyAlignment="1">
      <alignment horizontal="left" vertical="top" wrapText="1"/>
    </xf>
    <xf numFmtId="0" fontId="22" fillId="0" borderId="15" xfId="0" applyFont="1" applyBorder="1" applyAlignment="1">
      <alignment horizontal="left" vertical="top" wrapText="1"/>
    </xf>
    <xf numFmtId="0" fontId="65" fillId="34" borderId="1" xfId="0" applyFont="1" applyFill="1" applyBorder="1" applyAlignment="1">
      <alignment horizontal="center" vertical="top" wrapText="1"/>
    </xf>
    <xf numFmtId="0" fontId="31" fillId="35" borderId="1" xfId="0" applyFont="1" applyFill="1" applyBorder="1" applyAlignment="1">
      <alignment horizontal="center" vertical="top" wrapText="1"/>
    </xf>
    <xf numFmtId="0" fontId="65" fillId="36" borderId="1" xfId="0" applyFont="1" applyFill="1" applyBorder="1" applyAlignment="1">
      <alignment horizontal="center" vertical="top" wrapText="1"/>
    </xf>
    <xf numFmtId="0" fontId="65" fillId="37" borderId="1" xfId="0" applyFont="1" applyFill="1" applyBorder="1" applyAlignment="1">
      <alignment horizontal="center" vertical="top" wrapText="1"/>
    </xf>
    <xf numFmtId="0" fontId="31" fillId="0" borderId="1" xfId="0" applyFont="1" applyBorder="1" applyAlignment="1">
      <alignment horizontal="center" vertical="top" wrapText="1"/>
    </xf>
    <xf numFmtId="0" fontId="31" fillId="0" borderId="1" xfId="0" applyFont="1" applyBorder="1" applyAlignment="1">
      <alignment horizontal="center" vertical="top"/>
    </xf>
    <xf numFmtId="0" fontId="3" fillId="3" borderId="0" xfId="0" applyFont="1" applyFill="1" applyAlignment="1" applyProtection="1">
      <alignment horizontal="left"/>
      <protection locked="0"/>
    </xf>
    <xf numFmtId="44" fontId="2" fillId="0" borderId="14" xfId="1" applyNumberFormat="1" applyFont="1" applyBorder="1"/>
    <xf numFmtId="44" fontId="1" fillId="0" borderId="0" xfId="1" applyNumberFormat="1" applyFont="1" applyBorder="1"/>
    <xf numFmtId="44" fontId="0" fillId="0" borderId="0" xfId="0" applyNumberFormat="1" applyAlignment="1">
      <alignment horizontal="centerContinuous"/>
    </xf>
    <xf numFmtId="0" fontId="0" fillId="11" borderId="0" xfId="0" applyFill="1" applyAlignment="1">
      <alignment horizontal="center"/>
    </xf>
    <xf numFmtId="0" fontId="1" fillId="13" borderId="28" xfId="0" applyFont="1" applyFill="1" applyBorder="1" applyAlignment="1">
      <alignment horizontal="center"/>
    </xf>
    <xf numFmtId="0" fontId="1" fillId="13" borderId="29" xfId="0" applyFont="1" applyFill="1" applyBorder="1" applyAlignment="1">
      <alignment horizontal="center"/>
    </xf>
    <xf numFmtId="0" fontId="1" fillId="13" borderId="30" xfId="0" applyFont="1" applyFill="1" applyBorder="1" applyAlignment="1">
      <alignment horizontal="center"/>
    </xf>
    <xf numFmtId="0" fontId="61" fillId="0" borderId="0" xfId="0" applyFont="1"/>
    <xf numFmtId="0" fontId="61" fillId="32" borderId="0" xfId="0" applyFont="1" applyFill="1"/>
    <xf numFmtId="0" fontId="62" fillId="0" borderId="0" xfId="0" applyFont="1"/>
    <xf numFmtId="0" fontId="61" fillId="33" borderId="0" xfId="0" applyFont="1" applyFill="1"/>
    <xf numFmtId="0" fontId="22" fillId="0" borderId="15" xfId="0" applyFont="1" applyBorder="1" applyAlignment="1">
      <alignment horizontal="left" vertical="top"/>
    </xf>
    <xf numFmtId="0" fontId="22" fillId="0" borderId="31" xfId="0" applyFont="1" applyBorder="1" applyAlignment="1">
      <alignment horizontal="left" vertical="top"/>
    </xf>
    <xf numFmtId="0" fontId="22" fillId="0" borderId="16" xfId="0" applyFont="1" applyBorder="1" applyAlignment="1">
      <alignment horizontal="left" vertical="top"/>
    </xf>
    <xf numFmtId="0" fontId="22" fillId="0" borderId="15" xfId="0" applyFont="1" applyBorder="1" applyAlignment="1">
      <alignment horizontal="left" vertical="top" wrapText="1"/>
    </xf>
    <xf numFmtId="0" fontId="22" fillId="0" borderId="31" xfId="0" applyFont="1" applyBorder="1" applyAlignment="1">
      <alignment horizontal="left" vertical="top" wrapText="1"/>
    </xf>
    <xf numFmtId="0" fontId="22" fillId="0" borderId="16" xfId="0" applyFont="1" applyBorder="1" applyAlignment="1">
      <alignment horizontal="left" vertical="top" wrapText="1"/>
    </xf>
  </cellXfs>
  <cellStyles count="8">
    <cellStyle name="Comma" xfId="1" builtinId="3"/>
    <cellStyle name="Currency" xfId="2" builtinId="4"/>
    <cellStyle name="Currency 2" xfId="5" xr:uid="{00000000-0005-0000-0000-000002000000}"/>
    <cellStyle name="Currency 4" xfId="7" xr:uid="{00000000-0005-0000-0000-000003000000}"/>
    <cellStyle name="Hyperlink" xfId="3" builtinId="8"/>
    <cellStyle name="Normal" xfId="0" builtinId="0"/>
    <cellStyle name="Normal 2" xfId="4" xr:uid="{00000000-0005-0000-0000-000007000000}"/>
    <cellStyle name="Percent" xfId="6" builtinId="5"/>
  </cellStyles>
  <dxfs count="168">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FF0000"/>
        </patternFill>
      </fill>
    </dxf>
    <dxf>
      <fill>
        <patternFill>
          <bgColor rgb="FFFF66CC"/>
        </patternFill>
      </fill>
    </dxf>
    <dxf>
      <fill>
        <patternFill>
          <bgColor rgb="FFFF66CC"/>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00B050"/>
        </patternFill>
      </fill>
    </dxf>
    <dxf>
      <fill>
        <patternFill>
          <bgColor rgb="FF92D050"/>
        </patternFill>
      </fill>
    </dxf>
    <dxf>
      <fill>
        <patternFill>
          <bgColor rgb="FF00B050"/>
        </patternFill>
      </fill>
    </dxf>
    <dxf>
      <fill>
        <patternFill>
          <bgColor theme="9" tint="-0.24994659260841701"/>
        </patternFill>
      </fill>
    </dxf>
    <dxf>
      <fill>
        <patternFill>
          <bgColor rgb="FFFFC000"/>
        </patternFill>
      </fill>
    </dxf>
    <dxf>
      <fill>
        <patternFill>
          <bgColor rgb="FFFF0000"/>
        </patternFill>
      </fill>
    </dxf>
    <dxf>
      <fill>
        <patternFill>
          <bgColor theme="4" tint="0.39994506668294322"/>
        </patternFill>
      </fill>
    </dxf>
    <dxf>
      <fill>
        <patternFill>
          <bgColor rgb="FF92D050"/>
        </patternFill>
      </fill>
    </dxf>
    <dxf>
      <fill>
        <patternFill>
          <bgColor rgb="FFFFC000"/>
        </patternFill>
      </fill>
    </dxf>
    <dxf>
      <fill>
        <patternFill>
          <bgColor rgb="FFC0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C0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00B050"/>
        </patternFill>
      </fill>
    </dxf>
    <dxf>
      <fill>
        <patternFill>
          <bgColor theme="3" tint="0.39994506668294322"/>
        </patternFill>
      </fill>
    </dxf>
    <dxf>
      <fill>
        <patternFill>
          <bgColor rgb="FFFF0000"/>
        </patternFill>
      </fill>
    </dxf>
    <dxf>
      <fill>
        <patternFill>
          <bgColor rgb="FFFF66CC"/>
        </patternFill>
      </fill>
    </dxf>
    <dxf>
      <fill>
        <patternFill>
          <bgColor rgb="FFFF0000"/>
        </patternFill>
      </fill>
    </dxf>
    <dxf>
      <fill>
        <patternFill>
          <bgColor rgb="FFFF66CC"/>
        </patternFill>
      </fill>
    </dxf>
    <dxf>
      <fill>
        <patternFill>
          <bgColor rgb="FFFF8585"/>
        </patternFill>
      </fill>
    </dxf>
    <dxf>
      <fill>
        <patternFill>
          <bgColor rgb="FF00B050"/>
        </patternFill>
      </fill>
    </dxf>
    <dxf>
      <fill>
        <patternFill>
          <bgColor rgb="FFFF0000"/>
        </patternFill>
      </fill>
    </dxf>
    <dxf>
      <fill>
        <patternFill>
          <bgColor theme="3" tint="0.39994506668294322"/>
        </patternFill>
      </fill>
    </dxf>
    <dxf>
      <fill>
        <patternFill>
          <bgColor rgb="FFFF66CC"/>
        </patternFill>
      </fill>
    </dxf>
    <dxf>
      <fill>
        <patternFill>
          <bgColor rgb="FF92D050"/>
        </patternFill>
      </fill>
    </dxf>
    <dxf>
      <fill>
        <patternFill>
          <bgColor rgb="FF00B050"/>
        </patternFill>
      </fill>
    </dxf>
    <dxf>
      <fill>
        <patternFill>
          <bgColor theme="9" tint="-0.24994659260841701"/>
        </patternFill>
      </fill>
    </dxf>
    <dxf>
      <fill>
        <patternFill>
          <bgColor theme="9" tint="0.59996337778862885"/>
        </patternFill>
      </fill>
    </dxf>
    <dxf>
      <fill>
        <patternFill>
          <bgColor rgb="FFFFC000"/>
        </patternFill>
      </fill>
    </dxf>
    <dxf>
      <fill>
        <patternFill>
          <bgColor rgb="FFFF0000"/>
        </patternFill>
      </fill>
    </dxf>
    <dxf>
      <fill>
        <patternFill>
          <bgColor theme="4" tint="0.39994506668294322"/>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theme="3" tint="0.39994506668294322"/>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FF66CC"/>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C00000"/>
        </patternFill>
      </fill>
    </dxf>
    <dxf>
      <fill>
        <patternFill>
          <bgColor rgb="FF00B05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theme="3" tint="0.39994506668294322"/>
        </patternFill>
      </fill>
    </dxf>
    <dxf>
      <fill>
        <patternFill>
          <bgColor rgb="FF92D050"/>
        </patternFill>
      </fill>
    </dxf>
    <dxf>
      <fill>
        <patternFill>
          <bgColor rgb="FFFF0000"/>
        </patternFill>
      </fill>
    </dxf>
    <dxf>
      <fill>
        <patternFill>
          <bgColor rgb="FF00B050"/>
        </patternFill>
      </fill>
    </dxf>
    <dxf>
      <fill>
        <patternFill>
          <bgColor rgb="FF92D050"/>
        </patternFill>
      </fill>
    </dxf>
    <dxf>
      <font>
        <color rgb="FF9C0006"/>
      </font>
      <fill>
        <patternFill>
          <bgColor rgb="FFFFC7CE"/>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theme="3" tint="0.39994506668294322"/>
        </patternFill>
      </fill>
    </dxf>
    <dxf>
      <fill>
        <patternFill>
          <bgColor rgb="FF00B050"/>
        </patternFill>
      </fill>
    </dxf>
    <dxf>
      <fill>
        <patternFill>
          <bgColor rgb="FFFF0000"/>
        </patternFill>
      </fill>
    </dxf>
    <dxf>
      <fill>
        <patternFill patternType="none">
          <bgColor auto="1"/>
        </patternFill>
      </fill>
    </dxf>
    <dxf>
      <fill>
        <patternFill>
          <bgColor rgb="FFFF0000"/>
        </patternFill>
      </fill>
    </dxf>
    <dxf>
      <fill>
        <patternFill>
          <bgColor rgb="FF00B050"/>
        </patternFill>
      </fill>
    </dxf>
    <dxf>
      <fill>
        <patternFill>
          <bgColor rgb="FFFFC000"/>
        </patternFill>
      </fill>
    </dxf>
    <dxf>
      <fill>
        <patternFill>
          <bgColor rgb="FF00B0F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00B050"/>
        </patternFill>
      </fill>
    </dxf>
    <dxf>
      <fill>
        <patternFill>
          <bgColor theme="9" tint="-0.24994659260841701"/>
        </patternFill>
      </fill>
    </dxf>
    <dxf>
      <fill>
        <patternFill>
          <bgColor rgb="FFFFC000"/>
        </patternFill>
      </fill>
    </dxf>
    <dxf>
      <fill>
        <patternFill>
          <bgColor rgb="FFFF0000"/>
        </patternFill>
      </fill>
    </dxf>
    <dxf>
      <fill>
        <patternFill>
          <bgColor theme="4" tint="0.39994506668294322"/>
        </patternFill>
      </fill>
    </dxf>
    <dxf>
      <fill>
        <patternFill>
          <bgColor rgb="FFFFC000"/>
        </patternFill>
      </fill>
    </dxf>
    <dxf>
      <fill>
        <patternFill>
          <bgColor rgb="FFC00000"/>
        </patternFill>
      </fill>
    </dxf>
    <dxf>
      <fill>
        <patternFill>
          <bgColor rgb="FF00B050"/>
        </patternFill>
      </fill>
    </dxf>
    <dxf>
      <fill>
        <patternFill>
          <bgColor rgb="FFFF0000"/>
        </patternFill>
      </fill>
    </dxf>
    <dxf>
      <fill>
        <patternFill>
          <bgColor rgb="FFFF0000"/>
        </patternFill>
      </fill>
    </dxf>
    <dxf>
      <fill>
        <patternFill>
          <bgColor theme="3" tint="0.39994506668294322"/>
        </patternFill>
      </fill>
    </dxf>
    <dxf>
      <fill>
        <patternFill>
          <bgColor rgb="FFFF66CC"/>
        </patternFill>
      </fill>
    </dxf>
    <dxf>
      <fill>
        <patternFill>
          <bgColor rgb="FF92D050"/>
        </patternFill>
      </fill>
    </dxf>
    <dxf>
      <fill>
        <patternFill>
          <bgColor rgb="FF00B050"/>
        </patternFill>
      </fill>
    </dxf>
    <dxf>
      <fill>
        <patternFill>
          <bgColor rgb="FFFF0000"/>
        </patternFill>
      </fill>
    </dxf>
    <dxf>
      <font>
        <b/>
        <i val="0"/>
      </font>
    </dxf>
    <dxf>
      <fill>
        <patternFill>
          <bgColor rgb="FF0070C0"/>
        </patternFill>
      </fill>
    </dxf>
    <dxf>
      <fill>
        <patternFill>
          <bgColor rgb="FFFF66CC"/>
        </patternFill>
      </fill>
    </dxf>
    <dxf>
      <font>
        <color rgb="FF9C0006"/>
      </font>
      <fill>
        <patternFill>
          <bgColor rgb="FFFFC7CE"/>
        </patternFill>
      </fill>
    </dxf>
  </dxfs>
  <tableStyles count="0" defaultTableStyle="TableStyleMedium9" defaultPivotStyle="PivotStyleLight16"/>
  <colors>
    <mruColors>
      <color rgb="FFFF99FF"/>
      <color rgb="FFFFFF99"/>
      <color rgb="FFFF66CC"/>
      <color rgb="FFFFE9A3"/>
      <color rgb="FFFFFFD9"/>
      <color rgb="FFFF8585"/>
      <color rgb="FF66CCFF"/>
      <color rgb="FFB1A0C7"/>
      <color rgb="FFF2DCD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worksheet" Target="worksheets/sheet12.xml"/><Relationship Id="rId23" Type="http://schemas.openxmlformats.org/officeDocument/2006/relationships/worksheet" Target="worksheets/sheet13.xml"/><Relationship Id="rId24" Type="http://schemas.openxmlformats.org/officeDocument/2006/relationships/worksheet" Target="worksheets/sheet1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Reeva Calapatia" id="{7C999C9A-6907-41E7-B83B-DFAFDA11ADEB}" userId="S::rcalapatia@tpc.us::21333dd8-f019-4fee-a72f-cda49ec52286" providerId="AD"/>
  <person displayName="Reeva A. Calapatia" id="{ADF84240-20EE-4C51-B398-3C536FC93DC0}" userId="S::r.calapatia@dvphilippines.com::a2074b8e-5c0b-4348-a6af-39963a4ea56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 dT="2023-09-06T19:49:29.03" personId="{7C999C9A-6907-41E7-B83B-DFAFDA11ADEB}" id="{FF490CFD-7919-4973-A584-E034615E793D}">
    <text>Animation/ Live Action/ Still</text>
  </threadedComment>
  <threadedComment ref="B13" dT="2023-09-06T19:50:09.08" personId="{7C999C9A-6907-41E7-B83B-DFAFDA11ADEB}" id="{F93E0F60-BBDC-40A2-BC9D-D3B1CB027B0F}">
    <text>Copy here any notes from SF or other notes related to the job</text>
  </threadedComment>
  <threadedComment ref="B14" dT="2023-09-06T19:50:48.06" personId="{7C999C9A-6907-41E7-B83B-DFAFDA11ADEB}" id="{F542B4CD-8470-4711-9EB4-252506D598E4}">
    <text>Other locations (e.g. part of the shoot will be done in TX or CT)</text>
  </threadedComment>
  <threadedComment ref="O14" dT="2023-09-07T19:55:19.52" personId="{7C999C9A-6907-41E7-B83B-DFAFDA11ADEB}" id="{F39DDE87-6800-4B10-99E4-02DDF185440C}">
    <text xml:space="preserve">Max of 9 qualified
Writer, Director, Director of Photography, Production Designer, Costume Designer, Production Accountant, VFX Supervisor, Editor, Composer </text>
  </threadedComment>
  <threadedComment ref="O23" dT="2023-09-07T19:56:04.46" personId="{7C999C9A-6907-41E7-B83B-DFAFDA11ADEB}" id="{4E7B0B5C-28A3-4D1C-9819-3DC07D5DC572}">
    <text>Max 2 non-resident actors (Extras don't qualify)</text>
  </threadedComment>
  <threadedComment ref="O29" dT="2023-09-07T19:56:57.08" personId="{7C999C9A-6907-41E7-B83B-DFAFDA11ADEB}" id="{D204F8DB-6CAF-4A48-AD48-68970B84DBF8}">
    <text>Included in counting the max 9 OOS crew</text>
  </threadedComment>
  <threadedComment ref="C38" dT="2023-10-04T19:54:00.76" personId="{7C999C9A-6907-41E7-B83B-DFAFDA11ADEB}" id="{11C26499-2084-416D-AF15-4915A58785FE}">
    <text>1) Award Date from Agency's Calendar
2) Approval Date of Agency Estimate</text>
  </threadedComment>
  <threadedComment ref="C39" dT="2023-10-04T19:55:58.25" personId="{7C999C9A-6907-41E7-B83B-DFAFDA11ADEB}" id="{0FF108D0-F1D5-4578-B251-460485450F83}">
    <text>Application Date</text>
  </threadedComment>
  <threadedComment ref="C41" dT="2023-10-04T19:56:50.38" personId="{7C999C9A-6907-41E7-B83B-DFAFDA11ADEB}" id="{0E85D857-EA2C-44C0-9705-E18A73245DE8}">
    <text>Shoot Date</text>
  </threadedComment>
  <threadedComment ref="C45" dT="2023-10-04T19:57:28.80" personId="{7C999C9A-6907-41E7-B83B-DFAFDA11ADEB}" id="{760CDC35-CAB7-4038-BE51-566655AC2F73}">
    <text>Alphabetic order, include business/residence name</text>
  </threadedComment>
  <threadedComment ref="C49" dT="2023-09-07T00:06:34.82" personId="{7C999C9A-6907-41E7-B83B-DFAFDA11ADEB}" id="{2FA0119F-B0DD-4954-83DF-EF97D4AC303D}">
    <text>Link to PO Log</text>
  </threadedComment>
  <threadedComment ref="J50" dT="2023-09-05T19:59:53.43" personId="{7C999C9A-6907-41E7-B83B-DFAFDA11ADEB}" id="{20112E98-4ED7-4C4F-B3B8-C2B4AB696CDE}">
    <text>Use appropriate formula based on classification of Agency-ProdCo (Refer to Qualifying Amounts Tab)</text>
  </threadedComment>
  <threadedComment ref="O52" dT="2023-09-05T17:28:17.18" personId="{7C999C9A-6907-41E7-B83B-DFAFDA11ADEB}" id="{E39B44F1-0F79-48A4-868D-EE059D6FB47E}">
    <text>Link to CPA Workbook file and amounts</text>
  </threadedComment>
  <threadedComment ref="C59" dT="2023-09-06T23:58:56.75" personId="{7C999C9A-6907-41E7-B83B-DFAFDA11ADEB}" id="{FC9CBF1C-10CC-4EB4-8FE4-6FE854DA325B}">
    <text>ProdCo Vendors, Petty Cash, Prod CC, etc</text>
  </threadedComment>
  <threadedComment ref="E60" dT="2023-09-07T23:56:29.19" personId="{7C999C9A-6907-41E7-B83B-DFAFDA11ADEB}" id="{7D418CEE-161F-4AC4-BCCE-98D637F83C05}">
    <text xml:space="preserve">Should be at least 50% for Local-OOS
</text>
  </threadedComment>
  <threadedComment ref="C63" dT="2023-09-07T00:00:12.01" personId="{7C999C9A-6907-41E7-B83B-DFAFDA11ADEB}" id="{8CC206CB-7368-4E2E-9535-9DF15365BFEF}">
    <text xml:space="preserve"> ProdCo Invoice, Agency Vendors, Project Fee, Talent, Agency Exp Report</text>
  </threadedComment>
  <threadedComment ref="O63" dT="2024-01-26T07:43:27.23" personId="{7C999C9A-6907-41E7-B83B-DFAFDA11ADEB}" id="{A9DC1B57-A672-4F0A-8928-E2CB3A9FF99D}">
    <text>Link amount to total amount from CPA workbook; do not use SUM formula</text>
  </threadedComment>
  <threadedComment ref="Q63" dT="2024-01-26T07:47:54.59" personId="{7C999C9A-6907-41E7-B83B-DFAFDA11ADEB}" id="{9CE0F2BF-1C51-416C-BCA6-65B982C90CDE}">
    <text>Link amount to total amount from Tax Credit file; do not use SUM formula</text>
  </threadedComment>
  <threadedComment ref="R63" dT="2024-01-26T07:47:54.59" personId="{7C999C9A-6907-41E7-B83B-DFAFDA11ADEB}" id="{0598CB4F-CE0C-4F39-AA0D-BD97B70BBA7A}">
    <text>Link amount to total amount from Tax Credit file; do not use SUM formula</text>
  </threadedComment>
  <threadedComment ref="J71" dT="2023-12-22T21:05:39.66" personId="{7C999C9A-6907-41E7-B83B-DFAFDA11ADEB}" id="{37169393-BEFC-4826-8118-C446525C190D}">
    <text>Link the rebate estimate file here, and the amounts from the rebate est. file</text>
  </threadedComment>
  <threadedComment ref="J79" dT="2024-01-26T07:41:01.70" personId="{7C999C9A-6907-41E7-B83B-DFAFDA11ADEB}" id="{0E7A49F9-EB4E-4DC6-A61E-CE179A84E51E}">
    <text>Link amount to Rebate Est. file; do not use SUM formula</text>
  </threadedComment>
  <threadedComment ref="I84" dT="2023-12-05T02:18:32.13" personId="{7C999C9A-6907-41E7-B83B-DFAFDA11ADEB}" id="{AD1F3B2C-8668-4FF0-896F-89A4DE389220}">
    <text>Check the % from the rebate estimate</text>
  </threadedComment>
  <threadedComment ref="I91" dT="2023-12-05T02:18:04.22" personId="{7C999C9A-6907-41E7-B83B-DFAFDA11ADEB}" id="{EB1C7BD3-35E3-43B4-AA35-15A9095EFA71}">
    <text>Check the % from the rebate estimate</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3-09-06T19:49:29.03" personId="{7C999C9A-6907-41E7-B83B-DFAFDA11ADEB}" id="{46BFF946-E2AF-4C7D-ADE0-0F77C01210C6}">
    <text>Animation/ Live Action/ Still</text>
  </threadedComment>
  <threadedComment ref="B13" dT="2023-09-06T19:50:09.08" personId="{7C999C9A-6907-41E7-B83B-DFAFDA11ADEB}" id="{A13E25FB-F2E3-4A24-AEBB-0F24907FC71E}">
    <text>Copy here any notes from SF or other notes related to the job</text>
  </threadedComment>
  <threadedComment ref="B14" dT="2023-09-06T19:50:48.06" personId="{7C999C9A-6907-41E7-B83B-DFAFDA11ADEB}" id="{5A690E2B-AA02-4314-862F-28FF3281CFF5}">
    <text>Other locations (e.g. part of the shoot will be done in TX or CT)</text>
  </threadedComment>
  <threadedComment ref="O14" dT="2023-09-07T19:55:19.52" personId="{7C999C9A-6907-41E7-B83B-DFAFDA11ADEB}" id="{BC8F0214-51BD-4923-BB66-D87DC116E92A}">
    <text xml:space="preserve">Max of 9 qualified
Writer, Director, Director of Photography, Production Designer, Costume Designer, Production Accountant, VFX Supervisor, Editor, Composer </text>
  </threadedComment>
  <threadedComment ref="O23" dT="2023-09-07T19:56:04.46" personId="{7C999C9A-6907-41E7-B83B-DFAFDA11ADEB}" id="{46058899-83D3-459C-81EF-4984FFB86318}">
    <text>Max 2 non-resident actors (Extras don't qualify)</text>
  </threadedComment>
  <threadedComment ref="O29" dT="2023-09-07T19:56:57.08" personId="{7C999C9A-6907-41E7-B83B-DFAFDA11ADEB}" id="{08576BF4-42FB-4205-BEE5-7D64319A8C6F}">
    <text>Included in counting the max 9 OOS crew</text>
  </threadedComment>
  <threadedComment ref="C38" dT="2023-10-04T19:54:00.76" personId="{7C999C9A-6907-41E7-B83B-DFAFDA11ADEB}" id="{70A9B977-90FB-4DB7-9527-C44C006E8A5A}">
    <text>1) Award Date from Agency's Calendar
2) Approval Date of Agency Estimate</text>
  </threadedComment>
  <threadedComment ref="C39" dT="2023-10-04T19:55:58.25" personId="{7C999C9A-6907-41E7-B83B-DFAFDA11ADEB}" id="{32D9E32A-D6AB-45CA-9BFB-E2DA15D21089}">
    <text>Application Date</text>
  </threadedComment>
  <threadedComment ref="C41" dT="2023-10-04T19:56:50.38" personId="{7C999C9A-6907-41E7-B83B-DFAFDA11ADEB}" id="{343D57A8-97ED-4CBF-A2C0-E5FC5050D0E3}">
    <text>Shoot Date</text>
  </threadedComment>
  <threadedComment ref="C45" dT="2023-10-04T19:57:28.80" personId="{7C999C9A-6907-41E7-B83B-DFAFDA11ADEB}" id="{3981FA75-E59A-471C-9CE4-282A7E2ACC34}">
    <text>Alphabetic order, include business/residence name</text>
  </threadedComment>
  <threadedComment ref="C49" dT="2023-09-07T00:06:34.82" personId="{7C999C9A-6907-41E7-B83B-DFAFDA11ADEB}" id="{E8529B46-D9DA-4B29-B102-50B35EC63F38}">
    <text>Link to PO Log</text>
  </threadedComment>
  <threadedComment ref="J49" dT="2023-09-05T19:59:53.43" personId="{7C999C9A-6907-41E7-B83B-DFAFDA11ADEB}" id="{F096F72E-B5F9-4AA7-B2E8-E999D546B5C1}">
    <text>Use appropriate formula based on classification of Agency-ProdCo (Refer to Qualifying Amounts Tab)</text>
  </threadedComment>
  <threadedComment ref="O51" dT="2023-09-05T17:28:17.18" personId="{7C999C9A-6907-41E7-B83B-DFAFDA11ADEB}" id="{70FC5313-89C0-40B1-9BD1-612C2C13DB54}">
    <text>Link to CPA Workbook Amounts</text>
  </threadedComment>
  <threadedComment ref="C59" dT="2023-09-06T23:58:56.75" personId="{7C999C9A-6907-41E7-B83B-DFAFDA11ADEB}" id="{CEABFA33-D61B-47E7-B4CD-515F0F21DA34}">
    <text>ProdCo Vendors, Petty Cash, Prod CC, etc</text>
  </threadedComment>
  <threadedComment ref="E62" dT="2023-09-07T23:54:27.62" personId="{7C999C9A-6907-41E7-B83B-DFAFDA11ADEB}" id="{BA420CF9-3C57-4782-85A3-C95E428DFF0B}">
    <text>Should be at least 50% for Local-OOS</text>
  </threadedComment>
  <threadedComment ref="C63" dT="2023-09-07T00:00:12.01" personId="{7C999C9A-6907-41E7-B83B-DFAFDA11ADEB}" id="{6B4CE92F-C13C-4038-AA2E-6BDC9CF19B10}">
    <text xml:space="preserve"> ProdCo Invoice, Agency Vendors, Project Fee, Talent, Agency Exp Report</text>
  </threadedComment>
  <threadedComment ref="O63" dT="2024-01-26T07:43:27.23" personId="{7C999C9A-6907-41E7-B83B-DFAFDA11ADEB}" id="{8E95D590-362A-4EDD-83E6-72692A41657B}">
    <text>Link amount to total amount from CPA workbook; do not use SUM formula</text>
  </threadedComment>
  <threadedComment ref="Q63" dT="2024-01-26T07:47:54.59" personId="{7C999C9A-6907-41E7-B83B-DFAFDA11ADEB}" id="{CD56F0F7-45F5-4647-BD2B-B0C9D12DE0D2}">
    <text>Link amount to total amount from Tax Credit file; do not use SUM formula</text>
  </threadedComment>
  <threadedComment ref="R63" dT="2024-01-26T07:47:54.59" personId="{7C999C9A-6907-41E7-B83B-DFAFDA11ADEB}" id="{FC4E5A98-C4ED-471B-B181-E877BA983884}">
    <text>Link amount to total amount from Tax Credit file; do not use SUM formula</text>
  </threadedComment>
  <threadedComment ref="K71" dT="2023-12-22T21:05:39.66" personId="{7C999C9A-6907-41E7-B83B-DFAFDA11ADEB}" id="{869D0964-41B4-43EE-B36E-FC2F177BE773}">
    <text>Link the rebate estimate file here, and the amount for the totals</text>
  </threadedComment>
  <threadedComment ref="J72" dT="2023-12-22T21:05:39.66" personId="{7C999C9A-6907-41E7-B83B-DFAFDA11ADEB}" id="{1D17D04F-6495-4768-9506-6688C6AAAA71}">
    <text>Link the rebate estimate file here, and the amounts from the rebate est. file</text>
  </threadedComment>
  <threadedComment ref="J80" dT="2024-01-26T07:41:01.70" personId="{7C999C9A-6907-41E7-B83B-DFAFDA11ADEB}" id="{F9BCA874-BF1B-4AA0-A100-8F395FCA455C}">
    <text>Link amount to Rebate Est. file; do not use SUM formula</text>
  </threadedComment>
  <threadedComment ref="I85" dT="2023-12-05T02:18:32.13" personId="{7C999C9A-6907-41E7-B83B-DFAFDA11ADEB}" id="{FDE7B91D-CBAD-4E37-ACD5-1C5EB24EE929}">
    <text>Check the % from the rebate estimate</text>
  </threadedComment>
  <threadedComment ref="I92" dT="2023-12-05T02:18:04.22" personId="{7C999C9A-6907-41E7-B83B-DFAFDA11ADEB}" id="{9CF0BED5-E8B5-455A-B346-9683D907BB03}">
    <text>Check the % from the rebate estimate</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3-09-06T19:49:29.03" personId="{7C999C9A-6907-41E7-B83B-DFAFDA11ADEB}" id="{F8C1013C-6E64-441F-BD9A-055A53A82030}">
    <text>Animation/ Live Action/ Still</text>
  </threadedComment>
  <threadedComment ref="B13" dT="2023-09-06T19:50:09.08" personId="{7C999C9A-6907-41E7-B83B-DFAFDA11ADEB}" id="{0C1CAF40-08D3-434A-9A74-9483399CE794}">
    <text>Copy here any notes from SF or other notes related to the job</text>
  </threadedComment>
  <threadedComment ref="B14" dT="2023-09-06T19:50:48.06" personId="{7C999C9A-6907-41E7-B83B-DFAFDA11ADEB}" id="{17D1A1B6-3D0A-4106-99A4-10A800035484}">
    <text>Other locations (e.g. part of the shoot will be done in TX or CT)</text>
  </threadedComment>
  <threadedComment ref="O14" dT="2023-09-07T19:55:19.52" personId="{7C999C9A-6907-41E7-B83B-DFAFDA11ADEB}" id="{0FC7C391-8755-448B-A7C5-203CCD949109}">
    <text xml:space="preserve">Max of 9 qualified
Writer, Director, Director of Photography, Production Designer, Costume Designer, Production Accountant, VFX Supervisor, Editor, Composer </text>
  </threadedComment>
  <threadedComment ref="O23" dT="2023-09-07T19:56:04.46" personId="{7C999C9A-6907-41E7-B83B-DFAFDA11ADEB}" id="{1AE9FF04-7398-4C22-B36E-9FE2F77C02A6}">
    <text>Max 2 non-resident actors (Extras don't qualify)</text>
  </threadedComment>
  <threadedComment ref="O29" dT="2023-09-07T19:56:57.08" personId="{7C999C9A-6907-41E7-B83B-DFAFDA11ADEB}" id="{13AD4272-4697-4F9B-B10D-FE62FD54FF91}">
    <text>Included in counting the max 9 OOS crew</text>
  </threadedComment>
  <threadedComment ref="C38" dT="2023-10-04T19:54:00.76" personId="{7C999C9A-6907-41E7-B83B-DFAFDA11ADEB}" id="{A632DA2F-87DC-4466-9E54-0E8D035A1142}">
    <text>1) Award Date from Agency's Calendar
2) Approval Date of Agency Estimate</text>
  </threadedComment>
  <threadedComment ref="C39" dT="2023-10-04T19:55:58.25" personId="{7C999C9A-6907-41E7-B83B-DFAFDA11ADEB}" id="{B6B0A08D-47A7-4463-9E91-745D80636278}">
    <text>Application Date</text>
  </threadedComment>
  <threadedComment ref="C41" dT="2023-10-04T19:56:50.38" personId="{7C999C9A-6907-41E7-B83B-DFAFDA11ADEB}" id="{518D238B-73E6-4743-96F0-6D77FD5A4E18}">
    <text>Shoot Date</text>
  </threadedComment>
  <threadedComment ref="C45" dT="2023-10-04T19:57:28.80" personId="{7C999C9A-6907-41E7-B83B-DFAFDA11ADEB}" id="{F03D0A3F-4133-4065-B44A-E71D31E18969}">
    <text>Alphabetic order, include business/residence name</text>
  </threadedComment>
  <threadedComment ref="C49" dT="2023-09-07T00:06:34.82" personId="{7C999C9A-6907-41E7-B83B-DFAFDA11ADEB}" id="{566137DB-B37A-4D13-BAC4-DF38C50E9971}">
    <text>Link to PO Log</text>
  </threadedComment>
  <threadedComment ref="J50" dT="2023-09-05T19:59:53.43" personId="{7C999C9A-6907-41E7-B83B-DFAFDA11ADEB}" id="{12C81AFC-2FFE-4B55-87E8-79BEAB6EAA0A}">
    <text>Use appropriate formula based on classification of Agency-ProdCo (Refer to Qualifying Amounts Tab)</text>
  </threadedComment>
  <threadedComment ref="O52" dT="2023-09-05T17:28:17.18" personId="{7C999C9A-6907-41E7-B83B-DFAFDA11ADEB}" id="{89D6C10A-5C81-4ECE-A087-22677A7039FB}">
    <text>Link to CPA Workbook Amounts</text>
  </threadedComment>
  <threadedComment ref="J55" dT="2023-09-05T16:50:00.23" personId="{7C999C9A-6907-41E7-B83B-DFAFDA11ADEB}" id="{0CBA4ABC-EA58-4F36-86FD-46D97EE368B5}">
    <text>Ineligible agency expenses itemized in client billings/ Zero if summary billing</text>
  </threadedComment>
  <threadedComment ref="J56" dT="2023-09-05T16:51:05.46" personId="{7C999C9A-6907-41E7-B83B-DFAFDA11ADEB}" id="{98556962-46EB-40AF-810B-EDE7B6287774}">
    <text>Add hours only if with separate retainer fee with POP</text>
  </threadedComment>
  <threadedComment ref="C59" dT="2023-09-06T23:58:56.75" personId="{7C999C9A-6907-41E7-B83B-DFAFDA11ADEB}" id="{A2602AA6-CF20-4F74-8CBB-E1B2EB499175}">
    <text>ProdCo Vendors, Petty Cash, Prod CC, etc</text>
  </threadedComment>
  <threadedComment ref="Q59" dT="2024-01-26T07:47:54.59" personId="{7C999C9A-6907-41E7-B83B-DFAFDA11ADEB}" id="{3AE1A0DA-40F8-4F8F-B7EC-F8B0C6EFE40A}">
    <text>Link amount to total amount from Tax Credit file; do not use SUM formula</text>
  </threadedComment>
  <threadedComment ref="R59" dT="2024-01-26T07:47:54.59" personId="{7C999C9A-6907-41E7-B83B-DFAFDA11ADEB}" id="{527BBB50-FDC0-4AA1-8027-AEA32F35627B}">
    <text>Link amount to total amount from Tax Credit file; do not use SUM formula</text>
  </threadedComment>
  <threadedComment ref="E62" dT="2023-09-07T23:56:34.72" personId="{7C999C9A-6907-41E7-B83B-DFAFDA11ADEB}" id="{8F7C1C1A-F8C1-48F9-ACB6-464491D0034C}">
    <text xml:space="preserve">Should be at least 50% for Local-OOS
</text>
  </threadedComment>
  <threadedComment ref="C63" dT="2023-09-07T00:00:12.01" personId="{7C999C9A-6907-41E7-B83B-DFAFDA11ADEB}" id="{74F3357B-AFE0-4C25-8364-EC61D5F7280E}">
    <text xml:space="preserve"> ProdCo Invoice, Agency Vendors, Project Fee, Talent, Agency Exp Report</text>
  </threadedComment>
  <threadedComment ref="J66" dT="2023-12-22T21:05:39.66" personId="{7C999C9A-6907-41E7-B83B-DFAFDA11ADEB}" id="{F99C3D4F-5254-489C-8DBB-3144A2958D9C}">
    <text>Link the rebate estimate file here, and the amounts from the rebate est. file</text>
  </threadedComment>
  <threadedComment ref="J74" dT="2024-01-26T07:41:01.70" personId="{7C999C9A-6907-41E7-B83B-DFAFDA11ADEB}" id="{2C6C0AB4-99FC-4ED9-8453-F8B2FCA2645C}">
    <text>Link amount to Rebate Est. file; do not use SUM formula</text>
  </threadedComment>
  <threadedComment ref="I79" dT="2023-12-05T02:18:32.13" personId="{7C999C9A-6907-41E7-B83B-DFAFDA11ADEB}" id="{695761AE-AF22-4C16-A209-91C9B2D54004}">
    <text>Check the % from the rebate estimate</text>
  </threadedComment>
  <threadedComment ref="I86" dT="2023-12-05T02:18:04.22" personId="{7C999C9A-6907-41E7-B83B-DFAFDA11ADEB}" id="{DF55C068-7CB7-4864-B0D9-9A5542CC872A}">
    <text>Check the % from the rebate estimate</text>
  </threadedComment>
</ThreadedComments>
</file>

<file path=xl/threadedComments/threadedComment4.xml><?xml version="1.0" encoding="utf-8"?>
<ThreadedComments xmlns="http://schemas.microsoft.com/office/spreadsheetml/2018/threadedcomments" xmlns:x="http://schemas.openxmlformats.org/spreadsheetml/2006/main">
  <threadedComment ref="T7" dT="2024-10-09T20:39:19.82" personId="{ADF84240-20EE-4C51-B398-3C536FC93DC0}" id="{A454412B-1354-4768-92FD-4C0950039CE2}">
    <text>Process Date, not when the payment is cleared</text>
  </threadedComment>
  <threadedComment ref="V7" dT="2023-09-07T19:17:35.82" personId="{7C999C9A-6907-41E7-B83B-DFAFDA11ADEB}" id="{36811332-9FAF-42B7-A6B1-213B75D11895}">
    <text>If IL and no address on the invoice</text>
  </threadedComment>
  <threadedComment ref="E49" dT="2023-09-07T00:06:47.97" personId="{7C999C9A-6907-41E7-B83B-DFAFDA11ADEB}" id="{4F1329AC-57A0-4699-85FC-676F38C5DF89}">
    <text>Link to JCD</text>
  </threadedComment>
</ThreadedComments>
</file>

<file path=xl/threadedComments/threadedComment5.xml><?xml version="1.0" encoding="utf-8"?>
<ThreadedComments xmlns="http://schemas.microsoft.com/office/spreadsheetml/2018/threadedcomments" xmlns:x="http://schemas.openxmlformats.org/spreadsheetml/2006/main">
  <threadedComment ref="G8" dT="2023-08-25T18:31:52.01" personId="{7C999C9A-6907-41E7-B83B-DFAFDA11ADEB}" id="{2B81FB1A-39E1-4B06-B5FE-60D9009D9EFE}">
    <text>PA - Entry Level
Manager/ Supervisor/ Coordinator/ Designer - Management
Edit/Coloring-related - Post-Production
All Others - commonly Production</text>
  </threadedComment>
  <threadedComment ref="I8" dT="2024-07-26T00:15:55.47" personId="{ADF84240-20EE-4C51-B398-3C536FC93DC0}" id="{0C9AAE4A-0C14-4BB6-B74B-C43F7E3D09AC}">
    <text>To encode if exact work dates are not on the fringe recap; can use date range only for continuous dates (not needed for freelance)</text>
  </threadedComment>
  <threadedComment ref="AS8" dT="2023-09-08T21:21:48.98" personId="{7C999C9A-6907-41E7-B83B-DFAFDA11ADEB}" id="{939AFA79-01EE-4256-A80F-0DDE982980A4}">
    <text>Check/ update data from "Legend" tab for the dropdown menu</text>
  </threadedComment>
  <threadedComment ref="BI8" dT="2023-08-25T18:31:52.01" personId="{7C999C9A-6907-41E7-B83B-DFAFDA11ADEB}" id="{8A3B5E84-CF86-4918-9FD3-8A285364E6CE}">
    <text>PA - Entry Level
Manager/ Supervisor/ Coordinator/ Designer - Management
Edit/Coloring-related - Post-Production
All Others - commonly Production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J8" dT="2023-08-25T19:42:19.27" personId="{7C999C9A-6907-41E7-B83B-DFAFDA11ADEB}" id="{44FE74CE-047A-4707-A417-C2E033BEBA63}">
    <text>Actual dates worked</text>
  </threadedComment>
  <threadedComment ref="AH8" dT="2023-09-07T19:26:08.01" personId="{7C999C9A-6907-41E7-B83B-DFAFDA11ADEB}" id="{C520CE7C-8260-48AC-964D-41348EF87B27}">
    <text>For Agent, and when only loan out name is shown in the invoice</text>
  </threadedComment>
  <threadedComment ref="BC8" dT="2023-08-25T19:48:05.76" personId="{7C999C9A-6907-41E7-B83B-DFAFDA11ADEB}" id="{DB449FC3-5605-4751-966F-BD5676222590}">
    <text>Enter data in Column AD</text>
  </threadedComment>
  <threadedComment ref="BD8" dT="2023-08-25T19:42:19.27" personId="{7C999C9A-6907-41E7-B83B-DFAFDA11ADEB}" id="{1BBBCAAB-04F9-4A01-BDC2-5FEAB9040273}">
    <text>Actual dates worked</text>
  </threadedComment>
</ThreadedComments>
</file>

<file path=xl/threadedComments/threadedComment7.xml><?xml version="1.0" encoding="utf-8"?>
<ThreadedComments xmlns="http://schemas.microsoft.com/office/spreadsheetml/2018/threadedcomments" xmlns:x="http://schemas.openxmlformats.org/spreadsheetml/2006/main">
  <threadedComment ref="H8" dT="2023-08-25T18:32:26.50" personId="{7C999C9A-6907-41E7-B83B-DFAFDA11ADEB}" id="{F4EC2FF6-2A0A-48F0-A849-467847CC358C}">
    <text>PA - Entry Level
Manager/ Supervisor/ Coordinator/ Designer - Management
Edit/Coloring-related - Post-Production
All Others - commonly Production</text>
  </threadedComment>
  <threadedComment ref="AH8" dT="2023-08-25T18:31:52.01" personId="{7C999C9A-6907-41E7-B83B-DFAFDA11ADEB}" id="{D6EA9958-06F6-4FE6-9723-19A99C8C0A78}">
    <text>PA - Entry Level
Manager/ Supervisor/ Coordinator/ Designer - Management
Edit/Coloring-related - Post-Production
All Others - commonly Production</text>
  </threadedComment>
  <threadedComment ref="B9" dT="2023-08-14T06:25:22.97" personId="{7C999C9A-6907-41E7-B83B-DFAFDA11ADEB}" id="{F2A2F95D-CAA1-41AC-BFED-1C0A413A7034}">
    <text>Link to Hours Letter</text>
  </threadedComment>
  <threadedComment ref="G43" dT="2023-08-14T06:47:02.08" personId="{7C999C9A-6907-41E7-B83B-DFAFDA11ADEB}" id="{41E0744D-CE56-4B04-996D-9C1471E69A85}">
    <text>Should be higher than total Agency Hours submitted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6.bin"/><Relationship Id="rId1" Type="http://schemas.openxmlformats.org/officeDocument/2006/relationships/hyperlink" Target="..\..\..\(Residency%20Library)\(Crew%20Diversity%20-%20Master%20List).xlsx" TargetMode="Externa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4799C-2ECC-4102-B07A-9FF53C0CDC40}">
  <dimension ref="A1:I35"/>
  <sheetViews>
    <sheetView zoomScale="90" zoomScaleNormal="145" workbookViewId="0">
      <pane xSplit="1" ySplit="2" topLeftCell="G6" activePane="bottomRight" state="frozen"/>
      <selection pane="topRight" activeCell="B1" sqref="B1"/>
      <selection pane="bottomLeft" activeCell="A3" sqref="A3"/>
      <selection pane="bottomRight" activeCell="L11" sqref="L11"/>
    </sheetView>
  </sheetViews>
  <sheetFormatPr defaultColWidth="8.85546875" defaultRowHeight="15" x14ac:dyDescent="0.25"/>
  <cols>
    <col min="1" max="1" width="32.140625" style="46" customWidth="1"/>
    <col min="2" max="2" width="36.5703125" style="46" hidden="1" customWidth="1"/>
    <col min="3" max="3" width="24.85546875" style="46" hidden="1" customWidth="1"/>
    <col min="4" max="4" width="27.5703125" style="46" hidden="1" customWidth="1"/>
    <col min="5" max="5" width="26" style="46" hidden="1" customWidth="1"/>
    <col min="6" max="6" width="30.85546875" style="46" hidden="1" customWidth="1"/>
    <col min="7" max="8" width="29.85546875" style="46" customWidth="1"/>
    <col min="9" max="9" width="27.28515625" style="46" customWidth="1"/>
    <col min="10" max="10" width="2.85546875" style="46" customWidth="1"/>
    <col min="11" max="16384" width="8.85546875" style="46"/>
  </cols>
  <sheetData>
    <row r="1" spans="1:9" ht="15.75" thickBot="1" x14ac:dyDescent="0.3">
      <c r="A1" s="385" t="s">
        <v>0</v>
      </c>
      <c r="B1" s="386" t="s">
        <v>1</v>
      </c>
      <c r="C1" s="387" t="s">
        <v>2</v>
      </c>
      <c r="D1" s="387" t="s">
        <v>3</v>
      </c>
      <c r="E1" s="387" t="s">
        <v>4</v>
      </c>
      <c r="F1" s="386" t="s">
        <v>1</v>
      </c>
      <c r="G1" s="387" t="s">
        <v>5</v>
      </c>
      <c r="H1" s="387" t="s">
        <v>3</v>
      </c>
      <c r="I1" s="386" t="s">
        <v>4</v>
      </c>
    </row>
    <row r="2" spans="1:9" ht="15.75" thickBot="1" x14ac:dyDescent="0.3">
      <c r="A2" s="388" t="s">
        <v>6</v>
      </c>
      <c r="B2" s="389" t="s">
        <v>7</v>
      </c>
      <c r="C2" s="390" t="s">
        <v>1</v>
      </c>
      <c r="D2" s="390" t="s">
        <v>1</v>
      </c>
      <c r="E2" s="390" t="s">
        <v>1</v>
      </c>
      <c r="F2" s="389" t="s">
        <v>5</v>
      </c>
      <c r="G2" s="390" t="s">
        <v>5</v>
      </c>
      <c r="H2" s="390" t="s">
        <v>5</v>
      </c>
      <c r="I2" s="389" t="s">
        <v>5</v>
      </c>
    </row>
    <row r="3" spans="1:9" ht="24.6" customHeight="1" x14ac:dyDescent="0.25">
      <c r="A3" s="391" t="s">
        <v>8</v>
      </c>
      <c r="B3" s="392" t="s">
        <v>9</v>
      </c>
      <c r="C3" s="393" t="s">
        <v>9</v>
      </c>
      <c r="D3" s="393" t="s">
        <v>9</v>
      </c>
      <c r="E3" s="393" t="s">
        <v>9</v>
      </c>
      <c r="F3" s="394" t="s">
        <v>9</v>
      </c>
      <c r="G3" s="393" t="s">
        <v>9</v>
      </c>
      <c r="H3" s="393" t="s">
        <v>9</v>
      </c>
      <c r="I3" s="394" t="s">
        <v>9</v>
      </c>
    </row>
    <row r="4" spans="1:9" ht="45.75" thickBot="1" x14ac:dyDescent="0.3">
      <c r="A4" s="395" t="s">
        <v>10</v>
      </c>
      <c r="B4" s="396" t="s">
        <v>11</v>
      </c>
      <c r="C4" s="396" t="s">
        <v>11</v>
      </c>
      <c r="D4" s="396" t="s">
        <v>11</v>
      </c>
      <c r="E4" s="396" t="s">
        <v>11</v>
      </c>
      <c r="F4" s="400" t="s">
        <v>12</v>
      </c>
      <c r="G4" s="398" t="s">
        <v>9</v>
      </c>
      <c r="H4" s="398" t="s">
        <v>9</v>
      </c>
      <c r="I4" s="397" t="s">
        <v>9</v>
      </c>
    </row>
    <row r="5" spans="1:9" ht="45" x14ac:dyDescent="0.25">
      <c r="A5" s="395" t="s">
        <v>13</v>
      </c>
      <c r="B5" s="399" t="s">
        <v>14</v>
      </c>
      <c r="C5" s="399" t="s">
        <v>14</v>
      </c>
      <c r="D5" s="399" t="s">
        <v>14</v>
      </c>
      <c r="E5" s="399" t="s">
        <v>14</v>
      </c>
      <c r="F5" s="397" t="s">
        <v>9</v>
      </c>
      <c r="G5" s="398" t="s">
        <v>9</v>
      </c>
      <c r="H5" s="398" t="s">
        <v>9</v>
      </c>
      <c r="I5" s="397" t="s">
        <v>9</v>
      </c>
    </row>
    <row r="6" spans="1:9" ht="45.75" thickBot="1" x14ac:dyDescent="0.3">
      <c r="A6" s="395" t="s">
        <v>15</v>
      </c>
      <c r="B6" s="396" t="s">
        <v>11</v>
      </c>
      <c r="C6" s="396" t="s">
        <v>11</v>
      </c>
      <c r="D6" s="396" t="s">
        <v>11</v>
      </c>
      <c r="E6" s="396" t="s">
        <v>11</v>
      </c>
      <c r="F6" s="400" t="s">
        <v>12</v>
      </c>
      <c r="G6" s="398" t="s">
        <v>9</v>
      </c>
      <c r="H6" s="398" t="s">
        <v>9</v>
      </c>
      <c r="I6" s="397" t="s">
        <v>9</v>
      </c>
    </row>
    <row r="7" spans="1:9" ht="45.6" customHeight="1" thickBot="1" x14ac:dyDescent="0.3">
      <c r="A7" s="395" t="s">
        <v>16</v>
      </c>
      <c r="B7" s="401" t="s">
        <v>11</v>
      </c>
      <c r="C7" s="401" t="s">
        <v>11</v>
      </c>
      <c r="D7" s="401" t="s">
        <v>11</v>
      </c>
      <c r="E7" s="401" t="s">
        <v>11</v>
      </c>
      <c r="F7" s="400" t="s">
        <v>12</v>
      </c>
      <c r="G7" s="403" t="s">
        <v>9</v>
      </c>
      <c r="H7" s="403" t="s">
        <v>9</v>
      </c>
      <c r="I7" s="402" t="s">
        <v>9</v>
      </c>
    </row>
    <row r="8" spans="1:9" ht="30.75" thickBot="1" x14ac:dyDescent="0.3">
      <c r="A8" s="404" t="s">
        <v>17</v>
      </c>
      <c r="B8" s="405" t="s">
        <v>18</v>
      </c>
      <c r="C8" s="405" t="s">
        <v>18</v>
      </c>
      <c r="D8" s="405" t="s">
        <v>18</v>
      </c>
      <c r="E8" s="405" t="s">
        <v>18</v>
      </c>
      <c r="F8" s="405" t="s">
        <v>18</v>
      </c>
      <c r="G8" s="406" t="s">
        <v>18</v>
      </c>
      <c r="H8" s="406" t="s">
        <v>18</v>
      </c>
      <c r="I8" s="405" t="s">
        <v>18</v>
      </c>
    </row>
    <row r="10" spans="1:9" ht="45" x14ac:dyDescent="0.25">
      <c r="A10" s="407" t="s">
        <v>19</v>
      </c>
      <c r="B10" s="408" t="s">
        <v>20</v>
      </c>
      <c r="C10" s="409" t="s">
        <v>21</v>
      </c>
      <c r="D10" s="409" t="s">
        <v>21</v>
      </c>
      <c r="E10" s="409" t="s">
        <v>21</v>
      </c>
      <c r="F10" s="410" t="s">
        <v>22</v>
      </c>
      <c r="G10" s="411" t="s">
        <v>23</v>
      </c>
      <c r="H10" s="411" t="s">
        <v>23</v>
      </c>
      <c r="I10" s="411" t="s">
        <v>23</v>
      </c>
    </row>
    <row r="11" spans="1:9" ht="30.6" customHeight="1" x14ac:dyDescent="0.25">
      <c r="A11" s="412" t="s">
        <v>24</v>
      </c>
      <c r="B11" s="413" t="s">
        <v>20</v>
      </c>
      <c r="C11" s="413" t="s">
        <v>20</v>
      </c>
      <c r="D11" s="413" t="s">
        <v>20</v>
      </c>
      <c r="E11" s="413" t="s">
        <v>20</v>
      </c>
      <c r="F11" s="414" t="s">
        <v>23</v>
      </c>
      <c r="G11" s="414" t="s">
        <v>23</v>
      </c>
      <c r="H11" s="414" t="s">
        <v>23</v>
      </c>
      <c r="I11" s="414" t="s">
        <v>23</v>
      </c>
    </row>
    <row r="12" spans="1:9" ht="44.1" customHeight="1" x14ac:dyDescent="0.25">
      <c r="A12" s="412" t="s">
        <v>25</v>
      </c>
      <c r="B12" s="413" t="s">
        <v>20</v>
      </c>
      <c r="C12" s="413" t="s">
        <v>20</v>
      </c>
      <c r="D12" s="413" t="s">
        <v>20</v>
      </c>
      <c r="E12" s="413" t="s">
        <v>20</v>
      </c>
      <c r="F12" s="415" t="s">
        <v>26</v>
      </c>
      <c r="G12" s="415" t="s">
        <v>27</v>
      </c>
      <c r="H12" s="415" t="s">
        <v>27</v>
      </c>
      <c r="I12" s="415" t="s">
        <v>27</v>
      </c>
    </row>
    <row r="14" spans="1:9" ht="15" customHeight="1" x14ac:dyDescent="0.25">
      <c r="A14" s="248" t="s">
        <v>28</v>
      </c>
    </row>
    <row r="15" spans="1:9" x14ac:dyDescent="0.25">
      <c r="A15" s="248" t="s">
        <v>29</v>
      </c>
    </row>
    <row r="16" spans="1:9" x14ac:dyDescent="0.25">
      <c r="A16" s="248" t="s">
        <v>30</v>
      </c>
    </row>
    <row r="17" spans="1:9" x14ac:dyDescent="0.25">
      <c r="A17" s="248"/>
    </row>
    <row r="18" spans="1:9" x14ac:dyDescent="0.25">
      <c r="A18" s="416" t="s">
        <v>31</v>
      </c>
      <c r="B18" s="417"/>
      <c r="C18" s="417"/>
      <c r="D18" s="417"/>
      <c r="E18" s="417"/>
      <c r="F18" s="417"/>
      <c r="G18" s="417"/>
      <c r="H18" s="417"/>
      <c r="I18" s="417"/>
    </row>
    <row r="19" spans="1:9" x14ac:dyDescent="0.25">
      <c r="A19" s="418" t="s">
        <v>0</v>
      </c>
      <c r="B19" s="177"/>
      <c r="F19" s="177"/>
      <c r="G19" s="177"/>
      <c r="H19" s="177"/>
      <c r="I19" s="177"/>
    </row>
    <row r="20" spans="1:9" s="419" customFormat="1" ht="30" x14ac:dyDescent="0.25">
      <c r="A20" s="419" t="s">
        <v>32</v>
      </c>
      <c r="B20" s="420" t="s">
        <v>33</v>
      </c>
      <c r="C20" s="420" t="s">
        <v>34</v>
      </c>
      <c r="D20" s="420" t="s">
        <v>35</v>
      </c>
      <c r="E20" s="420" t="s">
        <v>36</v>
      </c>
      <c r="F20" s="420" t="s">
        <v>33</v>
      </c>
      <c r="G20" s="420" t="s">
        <v>34</v>
      </c>
      <c r="H20" s="420" t="s">
        <v>35</v>
      </c>
      <c r="I20" s="420" t="s">
        <v>36</v>
      </c>
    </row>
    <row r="21" spans="1:9" x14ac:dyDescent="0.25">
      <c r="A21" s="46" t="s">
        <v>37</v>
      </c>
      <c r="B21" s="177" t="s">
        <v>38</v>
      </c>
      <c r="C21" s="177" t="s">
        <v>38</v>
      </c>
      <c r="D21" s="177" t="s">
        <v>38</v>
      </c>
      <c r="E21" s="420" t="s">
        <v>36</v>
      </c>
      <c r="F21" s="177" t="s">
        <v>38</v>
      </c>
      <c r="G21" s="177" t="s">
        <v>38</v>
      </c>
      <c r="H21" s="177" t="s">
        <v>38</v>
      </c>
      <c r="I21" s="177" t="s">
        <v>36</v>
      </c>
    </row>
    <row r="22" spans="1:9" ht="45" x14ac:dyDescent="0.25">
      <c r="A22" s="46" t="s">
        <v>39</v>
      </c>
      <c r="B22" s="420" t="s">
        <v>40</v>
      </c>
      <c r="C22" s="177" t="s">
        <v>36</v>
      </c>
      <c r="D22" s="420" t="s">
        <v>40</v>
      </c>
      <c r="E22" s="420" t="s">
        <v>36</v>
      </c>
      <c r="F22" s="420" t="s">
        <v>40</v>
      </c>
      <c r="G22" s="177" t="s">
        <v>36</v>
      </c>
      <c r="H22" s="420" t="s">
        <v>40</v>
      </c>
      <c r="I22" s="177" t="s">
        <v>36</v>
      </c>
    </row>
    <row r="23" spans="1:9" s="421" customFormat="1" ht="105" customHeight="1" x14ac:dyDescent="0.25">
      <c r="A23" s="421" t="s">
        <v>41</v>
      </c>
      <c r="B23" s="420" t="s">
        <v>42</v>
      </c>
      <c r="C23" s="420" t="s">
        <v>43</v>
      </c>
      <c r="D23" s="420" t="s">
        <v>43</v>
      </c>
      <c r="E23" s="420" t="s">
        <v>36</v>
      </c>
      <c r="F23" s="420" t="s">
        <v>44</v>
      </c>
      <c r="G23" s="420" t="s">
        <v>45</v>
      </c>
      <c r="H23" s="420" t="s">
        <v>45</v>
      </c>
      <c r="I23" s="177" t="s">
        <v>36</v>
      </c>
    </row>
    <row r="24" spans="1:9" ht="30" x14ac:dyDescent="0.25">
      <c r="A24" s="46" t="s">
        <v>46</v>
      </c>
      <c r="B24" s="420" t="s">
        <v>47</v>
      </c>
      <c r="C24" s="420" t="s">
        <v>38</v>
      </c>
      <c r="D24" s="420" t="s">
        <v>38</v>
      </c>
      <c r="E24" s="420" t="s">
        <v>36</v>
      </c>
      <c r="F24" s="420" t="s">
        <v>47</v>
      </c>
      <c r="G24" s="177" t="s">
        <v>38</v>
      </c>
      <c r="H24" s="177" t="s">
        <v>38</v>
      </c>
      <c r="I24" s="177" t="s">
        <v>36</v>
      </c>
    </row>
    <row r="25" spans="1:9" ht="45" x14ac:dyDescent="0.25">
      <c r="A25" s="46" t="s">
        <v>48</v>
      </c>
      <c r="B25" s="420" t="s">
        <v>49</v>
      </c>
      <c r="C25" s="177" t="s">
        <v>38</v>
      </c>
      <c r="D25" s="177" t="s">
        <v>38</v>
      </c>
      <c r="E25" s="420" t="s">
        <v>49</v>
      </c>
      <c r="F25" s="177" t="s">
        <v>35</v>
      </c>
      <c r="G25" s="177" t="s">
        <v>38</v>
      </c>
      <c r="H25" s="177" t="s">
        <v>38</v>
      </c>
      <c r="I25" s="177" t="s">
        <v>36</v>
      </c>
    </row>
    <row r="26" spans="1:9" x14ac:dyDescent="0.25">
      <c r="B26" s="177"/>
      <c r="F26" s="177"/>
      <c r="G26" s="177"/>
      <c r="H26" s="177"/>
      <c r="I26" s="177"/>
    </row>
    <row r="27" spans="1:9" x14ac:dyDescent="0.25">
      <c r="A27" s="418" t="s">
        <v>6</v>
      </c>
      <c r="B27" s="177"/>
      <c r="F27" s="177"/>
      <c r="G27" s="177"/>
      <c r="H27" s="177"/>
      <c r="I27" s="177"/>
    </row>
    <row r="28" spans="1:9" s="419" customFormat="1" ht="30" x14ac:dyDescent="0.25">
      <c r="A28" s="419" t="s">
        <v>50</v>
      </c>
      <c r="B28" s="420" t="s">
        <v>38</v>
      </c>
      <c r="C28" s="420" t="s">
        <v>38</v>
      </c>
      <c r="D28" s="420" t="s">
        <v>38</v>
      </c>
      <c r="E28" s="420" t="s">
        <v>38</v>
      </c>
      <c r="F28" s="420" t="s">
        <v>51</v>
      </c>
      <c r="G28" s="420" t="s">
        <v>34</v>
      </c>
      <c r="H28" s="420" t="s">
        <v>34</v>
      </c>
      <c r="I28" s="420" t="s">
        <v>36</v>
      </c>
    </row>
    <row r="29" spans="1:9" x14ac:dyDescent="0.25">
      <c r="A29" s="46" t="s">
        <v>52</v>
      </c>
      <c r="B29" s="177" t="s">
        <v>35</v>
      </c>
      <c r="C29" s="177" t="s">
        <v>35</v>
      </c>
      <c r="D29" s="177" t="s">
        <v>35</v>
      </c>
      <c r="E29" s="177" t="s">
        <v>35</v>
      </c>
      <c r="F29" s="177" t="s">
        <v>38</v>
      </c>
      <c r="G29" s="177" t="s">
        <v>38</v>
      </c>
      <c r="H29" s="177" t="s">
        <v>38</v>
      </c>
      <c r="I29" s="177" t="s">
        <v>38</v>
      </c>
    </row>
    <row r="30" spans="1:9" ht="60" x14ac:dyDescent="0.25">
      <c r="A30" s="46" t="s">
        <v>53</v>
      </c>
      <c r="B30" s="420" t="s">
        <v>54</v>
      </c>
      <c r="C30" s="420" t="s">
        <v>54</v>
      </c>
      <c r="D30" s="420" t="s">
        <v>54</v>
      </c>
      <c r="E30" s="420" t="s">
        <v>54</v>
      </c>
      <c r="F30" s="420" t="s">
        <v>54</v>
      </c>
      <c r="G30" s="420" t="s">
        <v>55</v>
      </c>
      <c r="H30" s="420" t="s">
        <v>55</v>
      </c>
      <c r="I30" s="420" t="s">
        <v>54</v>
      </c>
    </row>
    <row r="31" spans="1:9" ht="45" x14ac:dyDescent="0.25">
      <c r="A31" s="46" t="s">
        <v>56</v>
      </c>
      <c r="B31" s="177" t="s">
        <v>35</v>
      </c>
      <c r="C31" s="177" t="s">
        <v>35</v>
      </c>
      <c r="D31" s="177" t="s">
        <v>35</v>
      </c>
      <c r="E31" s="177" t="s">
        <v>35</v>
      </c>
      <c r="F31" s="422" t="s">
        <v>22</v>
      </c>
      <c r="G31" s="177" t="s">
        <v>38</v>
      </c>
      <c r="H31" s="177" t="s">
        <v>38</v>
      </c>
      <c r="I31" s="177" t="s">
        <v>38</v>
      </c>
    </row>
    <row r="32" spans="1:9" ht="45" x14ac:dyDescent="0.25">
      <c r="A32" s="46" t="s">
        <v>57</v>
      </c>
      <c r="B32" s="177" t="s">
        <v>35</v>
      </c>
      <c r="C32" s="177" t="s">
        <v>35</v>
      </c>
      <c r="D32" s="177" t="s">
        <v>35</v>
      </c>
      <c r="E32" s="177" t="s">
        <v>35</v>
      </c>
      <c r="F32" s="422" t="s">
        <v>22</v>
      </c>
      <c r="G32" s="177" t="s">
        <v>38</v>
      </c>
      <c r="H32" s="177" t="s">
        <v>38</v>
      </c>
      <c r="I32" s="177" t="s">
        <v>38</v>
      </c>
    </row>
    <row r="33" spans="1:9" ht="33.6" customHeight="1" x14ac:dyDescent="0.25">
      <c r="A33" s="46" t="s">
        <v>58</v>
      </c>
      <c r="B33" s="177" t="s">
        <v>35</v>
      </c>
      <c r="C33" s="177" t="s">
        <v>35</v>
      </c>
      <c r="D33" s="177" t="s">
        <v>35</v>
      </c>
      <c r="E33" s="177" t="s">
        <v>35</v>
      </c>
      <c r="F33" s="422" t="s">
        <v>22</v>
      </c>
      <c r="G33" s="177" t="s">
        <v>38</v>
      </c>
      <c r="H33" s="177" t="s">
        <v>38</v>
      </c>
      <c r="I33" s="420" t="s">
        <v>38</v>
      </c>
    </row>
    <row r="34" spans="1:9" ht="33.6" customHeight="1" x14ac:dyDescent="0.25">
      <c r="A34" s="46" t="s">
        <v>41</v>
      </c>
      <c r="B34" s="420" t="s">
        <v>59</v>
      </c>
      <c r="C34" s="420" t="s">
        <v>59</v>
      </c>
      <c r="D34" s="177" t="s">
        <v>38</v>
      </c>
      <c r="E34" s="420" t="s">
        <v>59</v>
      </c>
      <c r="F34" s="177" t="s">
        <v>38</v>
      </c>
      <c r="G34" s="177" t="s">
        <v>38</v>
      </c>
      <c r="H34" s="177" t="s">
        <v>38</v>
      </c>
      <c r="I34" s="177" t="s">
        <v>38</v>
      </c>
    </row>
    <row r="35" spans="1:9" ht="45" x14ac:dyDescent="0.25">
      <c r="A35" s="46" t="s">
        <v>60</v>
      </c>
      <c r="B35" s="177" t="s">
        <v>35</v>
      </c>
      <c r="C35" s="177" t="s">
        <v>35</v>
      </c>
      <c r="D35" s="177" t="s">
        <v>35</v>
      </c>
      <c r="E35" s="177" t="s">
        <v>35</v>
      </c>
      <c r="F35" s="422" t="s">
        <v>22</v>
      </c>
      <c r="G35" s="177" t="s">
        <v>38</v>
      </c>
      <c r="H35" s="177" t="s">
        <v>38</v>
      </c>
      <c r="I35" s="177" t="s">
        <v>38</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004C-1A7D-4433-A49D-64EB1461A879}">
  <sheetPr>
    <tabColor rgb="FFFF0000"/>
    <pageSetUpPr fitToPage="1"/>
  </sheetPr>
  <dimension ref="A1:AK117"/>
  <sheetViews>
    <sheetView topLeftCell="A33" zoomScale="70" zoomScaleNormal="70" zoomScalePageLayoutView="60" workbookViewId="0">
      <selection activeCell="D36" sqref="D36"/>
    </sheetView>
  </sheetViews>
  <sheetFormatPr defaultColWidth="9.140625" defaultRowHeight="15" x14ac:dyDescent="0.25"/>
  <cols>
    <col min="1" max="1" width="2.85546875" style="112" customWidth="1"/>
    <col min="2" max="2" width="25.5703125" style="112" bestFit="1" customWidth="1"/>
    <col min="3" max="3" width="51.85546875" style="112" customWidth="1"/>
    <col min="4" max="4" width="16.85546875" style="112" customWidth="1"/>
    <col min="5" max="5" width="10.85546875" style="112" customWidth="1"/>
    <col min="6" max="7" width="4.85546875" style="112" customWidth="1"/>
    <col min="8" max="8" width="17.85546875" style="112" bestFit="1" customWidth="1"/>
    <col min="9" max="9" width="24.140625" style="112" customWidth="1"/>
    <col min="10" max="10" width="20" style="112" customWidth="1"/>
    <col min="11" max="11" width="20.42578125" style="112" customWidth="1"/>
    <col min="12" max="12" width="15.5703125" style="112" customWidth="1"/>
    <col min="13" max="13" width="15.140625" style="112" bestFit="1" customWidth="1"/>
    <col min="14" max="14" width="21.5703125" style="321" bestFit="1" customWidth="1"/>
    <col min="15" max="15" width="19.140625" style="112" bestFit="1" customWidth="1"/>
    <col min="16" max="16" width="12.140625" style="112" bestFit="1" customWidth="1"/>
    <col min="17" max="18" width="17.140625" style="112" customWidth="1"/>
    <col min="19" max="19" width="9.140625" style="112" customWidth="1"/>
    <col min="20" max="21" width="12.140625" style="112" bestFit="1" customWidth="1"/>
    <col min="22" max="22" width="12.85546875" style="112" bestFit="1" customWidth="1"/>
    <col min="23" max="23" width="14.5703125" style="112" customWidth="1"/>
    <col min="24" max="24" width="21.7109375" style="112" customWidth="1"/>
    <col min="25" max="25" width="18.42578125" style="112" customWidth="1"/>
    <col min="26" max="16384" width="9.140625" style="112"/>
  </cols>
  <sheetData>
    <row r="1" spans="1:37" s="111" customFormat="1" ht="18.75" x14ac:dyDescent="0.3">
      <c r="A1" s="448" t="s">
        <v>61</v>
      </c>
      <c r="B1" s="448"/>
      <c r="C1" s="448"/>
      <c r="D1" s="448"/>
      <c r="E1" s="448"/>
      <c r="F1" s="448"/>
      <c r="G1" s="448"/>
      <c r="H1" s="448"/>
      <c r="I1" s="448"/>
      <c r="J1" s="448"/>
      <c r="K1" s="448"/>
      <c r="L1" s="448"/>
      <c r="M1" s="448"/>
      <c r="N1" s="448"/>
      <c r="O1" s="448"/>
      <c r="P1" s="448"/>
      <c r="Q1" s="448"/>
      <c r="R1" s="448"/>
      <c r="S1" s="448"/>
      <c r="T1" s="448"/>
      <c r="U1" s="448"/>
      <c r="V1" s="448"/>
      <c r="W1" s="448"/>
    </row>
    <row r="2" spans="1:37" s="111" customFormat="1" ht="18.75" x14ac:dyDescent="0.3">
      <c r="A2" s="448" t="s">
        <v>62</v>
      </c>
      <c r="B2" s="448"/>
      <c r="C2" s="448"/>
      <c r="D2" s="448"/>
      <c r="E2" s="448"/>
      <c r="F2" s="448"/>
      <c r="G2" s="448"/>
      <c r="H2" s="448"/>
      <c r="I2" s="448"/>
      <c r="J2" s="448"/>
      <c r="K2" s="448"/>
      <c r="L2" s="448"/>
      <c r="M2" s="448"/>
      <c r="N2" s="448"/>
      <c r="O2" s="448"/>
      <c r="P2" s="448"/>
      <c r="Q2" s="448"/>
      <c r="R2" s="448"/>
      <c r="S2" s="448"/>
      <c r="T2" s="448"/>
      <c r="U2" s="448"/>
      <c r="V2" s="448"/>
      <c r="W2" s="448"/>
    </row>
    <row r="4" spans="1:37" ht="15.75" x14ac:dyDescent="0.25">
      <c r="A4" s="184"/>
      <c r="B4" s="582" t="s">
        <v>63</v>
      </c>
      <c r="C4" s="583"/>
      <c r="D4" s="184"/>
      <c r="E4" s="184"/>
      <c r="F4" s="582" t="s">
        <v>64</v>
      </c>
      <c r="G4" s="582"/>
      <c r="H4" s="192" t="s">
        <v>65</v>
      </c>
      <c r="I4"/>
      <c r="J4"/>
      <c r="K4"/>
      <c r="L4" s="184"/>
      <c r="M4" s="184"/>
      <c r="N4" s="322"/>
      <c r="O4" s="184"/>
      <c r="P4" s="184"/>
      <c r="Q4" s="184"/>
      <c r="R4" s="184"/>
      <c r="S4" s="184"/>
      <c r="T4" s="184"/>
      <c r="U4" s="184"/>
      <c r="V4" s="184"/>
      <c r="W4" s="184"/>
      <c r="X4" s="557" t="s">
        <v>66</v>
      </c>
      <c r="Y4" s="242" t="s">
        <v>67</v>
      </c>
      <c r="Z4" s="184"/>
      <c r="AA4" s="184"/>
      <c r="AB4" s="184"/>
      <c r="AC4" s="184"/>
      <c r="AD4" s="184"/>
      <c r="AE4" s="184"/>
      <c r="AF4" s="184"/>
      <c r="AG4" s="184"/>
      <c r="AH4" s="184"/>
      <c r="AI4" s="184"/>
      <c r="AJ4" s="184"/>
      <c r="AK4" s="184"/>
    </row>
    <row r="5" spans="1:37" ht="15.75" x14ac:dyDescent="0.25">
      <c r="A5" s="184"/>
      <c r="B5" s="582" t="s">
        <v>68</v>
      </c>
      <c r="C5" s="135"/>
      <c r="D5" s="184"/>
      <c r="E5" s="184"/>
      <c r="F5" s="184"/>
      <c r="G5" s="184"/>
      <c r="H5" s="184"/>
      <c r="I5" s="184"/>
      <c r="J5" s="184"/>
      <c r="K5" s="184"/>
      <c r="L5" s="184"/>
      <c r="M5" s="184"/>
      <c r="N5" s="322"/>
      <c r="O5" s="184"/>
      <c r="P5" s="184"/>
      <c r="Q5" s="184"/>
      <c r="R5" s="184"/>
      <c r="S5" s="184"/>
      <c r="T5" s="184"/>
      <c r="U5" s="184"/>
      <c r="V5" s="184"/>
      <c r="W5" s="184"/>
      <c r="X5" s="184"/>
      <c r="Y5" s="184"/>
      <c r="Z5" s="184"/>
      <c r="AA5" s="184"/>
      <c r="AB5" s="184"/>
      <c r="AC5" s="184"/>
      <c r="AD5" s="184"/>
      <c r="AE5" s="184"/>
      <c r="AF5" s="184"/>
      <c r="AG5" s="184"/>
      <c r="AH5" s="184"/>
      <c r="AI5" s="184"/>
      <c r="AJ5" s="184"/>
      <c r="AK5" s="184"/>
    </row>
    <row r="6" spans="1:37" ht="18.75" x14ac:dyDescent="0.3">
      <c r="A6" s="184"/>
      <c r="B6" s="582"/>
      <c r="C6" s="584"/>
      <c r="D6" s="184"/>
      <c r="E6" s="184"/>
      <c r="F6" s="184"/>
      <c r="G6" s="184"/>
      <c r="H6" s="184"/>
      <c r="I6" s="184"/>
      <c r="J6" s="184"/>
      <c r="K6" s="184"/>
      <c r="L6" s="184"/>
      <c r="M6" s="184"/>
      <c r="N6" s="322"/>
      <c r="O6" s="184"/>
      <c r="P6" s="184"/>
      <c r="Q6" s="184"/>
      <c r="R6" s="184"/>
      <c r="S6" s="184"/>
      <c r="T6" s="184"/>
      <c r="U6" s="184"/>
      <c r="V6" s="184"/>
      <c r="W6" s="184"/>
      <c r="X6" s="184"/>
      <c r="Y6" s="184"/>
      <c r="Z6" s="184"/>
      <c r="AA6" s="184"/>
      <c r="AB6" s="184"/>
      <c r="AC6" s="184"/>
      <c r="AD6" s="184"/>
      <c r="AE6" s="184"/>
      <c r="AF6" s="184"/>
      <c r="AG6" s="184"/>
      <c r="AH6" s="184"/>
      <c r="AI6" s="184"/>
      <c r="AJ6" s="184"/>
      <c r="AK6" s="184"/>
    </row>
    <row r="7" spans="1:37" ht="15.75" thickBot="1" x14ac:dyDescent="0.3">
      <c r="A7" s="184"/>
      <c r="B7" s="122" t="s">
        <v>69</v>
      </c>
      <c r="C7" s="205"/>
      <c r="D7" s="184"/>
      <c r="E7" s="184"/>
      <c r="F7" s="184"/>
      <c r="G7" s="184"/>
      <c r="H7" s="184"/>
      <c r="I7" s="184"/>
      <c r="J7" s="184"/>
      <c r="K7" s="184"/>
      <c r="L7" s="184"/>
      <c r="M7" s="184"/>
      <c r="N7" s="322"/>
      <c r="O7" s="184"/>
      <c r="P7" s="184"/>
      <c r="Q7" s="184"/>
      <c r="R7" s="184"/>
      <c r="S7" s="184"/>
      <c r="T7" s="184"/>
      <c r="U7" s="184"/>
      <c r="V7" s="184"/>
      <c r="W7" s="184"/>
      <c r="X7" s="184"/>
      <c r="Y7" s="184"/>
      <c r="Z7" s="184"/>
      <c r="AA7" s="184"/>
      <c r="AB7" s="184"/>
      <c r="AC7" s="184"/>
      <c r="AD7" s="184"/>
      <c r="AE7" s="184"/>
      <c r="AF7" s="184"/>
      <c r="AG7" s="184"/>
      <c r="AH7" s="184"/>
      <c r="AI7" s="184"/>
      <c r="AJ7" s="184"/>
      <c r="AK7" s="184"/>
    </row>
    <row r="8" spans="1:37" ht="15.75" thickBot="1" x14ac:dyDescent="0.3">
      <c r="A8" s="184"/>
      <c r="B8" s="122" t="s">
        <v>70</v>
      </c>
      <c r="C8" s="205"/>
      <c r="D8" s="184"/>
      <c r="E8" s="184"/>
      <c r="F8" s="184"/>
      <c r="G8" s="184"/>
      <c r="H8" s="380" t="s">
        <v>71</v>
      </c>
      <c r="I8" s="585"/>
      <c r="J8" s="585"/>
      <c r="K8" s="585"/>
      <c r="L8" s="585"/>
      <c r="M8" s="585"/>
      <c r="N8" s="585"/>
      <c r="O8" s="585"/>
      <c r="P8" s="585"/>
      <c r="Q8" s="585"/>
      <c r="R8" s="585"/>
      <c r="S8" s="585"/>
      <c r="T8" s="585"/>
      <c r="U8" s="585"/>
      <c r="V8" s="586"/>
      <c r="W8" s="184"/>
      <c r="X8" s="381" t="s">
        <v>72</v>
      </c>
      <c r="Y8" s="381"/>
      <c r="Z8" s="184"/>
      <c r="AA8" s="184"/>
      <c r="AB8" s="380" t="s">
        <v>73</v>
      </c>
      <c r="AC8" s="585"/>
      <c r="AD8" s="585"/>
      <c r="AE8" s="585"/>
      <c r="AF8" s="585"/>
      <c r="AG8" s="585"/>
      <c r="AH8" s="585"/>
      <c r="AI8" s="585"/>
      <c r="AJ8" s="585"/>
      <c r="AK8" s="586"/>
    </row>
    <row r="9" spans="1:37" ht="15.75" thickBot="1" x14ac:dyDescent="0.3">
      <c r="A9" s="184"/>
      <c r="B9" s="582" t="s">
        <v>74</v>
      </c>
      <c r="C9" s="205"/>
      <c r="D9" s="184"/>
      <c r="E9" s="184"/>
      <c r="F9" s="184"/>
      <c r="G9" s="184"/>
      <c r="H9" s="184"/>
      <c r="I9" s="184"/>
      <c r="J9" s="184"/>
      <c r="K9" s="184"/>
      <c r="L9" s="184"/>
      <c r="M9" s="184"/>
      <c r="N9" s="322"/>
      <c r="O9" s="184"/>
      <c r="P9" s="184"/>
      <c r="Q9" s="184"/>
      <c r="R9" s="184"/>
      <c r="S9" s="184"/>
      <c r="T9" s="184"/>
      <c r="U9" s="184"/>
      <c r="V9" s="184"/>
      <c r="W9" s="184"/>
      <c r="X9" s="184"/>
      <c r="Y9" s="184"/>
      <c r="Z9" s="184"/>
      <c r="AA9" s="184"/>
      <c r="AB9" s="184"/>
      <c r="AC9" s="184"/>
      <c r="AD9" s="184"/>
      <c r="AE9" s="184"/>
      <c r="AF9" s="184"/>
      <c r="AG9" s="184"/>
      <c r="AH9" s="184"/>
      <c r="AI9" s="184"/>
      <c r="AJ9" s="184"/>
      <c r="AK9" s="184"/>
    </row>
    <row r="10" spans="1:37" ht="15.75" thickBot="1" x14ac:dyDescent="0.3">
      <c r="A10" s="184"/>
      <c r="B10" s="122" t="s">
        <v>75</v>
      </c>
      <c r="C10" s="205"/>
      <c r="D10" s="184"/>
      <c r="E10" s="184"/>
      <c r="F10" s="184"/>
      <c r="G10" s="184"/>
      <c r="H10" s="319" t="s">
        <v>76</v>
      </c>
      <c r="I10" s="320"/>
      <c r="J10" s="320"/>
      <c r="K10" s="320"/>
      <c r="L10" s="587"/>
      <c r="M10" s="184"/>
      <c r="N10" s="319" t="s">
        <v>77</v>
      </c>
      <c r="O10" s="320"/>
      <c r="P10" s="320"/>
      <c r="Q10" s="320"/>
      <c r="R10" s="588"/>
      <c r="S10" s="184"/>
      <c r="T10" s="531" t="s">
        <v>78</v>
      </c>
      <c r="U10" s="184"/>
      <c r="V10" s="531" t="s">
        <v>79</v>
      </c>
      <c r="W10" s="184"/>
      <c r="X10" s="102" t="s">
        <v>80</v>
      </c>
      <c r="Y10" s="102" t="s">
        <v>81</v>
      </c>
      <c r="Z10" s="184"/>
      <c r="AA10" s="184"/>
      <c r="AB10" s="184"/>
      <c r="AC10" s="184"/>
      <c r="AD10" s="184"/>
      <c r="AE10" s="184"/>
      <c r="AF10" s="184"/>
      <c r="AG10" s="184"/>
      <c r="AH10" s="184"/>
      <c r="AI10" s="184"/>
      <c r="AJ10" s="184"/>
      <c r="AK10" s="184"/>
    </row>
    <row r="11" spans="1:37" x14ac:dyDescent="0.25">
      <c r="A11" s="184"/>
      <c r="B11" s="122" t="s">
        <v>82</v>
      </c>
      <c r="C11" s="205"/>
      <c r="D11" s="184"/>
      <c r="E11" s="184"/>
      <c r="F11" s="184"/>
      <c r="G11" s="184"/>
      <c r="H11" s="5" t="s">
        <v>83</v>
      </c>
      <c r="I11" s="5"/>
      <c r="J11" s="5"/>
      <c r="K11" s="5"/>
      <c r="L11" s="184"/>
      <c r="M11" s="184"/>
      <c r="N11" s="322"/>
      <c r="O11" s="184"/>
      <c r="P11" s="184"/>
      <c r="Q11" s="184"/>
      <c r="R11" s="184"/>
      <c r="S11" s="184"/>
      <c r="T11" s="184"/>
      <c r="U11" s="184"/>
      <c r="V11" s="184"/>
      <c r="W11" s="184"/>
      <c r="X11" s="184"/>
      <c r="Y11" s="589"/>
      <c r="Z11" s="184"/>
      <c r="AA11" s="184"/>
      <c r="AB11" t="s">
        <v>84</v>
      </c>
      <c r="AC11" s="184"/>
      <c r="AD11" s="184"/>
      <c r="AE11" s="184"/>
      <c r="AF11" s="184"/>
      <c r="AG11" s="184"/>
      <c r="AH11" s="184"/>
      <c r="AI11" s="184"/>
      <c r="AJ11" s="184"/>
      <c r="AK11" s="184"/>
    </row>
    <row r="12" spans="1:37" ht="17.25" x14ac:dyDescent="0.4">
      <c r="A12" s="184"/>
      <c r="B12" s="122" t="s">
        <v>85</v>
      </c>
      <c r="C12" s="136"/>
      <c r="D12" s="184"/>
      <c r="E12" s="184"/>
      <c r="F12" s="184"/>
      <c r="G12" s="184"/>
      <c r="H12" s="322" t="s">
        <v>86</v>
      </c>
      <c r="I12" s="582"/>
      <c r="J12" s="582"/>
      <c r="K12" s="113">
        <f>'Crew Payroll'!AE45</f>
        <v>0</v>
      </c>
      <c r="L12" s="184"/>
      <c r="M12" s="184"/>
      <c r="N12" s="32" t="s">
        <v>87</v>
      </c>
      <c r="O12" s="122"/>
      <c r="P12" s="122"/>
      <c r="Q12" s="114">
        <f>P13+P14</f>
        <v>0</v>
      </c>
      <c r="R12" s="590"/>
      <c r="S12" s="590"/>
      <c r="T12" s="114">
        <f>'Crew Payroll'!U53</f>
        <v>0</v>
      </c>
      <c r="U12" s="590"/>
      <c r="V12" s="590">
        <f>K12-(Q12+T12)</f>
        <v>0</v>
      </c>
      <c r="W12" s="184"/>
      <c r="X12" s="589"/>
      <c r="Y12" s="589"/>
      <c r="Z12" s="184"/>
      <c r="AA12" s="184"/>
      <c r="AB12" s="243" t="s">
        <v>88</v>
      </c>
      <c r="AC12" s="184"/>
      <c r="AD12" s="184"/>
      <c r="AE12" s="184"/>
      <c r="AF12" s="184"/>
      <c r="AG12" s="184"/>
      <c r="AH12" s="184"/>
      <c r="AI12" s="184"/>
      <c r="AJ12" s="184"/>
      <c r="AK12" s="184"/>
    </row>
    <row r="13" spans="1:37" ht="17.25" x14ac:dyDescent="0.4">
      <c r="A13" s="184"/>
      <c r="B13" s="122" t="s">
        <v>89</v>
      </c>
      <c r="C13" s="136"/>
      <c r="D13" s="184"/>
      <c r="E13" s="184"/>
      <c r="F13" s="184"/>
      <c r="G13" s="184"/>
      <c r="H13" s="184"/>
      <c r="I13" s="184"/>
      <c r="J13" s="184"/>
      <c r="K13" s="184"/>
      <c r="L13" s="184"/>
      <c r="M13" s="184"/>
      <c r="N13" s="322"/>
      <c r="O13" s="226" t="s">
        <v>90</v>
      </c>
      <c r="P13" s="227">
        <f>'Crew Payroll'!S53</f>
        <v>0</v>
      </c>
      <c r="Q13" s="184"/>
      <c r="R13" s="184"/>
      <c r="S13" s="184"/>
      <c r="T13" s="184"/>
      <c r="U13" s="184"/>
      <c r="V13" s="590"/>
      <c r="W13" s="184"/>
      <c r="X13" s="589"/>
      <c r="Y13" s="589"/>
      <c r="Z13" s="184"/>
      <c r="AA13" s="184"/>
      <c r="AB13" s="184"/>
      <c r="AC13" s="184"/>
      <c r="AD13" s="184"/>
      <c r="AE13" s="184"/>
      <c r="AF13" s="184"/>
      <c r="AG13" s="184"/>
      <c r="AH13" s="184"/>
      <c r="AI13" s="184"/>
      <c r="AJ13" s="184"/>
      <c r="AK13" s="184"/>
    </row>
    <row r="14" spans="1:37" ht="17.25" x14ac:dyDescent="0.4">
      <c r="A14" s="184"/>
      <c r="B14" s="122" t="s">
        <v>91</v>
      </c>
      <c r="C14" s="137"/>
      <c r="D14" s="184"/>
      <c r="E14" s="184"/>
      <c r="F14" s="184"/>
      <c r="G14" s="184"/>
      <c r="H14" s="184"/>
      <c r="I14" s="184"/>
      <c r="J14" s="184"/>
      <c r="K14" s="184"/>
      <c r="L14" s="184"/>
      <c r="M14" s="184"/>
      <c r="N14" s="322"/>
      <c r="O14" s="226" t="s">
        <v>92</v>
      </c>
      <c r="P14" s="227">
        <f>'Crew Payroll'!S54</f>
        <v>0</v>
      </c>
      <c r="Q14" s="184"/>
      <c r="R14" s="184"/>
      <c r="S14" s="184"/>
      <c r="T14" s="184"/>
      <c r="U14" s="184"/>
      <c r="V14" s="590"/>
      <c r="W14" s="184"/>
      <c r="X14" s="589"/>
      <c r="Y14" s="589"/>
      <c r="Z14" s="184"/>
      <c r="AA14" s="184"/>
      <c r="AB14" s="184"/>
      <c r="AC14" s="184"/>
      <c r="AD14" s="184"/>
      <c r="AE14" s="184"/>
      <c r="AF14" s="184"/>
      <c r="AG14" s="184"/>
      <c r="AH14" s="184"/>
      <c r="AI14" s="184"/>
      <c r="AJ14" s="184"/>
      <c r="AK14" s="184"/>
    </row>
    <row r="15" spans="1:37" ht="17.25" x14ac:dyDescent="0.4">
      <c r="A15" s="184"/>
      <c r="B15" s="122" t="s">
        <v>93</v>
      </c>
      <c r="C15" s="137"/>
      <c r="D15" s="184"/>
      <c r="E15" s="184"/>
      <c r="F15" s="184"/>
      <c r="G15" s="184"/>
      <c r="H15" s="32" t="s">
        <v>94</v>
      </c>
      <c r="I15" s="582"/>
      <c r="J15" s="582"/>
      <c r="K15" s="113" t="e">
        <f>#REF!</f>
        <v>#REF!</v>
      </c>
      <c r="L15" s="184"/>
      <c r="M15" s="184"/>
      <c r="N15" s="32" t="s">
        <v>94</v>
      </c>
      <c r="O15" s="582"/>
      <c r="P15" s="582"/>
      <c r="Q15" s="114" t="e">
        <f>#REF!</f>
        <v>#REF!</v>
      </c>
      <c r="R15" s="184"/>
      <c r="S15" s="184"/>
      <c r="T15" s="114" t="e">
        <f>#REF!</f>
        <v>#REF!</v>
      </c>
      <c r="U15" s="184"/>
      <c r="V15" s="590" t="e">
        <f t="shared" ref="V15:V18" si="0">K15-(Q15+T15)</f>
        <v>#REF!</v>
      </c>
      <c r="W15" s="184"/>
      <c r="X15" s="589"/>
      <c r="Y15" s="589"/>
      <c r="Z15" s="184"/>
      <c r="AA15" s="184"/>
      <c r="AB15" s="184"/>
      <c r="AC15" s="184"/>
      <c r="AD15" s="184"/>
      <c r="AE15" s="184"/>
      <c r="AF15" s="184"/>
      <c r="AG15" s="184"/>
      <c r="AH15" s="184"/>
      <c r="AI15" s="184"/>
      <c r="AJ15" s="184"/>
      <c r="AK15" s="184"/>
    </row>
    <row r="16" spans="1:37" ht="17.25" x14ac:dyDescent="0.4">
      <c r="A16" s="184"/>
      <c r="B16" s="582"/>
      <c r="C16" s="184"/>
      <c r="D16" s="184"/>
      <c r="E16" s="184"/>
      <c r="F16" s="184"/>
      <c r="G16" s="184"/>
      <c r="H16" s="32" t="s">
        <v>95</v>
      </c>
      <c r="I16" s="582"/>
      <c r="J16" s="582"/>
      <c r="K16" s="113" t="e">
        <f>#REF!</f>
        <v>#REF!</v>
      </c>
      <c r="L16" s="184"/>
      <c r="M16" s="184"/>
      <c r="N16" s="32" t="s">
        <v>95</v>
      </c>
      <c r="O16" s="582"/>
      <c r="P16" s="582"/>
      <c r="Q16" s="114" t="e">
        <f>#REF!</f>
        <v>#REF!</v>
      </c>
      <c r="R16" s="184"/>
      <c r="S16" s="184"/>
      <c r="T16" s="114" t="e">
        <f>#REF!</f>
        <v>#REF!</v>
      </c>
      <c r="U16" s="184"/>
      <c r="V16" s="590" t="e">
        <f t="shared" si="0"/>
        <v>#REF!</v>
      </c>
      <c r="W16" s="184"/>
      <c r="X16" s="589"/>
      <c r="Y16" s="589"/>
      <c r="Z16" s="184"/>
      <c r="AA16" s="184"/>
      <c r="AB16" s="184"/>
      <c r="AC16" s="184"/>
      <c r="AD16" s="184"/>
      <c r="AE16" s="184"/>
      <c r="AF16" s="184"/>
      <c r="AG16" s="184"/>
      <c r="AH16" s="184"/>
      <c r="AI16" s="184"/>
      <c r="AJ16" s="184"/>
      <c r="AK16" s="184"/>
    </row>
    <row r="17" spans="2:26" ht="17.25" x14ac:dyDescent="0.4">
      <c r="B17" s="582" t="s">
        <v>96</v>
      </c>
      <c r="C17" s="136"/>
      <c r="D17" s="184"/>
      <c r="E17" s="184"/>
      <c r="F17" s="184"/>
      <c r="G17" s="184"/>
      <c r="H17" s="32" t="s">
        <v>97</v>
      </c>
      <c r="I17" s="122"/>
      <c r="J17" s="122"/>
      <c r="K17" s="113" t="e">
        <f>#REF!</f>
        <v>#REF!</v>
      </c>
      <c r="L17" s="184"/>
      <c r="M17" s="184"/>
      <c r="N17" s="32" t="s">
        <v>97</v>
      </c>
      <c r="O17" s="122"/>
      <c r="P17" s="122"/>
      <c r="Q17" s="114" t="e">
        <f>#REF!</f>
        <v>#REF!</v>
      </c>
      <c r="R17" s="184"/>
      <c r="S17" s="184"/>
      <c r="T17" s="114" t="e">
        <f>#REF!</f>
        <v>#REF!</v>
      </c>
      <c r="U17" s="184"/>
      <c r="V17" s="590" t="e">
        <f t="shared" si="0"/>
        <v>#REF!</v>
      </c>
      <c r="W17" s="184"/>
      <c r="X17" s="589"/>
      <c r="Y17" s="589"/>
      <c r="Z17" s="184"/>
    </row>
    <row r="18" spans="2:26" ht="17.25" x14ac:dyDescent="0.4">
      <c r="B18" s="122" t="s">
        <v>98</v>
      </c>
      <c r="C18" s="136"/>
      <c r="D18" s="184"/>
      <c r="E18" s="184"/>
      <c r="F18" s="184"/>
      <c r="G18" s="184"/>
      <c r="H18" s="32" t="s">
        <v>99</v>
      </c>
      <c r="I18" s="122"/>
      <c r="J18" s="122"/>
      <c r="K18" s="113" t="e">
        <f>#REF!</f>
        <v>#REF!</v>
      </c>
      <c r="L18" s="184"/>
      <c r="M18" s="184"/>
      <c r="N18" s="32" t="s">
        <v>99</v>
      </c>
      <c r="O18" s="122"/>
      <c r="P18" s="122"/>
      <c r="Q18" s="114" t="e">
        <f>#REF!</f>
        <v>#REF!</v>
      </c>
      <c r="R18" s="590"/>
      <c r="S18" s="590"/>
      <c r="T18" s="114" t="e">
        <f>#REF!</f>
        <v>#REF!</v>
      </c>
      <c r="U18" s="590"/>
      <c r="V18" s="590" t="e">
        <f t="shared" si="0"/>
        <v>#REF!</v>
      </c>
      <c r="W18" s="184"/>
      <c r="X18" s="589"/>
      <c r="Y18" s="589"/>
      <c r="Z18" s="184"/>
    </row>
    <row r="19" spans="2:26" x14ac:dyDescent="0.25">
      <c r="B19" s="582" t="s">
        <v>100</v>
      </c>
      <c r="C19" s="136"/>
      <c r="D19" s="184"/>
      <c r="E19" s="184"/>
      <c r="F19" s="184"/>
      <c r="G19" s="184"/>
      <c r="H19" s="184"/>
      <c r="I19" s="184"/>
      <c r="J19" s="184"/>
      <c r="K19" s="184"/>
      <c r="L19" s="184"/>
      <c r="M19" s="184"/>
      <c r="N19" s="322"/>
      <c r="O19" s="184"/>
      <c r="P19" s="184"/>
      <c r="Q19" s="184"/>
      <c r="R19" s="184"/>
      <c r="S19" s="184"/>
      <c r="T19" s="184"/>
      <c r="U19" s="184"/>
      <c r="V19" s="590"/>
      <c r="W19" s="184"/>
      <c r="X19" s="382"/>
      <c r="Y19" s="589"/>
      <c r="Z19"/>
    </row>
    <row r="20" spans="2:26" ht="17.25" x14ac:dyDescent="0.4">
      <c r="B20" s="582" t="s">
        <v>101</v>
      </c>
      <c r="C20" s="136"/>
      <c r="D20" t="s">
        <v>102</v>
      </c>
      <c r="E20" s="184"/>
      <c r="F20" s="184"/>
      <c r="G20" s="184"/>
      <c r="H20" s="32" t="s">
        <v>103</v>
      </c>
      <c r="I20" s="122"/>
      <c r="J20" s="122"/>
      <c r="K20" s="113">
        <f>SUM('Talent &amp; Extras'!T63)</f>
        <v>0</v>
      </c>
      <c r="L20" s="184"/>
      <c r="M20" s="184"/>
      <c r="N20" s="32" t="s">
        <v>103</v>
      </c>
      <c r="O20" s="122"/>
      <c r="P20" s="122"/>
      <c r="Q20" s="113">
        <f>'Talent &amp; Extras'!N81</f>
        <v>0</v>
      </c>
      <c r="R20" s="184"/>
      <c r="S20" s="184"/>
      <c r="T20" s="113">
        <f>'Talent &amp; Extras'!M69</f>
        <v>0</v>
      </c>
      <c r="U20" s="184"/>
      <c r="V20" s="590">
        <f>K20-(Q20+T20)</f>
        <v>0</v>
      </c>
      <c r="W20" s="184"/>
      <c r="X20" s="589"/>
      <c r="Y20" s="589"/>
      <c r="Z20" s="184"/>
    </row>
    <row r="21" spans="2:26" ht="17.25" x14ac:dyDescent="0.4">
      <c r="B21" s="122" t="s">
        <v>104</v>
      </c>
      <c r="C21" s="136"/>
      <c r="D21" t="s">
        <v>105</v>
      </c>
      <c r="E21" s="184"/>
      <c r="F21" s="184"/>
      <c r="G21" s="184"/>
      <c r="H21" s="322"/>
      <c r="I21" s="592" t="s">
        <v>106</v>
      </c>
      <c r="J21" s="229">
        <f>'Talent &amp; Extras'!Q69</f>
        <v>0</v>
      </c>
      <c r="K21" s="184"/>
      <c r="L21" s="184"/>
      <c r="M21" s="184"/>
      <c r="N21" s="322"/>
      <c r="O21" s="592" t="s">
        <v>106</v>
      </c>
      <c r="P21" s="229">
        <f>'Talent &amp; Extras'!D69</f>
        <v>0</v>
      </c>
      <c r="Q21" s="184"/>
      <c r="R21" s="184"/>
      <c r="S21" s="184"/>
      <c r="T21" s="184"/>
      <c r="U21" s="184"/>
      <c r="V21" s="590"/>
      <c r="W21" s="184"/>
      <c r="X21" s="589"/>
      <c r="Y21" s="589"/>
      <c r="Z21" s="184"/>
    </row>
    <row r="22" spans="2:26" ht="17.25" x14ac:dyDescent="0.4">
      <c r="B22" s="122" t="s">
        <v>107</v>
      </c>
      <c r="C22" s="136"/>
      <c r="D22" t="s">
        <v>108</v>
      </c>
      <c r="E22" s="184"/>
      <c r="F22" s="184"/>
      <c r="G22" s="184"/>
      <c r="H22" s="322"/>
      <c r="I22" s="226" t="s">
        <v>109</v>
      </c>
      <c r="J22" s="229">
        <f>'Talent &amp; Extras'!C71</f>
        <v>0</v>
      </c>
      <c r="K22" s="184"/>
      <c r="L22" s="184"/>
      <c r="M22" s="184"/>
      <c r="N22" s="322"/>
      <c r="O22" s="226" t="s">
        <v>109</v>
      </c>
      <c r="P22" s="229">
        <f>'Talent &amp; Extras'!D70</f>
        <v>0</v>
      </c>
      <c r="Q22" s="184"/>
      <c r="R22" s="115"/>
      <c r="S22" s="115"/>
      <c r="T22" s="184"/>
      <c r="U22" s="115"/>
      <c r="V22" s="590"/>
      <c r="W22" s="184"/>
      <c r="X22" s="589"/>
      <c r="Y22" s="589"/>
      <c r="Z22" s="184"/>
    </row>
    <row r="23" spans="2:26" ht="17.25" x14ac:dyDescent="0.4">
      <c r="B23" s="582" t="s">
        <v>110</v>
      </c>
      <c r="C23" s="591"/>
      <c r="D23" s="184"/>
      <c r="E23" s="184"/>
      <c r="F23" s="184"/>
      <c r="G23" s="184"/>
      <c r="H23" s="184"/>
      <c r="I23" s="184"/>
      <c r="J23" s="184"/>
      <c r="K23" s="184"/>
      <c r="L23" s="184"/>
      <c r="M23" s="184"/>
      <c r="N23" s="322"/>
      <c r="O23" s="226" t="s">
        <v>111</v>
      </c>
      <c r="P23" s="229">
        <f>'Talent &amp; Extras'!R69</f>
        <v>0</v>
      </c>
      <c r="Q23" s="184"/>
      <c r="R23" s="115"/>
      <c r="S23" s="115"/>
      <c r="T23" s="184"/>
      <c r="U23" s="115"/>
      <c r="V23" s="590"/>
      <c r="W23" s="184"/>
      <c r="X23" s="589"/>
      <c r="Y23" s="589"/>
      <c r="Z23" s="184"/>
    </row>
    <row r="24" spans="2:26" ht="17.25" x14ac:dyDescent="0.4">
      <c r="B24" s="582" t="s">
        <v>112</v>
      </c>
      <c r="C24" s="591"/>
      <c r="D24" s="184"/>
      <c r="E24" s="184"/>
      <c r="F24" s="184"/>
      <c r="G24" s="184"/>
      <c r="H24" s="184"/>
      <c r="I24" s="184"/>
      <c r="J24" s="184"/>
      <c r="K24" s="184"/>
      <c r="L24" s="184"/>
      <c r="M24" s="184"/>
      <c r="N24" s="322"/>
      <c r="O24" s="480" t="s">
        <v>113</v>
      </c>
      <c r="P24" s="481">
        <f>'Agency Sub-Vendors'!M69</f>
        <v>0</v>
      </c>
      <c r="Q24" s="184"/>
      <c r="R24" s="184"/>
      <c r="S24" s="184"/>
      <c r="T24" s="184"/>
      <c r="U24" s="184"/>
      <c r="V24" s="590"/>
      <c r="W24" s="184"/>
      <c r="X24" s="589"/>
      <c r="Y24" s="589"/>
      <c r="Z24" s="184"/>
    </row>
    <row r="25" spans="2:26" ht="17.25" x14ac:dyDescent="0.4">
      <c r="B25" s="582" t="s">
        <v>114</v>
      </c>
      <c r="C25" s="591"/>
      <c r="D25" s="184"/>
      <c r="E25" s="184"/>
      <c r="F25" s="184"/>
      <c r="G25" s="184"/>
      <c r="H25" s="184"/>
      <c r="I25" s="184"/>
      <c r="J25" s="184"/>
      <c r="K25" s="184"/>
      <c r="L25" s="184"/>
      <c r="M25" s="184"/>
      <c r="N25" s="322"/>
      <c r="O25" s="480" t="s">
        <v>115</v>
      </c>
      <c r="P25" s="481">
        <f>'Agency Sub-Vendors'!M68</f>
        <v>0</v>
      </c>
      <c r="Q25" s="184"/>
      <c r="R25" s="184"/>
      <c r="S25" s="184"/>
      <c r="T25" s="184"/>
      <c r="U25" s="115"/>
      <c r="V25" s="590"/>
      <c r="W25" s="184"/>
      <c r="X25" s="184"/>
      <c r="Y25" s="184"/>
      <c r="Z25" s="184"/>
    </row>
    <row r="26" spans="2:26" ht="17.25" x14ac:dyDescent="0.4">
      <c r="B26" s="593" t="s">
        <v>116</v>
      </c>
      <c r="C26" s="591"/>
      <c r="D26" s="184"/>
      <c r="E26" s="184"/>
      <c r="F26" s="184"/>
      <c r="G26" s="184"/>
      <c r="H26" s="32" t="s">
        <v>117</v>
      </c>
      <c r="I26" s="582"/>
      <c r="J26" s="582"/>
      <c r="K26" s="113">
        <f>'Agency Sub-Vendors'!M63</f>
        <v>0</v>
      </c>
      <c r="L26" s="184"/>
      <c r="M26" s="184"/>
      <c r="N26" s="32" t="s">
        <v>118</v>
      </c>
      <c r="O26" s="582"/>
      <c r="P26" s="582"/>
      <c r="Q26" s="113">
        <f>'Agency Sub-Vendors'!M60</f>
        <v>0</v>
      </c>
      <c r="R26" s="115"/>
      <c r="S26" s="115"/>
      <c r="T26" s="113">
        <f>'Agency Sub-Vendors'!M61</f>
        <v>0</v>
      </c>
      <c r="U26" s="184"/>
      <c r="V26" s="590">
        <f t="shared" ref="V26:V27" si="1">K26-(Q26+T26)</f>
        <v>0</v>
      </c>
      <c r="W26" s="184"/>
      <c r="X26" s="184"/>
      <c r="Y26" s="184"/>
      <c r="Z26" s="184"/>
    </row>
    <row r="27" spans="2:26" ht="17.25" x14ac:dyDescent="0.4">
      <c r="B27" s="593" t="s">
        <v>119</v>
      </c>
      <c r="C27" s="591"/>
      <c r="D27" s="184"/>
      <c r="E27" s="184"/>
      <c r="F27" s="184"/>
      <c r="G27" s="184"/>
      <c r="H27" s="322" t="s">
        <v>120</v>
      </c>
      <c r="I27" s="582"/>
      <c r="J27" s="582"/>
      <c r="K27" s="113">
        <f>'Agency Hours'!T43</f>
        <v>0</v>
      </c>
      <c r="L27" s="184"/>
      <c r="M27" s="184"/>
      <c r="N27" s="32" t="s">
        <v>121</v>
      </c>
      <c r="O27" s="582"/>
      <c r="P27" s="582"/>
      <c r="Q27" s="113">
        <f>'Agency Hours'!Q71</f>
        <v>0</v>
      </c>
      <c r="R27" s="184"/>
      <c r="S27" s="184"/>
      <c r="T27" s="113">
        <f>'Agency Hours'!O43</f>
        <v>0</v>
      </c>
      <c r="U27" s="184"/>
      <c r="V27" s="590">
        <f t="shared" si="1"/>
        <v>0</v>
      </c>
      <c r="W27" s="184"/>
      <c r="X27" s="184"/>
      <c r="Y27" s="184"/>
      <c r="Z27" s="184"/>
    </row>
    <row r="28" spans="2:26" ht="17.25" x14ac:dyDescent="0.4">
      <c r="B28" s="188" t="s">
        <v>122</v>
      </c>
      <c r="C28" s="591"/>
      <c r="D28" s="184"/>
      <c r="E28" s="184"/>
      <c r="F28" s="184"/>
      <c r="G28" s="184"/>
      <c r="H28" s="184"/>
      <c r="I28" s="184"/>
      <c r="J28" s="184"/>
      <c r="K28" s="184"/>
      <c r="L28" s="184"/>
      <c r="M28" s="184"/>
      <c r="N28" s="322"/>
      <c r="O28" s="226" t="s">
        <v>123</v>
      </c>
      <c r="P28" s="227">
        <f>'Agency Hours'!Q58</f>
        <v>0</v>
      </c>
      <c r="Q28" s="184"/>
      <c r="R28" s="184"/>
      <c r="S28" s="184"/>
      <c r="T28" s="184"/>
      <c r="U28" s="184"/>
      <c r="V28" s="590"/>
      <c r="W28" s="184"/>
      <c r="X28" s="184"/>
      <c r="Y28" s="184"/>
      <c r="Z28" s="184"/>
    </row>
    <row r="29" spans="2:26" ht="17.25" x14ac:dyDescent="0.4">
      <c r="B29" s="593"/>
      <c r="C29" s="594"/>
      <c r="D29" s="184"/>
      <c r="E29" s="184"/>
      <c r="F29" s="184"/>
      <c r="G29" s="184"/>
      <c r="H29" s="184"/>
      <c r="I29" s="184"/>
      <c r="J29" s="184"/>
      <c r="K29" s="184"/>
      <c r="L29" s="184"/>
      <c r="M29" s="184"/>
      <c r="N29" s="322"/>
      <c r="O29" s="226" t="s">
        <v>92</v>
      </c>
      <c r="P29" s="227">
        <f>'Agency Hours'!R43</f>
        <v>0</v>
      </c>
      <c r="Q29" s="184"/>
      <c r="R29" s="184"/>
      <c r="S29" s="184"/>
      <c r="T29" s="184"/>
      <c r="U29" s="184"/>
      <c r="V29" s="590"/>
      <c r="W29" s="184"/>
      <c r="X29" s="184"/>
      <c r="Y29" s="589"/>
      <c r="Z29" s="184"/>
    </row>
    <row r="30" spans="2:26" x14ac:dyDescent="0.25">
      <c r="B30" s="582" t="s">
        <v>124</v>
      </c>
      <c r="C30" s="591"/>
      <c r="D30" s="184"/>
      <c r="E30" s="184"/>
      <c r="F30" s="184"/>
      <c r="G30" s="184"/>
      <c r="H30" s="184"/>
      <c r="I30" s="184"/>
      <c r="J30" s="184"/>
      <c r="K30" s="184"/>
      <c r="L30" s="184"/>
      <c r="M30" s="184"/>
      <c r="N30" s="322"/>
      <c r="O30" s="184"/>
      <c r="P30" s="184"/>
      <c r="Q30" s="184"/>
      <c r="R30" s="184"/>
      <c r="S30" s="184"/>
      <c r="T30" s="184"/>
      <c r="U30" s="184"/>
      <c r="V30" s="590"/>
      <c r="W30" s="184"/>
      <c r="X30" s="184"/>
      <c r="Y30" s="184"/>
      <c r="Z30" s="184"/>
    </row>
    <row r="31" spans="2:26" ht="17.25" x14ac:dyDescent="0.4">
      <c r="B31" s="594"/>
      <c r="C31" s="594"/>
      <c r="D31" s="184"/>
      <c r="E31" s="184"/>
      <c r="F31" s="184"/>
      <c r="G31" s="184"/>
      <c r="H31" s="184"/>
      <c r="I31" s="596" t="s">
        <v>125</v>
      </c>
      <c r="J31" s="528">
        <f>'Agency Hours'!J49</f>
        <v>0</v>
      </c>
      <c r="K31" s="184"/>
      <c r="L31" s="184"/>
      <c r="M31" s="184"/>
      <c r="N31" s="322"/>
      <c r="O31" s="596" t="s">
        <v>125</v>
      </c>
      <c r="P31" s="527">
        <f>'Agency Hours'!S49</f>
        <v>0</v>
      </c>
      <c r="Q31" s="184"/>
      <c r="R31" s="184"/>
      <c r="S31" s="184"/>
      <c r="T31" s="184"/>
      <c r="U31" s="527">
        <f>'Agency Hours'!O49</f>
        <v>0</v>
      </c>
      <c r="V31" s="590">
        <f>J31-(P31+U31)</f>
        <v>0</v>
      </c>
      <c r="W31" s="184"/>
      <c r="X31" s="184"/>
      <c r="Y31" s="184"/>
      <c r="Z31" s="184"/>
    </row>
    <row r="32" spans="2:26" x14ac:dyDescent="0.25">
      <c r="B32" s="122" t="s">
        <v>126</v>
      </c>
      <c r="C32" s="591"/>
      <c r="D32" s="184"/>
      <c r="E32" s="184"/>
      <c r="F32" s="184"/>
      <c r="G32" s="184"/>
      <c r="H32" s="184"/>
      <c r="I32" s="184"/>
      <c r="J32" s="184"/>
      <c r="K32" s="184"/>
      <c r="L32" s="184"/>
      <c r="M32" s="184"/>
      <c r="N32" s="322"/>
      <c r="O32" s="184"/>
      <c r="P32" s="184"/>
      <c r="Q32" s="184"/>
      <c r="R32" s="184"/>
      <c r="S32" s="184"/>
      <c r="T32" s="184"/>
      <c r="U32" s="184"/>
      <c r="V32" s="590"/>
      <c r="W32" s="184"/>
      <c r="X32" s="184"/>
      <c r="Y32" s="184"/>
      <c r="Z32" s="184"/>
    </row>
    <row r="33" spans="2:25" ht="17.25" x14ac:dyDescent="0.4">
      <c r="B33" s="582" t="s">
        <v>127</v>
      </c>
      <c r="C33" s="136"/>
      <c r="D33" s="184"/>
      <c r="E33" s="184"/>
      <c r="F33" s="184"/>
      <c r="G33" s="184"/>
      <c r="H33" s="32" t="s">
        <v>128</v>
      </c>
      <c r="I33" s="122"/>
      <c r="J33" s="122"/>
      <c r="K33" s="113">
        <f>'Agency Hours'!Q68</f>
        <v>0</v>
      </c>
      <c r="L33" s="184"/>
      <c r="M33" s="184"/>
      <c r="N33" s="32" t="s">
        <v>129</v>
      </c>
      <c r="O33" s="122"/>
      <c r="P33" s="122"/>
      <c r="Q33" s="113">
        <f>'Agency Hours'!Q64+'Agency Hours'!Q65</f>
        <v>0</v>
      </c>
      <c r="R33" s="184"/>
      <c r="S33" s="184"/>
      <c r="T33" s="113">
        <f>'Agency Hours'!O55</f>
        <v>0</v>
      </c>
      <c r="U33" s="184"/>
      <c r="V33" s="590">
        <f>K33-(Q33+T33)</f>
        <v>0</v>
      </c>
      <c r="W33" s="184"/>
      <c r="X33" s="589"/>
      <c r="Y33" s="589"/>
    </row>
    <row r="34" spans="2:25" ht="17.25" x14ac:dyDescent="0.4">
      <c r="B34" s="582" t="s">
        <v>130</v>
      </c>
      <c r="C34" s="136"/>
      <c r="D34" s="595"/>
      <c r="E34" s="184"/>
      <c r="F34" s="184"/>
      <c r="G34" s="184"/>
      <c r="H34" s="184"/>
      <c r="I34" s="184"/>
      <c r="J34" s="184"/>
      <c r="K34" s="184"/>
      <c r="L34" s="184"/>
      <c r="M34" s="184"/>
      <c r="N34" s="322"/>
      <c r="O34" s="226" t="s">
        <v>123</v>
      </c>
      <c r="P34" s="227">
        <f>'Agency Hours'!S55</f>
        <v>0</v>
      </c>
      <c r="Q34" s="184"/>
      <c r="R34" s="115"/>
      <c r="S34" s="115"/>
      <c r="T34" s="184"/>
      <c r="U34" s="115"/>
      <c r="V34" s="590"/>
      <c r="W34" s="184"/>
      <c r="X34" s="589"/>
      <c r="Y34" s="589"/>
    </row>
    <row r="35" spans="2:25" ht="17.25" x14ac:dyDescent="0.4">
      <c r="B35" s="184"/>
      <c r="C35" s="184"/>
      <c r="D35" s="595"/>
      <c r="E35" s="184"/>
      <c r="F35" s="184"/>
      <c r="G35" s="184"/>
      <c r="H35" s="184"/>
      <c r="I35" s="184"/>
      <c r="J35" s="184"/>
      <c r="K35" s="184"/>
      <c r="L35" s="184"/>
      <c r="M35" s="184"/>
      <c r="N35" s="322"/>
      <c r="O35" s="226" t="s">
        <v>92</v>
      </c>
      <c r="P35" s="227">
        <f>'Agency Hours'!R55</f>
        <v>0</v>
      </c>
      <c r="Q35" s="184"/>
      <c r="R35" s="115"/>
      <c r="S35" s="115"/>
      <c r="T35" s="184"/>
      <c r="U35" s="115"/>
      <c r="V35" s="590"/>
      <c r="W35" s="184"/>
      <c r="X35" s="589"/>
      <c r="Y35" s="589"/>
    </row>
    <row r="36" spans="2:25" x14ac:dyDescent="0.25">
      <c r="B36" s="184"/>
      <c r="C36" t="s">
        <v>131</v>
      </c>
      <c r="D36" s="383">
        <v>0</v>
      </c>
      <c r="E36" s="184"/>
      <c r="F36" s="184"/>
      <c r="G36" s="184"/>
      <c r="H36" s="184"/>
      <c r="I36" s="184"/>
      <c r="J36" s="184"/>
      <c r="K36" s="184"/>
      <c r="L36" s="184"/>
      <c r="M36" s="184"/>
      <c r="N36" s="322"/>
      <c r="O36" s="184"/>
      <c r="P36" s="184"/>
      <c r="Q36" s="184"/>
      <c r="R36" s="115"/>
      <c r="S36" s="115"/>
      <c r="T36" s="184"/>
      <c r="U36" s="115"/>
      <c r="V36" s="590"/>
      <c r="W36" s="184"/>
      <c r="X36" s="589"/>
      <c r="Y36" s="589"/>
    </row>
    <row r="37" spans="2:25" ht="17.25" x14ac:dyDescent="0.4">
      <c r="B37" s="184"/>
      <c r="C37" t="s">
        <v>132</v>
      </c>
      <c r="D37" s="383">
        <v>0</v>
      </c>
      <c r="E37" s="184"/>
      <c r="F37" s="184"/>
      <c r="G37" s="184"/>
      <c r="H37" s="322" t="s">
        <v>133</v>
      </c>
      <c r="I37" s="582"/>
      <c r="J37" s="582"/>
      <c r="K37" s="113" t="e">
        <f>#REF!</f>
        <v>#REF!</v>
      </c>
      <c r="L37" s="184"/>
      <c r="M37" s="184"/>
      <c r="N37" s="322" t="s">
        <v>133</v>
      </c>
      <c r="O37" s="582"/>
      <c r="P37" s="582"/>
      <c r="Q37" s="113" t="e">
        <f>#REF!</f>
        <v>#REF!</v>
      </c>
      <c r="R37" s="115"/>
      <c r="S37" s="115"/>
      <c r="T37" s="113" t="e">
        <f>#REF!</f>
        <v>#REF!</v>
      </c>
      <c r="U37" s="115"/>
      <c r="V37" s="590" t="e">
        <f t="shared" ref="V37:V39" si="2">K37-(Q37+T37)</f>
        <v>#REF!</v>
      </c>
      <c r="W37" s="184"/>
      <c r="X37" s="589"/>
      <c r="Y37" s="589"/>
    </row>
    <row r="38" spans="2:25" ht="17.25" x14ac:dyDescent="0.4">
      <c r="B38" s="184"/>
      <c r="C38" t="s">
        <v>134</v>
      </c>
      <c r="D38" s="597"/>
      <c r="E38" s="184"/>
      <c r="F38" s="184"/>
      <c r="G38" s="184"/>
      <c r="H38" s="322" t="s">
        <v>135</v>
      </c>
      <c r="I38" s="582"/>
      <c r="J38" s="582"/>
      <c r="K38" s="113">
        <v>0</v>
      </c>
      <c r="L38" s="184"/>
      <c r="M38" s="184"/>
      <c r="N38" s="322" t="s">
        <v>136</v>
      </c>
      <c r="O38" s="582"/>
      <c r="P38" s="582"/>
      <c r="Q38" s="113">
        <v>0</v>
      </c>
      <c r="R38" s="115"/>
      <c r="S38" s="115"/>
      <c r="T38" s="113">
        <v>0</v>
      </c>
      <c r="U38" s="115"/>
      <c r="V38" s="590">
        <f t="shared" si="2"/>
        <v>0</v>
      </c>
      <c r="W38" s="184"/>
      <c r="X38" s="589"/>
      <c r="Y38" s="589"/>
    </row>
    <row r="39" spans="2:25" ht="17.25" x14ac:dyDescent="0.4">
      <c r="B39" s="184"/>
      <c r="C39" t="s">
        <v>137</v>
      </c>
      <c r="D39" s="343"/>
      <c r="E39" s="184"/>
      <c r="F39" s="184"/>
      <c r="G39" s="184"/>
      <c r="H39" s="322" t="s">
        <v>138</v>
      </c>
      <c r="I39" s="582"/>
      <c r="J39" s="582"/>
      <c r="K39" s="113">
        <v>0</v>
      </c>
      <c r="L39" s="184"/>
      <c r="M39" s="184"/>
      <c r="N39" s="322" t="s">
        <v>138</v>
      </c>
      <c r="O39" s="582"/>
      <c r="P39" s="582"/>
      <c r="Q39" s="113">
        <v>0</v>
      </c>
      <c r="R39" s="115"/>
      <c r="S39" s="115"/>
      <c r="T39" s="113">
        <v>0</v>
      </c>
      <c r="U39" s="115"/>
      <c r="V39" s="590">
        <f t="shared" si="2"/>
        <v>0</v>
      </c>
      <c r="W39" s="598"/>
      <c r="X39" s="589"/>
      <c r="Y39" s="589"/>
    </row>
    <row r="40" spans="2:25" ht="17.25" x14ac:dyDescent="0.4">
      <c r="B40" s="184"/>
      <c r="C40" s="184" t="s">
        <v>139</v>
      </c>
      <c r="D40" s="344"/>
      <c r="E40" s="184"/>
      <c r="F40" s="184"/>
      <c r="G40" s="184"/>
      <c r="H40" s="322" t="s">
        <v>140</v>
      </c>
      <c r="I40" s="582"/>
      <c r="J40" s="582"/>
      <c r="K40" s="113">
        <v>0</v>
      </c>
      <c r="L40" s="184"/>
      <c r="M40" s="184"/>
      <c r="N40" s="322" t="s">
        <v>140</v>
      </c>
      <c r="O40" s="582"/>
      <c r="P40" s="582"/>
      <c r="Q40" s="113">
        <v>0</v>
      </c>
      <c r="R40" s="115"/>
      <c r="S40" s="115"/>
      <c r="T40" s="113">
        <v>0</v>
      </c>
      <c r="U40" s="115"/>
      <c r="V40" s="590">
        <f>K40-(Q40+T40)</f>
        <v>0</v>
      </c>
      <c r="W40" s="184"/>
      <c r="X40" s="589"/>
      <c r="Y40" s="589"/>
    </row>
    <row r="41" spans="2:25" ht="17.25" x14ac:dyDescent="0.4">
      <c r="B41" s="184"/>
      <c r="C41" t="s">
        <v>141</v>
      </c>
      <c r="D41" s="597"/>
      <c r="E41" s="184"/>
      <c r="F41" s="184"/>
      <c r="G41" s="184"/>
      <c r="H41" s="184"/>
      <c r="I41" s="596" t="s">
        <v>142</v>
      </c>
      <c r="J41" s="528">
        <v>0</v>
      </c>
      <c r="K41" s="184"/>
      <c r="L41" s="184"/>
      <c r="M41" s="184"/>
      <c r="N41" s="322"/>
      <c r="O41" s="596" t="s">
        <v>142</v>
      </c>
      <c r="P41" s="527">
        <v>0</v>
      </c>
      <c r="Q41" s="184"/>
      <c r="R41" s="184"/>
      <c r="S41" s="184"/>
      <c r="T41" s="184"/>
      <c r="U41" s="527">
        <v>0</v>
      </c>
      <c r="V41" s="590">
        <v>0</v>
      </c>
      <c r="W41" s="184"/>
      <c r="X41" s="599"/>
      <c r="Y41" s="589"/>
    </row>
    <row r="42" spans="2:25" ht="17.25" x14ac:dyDescent="0.4">
      <c r="B42" s="595"/>
      <c r="C42" t="s">
        <v>143</v>
      </c>
      <c r="D42" s="597"/>
      <c r="E42" s="184"/>
      <c r="F42" s="184"/>
      <c r="G42" s="184"/>
      <c r="H42" s="322" t="s">
        <v>144</v>
      </c>
      <c r="I42" s="582"/>
      <c r="J42" s="582"/>
      <c r="K42" s="113">
        <v>0</v>
      </c>
      <c r="L42" s="184"/>
      <c r="M42" s="184"/>
      <c r="N42" s="322" t="s">
        <v>144</v>
      </c>
      <c r="O42" s="582"/>
      <c r="P42" s="582"/>
      <c r="Q42" s="113">
        <v>0</v>
      </c>
      <c r="R42" s="115"/>
      <c r="S42" s="115"/>
      <c r="T42" s="113"/>
      <c r="U42" s="115">
        <v>0</v>
      </c>
      <c r="V42" s="590">
        <f>K42-(Q42+T42)</f>
        <v>0</v>
      </c>
      <c r="W42" s="600"/>
      <c r="X42" s="184"/>
      <c r="Y42" s="184"/>
    </row>
    <row r="43" spans="2:25" ht="15.75" thickBot="1" x14ac:dyDescent="0.3">
      <c r="B43" s="595"/>
      <c r="C43" s="184" t="s">
        <v>145</v>
      </c>
      <c r="D43" s="344"/>
      <c r="E43" s="184"/>
      <c r="F43" s="184"/>
      <c r="G43" s="184"/>
      <c r="H43" s="322" t="s">
        <v>146</v>
      </c>
      <c r="I43" s="582"/>
      <c r="J43" s="582"/>
      <c r="K43" s="116" t="e">
        <f>SUM(K12:K42)</f>
        <v>#REF!</v>
      </c>
      <c r="L43" s="184"/>
      <c r="M43" s="184"/>
      <c r="N43" s="32" t="s">
        <v>147</v>
      </c>
      <c r="O43" s="582"/>
      <c r="P43" s="582"/>
      <c r="Q43" s="116" t="e">
        <f>SUM(Q12:Q42)+P24+P25</f>
        <v>#REF!</v>
      </c>
      <c r="R43" s="184"/>
      <c r="S43" s="184"/>
      <c r="T43" s="116">
        <v>0</v>
      </c>
      <c r="U43" s="184"/>
      <c r="V43" s="529">
        <v>0</v>
      </c>
      <c r="W43" s="184"/>
      <c r="X43" s="184"/>
      <c r="Y43" s="184"/>
    </row>
    <row r="44" spans="2:25" ht="15.75" thickTop="1" x14ac:dyDescent="0.25">
      <c r="B44" s="184"/>
      <c r="C44" t="s">
        <v>148</v>
      </c>
      <c r="D44" s="342"/>
      <c r="E44" s="184"/>
      <c r="F44" s="184"/>
      <c r="G44" s="184"/>
      <c r="H44" s="184"/>
      <c r="I44" s="184"/>
      <c r="J44" s="184"/>
      <c r="K44" s="184"/>
      <c r="L44" s="184"/>
      <c r="M44" s="184"/>
      <c r="N44" s="322"/>
      <c r="O44" s="184"/>
      <c r="P44" s="184"/>
      <c r="Q44" s="184"/>
      <c r="R44" s="184"/>
      <c r="S44" s="184"/>
      <c r="T44" s="184"/>
      <c r="U44" s="184"/>
      <c r="V44" s="184"/>
      <c r="W44" s="184"/>
      <c r="X44" s="184"/>
      <c r="Y44" s="184"/>
    </row>
    <row r="45" spans="2:25" ht="17.25" x14ac:dyDescent="0.4">
      <c r="B45" s="595"/>
      <c r="C45" t="s">
        <v>149</v>
      </c>
      <c r="D45" s="345"/>
      <c r="E45" s="184"/>
      <c r="F45" s="184"/>
      <c r="G45" s="184"/>
      <c r="H45" s="184"/>
      <c r="I45" s="184"/>
      <c r="J45" s="184"/>
      <c r="K45" s="184"/>
      <c r="L45" s="184"/>
      <c r="M45" s="184"/>
      <c r="N45" s="322"/>
      <c r="O45" s="226" t="s">
        <v>150</v>
      </c>
      <c r="P45" s="227">
        <f>P14+P23+P29+P35</f>
        <v>0</v>
      </c>
      <c r="Q45" s="184"/>
      <c r="R45" s="184"/>
      <c r="S45" s="184"/>
      <c r="T45" s="184"/>
      <c r="U45" s="184"/>
      <c r="V45" s="184"/>
      <c r="W45" s="184"/>
      <c r="X45" s="184"/>
      <c r="Y45" s="184"/>
    </row>
    <row r="46" spans="2:25" x14ac:dyDescent="0.25">
      <c r="B46" s="595"/>
      <c r="C46" s="184"/>
      <c r="D46" s="342"/>
      <c r="E46" s="184"/>
      <c r="F46" s="7"/>
      <c r="G46" s="7"/>
      <c r="H46" s="184"/>
      <c r="I46" s="184"/>
      <c r="J46" s="184"/>
      <c r="K46" s="184"/>
      <c r="L46" s="184"/>
      <c r="M46" s="184"/>
      <c r="N46" s="322"/>
      <c r="O46" s="184"/>
      <c r="P46" s="184"/>
      <c r="Q46" s="184"/>
      <c r="R46" s="184"/>
      <c r="S46" s="184"/>
      <c r="T46" s="184"/>
      <c r="U46" s="184"/>
      <c r="V46" s="184"/>
      <c r="W46" s="184"/>
      <c r="X46" s="184"/>
      <c r="Y46" s="184"/>
    </row>
    <row r="47" spans="2:25" ht="15.75" thickBot="1" x14ac:dyDescent="0.3">
      <c r="B47" s="557" t="s">
        <v>151</v>
      </c>
      <c r="C47" s="184"/>
      <c r="D47" s="595"/>
      <c r="E47" s="184"/>
      <c r="F47" s="184"/>
      <c r="G47" s="7"/>
      <c r="H47" s="184"/>
      <c r="I47" s="184"/>
      <c r="J47" s="184"/>
      <c r="K47" s="184"/>
      <c r="L47" s="184"/>
      <c r="M47" s="184"/>
      <c r="N47" s="322"/>
      <c r="O47" s="184"/>
      <c r="P47" s="184"/>
      <c r="Q47" s="184"/>
      <c r="R47" s="184"/>
      <c r="S47" s="184"/>
      <c r="T47" s="184"/>
      <c r="U47" s="184"/>
      <c r="V47" s="184"/>
      <c r="W47" s="184"/>
      <c r="X47" s="184"/>
      <c r="Y47" s="184"/>
    </row>
    <row r="48" spans="2:25" ht="17.850000000000001" customHeight="1" x14ac:dyDescent="0.25">
      <c r="B48" s="184"/>
      <c r="C48" s="184"/>
      <c r="D48" s="184"/>
      <c r="E48" s="184"/>
      <c r="F48" s="184"/>
      <c r="G48" s="184"/>
      <c r="H48" s="602"/>
      <c r="I48" s="603"/>
      <c r="J48" s="603"/>
      <c r="K48" s="603"/>
      <c r="L48" s="603"/>
      <c r="M48" s="603"/>
      <c r="N48" s="603"/>
      <c r="O48" s="604"/>
      <c r="P48" s="603"/>
      <c r="Q48" s="603"/>
      <c r="R48" s="603"/>
      <c r="S48" s="603"/>
      <c r="T48" s="605"/>
      <c r="U48" s="184"/>
      <c r="V48" s="184"/>
      <c r="W48" s="184"/>
      <c r="X48" s="184"/>
      <c r="Y48" s="184"/>
    </row>
    <row r="49" spans="2:20" x14ac:dyDescent="0.25">
      <c r="B49" s="184"/>
      <c r="C49" t="s">
        <v>152</v>
      </c>
      <c r="D49" s="184"/>
      <c r="E49" s="184"/>
      <c r="F49" s="184"/>
      <c r="G49" s="184"/>
      <c r="H49" s="606"/>
      <c r="I49" s="607"/>
      <c r="J49" s="608"/>
      <c r="K49" s="608"/>
      <c r="L49" s="608"/>
      <c r="M49" s="609"/>
      <c r="N49" s="184"/>
      <c r="O49" s="184"/>
      <c r="P49" s="184"/>
      <c r="Q49" s="184"/>
      <c r="R49" s="184"/>
      <c r="S49" s="184"/>
      <c r="T49" s="324"/>
    </row>
    <row r="50" spans="2:20" ht="15.75" thickBot="1" x14ac:dyDescent="0.3">
      <c r="B50" s="184"/>
      <c r="C50" t="s">
        <v>153</v>
      </c>
      <c r="D50" s="601">
        <v>0</v>
      </c>
      <c r="E50" s="184"/>
      <c r="F50" s="184"/>
      <c r="G50" s="184"/>
      <c r="H50" s="606"/>
      <c r="I50" s="610"/>
      <c r="J50" s="346" t="s">
        <v>154</v>
      </c>
      <c r="K50" s="347"/>
      <c r="L50" s="347"/>
      <c r="M50" s="611"/>
      <c r="N50" s="184"/>
      <c r="O50" s="184"/>
      <c r="P50" s="184"/>
      <c r="Q50" s="184"/>
      <c r="R50" s="184"/>
      <c r="S50" s="184"/>
      <c r="T50" s="324"/>
    </row>
    <row r="51" spans="2:20" ht="15.75" thickBot="1" x14ac:dyDescent="0.3">
      <c r="B51" s="184"/>
      <c r="C51" t="s">
        <v>155</v>
      </c>
      <c r="D51" s="601">
        <f>Billings!H49</f>
        <v>0</v>
      </c>
      <c r="E51" s="184"/>
      <c r="F51" s="184"/>
      <c r="G51" s="184"/>
      <c r="H51" s="606"/>
      <c r="I51" s="610"/>
      <c r="J51" s="348"/>
      <c r="K51" s="348"/>
      <c r="L51" s="348"/>
      <c r="M51" s="611"/>
      <c r="N51" s="184"/>
      <c r="O51" s="184"/>
      <c r="P51" s="184"/>
      <c r="Q51" s="184"/>
      <c r="R51" s="184"/>
      <c r="S51" s="184"/>
      <c r="T51" s="324"/>
    </row>
    <row r="52" spans="2:20" ht="15.75" thickBot="1" x14ac:dyDescent="0.3">
      <c r="B52" s="184"/>
      <c r="C52" t="s">
        <v>156</v>
      </c>
      <c r="D52" s="601">
        <f>Billings!E41</f>
        <v>0</v>
      </c>
      <c r="E52" s="184"/>
      <c r="F52" s="184"/>
      <c r="G52" s="184"/>
      <c r="H52" s="606"/>
      <c r="I52" s="610"/>
      <c r="J52" s="573" t="s">
        <v>157</v>
      </c>
      <c r="K52" s="574"/>
      <c r="L52" s="575"/>
      <c r="M52" s="350"/>
      <c r="N52" s="102"/>
      <c r="O52" s="102" t="s">
        <v>158</v>
      </c>
      <c r="P52" s="557"/>
      <c r="Q52" s="102" t="s">
        <v>159</v>
      </c>
      <c r="R52" s="102" t="s">
        <v>160</v>
      </c>
      <c r="S52" s="184"/>
      <c r="T52" s="324"/>
    </row>
    <row r="53" spans="2:20" x14ac:dyDescent="0.25">
      <c r="B53" s="184"/>
      <c r="C53" t="s">
        <v>161</v>
      </c>
      <c r="D53" s="601">
        <f>Billings!E40</f>
        <v>0</v>
      </c>
      <c r="E53" s="184"/>
      <c r="F53" s="184"/>
      <c r="G53" s="184"/>
      <c r="H53" s="606"/>
      <c r="I53" s="610"/>
      <c r="J53" s="349"/>
      <c r="K53" s="349"/>
      <c r="L53" s="351" t="s">
        <v>80</v>
      </c>
      <c r="M53" s="352"/>
      <c r="N53" s="612"/>
      <c r="O53" s="184"/>
      <c r="P53" s="563"/>
      <c r="Q53" s="184"/>
      <c r="R53" s="184"/>
      <c r="S53" s="184"/>
      <c r="T53" s="324"/>
    </row>
    <row r="54" spans="2:20" x14ac:dyDescent="0.25">
      <c r="B54" s="184"/>
      <c r="C54" s="184"/>
      <c r="D54" s="601">
        <f>SUM(Billings!F29:F30)</f>
        <v>0</v>
      </c>
      <c r="E54" s="184"/>
      <c r="F54" s="184"/>
      <c r="G54" s="184"/>
      <c r="H54" s="613"/>
      <c r="I54" s="614"/>
      <c r="J54" s="349" t="s">
        <v>50</v>
      </c>
      <c r="K54" s="349"/>
      <c r="L54" s="372">
        <f>D52</f>
        <v>0</v>
      </c>
      <c r="M54" s="354"/>
      <c r="N54" s="102"/>
      <c r="O54" s="615"/>
      <c r="P54" s="564">
        <f>O54-L54</f>
        <v>0</v>
      </c>
      <c r="Q54" s="616"/>
      <c r="R54" s="616">
        <f>O54+Q54</f>
        <v>0</v>
      </c>
      <c r="S54" s="184"/>
      <c r="T54" s="324"/>
    </row>
    <row r="55" spans="2:20" ht="15.75" thickBot="1" x14ac:dyDescent="0.3">
      <c r="B55" s="184"/>
      <c r="C55" s="184"/>
      <c r="D55" s="184"/>
      <c r="E55" s="371" t="s">
        <v>162</v>
      </c>
      <c r="F55" s="184"/>
      <c r="G55" s="184"/>
      <c r="H55" s="606"/>
      <c r="I55" s="610"/>
      <c r="J55" s="349" t="s">
        <v>163</v>
      </c>
      <c r="K55" s="349"/>
      <c r="L55" s="372"/>
      <c r="M55" s="354"/>
      <c r="N55" s="612"/>
      <c r="O55" s="184"/>
      <c r="P55" s="564"/>
      <c r="Q55" s="184"/>
      <c r="R55" s="184"/>
      <c r="S55" s="184"/>
      <c r="T55" s="324"/>
    </row>
    <row r="56" spans="2:20" x14ac:dyDescent="0.25">
      <c r="B56" s="184"/>
      <c r="C56" s="184"/>
      <c r="D56" s="184"/>
      <c r="E56" s="184"/>
      <c r="F56" s="184"/>
      <c r="G56" s="184"/>
      <c r="H56" s="606"/>
      <c r="I56" s="610"/>
      <c r="J56" s="349"/>
      <c r="K56" s="349" t="s">
        <v>164</v>
      </c>
      <c r="L56" s="372">
        <f>P14+P23+P28</f>
        <v>0</v>
      </c>
      <c r="M56" s="354"/>
      <c r="N56" s="102"/>
      <c r="O56" s="615"/>
      <c r="P56" s="564">
        <f>O56-L56</f>
        <v>0</v>
      </c>
      <c r="Q56" s="616"/>
      <c r="R56" s="616">
        <f>O56+Q56</f>
        <v>0</v>
      </c>
      <c r="S56" s="184"/>
      <c r="T56" s="324"/>
    </row>
    <row r="57" spans="2:20" ht="15.75" thickBot="1" x14ac:dyDescent="0.3">
      <c r="B57" s="184"/>
      <c r="C57" s="184"/>
      <c r="D57" s="370" t="s">
        <v>81</v>
      </c>
      <c r="E57" s="617" t="e">
        <f>SUM(K12:K18)/D37</f>
        <v>#REF!</v>
      </c>
      <c r="F57" s="184"/>
      <c r="G57" s="184"/>
      <c r="H57" s="606"/>
      <c r="I57" s="610"/>
      <c r="J57" s="349"/>
      <c r="K57" s="349" t="s">
        <v>41</v>
      </c>
      <c r="L57" s="372">
        <f>P21</f>
        <v>0</v>
      </c>
      <c r="M57" s="354"/>
      <c r="N57" s="612"/>
      <c r="O57" s="615"/>
      <c r="P57" s="564">
        <f>O57-L57</f>
        <v>0</v>
      </c>
      <c r="Q57" s="616"/>
      <c r="R57" s="616">
        <f t="shared" ref="R57:R59" si="3">O57+Q57</f>
        <v>0</v>
      </c>
      <c r="S57" s="184"/>
      <c r="T57" s="324"/>
    </row>
    <row r="58" spans="2:20" x14ac:dyDescent="0.25">
      <c r="B58" s="184"/>
      <c r="C58" t="s">
        <v>165</v>
      </c>
      <c r="D58" s="184"/>
      <c r="E58" s="619" t="e">
        <f>SUM(K12:K19)/D50</f>
        <v>#REF!</v>
      </c>
      <c r="F58" s="184"/>
      <c r="G58" s="184"/>
      <c r="H58" s="606"/>
      <c r="I58" s="610"/>
      <c r="J58" s="349"/>
      <c r="K58" s="349" t="s">
        <v>166</v>
      </c>
      <c r="L58" s="372">
        <f>P22</f>
        <v>0</v>
      </c>
      <c r="M58" s="354"/>
      <c r="N58" s="612"/>
      <c r="O58" s="615"/>
      <c r="P58" s="564">
        <f t="shared" ref="P58:P66" si="4">O58-L58</f>
        <v>0</v>
      </c>
      <c r="Q58" s="616"/>
      <c r="R58" s="616">
        <f t="shared" si="3"/>
        <v>0</v>
      </c>
      <c r="S58" s="184"/>
      <c r="T58" s="324"/>
    </row>
    <row r="59" spans="2:20" x14ac:dyDescent="0.25">
      <c r="B59" s="184"/>
      <c r="C59" t="s">
        <v>167</v>
      </c>
      <c r="D59" s="598" t="e">
        <f>SUM(K12:K19)-D37</f>
        <v>#REF!</v>
      </c>
      <c r="E59" s="617" t="e" cm="1">
        <f t="array" ref="E59">SUM(K12:K18/D52)</f>
        <v>#DIV/0!</v>
      </c>
      <c r="F59" s="184"/>
      <c r="G59" s="184"/>
      <c r="H59" s="606"/>
      <c r="I59" s="610"/>
      <c r="J59" s="349"/>
      <c r="K59" s="349" t="s">
        <v>117</v>
      </c>
      <c r="L59" s="372">
        <f>Q24</f>
        <v>0</v>
      </c>
      <c r="M59" s="354"/>
      <c r="N59" s="102"/>
      <c r="O59" s="615"/>
      <c r="P59" s="564">
        <f>O59-L59</f>
        <v>0</v>
      </c>
      <c r="Q59" s="616"/>
      <c r="R59" s="616">
        <f t="shared" si="3"/>
        <v>0</v>
      </c>
      <c r="S59" s="184"/>
      <c r="T59" s="324"/>
    </row>
    <row r="60" spans="2:20" x14ac:dyDescent="0.25">
      <c r="B60" s="184"/>
      <c r="C60" t="s">
        <v>168</v>
      </c>
      <c r="D60" s="618" t="e">
        <f>SUM(K12:K18)-D50</f>
        <v>#REF!</v>
      </c>
      <c r="E60" s="619" t="e">
        <f>SUM(Q11:Q19)/D52</f>
        <v>#REF!</v>
      </c>
      <c r="F60" s="184"/>
      <c r="G60" s="184"/>
      <c r="H60" s="606"/>
      <c r="I60" s="610"/>
      <c r="J60" s="349"/>
      <c r="K60" s="349" t="s">
        <v>169</v>
      </c>
      <c r="L60" s="372">
        <f>Q29</f>
        <v>0</v>
      </c>
      <c r="M60" s="354"/>
      <c r="N60" s="378"/>
      <c r="O60" s="615"/>
      <c r="P60" s="564">
        <f>O60-L60</f>
        <v>0</v>
      </c>
      <c r="Q60" s="616"/>
      <c r="R60" s="616">
        <f t="shared" ref="R60" si="5">O60+Q60</f>
        <v>0</v>
      </c>
      <c r="S60" s="184"/>
      <c r="T60" s="324"/>
    </row>
    <row r="61" spans="2:20" x14ac:dyDescent="0.25">
      <c r="B61" s="184"/>
      <c r="C61" t="s">
        <v>170</v>
      </c>
      <c r="D61" s="618" t="e">
        <f>SUM(K12:K18)-D52</f>
        <v>#REF!</v>
      </c>
      <c r="E61" s="617"/>
      <c r="F61" s="184"/>
      <c r="G61" s="184"/>
      <c r="H61" s="606"/>
      <c r="I61" s="610"/>
      <c r="J61" s="349" t="s">
        <v>171</v>
      </c>
      <c r="K61" s="349"/>
      <c r="L61" s="372"/>
      <c r="M61" s="620"/>
      <c r="N61" s="184"/>
      <c r="O61" s="615"/>
      <c r="P61" s="564">
        <f t="shared" si="4"/>
        <v>0</v>
      </c>
      <c r="Q61" s="616"/>
      <c r="R61" s="616">
        <f t="shared" ref="R61:R62" si="6">O61+Q61</f>
        <v>0</v>
      </c>
      <c r="S61" s="184"/>
      <c r="T61" s="324"/>
    </row>
    <row r="62" spans="2:20" x14ac:dyDescent="0.25">
      <c r="B62" s="184"/>
      <c r="C62" s="184"/>
      <c r="D62" s="618" t="e">
        <f>SUM(Q12:Q18)-D52</f>
        <v>#REF!</v>
      </c>
      <c r="E62" s="617" t="e">
        <f>SUM(K23:K28)/D51</f>
        <v>#DIV/0!</v>
      </c>
      <c r="F62" s="184"/>
      <c r="G62" s="184"/>
      <c r="H62" s="606"/>
      <c r="I62" s="610"/>
      <c r="J62" s="349" t="s">
        <v>144</v>
      </c>
      <c r="K62" s="349"/>
      <c r="L62" s="372">
        <f>Q42</f>
        <v>0</v>
      </c>
      <c r="M62" s="360"/>
      <c r="N62" s="184"/>
      <c r="O62" s="615"/>
      <c r="P62" s="564">
        <f>O62-L62</f>
        <v>0</v>
      </c>
      <c r="Q62" s="616"/>
      <c r="R62" s="616">
        <f t="shared" si="6"/>
        <v>0</v>
      </c>
      <c r="S62" s="184"/>
      <c r="T62" s="324"/>
    </row>
    <row r="63" spans="2:20" ht="15.75" thickBot="1" x14ac:dyDescent="0.3">
      <c r="B63" s="184"/>
      <c r="C63" t="s">
        <v>172</v>
      </c>
      <c r="D63" s="184"/>
      <c r="E63" s="619" t="e">
        <f>D53/D38</f>
        <v>#DIV/0!</v>
      </c>
      <c r="F63" s="184"/>
      <c r="G63" s="184"/>
      <c r="H63" s="606"/>
      <c r="I63" s="610"/>
      <c r="J63" s="373" t="s">
        <v>173</v>
      </c>
      <c r="K63" s="349"/>
      <c r="L63" s="374">
        <f>SUM(L54:L62)</f>
        <v>0</v>
      </c>
      <c r="M63" s="445" t="e">
        <f>L63/J79</f>
        <v>#DIV/0!</v>
      </c>
      <c r="N63" s="378" t="s">
        <v>174</v>
      </c>
      <c r="O63" s="553"/>
      <c r="P63" s="564">
        <f>O63-L63</f>
        <v>0</v>
      </c>
      <c r="Q63" s="434"/>
      <c r="R63" s="434"/>
      <c r="S63" s="184"/>
      <c r="T63" s="324"/>
    </row>
    <row r="64" spans="2:20" ht="15.75" thickTop="1" x14ac:dyDescent="0.25">
      <c r="B64" s="184"/>
      <c r="C64" t="s">
        <v>175</v>
      </c>
      <c r="D64" s="618">
        <f>SUM(Q20:Q24)-D51</f>
        <v>0</v>
      </c>
      <c r="E64" s="184"/>
      <c r="F64" s="184"/>
      <c r="G64" s="184"/>
      <c r="H64" s="606"/>
      <c r="I64" s="610"/>
      <c r="J64" s="357"/>
      <c r="K64" s="358"/>
      <c r="L64" s="361"/>
      <c r="M64" s="362"/>
      <c r="N64" s="184"/>
      <c r="O64" s="564">
        <f>O63-SUM(O54:O62)</f>
        <v>0</v>
      </c>
      <c r="P64" s="562"/>
      <c r="Q64" s="564">
        <f>Q63-SUM(Q54:Q62)</f>
        <v>0</v>
      </c>
      <c r="R64" s="564">
        <f>R63-SUM(R54:R62)</f>
        <v>0</v>
      </c>
      <c r="S64" s="184"/>
      <c r="T64" s="324"/>
    </row>
    <row r="65" spans="2:24" x14ac:dyDescent="0.25">
      <c r="B65" s="184"/>
      <c r="C65" s="184"/>
      <c r="D65" s="618">
        <f>D53-D38</f>
        <v>0</v>
      </c>
      <c r="E65" s="184"/>
      <c r="F65" s="184"/>
      <c r="G65" s="184"/>
      <c r="H65" s="606"/>
      <c r="I65" s="610"/>
      <c r="J65" s="357" t="s">
        <v>176</v>
      </c>
      <c r="K65" s="358"/>
      <c r="L65" s="359">
        <f>L63*0.3</f>
        <v>0</v>
      </c>
      <c r="M65" s="362"/>
      <c r="N65" s="184"/>
      <c r="O65" s="621"/>
      <c r="P65" s="564">
        <f t="shared" si="4"/>
        <v>0</v>
      </c>
      <c r="Q65" s="616"/>
      <c r="R65" s="616">
        <f>O65+Q65</f>
        <v>0</v>
      </c>
      <c r="S65" s="184"/>
      <c r="T65" s="324"/>
      <c r="U65" s="184"/>
      <c r="V65" s="184"/>
      <c r="W65" s="184"/>
      <c r="X65" s="184"/>
    </row>
    <row r="66" spans="2:24" ht="15" customHeight="1" thickBot="1" x14ac:dyDescent="0.3">
      <c r="B66" s="184"/>
      <c r="C66" s="184"/>
      <c r="D66" s="184"/>
      <c r="E66" s="184"/>
      <c r="F66" s="184"/>
      <c r="G66" s="184"/>
      <c r="H66" s="606"/>
      <c r="I66" s="610"/>
      <c r="J66" s="357" t="s">
        <v>177</v>
      </c>
      <c r="K66" s="358"/>
      <c r="L66" s="361">
        <f>(0)*0.15</f>
        <v>0</v>
      </c>
      <c r="M66" s="362"/>
      <c r="N66" s="184"/>
      <c r="O66" s="615"/>
      <c r="P66" s="564">
        <f t="shared" si="4"/>
        <v>0</v>
      </c>
      <c r="Q66" s="616"/>
      <c r="R66" s="616">
        <f t="shared" ref="R66:R67" si="7">O66+Q66</f>
        <v>0</v>
      </c>
      <c r="S66" s="184"/>
      <c r="T66" s="324"/>
      <c r="U66" s="184"/>
      <c r="V66" s="184"/>
      <c r="W66" s="184"/>
      <c r="X66" s="184"/>
    </row>
    <row r="67" spans="2:24" ht="15.75" thickBot="1" x14ac:dyDescent="0.3">
      <c r="B67"/>
      <c r="C67" s="660" t="s">
        <v>178</v>
      </c>
      <c r="D67" s="617"/>
      <c r="E67" s="184"/>
      <c r="F67" s="184"/>
      <c r="G67" s="184"/>
      <c r="H67" s="606"/>
      <c r="I67" s="610"/>
      <c r="J67" s="357" t="s">
        <v>179</v>
      </c>
      <c r="K67" s="358"/>
      <c r="L67" s="576">
        <f>SUM(L65:L66)</f>
        <v>0</v>
      </c>
      <c r="M67" s="362"/>
      <c r="N67" s="184"/>
      <c r="O67" s="579"/>
      <c r="P67" s="564">
        <f>O67-L67</f>
        <v>0</v>
      </c>
      <c r="Q67" s="578"/>
      <c r="R67" s="578">
        <f t="shared" si="7"/>
        <v>0</v>
      </c>
      <c r="S67" s="184"/>
      <c r="T67" s="324"/>
      <c r="U67" s="184"/>
      <c r="V67" s="184"/>
      <c r="W67" s="184"/>
      <c r="X67" s="184"/>
    </row>
    <row r="68" spans="2:24" x14ac:dyDescent="0.25">
      <c r="B68" s="184"/>
      <c r="C68" s="193" t="s">
        <v>180</v>
      </c>
      <c r="D68" s="605"/>
      <c r="E68" s="184"/>
      <c r="F68" s="184"/>
      <c r="G68" s="184"/>
      <c r="H68" s="606"/>
      <c r="I68" s="610"/>
      <c r="J68" s="357"/>
      <c r="K68" s="358"/>
      <c r="L68" s="359"/>
      <c r="M68" s="360"/>
      <c r="N68" s="184"/>
      <c r="O68" s="622"/>
      <c r="P68" s="562"/>
      <c r="Q68" s="623"/>
      <c r="R68" s="623"/>
      <c r="S68" s="184"/>
      <c r="T68" s="324"/>
      <c r="U68" s="184"/>
      <c r="V68" s="184"/>
      <c r="W68" s="184"/>
      <c r="X68" s="184"/>
    </row>
    <row r="69" spans="2:24" ht="15.75" thickBot="1" x14ac:dyDescent="0.3">
      <c r="B69" s="184"/>
      <c r="C69" s="195" t="s">
        <v>181</v>
      </c>
      <c r="D69" s="658" t="b">
        <v>0</v>
      </c>
      <c r="E69" s="184"/>
      <c r="F69" s="184"/>
      <c r="G69" s="184"/>
      <c r="H69" s="606"/>
      <c r="I69" s="624"/>
      <c r="J69" s="625"/>
      <c r="K69" s="625"/>
      <c r="L69" s="625"/>
      <c r="M69" s="626"/>
      <c r="N69" s="184"/>
      <c r="O69" s="552"/>
      <c r="P69" s="562"/>
      <c r="Q69" s="623"/>
      <c r="R69" s="623"/>
      <c r="S69" s="184"/>
      <c r="T69" s="324"/>
      <c r="U69" s="184"/>
      <c r="V69" s="184"/>
      <c r="W69" s="184"/>
      <c r="X69" s="184"/>
    </row>
    <row r="70" spans="2:24" ht="15.75" thickBot="1" x14ac:dyDescent="0.3">
      <c r="B70" s="184"/>
      <c r="C70" s="184"/>
      <c r="D70" s="659" t="b">
        <v>0</v>
      </c>
      <c r="E70" s="184"/>
      <c r="F70" s="184"/>
      <c r="G70" s="184"/>
      <c r="H70" s="606"/>
      <c r="I70" s="184"/>
      <c r="J70" s="184"/>
      <c r="K70" s="184"/>
      <c r="L70" s="184"/>
      <c r="M70" s="184"/>
      <c r="N70" s="184"/>
      <c r="O70" s="184"/>
      <c r="P70" s="564"/>
      <c r="Q70" s="184"/>
      <c r="R70" s="184"/>
      <c r="S70" s="184"/>
      <c r="T70" s="324"/>
      <c r="U70" s="184"/>
      <c r="V70" s="184"/>
      <c r="W70" s="184"/>
      <c r="X70" s="184"/>
    </row>
    <row r="71" spans="2:24" ht="16.5" thickBot="1" x14ac:dyDescent="0.3">
      <c r="B71" s="184"/>
      <c r="C71" s="184"/>
      <c r="D71" s="184"/>
      <c r="E71" s="184"/>
      <c r="F71" s="184"/>
      <c r="G71" s="184"/>
      <c r="H71" s="606"/>
      <c r="I71" s="566"/>
      <c r="J71" s="580" t="s">
        <v>182</v>
      </c>
      <c r="K71" s="580" t="s">
        <v>183</v>
      </c>
      <c r="L71" s="568"/>
      <c r="M71" s="566"/>
      <c r="N71" s="322"/>
      <c r="O71" s="184"/>
      <c r="P71" s="564"/>
      <c r="Q71" s="184"/>
      <c r="R71" s="184"/>
      <c r="S71" s="184"/>
      <c r="T71" s="324"/>
      <c r="U71" s="184"/>
      <c r="V71" s="184"/>
      <c r="W71" s="184"/>
      <c r="X71" s="184"/>
    </row>
    <row r="72" spans="2:24" x14ac:dyDescent="0.25">
      <c r="B72" s="7" t="s">
        <v>184</v>
      </c>
      <c r="C72" s="184"/>
      <c r="D72" s="184"/>
      <c r="E72" s="184"/>
      <c r="F72" s="184"/>
      <c r="G72" s="184"/>
      <c r="H72" s="606"/>
      <c r="I72" s="184"/>
      <c r="J72" s="184"/>
      <c r="K72" s="184"/>
      <c r="L72" s="184"/>
      <c r="M72" s="322"/>
      <c r="N72" s="322"/>
      <c r="O72" s="184"/>
      <c r="P72" s="564"/>
      <c r="Q72" s="184"/>
      <c r="R72" s="184"/>
      <c r="S72" s="184"/>
      <c r="T72" s="324"/>
      <c r="U72" s="184"/>
      <c r="V72" s="184"/>
      <c r="W72" s="184"/>
      <c r="X72" s="184"/>
    </row>
    <row r="73" spans="2:24" x14ac:dyDescent="0.25">
      <c r="B73" s="7" t="s">
        <v>185</v>
      </c>
      <c r="C73" s="184"/>
      <c r="D73" s="184"/>
      <c r="E73" s="184"/>
      <c r="F73" s="184"/>
      <c r="G73" s="184"/>
      <c r="H73" s="606"/>
      <c r="I73" s="32" t="s">
        <v>186</v>
      </c>
      <c r="J73" s="542">
        <v>0</v>
      </c>
      <c r="K73" s="217">
        <f>L54</f>
        <v>0</v>
      </c>
      <c r="L73" s="204">
        <f t="shared" ref="L73:L74" si="8">K73-J73</f>
        <v>0</v>
      </c>
      <c r="M73" s="595" t="str" cm="1">
        <f t="array" ref="M73">_xlfn.IFS(L73&gt;0,"Over Budget",L73&lt;0,"Under Budget",L73=0,"-")</f>
        <v>-</v>
      </c>
      <c r="N73" s="322"/>
      <c r="O73" s="184"/>
      <c r="P73" s="562"/>
      <c r="Q73" s="184"/>
      <c r="R73" s="184"/>
      <c r="S73" s="184"/>
      <c r="T73" s="194"/>
      <c r="U73" s="184"/>
      <c r="V73" s="184"/>
      <c r="W73" s="184"/>
      <c r="X73" s="184"/>
    </row>
    <row r="74" spans="2:24" x14ac:dyDescent="0.25">
      <c r="B74" s="184"/>
      <c r="C74" s="184"/>
      <c r="D74" s="184"/>
      <c r="E74" s="184"/>
      <c r="F74" s="184"/>
      <c r="G74" s="184"/>
      <c r="H74" s="606"/>
      <c r="I74" s="32" t="s">
        <v>169</v>
      </c>
      <c r="J74" s="542">
        <v>0</v>
      </c>
      <c r="K74" s="217">
        <f>SUM(L56:L60)</f>
        <v>0</v>
      </c>
      <c r="L74" s="204">
        <f t="shared" si="8"/>
        <v>0</v>
      </c>
      <c r="M74" s="595" t="str" cm="1">
        <f t="array" ref="M74">_xlfn.IFS(L74&gt;0,"Over Budget",L74&lt;0,"Under Budget",L74=0,"-")</f>
        <v>-</v>
      </c>
      <c r="N74" s="322"/>
      <c r="O74" s="184"/>
      <c r="P74" s="565"/>
      <c r="Q74" s="184"/>
      <c r="R74" s="184"/>
      <c r="S74" s="184"/>
      <c r="T74" s="324"/>
      <c r="U74" s="184"/>
      <c r="V74" s="184"/>
      <c r="W74" s="184"/>
      <c r="X74" s="184"/>
    </row>
    <row r="75" spans="2:24" x14ac:dyDescent="0.25">
      <c r="B75" s="184"/>
      <c r="C75" s="184"/>
      <c r="D75" s="184"/>
      <c r="E75" s="184"/>
      <c r="F75" s="184"/>
      <c r="G75" s="184"/>
      <c r="H75" s="606"/>
      <c r="I75" s="32" t="s">
        <v>120</v>
      </c>
      <c r="J75" s="627">
        <v>0</v>
      </c>
      <c r="K75" s="589">
        <v>0</v>
      </c>
      <c r="L75" s="204">
        <f>K75-J75</f>
        <v>0</v>
      </c>
      <c r="M75" s="595" t="str" cm="1">
        <f t="array" ref="M75">_xlfn.IFS(L75&gt;0,"Over Budget",L75&lt;0,"Under Budget",L75=0,"-")</f>
        <v>-</v>
      </c>
      <c r="N75" s="322"/>
      <c r="O75" s="184"/>
      <c r="P75" s="184"/>
      <c r="Q75" s="184"/>
      <c r="R75" s="184"/>
      <c r="S75" s="184"/>
      <c r="T75" s="324"/>
      <c r="U75" s="184"/>
      <c r="V75" s="184"/>
      <c r="W75" s="184"/>
      <c r="X75" s="184"/>
    </row>
    <row r="76" spans="2:24" x14ac:dyDescent="0.25">
      <c r="B76" s="7" t="s">
        <v>187</v>
      </c>
      <c r="C76" s="184"/>
      <c r="D76" s="184"/>
      <c r="E76" s="184"/>
      <c r="F76" s="184"/>
      <c r="G76" s="184"/>
      <c r="H76" s="606"/>
      <c r="I76" s="32" t="s">
        <v>188</v>
      </c>
      <c r="J76" s="543">
        <v>0</v>
      </c>
      <c r="K76" s="204">
        <v>0</v>
      </c>
      <c r="L76" s="204">
        <f>K76-J76</f>
        <v>0</v>
      </c>
      <c r="M76" s="595" t="str" cm="1">
        <f t="array" ref="M76">_xlfn.IFS(L76&gt;0,"Over Budget",L76&lt;0,"Under Budget",L76=0,"-")</f>
        <v>-</v>
      </c>
      <c r="N76" s="322"/>
      <c r="O76" s="184"/>
      <c r="P76" s="184"/>
      <c r="Q76" s="184"/>
      <c r="R76" s="184"/>
      <c r="S76" s="184"/>
      <c r="T76" s="324"/>
      <c r="U76" s="184"/>
      <c r="V76" s="184"/>
      <c r="W76" s="184"/>
      <c r="X76" s="184"/>
    </row>
    <row r="77" spans="2:24" x14ac:dyDescent="0.25">
      <c r="B77" s="7" t="s">
        <v>185</v>
      </c>
      <c r="C77" s="184"/>
      <c r="D77" s="184"/>
      <c r="E77" s="184"/>
      <c r="F77" s="184"/>
      <c r="G77" s="184"/>
      <c r="H77" s="606"/>
      <c r="I77" s="32" t="s">
        <v>140</v>
      </c>
      <c r="J77" s="543">
        <v>0</v>
      </c>
      <c r="K77" s="204">
        <f>L60</f>
        <v>0</v>
      </c>
      <c r="L77" s="204">
        <f>K77-J77</f>
        <v>0</v>
      </c>
      <c r="M77" s="595" t="str" cm="1">
        <f t="array" ref="M77">_xlfn.IFS(L77&gt;0,"Over Budget",L77&lt;0,"Under Budget",L77=0,"-")</f>
        <v>-</v>
      </c>
      <c r="N77" s="322"/>
      <c r="O77" s="184"/>
      <c r="P77" s="184"/>
      <c r="Q77" s="184"/>
      <c r="R77" s="184"/>
      <c r="S77" s="184"/>
      <c r="T77" s="324"/>
      <c r="U77" s="184"/>
      <c r="V77"/>
      <c r="W77" s="184"/>
      <c r="X77" s="184"/>
    </row>
    <row r="78" spans="2:24" x14ac:dyDescent="0.25">
      <c r="B78" s="184"/>
      <c r="C78" s="184"/>
      <c r="D78" s="184"/>
      <c r="E78" s="184"/>
      <c r="F78" s="184"/>
      <c r="G78" s="184"/>
      <c r="H78" s="606"/>
      <c r="I78" s="558" t="s">
        <v>189</v>
      </c>
      <c r="J78" s="559">
        <v>0</v>
      </c>
      <c r="K78" s="560">
        <f>L62</f>
        <v>0</v>
      </c>
      <c r="L78" s="560">
        <f>K78-J78</f>
        <v>0</v>
      </c>
      <c r="M78" s="628" t="str" cm="1">
        <f t="array" ref="M78">_xlfn.IFS(L78&gt;0,"Over Budget",L78&lt;0,"Under Budget",L78=0,"-")</f>
        <v>-</v>
      </c>
      <c r="N78" s="322"/>
      <c r="O78" s="184"/>
      <c r="P78" s="184"/>
      <c r="Q78" s="184"/>
      <c r="R78" s="184"/>
      <c r="S78" s="184"/>
      <c r="T78" s="325"/>
      <c r="U78" s="184"/>
      <c r="V78"/>
      <c r="W78" s="184"/>
      <c r="X78" s="184"/>
    </row>
    <row r="79" spans="2:24" x14ac:dyDescent="0.25">
      <c r="B79" s="184"/>
      <c r="C79" s="184"/>
      <c r="D79" s="184"/>
      <c r="E79" s="184"/>
      <c r="F79" s="184"/>
      <c r="G79" s="184"/>
      <c r="H79" s="606"/>
      <c r="I79" s="7" t="s">
        <v>190</v>
      </c>
      <c r="J79" s="629"/>
      <c r="K79" s="599">
        <f>SUM(K73:K78)</f>
        <v>0</v>
      </c>
      <c r="L79" s="618">
        <f>K79-J79</f>
        <v>0</v>
      </c>
      <c r="M79" s="595" t="str" cm="1">
        <f t="array" ref="M79">_xlfn.IFS(L79&gt;0,"Over Budget",L79&lt;0,"Under Budget",L79=0,"-")</f>
        <v>-</v>
      </c>
      <c r="N79" s="322"/>
      <c r="O79" s="184"/>
      <c r="P79" s="184"/>
      <c r="Q79" s="184"/>
      <c r="R79" s="184"/>
      <c r="S79" s="184"/>
      <c r="T79" s="324"/>
      <c r="U79" s="125"/>
      <c r="V79"/>
      <c r="W79" s="184"/>
      <c r="X79" s="184"/>
    </row>
    <row r="80" spans="2:24" ht="16.5" thickBot="1" x14ac:dyDescent="0.3">
      <c r="B80" s="7" t="s">
        <v>191</v>
      </c>
      <c r="C80" s="184"/>
      <c r="D80" s="184"/>
      <c r="E80" s="184"/>
      <c r="F80" s="184"/>
      <c r="G80" s="184"/>
      <c r="H80" s="606"/>
      <c r="I80" s="184"/>
      <c r="J80" s="561">
        <f>J79-SUM(J73:J78)</f>
        <v>0</v>
      </c>
      <c r="K80" s="561">
        <f>O63-K79</f>
        <v>0</v>
      </c>
      <c r="L80" s="618"/>
      <c r="M80" s="184"/>
      <c r="N80" s="322"/>
      <c r="O80" s="184"/>
      <c r="P80" s="536"/>
      <c r="Q80" s="537" t="s">
        <v>192</v>
      </c>
      <c r="R80" s="538"/>
      <c r="S80" s="536"/>
      <c r="T80" s="324"/>
      <c r="U80" s="435" t="s">
        <v>193</v>
      </c>
      <c r="V80"/>
      <c r="W80" s="184"/>
      <c r="X80" s="184"/>
    </row>
    <row r="81" spans="2:25" x14ac:dyDescent="0.25">
      <c r="B81" s="7" t="s">
        <v>194</v>
      </c>
      <c r="C81" s="184"/>
      <c r="D81" s="184"/>
      <c r="E81" s="184"/>
      <c r="F81" s="184"/>
      <c r="G81" s="184"/>
      <c r="H81" s="606"/>
      <c r="I81" s="184"/>
      <c r="J81" s="184"/>
      <c r="K81" s="184"/>
      <c r="L81" s="184"/>
      <c r="M81" s="322"/>
      <c r="N81" s="322"/>
      <c r="O81" s="184"/>
      <c r="P81" s="630"/>
      <c r="Q81" s="630"/>
      <c r="R81" s="630"/>
      <c r="S81" s="630"/>
      <c r="T81" s="324"/>
      <c r="U81"/>
      <c r="V81"/>
      <c r="W81" s="184"/>
      <c r="X81" s="184"/>
      <c r="Y81" s="184"/>
    </row>
    <row r="82" spans="2:25" x14ac:dyDescent="0.25">
      <c r="B82" s="184"/>
      <c r="C82" s="184"/>
      <c r="D82" s="184"/>
      <c r="E82" s="184"/>
      <c r="F82" s="184"/>
      <c r="G82" s="184"/>
      <c r="H82" s="606"/>
      <c r="I82" s="7" t="s">
        <v>195</v>
      </c>
      <c r="J82" s="184"/>
      <c r="K82" s="184"/>
      <c r="L82" s="184"/>
      <c r="M82" s="184"/>
      <c r="N82" s="322"/>
      <c r="O82" s="184"/>
      <c r="P82" s="631"/>
      <c r="Q82" s="533" t="s">
        <v>196</v>
      </c>
      <c r="R82" s="632">
        <f>L63-P45</f>
        <v>0</v>
      </c>
      <c r="S82" s="630"/>
      <c r="T82" s="324"/>
      <c r="U82"/>
      <c r="V82"/>
      <c r="W82" s="184"/>
      <c r="X82" s="184"/>
      <c r="Y82" s="184"/>
    </row>
    <row r="83" spans="2:25" ht="15.75" thickBot="1" x14ac:dyDescent="0.3">
      <c r="B83" s="184"/>
      <c r="C83" s="184"/>
      <c r="D83" s="184"/>
      <c r="E83" s="184"/>
      <c r="F83" s="184"/>
      <c r="G83" s="184"/>
      <c r="H83" s="606"/>
      <c r="I83" t="s">
        <v>197</v>
      </c>
      <c r="J83" s="543">
        <f>J79*0.3</f>
        <v>0</v>
      </c>
      <c r="K83" s="432">
        <f>L67</f>
        <v>0</v>
      </c>
      <c r="L83"/>
      <c r="M83"/>
      <c r="N83" s="184"/>
      <c r="O83" s="184"/>
      <c r="P83" s="633"/>
      <c r="Q83" s="534" t="s">
        <v>198</v>
      </c>
      <c r="R83" s="634">
        <v>0.3</v>
      </c>
      <c r="S83" s="630"/>
      <c r="T83" s="324"/>
      <c r="U83"/>
      <c r="V83"/>
      <c r="W83" s="184"/>
      <c r="X83" s="184"/>
      <c r="Y83" s="184"/>
    </row>
    <row r="84" spans="2:25" ht="15.75" thickTop="1" x14ac:dyDescent="0.25">
      <c r="B84" s="184"/>
      <c r="C84" s="184"/>
      <c r="D84" s="184"/>
      <c r="E84" s="184"/>
      <c r="F84" s="184"/>
      <c r="G84" s="184"/>
      <c r="H84" s="606"/>
      <c r="I84" t="s">
        <v>199</v>
      </c>
      <c r="J84" s="545">
        <f>-(J83*0.11)</f>
        <v>0</v>
      </c>
      <c r="K84" s="546">
        <f>-K83*0.11</f>
        <v>0</v>
      </c>
      <c r="L84"/>
      <c r="M84"/>
      <c r="N84" s="595" t="str" cm="1">
        <f t="array" ref="N84">_xlfn.IFS(M84&gt;0,"Over Budget",M84&lt;0,"Under Budget",M84=0,"-")</f>
        <v>-</v>
      </c>
      <c r="O84" s="184"/>
      <c r="P84" s="630"/>
      <c r="Q84" s="630"/>
      <c r="R84" s="632">
        <f>R82*R83</f>
        <v>0</v>
      </c>
      <c r="S84" s="630"/>
      <c r="T84" s="324"/>
      <c r="U84"/>
      <c r="V84"/>
      <c r="W84" s="184"/>
      <c r="X84" s="184"/>
      <c r="Y84" s="184"/>
    </row>
    <row r="85" spans="2:25" ht="15.75" thickBot="1" x14ac:dyDescent="0.3">
      <c r="B85" s="184"/>
      <c r="C85" s="184"/>
      <c r="D85" s="184"/>
      <c r="E85" s="184"/>
      <c r="F85" s="184"/>
      <c r="G85" s="184"/>
      <c r="H85" s="606"/>
      <c r="I85" s="7" t="s">
        <v>200</v>
      </c>
      <c r="J85" s="433">
        <f>SUM(J83:J84)</f>
        <v>0</v>
      </c>
      <c r="K85" s="431">
        <f>SUM(K83:K84)</f>
        <v>0</v>
      </c>
      <c r="L85" s="184"/>
      <c r="M85" s="184"/>
      <c r="N85" s="184"/>
      <c r="O85" s="184"/>
      <c r="P85" s="635"/>
      <c r="Q85" s="534" t="s">
        <v>201</v>
      </c>
      <c r="R85" s="636">
        <f>L66</f>
        <v>0</v>
      </c>
      <c r="S85" s="630"/>
      <c r="T85" s="324"/>
      <c r="U85"/>
      <c r="V85"/>
      <c r="W85" s="599"/>
      <c r="X85" s="184"/>
      <c r="Y85" s="184"/>
    </row>
    <row r="86" spans="2:25" ht="15.75" thickTop="1" x14ac:dyDescent="0.25">
      <c r="B86" s="184"/>
      <c r="C86" s="184"/>
      <c r="D86" s="184"/>
      <c r="E86" s="184"/>
      <c r="F86" s="184"/>
      <c r="G86" s="184"/>
      <c r="H86" s="606"/>
      <c r="I86" s="547" t="s">
        <v>202</v>
      </c>
      <c r="J86" s="204"/>
      <c r="K86" s="184"/>
      <c r="L86" s="184"/>
      <c r="M86" s="184"/>
      <c r="N86" s="184"/>
      <c r="O86" s="184"/>
      <c r="P86" s="637"/>
      <c r="Q86" s="638"/>
      <c r="R86" s="639">
        <f>R84+R85</f>
        <v>0</v>
      </c>
      <c r="S86" s="630"/>
      <c r="T86" s="324"/>
      <c r="U86"/>
      <c r="V86"/>
      <c r="W86" s="599"/>
      <c r="X86" s="184"/>
      <c r="Y86" s="184"/>
    </row>
    <row r="87" spans="2:25" ht="15.75" thickBot="1" x14ac:dyDescent="0.3">
      <c r="B87" s="184"/>
      <c r="C87" s="184"/>
      <c r="D87" s="184"/>
      <c r="E87" s="184"/>
      <c r="F87" s="184"/>
      <c r="G87" s="184"/>
      <c r="H87" s="606"/>
      <c r="I87" s="571" t="s">
        <v>203</v>
      </c>
      <c r="J87" s="545">
        <v>0</v>
      </c>
      <c r="K87" s="546">
        <f>J87</f>
        <v>0</v>
      </c>
      <c r="L87" s="184"/>
      <c r="M87" s="184"/>
      <c r="N87"/>
      <c r="O87" s="184"/>
      <c r="P87" s="633"/>
      <c r="Q87" s="633"/>
      <c r="R87" s="633">
        <v>2.5000000000000001E-3</v>
      </c>
      <c r="S87" s="630"/>
      <c r="T87" s="324"/>
      <c r="U87"/>
      <c r="V87"/>
      <c r="W87" s="599"/>
      <c r="X87" s="184"/>
      <c r="Y87" s="184"/>
    </row>
    <row r="88" spans="2:25" ht="15.75" thickTop="1" x14ac:dyDescent="0.25">
      <c r="B88" s="184"/>
      <c r="C88" s="184"/>
      <c r="D88" s="184"/>
      <c r="E88" s="184"/>
      <c r="F88" s="184"/>
      <c r="G88" s="184"/>
      <c r="H88" s="606"/>
      <c r="I88" s="571" t="s">
        <v>192</v>
      </c>
      <c r="J88" s="545">
        <v>0</v>
      </c>
      <c r="K88" s="570">
        <f>-R96</f>
        <v>0</v>
      </c>
      <c r="L88" s="322"/>
      <c r="M88" s="184"/>
      <c r="N88"/>
      <c r="O88" s="184"/>
      <c r="P88" s="630"/>
      <c r="Q88" s="630"/>
      <c r="R88" s="632">
        <f>R87*R86</f>
        <v>0</v>
      </c>
      <c r="S88" s="630"/>
      <c r="T88" s="324"/>
      <c r="U88"/>
      <c r="V88"/>
      <c r="W88" s="184"/>
      <c r="X88" s="184"/>
      <c r="Y88" s="184"/>
    </row>
    <row r="89" spans="2:25" x14ac:dyDescent="0.25">
      <c r="B89" s="184"/>
      <c r="C89" s="184"/>
      <c r="D89" s="184"/>
      <c r="E89" s="184"/>
      <c r="F89" s="184"/>
      <c r="G89" s="184"/>
      <c r="H89" s="606"/>
      <c r="I89" s="571" t="s">
        <v>144</v>
      </c>
      <c r="J89" s="545">
        <v>0</v>
      </c>
      <c r="K89" s="546">
        <f>J89</f>
        <v>0</v>
      </c>
      <c r="L89" s="184"/>
      <c r="M89" s="184"/>
      <c r="N89" s="184"/>
      <c r="O89" s="184"/>
      <c r="P89" s="630"/>
      <c r="Q89" s="630"/>
      <c r="R89" s="630"/>
      <c r="S89" s="630"/>
      <c r="T89" s="324"/>
      <c r="U89"/>
      <c r="V89" s="184"/>
      <c r="W89" s="184"/>
      <c r="X89" s="184"/>
      <c r="Y89" s="184"/>
    </row>
    <row r="90" spans="2:25" x14ac:dyDescent="0.25">
      <c r="B90" s="184"/>
      <c r="C90" s="184"/>
      <c r="D90" s="184"/>
      <c r="E90" s="184"/>
      <c r="F90" s="184"/>
      <c r="G90" s="184"/>
      <c r="H90" s="606"/>
      <c r="I90" s="7" t="s">
        <v>204</v>
      </c>
      <c r="J90" s="431">
        <f>SUM(J85:J89)</f>
        <v>0</v>
      </c>
      <c r="K90" s="431">
        <f>SUM(K85:K89)</f>
        <v>0</v>
      </c>
      <c r="L90" s="184"/>
      <c r="M90" s="184"/>
      <c r="N90" s="184"/>
      <c r="O90" s="184"/>
      <c r="P90" s="630"/>
      <c r="Q90" s="533" t="s">
        <v>205</v>
      </c>
      <c r="R90" s="632">
        <f>P45</f>
        <v>0</v>
      </c>
      <c r="S90" s="630"/>
      <c r="T90" s="324"/>
      <c r="U90"/>
      <c r="V90"/>
      <c r="W90" s="184"/>
      <c r="X90" s="184"/>
      <c r="Y90" s="184"/>
    </row>
    <row r="91" spans="2:25" ht="15.75" thickBot="1" x14ac:dyDescent="0.3">
      <c r="B91" s="184"/>
      <c r="C91" s="184"/>
      <c r="D91" s="184"/>
      <c r="E91" s="184"/>
      <c r="F91" s="184"/>
      <c r="G91" s="184"/>
      <c r="H91" s="606"/>
      <c r="I91" t="s">
        <v>206</v>
      </c>
      <c r="J91" s="545">
        <f>-(J90*0.225)</f>
        <v>0</v>
      </c>
      <c r="K91" s="546">
        <f>-K90*0.225</f>
        <v>0</v>
      </c>
      <c r="L91" s="184"/>
      <c r="M91" s="184"/>
      <c r="N91" s="184"/>
      <c r="O91" s="184"/>
      <c r="P91" s="640"/>
      <c r="Q91" s="534" t="s">
        <v>198</v>
      </c>
      <c r="R91" s="634">
        <v>0.3</v>
      </c>
      <c r="S91" s="630"/>
      <c r="T91" s="549"/>
      <c r="U91" s="184"/>
      <c r="V91"/>
      <c r="W91" s="184"/>
      <c r="X91" s="184"/>
      <c r="Y91" s="184"/>
    </row>
    <row r="92" spans="2:25" ht="16.5" thickTop="1" thickBot="1" x14ac:dyDescent="0.3">
      <c r="B92" s="184"/>
      <c r="C92" s="184"/>
      <c r="D92" s="184"/>
      <c r="E92" s="184"/>
      <c r="F92" s="184"/>
      <c r="G92" s="184"/>
      <c r="H92" s="606"/>
      <c r="I92" s="7" t="s">
        <v>207</v>
      </c>
      <c r="J92" s="540">
        <f>SUM(J90:J91)</f>
        <v>0</v>
      </c>
      <c r="K92" s="541">
        <f>SUM(K90:K91)</f>
        <v>0</v>
      </c>
      <c r="L92" s="544">
        <f>K92-J92</f>
        <v>0</v>
      </c>
      <c r="M92" s="595" t="str" cm="1">
        <f t="array" ref="M92">_xlfn.IFS(L92&gt;0,"Over Budget",L92&lt;0,"Under Budget",L92=0,"-")</f>
        <v>-</v>
      </c>
      <c r="N92" s="184"/>
      <c r="O92" s="184"/>
      <c r="P92" s="630"/>
      <c r="Q92" s="630"/>
      <c r="R92" s="632">
        <f>R90*R91</f>
        <v>0</v>
      </c>
      <c r="S92" s="630"/>
      <c r="T92" s="641"/>
      <c r="U92"/>
      <c r="V92"/>
      <c r="W92" s="184"/>
      <c r="X92" s="184"/>
      <c r="Y92" s="184"/>
    </row>
    <row r="93" spans="2:25" ht="16.5" thickTop="1" thickBot="1" x14ac:dyDescent="0.3">
      <c r="B93" s="184"/>
      <c r="C93" s="184"/>
      <c r="D93" s="184"/>
      <c r="E93" s="184"/>
      <c r="F93" s="184"/>
      <c r="G93" s="184"/>
      <c r="H93" s="606"/>
      <c r="I93" s="243" t="s">
        <v>208</v>
      </c>
      <c r="J93" s="548"/>
      <c r="K93" s="184"/>
      <c r="L93" s="184"/>
      <c r="M93" s="322"/>
      <c r="N93" s="184"/>
      <c r="O93" s="184"/>
      <c r="P93" s="633"/>
      <c r="Q93" s="633"/>
      <c r="R93" s="633">
        <v>2.5000000000000001E-2</v>
      </c>
      <c r="S93" s="630"/>
      <c r="T93" s="194"/>
      <c r="U93"/>
      <c r="V93" s="184"/>
      <c r="W93" s="184"/>
      <c r="X93" s="184"/>
      <c r="Y93" s="184"/>
    </row>
    <row r="94" spans="2:25" ht="15.75" thickTop="1" x14ac:dyDescent="0.25">
      <c r="B94" s="184"/>
      <c r="C94" s="184"/>
      <c r="D94" s="184"/>
      <c r="E94" s="184"/>
      <c r="F94" s="184"/>
      <c r="G94" s="184"/>
      <c r="H94" s="606"/>
      <c r="I94" s="184"/>
      <c r="J94" s="184"/>
      <c r="K94" s="184"/>
      <c r="L94" s="184"/>
      <c r="M94" s="184"/>
      <c r="N94" s="184"/>
      <c r="O94" s="184"/>
      <c r="P94" s="630"/>
      <c r="Q94" s="630"/>
      <c r="R94" s="632">
        <f>R92*R93</f>
        <v>0</v>
      </c>
      <c r="S94" s="535">
        <f>(R90+R82)-L62</f>
        <v>0</v>
      </c>
      <c r="T94" s="194"/>
      <c r="U94" s="184"/>
      <c r="V94"/>
      <c r="W94" s="184"/>
      <c r="X94" s="184"/>
      <c r="Y94" s="184"/>
    </row>
    <row r="95" spans="2:25" ht="15.75" thickBot="1" x14ac:dyDescent="0.3">
      <c r="B95" s="184"/>
      <c r="C95" s="184"/>
      <c r="D95" s="184"/>
      <c r="E95" s="184"/>
      <c r="F95" s="184"/>
      <c r="G95" s="184"/>
      <c r="H95" s="606"/>
      <c r="I95" s="184"/>
      <c r="J95" s="184"/>
      <c r="K95" s="184"/>
      <c r="L95" s="184"/>
      <c r="M95" s="184"/>
      <c r="N95" s="184"/>
      <c r="O95" s="184"/>
      <c r="P95" s="630"/>
      <c r="Q95" s="630"/>
      <c r="R95" s="630"/>
      <c r="S95" s="630"/>
      <c r="T95" s="324"/>
      <c r="U95"/>
      <c r="V95"/>
      <c r="W95" s="184"/>
      <c r="X95" s="184"/>
      <c r="Y95" s="184"/>
    </row>
    <row r="96" spans="2:25" ht="15.75" thickBot="1" x14ac:dyDescent="0.3">
      <c r="B96" s="184"/>
      <c r="C96" s="184"/>
      <c r="D96" s="184"/>
      <c r="E96" s="184"/>
      <c r="F96" s="184"/>
      <c r="G96" s="184"/>
      <c r="H96" s="606"/>
      <c r="I96" s="184"/>
      <c r="J96" s="184"/>
      <c r="K96" s="184"/>
      <c r="L96" s="184"/>
      <c r="M96" s="184"/>
      <c r="N96" s="184"/>
      <c r="O96" s="184"/>
      <c r="P96" s="642"/>
      <c r="Q96" s="539" t="s">
        <v>209</v>
      </c>
      <c r="R96" s="643">
        <f>R88+R94</f>
        <v>0</v>
      </c>
      <c r="S96" s="644"/>
      <c r="T96" s="324"/>
      <c r="U96"/>
      <c r="V96" s="184"/>
      <c r="W96" s="184"/>
      <c r="X96" s="184"/>
      <c r="Y96" s="184"/>
    </row>
    <row r="97" spans="8:20" x14ac:dyDescent="0.25">
      <c r="H97" s="606"/>
      <c r="I97" s="184"/>
      <c r="J97" s="184"/>
      <c r="K97" s="184"/>
      <c r="L97" s="184"/>
      <c r="M97" s="184"/>
      <c r="N97" s="184"/>
      <c r="O97" s="184"/>
      <c r="P97" s="184"/>
      <c r="Q97" s="184"/>
      <c r="R97" s="184"/>
      <c r="S97" s="184"/>
      <c r="T97" s="324"/>
    </row>
    <row r="98" spans="8:20" ht="15.75" thickBot="1" x14ac:dyDescent="0.3">
      <c r="H98" s="645"/>
      <c r="I98" s="498"/>
      <c r="J98" s="498"/>
      <c r="K98" s="498"/>
      <c r="L98" s="498"/>
      <c r="M98" s="196"/>
      <c r="N98" s="521"/>
      <c r="O98" s="196"/>
      <c r="P98" s="196"/>
      <c r="Q98" s="196"/>
      <c r="R98" s="196"/>
      <c r="S98" s="196"/>
      <c r="T98" s="197"/>
    </row>
    <row r="117" spans="13:20" x14ac:dyDescent="0.25">
      <c r="M117"/>
      <c r="N117" s="32"/>
      <c r="O117"/>
      <c r="P117"/>
      <c r="Q117"/>
      <c r="R117"/>
      <c r="S117"/>
      <c r="T117"/>
    </row>
  </sheetData>
  <conditionalFormatting sqref="I86:I89">
    <cfRule type="duplicateValues" dxfId="167" priority="1"/>
  </conditionalFormatting>
  <dataValidations disablePrompts="1" count="1">
    <dataValidation type="list" allowBlank="1" showInputMessage="1" showErrorMessage="1" sqref="Y4" xr:uid="{6524B554-F3EC-4A4F-86C9-0B6C01B055E0}">
      <formula1>#REF!</formula1>
    </dataValidation>
  </dataValidations>
  <pageMargins left="0.7" right="0.7" top="0.75" bottom="0.75" header="0.3" footer="0.3"/>
  <pageSetup scale="22" orientation="landscape" r:id="rId1"/>
  <headerFooter>
    <oddFooter>&amp;R&amp;A
&amp;Z&amp;F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9D716-44D3-4369-B10B-2C866A0256D4}">
  <sheetPr>
    <tabColor rgb="FFFF0000"/>
    <pageSetUpPr fitToPage="1"/>
  </sheetPr>
  <dimension ref="A1:AK109"/>
  <sheetViews>
    <sheetView topLeftCell="A5" zoomScale="70" zoomScaleNormal="70" workbookViewId="0">
      <selection activeCell="B7" sqref="B7:D11"/>
    </sheetView>
  </sheetViews>
  <sheetFormatPr defaultColWidth="9.140625" defaultRowHeight="15" x14ac:dyDescent="0.25"/>
  <cols>
    <col min="1" max="1" width="2.85546875" style="112" customWidth="1"/>
    <col min="2" max="2" width="25.5703125" style="112" bestFit="1" customWidth="1"/>
    <col min="3" max="3" width="51.85546875" style="112" customWidth="1"/>
    <col min="4" max="4" width="16.85546875" style="112" customWidth="1"/>
    <col min="5" max="5" width="10.85546875" style="112" customWidth="1"/>
    <col min="6" max="7" width="4.85546875" style="112" customWidth="1"/>
    <col min="8" max="8" width="15.140625" style="112" customWidth="1"/>
    <col min="9" max="9" width="20.5703125" style="112" customWidth="1"/>
    <col min="10" max="10" width="20.140625" style="112" customWidth="1"/>
    <col min="11" max="11" width="21.140625" style="112" customWidth="1"/>
    <col min="12" max="12" width="18.140625" style="112" customWidth="1"/>
    <col min="13" max="13" width="17" style="112" customWidth="1"/>
    <col min="14" max="14" width="15.85546875" style="321" customWidth="1"/>
    <col min="15" max="15" width="17.85546875" style="112" customWidth="1"/>
    <col min="16" max="16" width="15.85546875" style="112" customWidth="1"/>
    <col min="17" max="17" width="16.140625" style="112" customWidth="1"/>
    <col min="18" max="18" width="15.140625" style="112" customWidth="1"/>
    <col min="19" max="19" width="6" style="112" customWidth="1"/>
    <col min="20" max="20" width="13.85546875" style="112" customWidth="1"/>
    <col min="21" max="21" width="14.140625" style="112" bestFit="1" customWidth="1"/>
    <col min="22" max="22" width="18.42578125" style="112" bestFit="1" customWidth="1"/>
    <col min="23" max="23" width="14.5703125" style="112" customWidth="1"/>
    <col min="24" max="16384" width="9.140625" style="112"/>
  </cols>
  <sheetData>
    <row r="1" spans="1:37" s="111" customFormat="1" ht="18.75" x14ac:dyDescent="0.3">
      <c r="A1" s="448" t="s">
        <v>61</v>
      </c>
      <c r="B1" s="448"/>
      <c r="C1" s="448"/>
      <c r="D1" s="448"/>
      <c r="E1" s="448"/>
      <c r="F1" s="448"/>
      <c r="G1" s="448"/>
      <c r="H1" s="448"/>
      <c r="I1" s="448"/>
      <c r="J1" s="448"/>
      <c r="K1" s="448"/>
      <c r="L1" s="448"/>
      <c r="M1" s="448"/>
      <c r="N1" s="448"/>
      <c r="O1" s="448"/>
      <c r="P1" s="448"/>
      <c r="Q1" s="448"/>
      <c r="R1" s="448"/>
      <c r="S1" s="448"/>
      <c r="T1" s="448"/>
      <c r="U1" s="448"/>
      <c r="V1" s="448"/>
      <c r="W1" s="448"/>
    </row>
    <row r="2" spans="1:37" s="111" customFormat="1" ht="18.75" x14ac:dyDescent="0.3">
      <c r="A2" s="448" t="s">
        <v>62</v>
      </c>
      <c r="B2" s="448"/>
      <c r="C2" s="448"/>
      <c r="D2" s="448"/>
      <c r="E2" s="448"/>
      <c r="F2" s="448"/>
      <c r="G2" s="448"/>
      <c r="H2" s="448"/>
      <c r="I2" s="448"/>
      <c r="J2" s="448"/>
      <c r="K2" s="448"/>
      <c r="L2" s="448"/>
      <c r="M2" s="448"/>
      <c r="N2" s="448"/>
      <c r="O2" s="448"/>
      <c r="P2" s="448"/>
      <c r="Q2" s="448"/>
      <c r="R2" s="448"/>
      <c r="S2" s="448"/>
      <c r="T2" s="448"/>
      <c r="U2" s="448"/>
      <c r="V2" s="448"/>
      <c r="W2" s="448"/>
    </row>
    <row r="4" spans="1:37" ht="15.75" x14ac:dyDescent="0.25">
      <c r="A4" s="184"/>
      <c r="B4" s="582" t="s">
        <v>63</v>
      </c>
      <c r="C4" s="583" t="str">
        <f>CONCATENATE(C17, " ",C18, " ",C5)</f>
        <v>Digitas  "2022 Q3 Eggo Liege TV"</v>
      </c>
      <c r="D4" s="184"/>
      <c r="E4" s="184"/>
      <c r="F4" s="582" t="s">
        <v>64</v>
      </c>
      <c r="G4" s="582"/>
      <c r="H4" s="192" t="s">
        <v>65</v>
      </c>
      <c r="I4"/>
      <c r="J4"/>
      <c r="K4"/>
      <c r="L4" s="184"/>
      <c r="M4" s="184"/>
      <c r="N4" s="322"/>
      <c r="O4" s="184"/>
      <c r="P4" s="184"/>
      <c r="Q4" s="184"/>
      <c r="R4" s="184"/>
      <c r="S4" s="184"/>
      <c r="T4" s="184"/>
      <c r="U4" s="184"/>
      <c r="V4" s="557" t="s">
        <v>66</v>
      </c>
      <c r="W4" s="242" t="s">
        <v>67</v>
      </c>
      <c r="X4" s="184"/>
      <c r="Y4" s="184"/>
      <c r="Z4" s="184"/>
      <c r="AA4" s="184"/>
      <c r="AB4" s="184"/>
      <c r="AC4" s="184"/>
      <c r="AD4" s="184"/>
      <c r="AE4" s="184"/>
      <c r="AF4" s="184"/>
      <c r="AG4" s="184"/>
      <c r="AH4" s="184"/>
      <c r="AI4" s="184"/>
      <c r="AJ4" s="184"/>
      <c r="AK4" s="184"/>
    </row>
    <row r="5" spans="1:37" ht="15.75" x14ac:dyDescent="0.25">
      <c r="A5" s="184"/>
      <c r="B5" s="582" t="s">
        <v>68</v>
      </c>
      <c r="C5" s="135" t="s">
        <v>210</v>
      </c>
      <c r="D5" s="184"/>
      <c r="E5" s="184"/>
      <c r="F5" s="184"/>
      <c r="G5" s="184"/>
      <c r="H5" s="184"/>
      <c r="I5" s="184"/>
      <c r="J5" s="184"/>
      <c r="K5" s="184"/>
      <c r="L5" s="184"/>
      <c r="M5" s="184"/>
      <c r="N5" s="322"/>
      <c r="O5" s="184"/>
      <c r="P5" s="184"/>
      <c r="Q5" s="184"/>
      <c r="R5" s="184"/>
      <c r="S5" s="184"/>
      <c r="T5" s="184"/>
      <c r="U5" s="184"/>
      <c r="V5" s="184"/>
      <c r="W5" s="184"/>
      <c r="X5" s="184"/>
      <c r="Y5" s="184"/>
      <c r="Z5" s="184"/>
      <c r="AA5" s="184"/>
      <c r="AB5" s="184"/>
      <c r="AC5" s="184"/>
      <c r="AD5" s="184"/>
      <c r="AE5" s="184"/>
      <c r="AF5" s="184"/>
      <c r="AG5" s="184"/>
      <c r="AH5" s="184"/>
      <c r="AI5" s="184"/>
      <c r="AJ5" s="184"/>
      <c r="AK5" s="184"/>
    </row>
    <row r="6" spans="1:37" ht="18.75" x14ac:dyDescent="0.3">
      <c r="A6" s="184"/>
      <c r="B6" s="582"/>
      <c r="C6" s="584"/>
      <c r="D6" s="184"/>
      <c r="E6" s="184"/>
      <c r="F6" s="184"/>
      <c r="G6" s="184"/>
      <c r="H6" s="184"/>
      <c r="I6" s="184"/>
      <c r="J6" s="184"/>
      <c r="K6" s="184"/>
      <c r="L6" s="184"/>
      <c r="M6" s="184"/>
      <c r="N6" s="322"/>
      <c r="O6" s="184"/>
      <c r="P6" s="184"/>
      <c r="Q6" s="184"/>
      <c r="R6" s="184"/>
      <c r="S6" s="184"/>
      <c r="T6" s="184"/>
      <c r="U6" s="184"/>
      <c r="V6" s="184"/>
      <c r="W6" s="184"/>
      <c r="X6" s="184"/>
      <c r="Y6" s="184"/>
      <c r="Z6" s="184"/>
      <c r="AA6" s="184"/>
      <c r="AB6" s="184"/>
      <c r="AC6" s="184"/>
      <c r="AD6" s="184"/>
      <c r="AE6" s="184"/>
      <c r="AF6" s="184"/>
      <c r="AG6" s="184"/>
      <c r="AH6" s="184"/>
      <c r="AI6" s="184"/>
      <c r="AJ6" s="184"/>
      <c r="AK6" s="184"/>
    </row>
    <row r="7" spans="1:37" ht="15.75" thickBot="1" x14ac:dyDescent="0.3">
      <c r="A7" s="184"/>
      <c r="B7" s="122" t="s">
        <v>69</v>
      </c>
      <c r="C7" s="205"/>
      <c r="D7" s="184"/>
      <c r="E7" s="184"/>
      <c r="F7" s="184"/>
      <c r="G7" s="184"/>
      <c r="H7" s="184"/>
      <c r="I7" s="184"/>
      <c r="J7" s="184"/>
      <c r="K7" s="184"/>
      <c r="L7" s="184"/>
      <c r="M7" s="184"/>
      <c r="N7" s="322"/>
      <c r="O7" s="184"/>
      <c r="P7" s="184"/>
      <c r="Q7" s="184"/>
      <c r="R7" s="184"/>
      <c r="S7" s="184"/>
      <c r="T7" s="184"/>
      <c r="U7" s="184"/>
      <c r="V7" s="184"/>
      <c r="W7" s="184"/>
      <c r="X7" s="184"/>
      <c r="Y7" s="184"/>
      <c r="Z7" s="184"/>
      <c r="AA7" s="184"/>
      <c r="AB7" s="184"/>
      <c r="AC7" s="184"/>
      <c r="AD7" s="184"/>
      <c r="AE7" s="184"/>
      <c r="AF7" s="184"/>
      <c r="AG7" s="184"/>
      <c r="AH7" s="184"/>
      <c r="AI7" s="184"/>
      <c r="AJ7" s="184"/>
      <c r="AK7" s="184"/>
    </row>
    <row r="8" spans="1:37" ht="15.75" thickBot="1" x14ac:dyDescent="0.3">
      <c r="A8" s="184"/>
      <c r="B8" s="122" t="s">
        <v>70</v>
      </c>
      <c r="C8" s="205"/>
      <c r="D8" s="184"/>
      <c r="E8" s="184"/>
      <c r="F8" s="184"/>
      <c r="G8" s="184"/>
      <c r="H8" s="380" t="s">
        <v>71</v>
      </c>
      <c r="I8" s="585"/>
      <c r="J8" s="585"/>
      <c r="K8" s="585"/>
      <c r="L8" s="585"/>
      <c r="M8" s="585"/>
      <c r="N8" s="585"/>
      <c r="O8" s="585"/>
      <c r="P8" s="585"/>
      <c r="Q8" s="585"/>
      <c r="R8" s="585"/>
      <c r="S8" s="585"/>
      <c r="T8" s="585"/>
      <c r="U8" s="585"/>
      <c r="V8" s="586"/>
      <c r="W8" s="184"/>
      <c r="X8" s="381" t="s">
        <v>72</v>
      </c>
      <c r="Y8" s="381"/>
      <c r="Z8" s="184"/>
      <c r="AA8" s="184"/>
      <c r="AB8" s="380" t="s">
        <v>73</v>
      </c>
      <c r="AC8" s="585"/>
      <c r="AD8" s="585"/>
      <c r="AE8" s="585"/>
      <c r="AF8" s="585"/>
      <c r="AG8" s="585"/>
      <c r="AH8" s="585"/>
      <c r="AI8" s="585"/>
      <c r="AJ8" s="585"/>
      <c r="AK8" s="586"/>
    </row>
    <row r="9" spans="1:37" ht="15.75" thickBot="1" x14ac:dyDescent="0.3">
      <c r="A9" s="184"/>
      <c r="B9" s="582" t="s">
        <v>74</v>
      </c>
      <c r="C9" s="205"/>
      <c r="D9" s="184"/>
      <c r="E9" s="184"/>
      <c r="F9" s="184"/>
      <c r="G9" s="184"/>
      <c r="H9" s="184"/>
      <c r="I9" s="184"/>
      <c r="J9" s="184"/>
      <c r="K9" s="184"/>
      <c r="L9" s="184"/>
      <c r="M9" s="184"/>
      <c r="N9" s="322"/>
      <c r="O9" s="184"/>
      <c r="P9" s="184"/>
      <c r="Q9" s="184"/>
      <c r="R9" s="184"/>
      <c r="S9" s="184"/>
      <c r="T9" s="184"/>
      <c r="U9" s="184"/>
      <c r="V9" s="184"/>
      <c r="W9" s="184"/>
      <c r="X9" s="184"/>
      <c r="Y9" s="184"/>
      <c r="Z9" s="184"/>
      <c r="AA9" s="184"/>
      <c r="AB9" s="184"/>
      <c r="AC9" s="184"/>
      <c r="AD9" s="184"/>
      <c r="AE9" s="184"/>
      <c r="AF9" s="184"/>
      <c r="AG9" s="184"/>
      <c r="AH9" s="184"/>
      <c r="AI9" s="184"/>
      <c r="AJ9" s="184"/>
      <c r="AK9" s="184"/>
    </row>
    <row r="10" spans="1:37" ht="15.75" thickBot="1" x14ac:dyDescent="0.3">
      <c r="A10" s="184"/>
      <c r="B10" s="122" t="s">
        <v>75</v>
      </c>
      <c r="C10" s="205"/>
      <c r="D10" s="184"/>
      <c r="E10" s="184"/>
      <c r="F10" s="184"/>
      <c r="G10" s="184"/>
      <c r="H10" s="319" t="s">
        <v>76</v>
      </c>
      <c r="I10" s="320"/>
      <c r="J10" s="320"/>
      <c r="K10" s="320"/>
      <c r="L10" s="587"/>
      <c r="M10" s="184"/>
      <c r="N10" s="319" t="s">
        <v>77</v>
      </c>
      <c r="O10" s="320"/>
      <c r="P10" s="320"/>
      <c r="Q10" s="320"/>
      <c r="R10" s="588"/>
      <c r="S10" s="184"/>
      <c r="T10" s="531" t="s">
        <v>78</v>
      </c>
      <c r="U10" s="184"/>
      <c r="V10" s="531" t="s">
        <v>79</v>
      </c>
      <c r="W10" s="184"/>
      <c r="X10" s="102" t="s">
        <v>80</v>
      </c>
      <c r="Y10" s="102" t="s">
        <v>81</v>
      </c>
      <c r="Z10" s="184"/>
      <c r="AA10" s="184"/>
      <c r="AB10" s="184"/>
      <c r="AC10" s="184"/>
      <c r="AD10" s="184"/>
      <c r="AE10" s="184"/>
      <c r="AF10" s="184"/>
      <c r="AG10" s="184"/>
      <c r="AH10" s="184"/>
      <c r="AI10" s="184"/>
      <c r="AJ10" s="184"/>
      <c r="AK10" s="184"/>
    </row>
    <row r="11" spans="1:37" x14ac:dyDescent="0.25">
      <c r="A11" s="184"/>
      <c r="B11" s="122" t="s">
        <v>82</v>
      </c>
      <c r="C11" s="205"/>
      <c r="D11" s="184"/>
      <c r="E11" s="184"/>
      <c r="F11" s="184"/>
      <c r="G11" s="184"/>
      <c r="H11" s="5" t="s">
        <v>83</v>
      </c>
      <c r="I11" s="5"/>
      <c r="J11" s="5"/>
      <c r="K11" s="5"/>
      <c r="L11" s="184"/>
      <c r="M11" s="184"/>
      <c r="N11" s="322"/>
      <c r="O11" s="184"/>
      <c r="P11" s="184"/>
      <c r="Q11" s="184"/>
      <c r="R11" s="184"/>
      <c r="S11" s="184"/>
      <c r="T11" s="184"/>
      <c r="U11" s="184"/>
      <c r="V11" s="184"/>
      <c r="W11" s="184"/>
      <c r="X11" s="184"/>
      <c r="Y11" s="589"/>
      <c r="Z11" s="184"/>
      <c r="AA11" s="184"/>
      <c r="AB11" t="s">
        <v>84</v>
      </c>
      <c r="AC11" s="184"/>
      <c r="AD11" s="184"/>
      <c r="AE11" s="184"/>
      <c r="AF11" s="184"/>
      <c r="AG11" s="184"/>
      <c r="AH11" s="184"/>
      <c r="AI11" s="184"/>
      <c r="AJ11" s="184"/>
      <c r="AK11" s="184"/>
    </row>
    <row r="12" spans="1:37" ht="17.25" x14ac:dyDescent="0.4">
      <c r="A12" s="184"/>
      <c r="B12" s="122" t="s">
        <v>85</v>
      </c>
      <c r="C12" s="136"/>
      <c r="D12" s="184"/>
      <c r="E12" s="184"/>
      <c r="F12" s="184"/>
      <c r="G12" s="184"/>
      <c r="H12" s="322" t="s">
        <v>86</v>
      </c>
      <c r="I12" s="582"/>
      <c r="J12" s="582"/>
      <c r="K12" s="113">
        <f>'Crew Payroll'!AE45</f>
        <v>0</v>
      </c>
      <c r="L12" s="184"/>
      <c r="M12" s="184"/>
      <c r="N12" s="32" t="s">
        <v>87</v>
      </c>
      <c r="O12" s="122"/>
      <c r="P12" s="122"/>
      <c r="Q12" s="114">
        <f>P13+P14</f>
        <v>0</v>
      </c>
      <c r="R12" s="590"/>
      <c r="S12" s="590"/>
      <c r="T12" s="114">
        <f>'Crew Payroll'!U53</f>
        <v>0</v>
      </c>
      <c r="U12" s="590"/>
      <c r="V12" s="590">
        <f>K12-(Q12+T12)</f>
        <v>0</v>
      </c>
      <c r="W12" s="184"/>
      <c r="X12" s="589"/>
      <c r="Y12" s="589"/>
      <c r="Z12" s="184"/>
      <c r="AA12" s="184"/>
      <c r="AB12" s="243" t="s">
        <v>88</v>
      </c>
      <c r="AC12" s="184"/>
      <c r="AD12" s="184"/>
      <c r="AE12" s="184"/>
      <c r="AF12" s="184"/>
      <c r="AG12" s="184"/>
      <c r="AH12" s="184"/>
      <c r="AI12" s="184"/>
      <c r="AJ12" s="184"/>
      <c r="AK12" s="184"/>
    </row>
    <row r="13" spans="1:37" ht="17.25" x14ac:dyDescent="0.4">
      <c r="A13" s="184"/>
      <c r="B13" s="122" t="s">
        <v>89</v>
      </c>
      <c r="C13" s="136"/>
      <c r="D13" s="184"/>
      <c r="E13" s="184"/>
      <c r="F13" s="184"/>
      <c r="G13" s="184"/>
      <c r="H13" s="184"/>
      <c r="I13" s="184"/>
      <c r="J13" s="184"/>
      <c r="K13" s="184"/>
      <c r="L13" s="184"/>
      <c r="M13" s="184"/>
      <c r="N13" s="322"/>
      <c r="O13" s="226" t="s">
        <v>90</v>
      </c>
      <c r="P13" s="227">
        <f>'Crew Payroll'!S53</f>
        <v>0</v>
      </c>
      <c r="Q13" s="184"/>
      <c r="R13" s="184"/>
      <c r="S13" s="184"/>
      <c r="T13" s="184"/>
      <c r="U13" s="184"/>
      <c r="V13" s="590"/>
      <c r="W13" s="184"/>
      <c r="X13" s="589"/>
      <c r="Y13" s="589"/>
      <c r="Z13" s="184"/>
      <c r="AA13" s="184"/>
      <c r="AB13" s="184"/>
      <c r="AC13" s="184"/>
      <c r="AD13" s="184"/>
      <c r="AE13" s="184"/>
      <c r="AF13" s="184"/>
      <c r="AG13" s="184"/>
      <c r="AH13" s="184"/>
      <c r="AI13" s="184"/>
      <c r="AJ13" s="184"/>
      <c r="AK13" s="184"/>
    </row>
    <row r="14" spans="1:37" ht="17.25" x14ac:dyDescent="0.4">
      <c r="A14" s="184"/>
      <c r="B14" s="122" t="s">
        <v>91</v>
      </c>
      <c r="C14" s="137"/>
      <c r="D14" s="184"/>
      <c r="E14" s="184"/>
      <c r="F14" s="184"/>
      <c r="G14" s="184"/>
      <c r="H14" s="184"/>
      <c r="I14" s="184"/>
      <c r="J14" s="184"/>
      <c r="K14" s="184"/>
      <c r="L14" s="184"/>
      <c r="M14" s="184"/>
      <c r="N14" s="322"/>
      <c r="O14" s="226" t="s">
        <v>92</v>
      </c>
      <c r="P14" s="227">
        <f>'Crew Payroll'!S54</f>
        <v>0</v>
      </c>
      <c r="Q14" s="184"/>
      <c r="R14" s="184"/>
      <c r="S14" s="184"/>
      <c r="T14" s="184"/>
      <c r="U14" s="184"/>
      <c r="V14" s="590"/>
      <c r="W14" s="184"/>
      <c r="X14" s="589"/>
      <c r="Y14" s="589"/>
      <c r="Z14" s="184"/>
      <c r="AA14" s="184"/>
      <c r="AB14" s="184"/>
      <c r="AC14" s="184"/>
      <c r="AD14" s="184"/>
      <c r="AE14" s="184"/>
      <c r="AF14" s="184"/>
      <c r="AG14" s="184"/>
      <c r="AH14" s="184"/>
      <c r="AI14" s="184"/>
      <c r="AJ14" s="184"/>
      <c r="AK14" s="184"/>
    </row>
    <row r="15" spans="1:37" ht="17.25" x14ac:dyDescent="0.4">
      <c r="A15" s="184"/>
      <c r="B15" s="122" t="s">
        <v>93</v>
      </c>
      <c r="C15" s="137"/>
      <c r="D15" s="184"/>
      <c r="E15" s="184"/>
      <c r="F15" s="184"/>
      <c r="G15" s="184"/>
      <c r="H15" s="32" t="s">
        <v>94</v>
      </c>
      <c r="I15" s="582"/>
      <c r="J15" s="582"/>
      <c r="K15" s="113" t="e">
        <f>#REF!</f>
        <v>#REF!</v>
      </c>
      <c r="L15" s="184"/>
      <c r="M15" s="184"/>
      <c r="N15" s="32" t="s">
        <v>94</v>
      </c>
      <c r="O15" s="582"/>
      <c r="P15" s="582"/>
      <c r="Q15" s="114" t="e">
        <f>#REF!</f>
        <v>#REF!</v>
      </c>
      <c r="R15" s="184"/>
      <c r="S15" s="184"/>
      <c r="T15" s="114" t="e">
        <f>#REF!</f>
        <v>#REF!</v>
      </c>
      <c r="U15" s="184"/>
      <c r="V15" s="590" t="e">
        <f t="shared" ref="V15:V18" si="0">K15-(Q15+T15)</f>
        <v>#REF!</v>
      </c>
      <c r="W15" s="184"/>
      <c r="X15" s="589"/>
      <c r="Y15" s="589"/>
      <c r="Z15" s="184"/>
      <c r="AA15" s="184"/>
      <c r="AB15" s="184"/>
      <c r="AC15" s="184"/>
      <c r="AD15" s="184"/>
      <c r="AE15" s="184"/>
      <c r="AF15" s="184"/>
      <c r="AG15" s="184"/>
      <c r="AH15" s="184"/>
      <c r="AI15" s="184"/>
      <c r="AJ15" s="184"/>
      <c r="AK15" s="184"/>
    </row>
    <row r="16" spans="1:37" ht="17.25" x14ac:dyDescent="0.4">
      <c r="A16" s="184"/>
      <c r="B16" s="582"/>
      <c r="C16" s="184"/>
      <c r="D16" s="184"/>
      <c r="E16" s="184"/>
      <c r="F16" s="184"/>
      <c r="G16" s="184"/>
      <c r="H16" s="32" t="s">
        <v>95</v>
      </c>
      <c r="I16" s="582"/>
      <c r="J16" s="582"/>
      <c r="K16" s="113" t="e">
        <f>#REF!</f>
        <v>#REF!</v>
      </c>
      <c r="L16" s="184"/>
      <c r="M16" s="184"/>
      <c r="N16" s="32" t="s">
        <v>95</v>
      </c>
      <c r="O16" s="582"/>
      <c r="P16" s="582"/>
      <c r="Q16" s="114" t="e">
        <f>#REF!</f>
        <v>#REF!</v>
      </c>
      <c r="R16" s="184"/>
      <c r="S16" s="184"/>
      <c r="T16" s="114" t="e">
        <f>#REF!</f>
        <v>#REF!</v>
      </c>
      <c r="U16" s="184"/>
      <c r="V16" s="590" t="e">
        <f t="shared" si="0"/>
        <v>#REF!</v>
      </c>
      <c r="W16" s="184"/>
      <c r="X16" s="589"/>
      <c r="Y16" s="589"/>
      <c r="Z16" s="184"/>
      <c r="AA16" s="184"/>
      <c r="AB16" s="184"/>
      <c r="AC16" s="184"/>
      <c r="AD16" s="184"/>
      <c r="AE16" s="184"/>
      <c r="AF16" s="184"/>
      <c r="AG16" s="184"/>
      <c r="AH16" s="184"/>
      <c r="AI16" s="184"/>
      <c r="AJ16" s="184"/>
      <c r="AK16" s="184"/>
    </row>
    <row r="17" spans="2:26" ht="17.25" x14ac:dyDescent="0.4">
      <c r="B17" s="582" t="s">
        <v>96</v>
      </c>
      <c r="C17" s="136" t="s">
        <v>211</v>
      </c>
      <c r="D17" s="184"/>
      <c r="E17" s="184"/>
      <c r="F17" s="184"/>
      <c r="G17" s="184"/>
      <c r="H17" s="32" t="s">
        <v>97</v>
      </c>
      <c r="I17" s="122"/>
      <c r="J17" s="122"/>
      <c r="K17" s="113" t="e">
        <f>#REF!</f>
        <v>#REF!</v>
      </c>
      <c r="L17" s="184"/>
      <c r="M17" s="184"/>
      <c r="N17" s="32" t="s">
        <v>97</v>
      </c>
      <c r="O17" s="122"/>
      <c r="P17" s="122"/>
      <c r="Q17" s="114" t="e">
        <f>#REF!</f>
        <v>#REF!</v>
      </c>
      <c r="R17" s="184"/>
      <c r="S17" s="184"/>
      <c r="T17" s="114" t="e">
        <f>#REF!</f>
        <v>#REF!</v>
      </c>
      <c r="U17" s="184"/>
      <c r="V17" s="590" t="e">
        <f t="shared" si="0"/>
        <v>#REF!</v>
      </c>
      <c r="W17" s="184"/>
      <c r="X17" s="589"/>
      <c r="Y17" s="589"/>
      <c r="Z17" s="184"/>
    </row>
    <row r="18" spans="2:26" ht="17.25" x14ac:dyDescent="0.4">
      <c r="B18" s="122" t="s">
        <v>98</v>
      </c>
      <c r="C18" s="136"/>
      <c r="D18" s="184"/>
      <c r="E18" s="184"/>
      <c r="F18" s="184"/>
      <c r="G18" s="184"/>
      <c r="H18" s="32" t="s">
        <v>99</v>
      </c>
      <c r="I18" s="122"/>
      <c r="J18" s="122"/>
      <c r="K18" s="113" t="e">
        <f>#REF!</f>
        <v>#REF!</v>
      </c>
      <c r="L18" s="184"/>
      <c r="M18" s="184"/>
      <c r="N18" s="32" t="s">
        <v>99</v>
      </c>
      <c r="O18" s="122"/>
      <c r="P18" s="122"/>
      <c r="Q18" s="114" t="e">
        <f>#REF!</f>
        <v>#REF!</v>
      </c>
      <c r="R18" s="590"/>
      <c r="S18" s="590"/>
      <c r="T18" s="114" t="e">
        <f>#REF!</f>
        <v>#REF!</v>
      </c>
      <c r="U18" s="590"/>
      <c r="V18" s="590" t="e">
        <f t="shared" si="0"/>
        <v>#REF!</v>
      </c>
      <c r="W18" s="184"/>
      <c r="X18" s="589"/>
      <c r="Y18" s="589"/>
      <c r="Z18" s="184"/>
    </row>
    <row r="19" spans="2:26" x14ac:dyDescent="0.25">
      <c r="B19" s="582" t="s">
        <v>100</v>
      </c>
      <c r="C19" s="136" t="s">
        <v>211</v>
      </c>
      <c r="D19" t="s">
        <v>212</v>
      </c>
      <c r="E19" s="184"/>
      <c r="F19" s="184"/>
      <c r="G19" s="184"/>
      <c r="H19" s="184"/>
      <c r="I19" s="184"/>
      <c r="J19" s="184"/>
      <c r="K19" s="184"/>
      <c r="L19" s="184"/>
      <c r="M19" s="184"/>
      <c r="N19" s="322"/>
      <c r="O19" s="184"/>
      <c r="P19" s="184"/>
      <c r="Q19" s="184"/>
      <c r="R19" s="184"/>
      <c r="S19" s="184"/>
      <c r="T19" s="184"/>
      <c r="U19" s="184"/>
      <c r="V19" s="590"/>
      <c r="W19" s="184"/>
      <c r="X19" s="382"/>
      <c r="Y19" s="589"/>
      <c r="Z19" t="s">
        <v>213</v>
      </c>
    </row>
    <row r="20" spans="2:26" ht="17.25" x14ac:dyDescent="0.4">
      <c r="B20" s="582" t="s">
        <v>101</v>
      </c>
      <c r="C20" s="136" t="s">
        <v>214</v>
      </c>
      <c r="D20" t="s">
        <v>105</v>
      </c>
      <c r="E20" s="184"/>
      <c r="F20" s="184"/>
      <c r="G20" s="184"/>
      <c r="H20" s="32" t="s">
        <v>103</v>
      </c>
      <c r="I20" s="122"/>
      <c r="J20" s="122"/>
      <c r="K20" s="113">
        <f>SUM('Talent &amp; Extras'!T63)</f>
        <v>0</v>
      </c>
      <c r="L20" s="184"/>
      <c r="M20" s="184"/>
      <c r="N20" s="32" t="s">
        <v>103</v>
      </c>
      <c r="O20" s="122"/>
      <c r="P20" s="122"/>
      <c r="Q20" s="113">
        <f>'Talent &amp; Extras'!N81</f>
        <v>0</v>
      </c>
      <c r="R20" s="184"/>
      <c r="S20" s="184"/>
      <c r="T20" s="113">
        <f>'Talent &amp; Extras'!M69</f>
        <v>0</v>
      </c>
      <c r="U20" s="184"/>
      <c r="V20" s="590">
        <f>K20-(Q20+T20)</f>
        <v>0</v>
      </c>
      <c r="W20" s="184"/>
      <c r="X20" s="589"/>
      <c r="Y20" s="589"/>
      <c r="Z20" s="184"/>
    </row>
    <row r="21" spans="2:26" ht="17.25" x14ac:dyDescent="0.4">
      <c r="B21" s="122" t="s">
        <v>104</v>
      </c>
      <c r="C21" s="136" t="s">
        <v>215</v>
      </c>
      <c r="D21" t="s">
        <v>108</v>
      </c>
      <c r="E21" s="184"/>
      <c r="F21" s="184"/>
      <c r="G21" s="184"/>
      <c r="H21" s="322"/>
      <c r="I21" s="592" t="s">
        <v>106</v>
      </c>
      <c r="J21" s="229">
        <f>'Talent &amp; Extras'!Q69</f>
        <v>0</v>
      </c>
      <c r="K21" s="184"/>
      <c r="L21" s="184"/>
      <c r="M21" s="184"/>
      <c r="N21" s="322"/>
      <c r="O21" s="592" t="s">
        <v>106</v>
      </c>
      <c r="P21" s="229">
        <f>'Talent &amp; Extras'!D69</f>
        <v>0</v>
      </c>
      <c r="Q21" s="184"/>
      <c r="R21" s="184"/>
      <c r="S21" s="184"/>
      <c r="T21" s="184"/>
      <c r="U21" s="184"/>
      <c r="V21" s="590"/>
      <c r="W21" s="184"/>
      <c r="X21" s="589"/>
      <c r="Y21" s="589"/>
      <c r="Z21" s="184"/>
    </row>
    <row r="22" spans="2:26" ht="17.25" x14ac:dyDescent="0.4">
      <c r="B22" s="122" t="s">
        <v>107</v>
      </c>
      <c r="C22" s="136"/>
      <c r="D22" s="184"/>
      <c r="E22" s="184"/>
      <c r="F22" s="184"/>
      <c r="G22" s="184"/>
      <c r="H22" s="322"/>
      <c r="I22" s="226" t="s">
        <v>109</v>
      </c>
      <c r="J22" s="229">
        <f>'Talent &amp; Extras'!C71</f>
        <v>0</v>
      </c>
      <c r="K22" s="184"/>
      <c r="L22" s="184"/>
      <c r="M22" s="184"/>
      <c r="N22" s="322"/>
      <c r="O22" s="226" t="s">
        <v>109</v>
      </c>
      <c r="P22" s="229">
        <f>'Talent &amp; Extras'!D70</f>
        <v>0</v>
      </c>
      <c r="Q22" s="184"/>
      <c r="R22" s="115"/>
      <c r="S22" s="115"/>
      <c r="T22" s="184"/>
      <c r="U22" s="115"/>
      <c r="V22" s="590"/>
      <c r="W22" s="184"/>
      <c r="X22" s="589"/>
      <c r="Y22" s="589"/>
      <c r="Z22" s="184"/>
    </row>
    <row r="23" spans="2:26" ht="17.25" x14ac:dyDescent="0.4">
      <c r="B23" s="582" t="s">
        <v>110</v>
      </c>
      <c r="C23" s="591" t="s">
        <v>216</v>
      </c>
      <c r="D23" s="184"/>
      <c r="E23" s="184"/>
      <c r="F23" s="184"/>
      <c r="G23" s="184"/>
      <c r="H23" s="184"/>
      <c r="I23" s="184"/>
      <c r="J23" s="184"/>
      <c r="K23" s="184"/>
      <c r="L23" s="184"/>
      <c r="M23" s="184"/>
      <c r="N23" s="322"/>
      <c r="O23" s="226" t="s">
        <v>111</v>
      </c>
      <c r="P23" s="229">
        <f>'Talent &amp; Extras'!R69</f>
        <v>0</v>
      </c>
      <c r="Q23" s="184"/>
      <c r="R23" s="115"/>
      <c r="S23" s="115"/>
      <c r="T23" s="184"/>
      <c r="U23" s="115"/>
      <c r="V23" s="590"/>
      <c r="W23" s="184"/>
      <c r="X23" s="589"/>
      <c r="Y23" s="589"/>
      <c r="Z23" s="184"/>
    </row>
    <row r="24" spans="2:26" ht="17.25" x14ac:dyDescent="0.4">
      <c r="B24" s="582" t="s">
        <v>112</v>
      </c>
      <c r="C24" s="591"/>
      <c r="D24" s="184"/>
      <c r="E24" s="184"/>
      <c r="F24" s="184"/>
      <c r="G24" s="184"/>
      <c r="H24" s="184"/>
      <c r="I24" s="184"/>
      <c r="J24" s="184"/>
      <c r="K24" s="184"/>
      <c r="L24" s="184"/>
      <c r="M24" s="184"/>
      <c r="N24" s="322"/>
      <c r="O24" s="480" t="s">
        <v>113</v>
      </c>
      <c r="P24" s="481">
        <f>'Agency Sub-Vendors'!M69</f>
        <v>0</v>
      </c>
      <c r="Q24" s="184"/>
      <c r="R24" s="184"/>
      <c r="S24" s="184"/>
      <c r="T24" s="184"/>
      <c r="U24" s="184"/>
      <c r="V24" s="590"/>
      <c r="W24" s="184"/>
      <c r="X24" s="589"/>
      <c r="Y24" s="589"/>
      <c r="Z24" s="184"/>
    </row>
    <row r="25" spans="2:26" ht="17.25" x14ac:dyDescent="0.4">
      <c r="B25" s="582" t="s">
        <v>114</v>
      </c>
      <c r="C25" s="591" t="s">
        <v>217</v>
      </c>
      <c r="D25" s="184"/>
      <c r="E25" s="184"/>
      <c r="F25" s="184"/>
      <c r="G25" s="184"/>
      <c r="H25" s="184"/>
      <c r="I25" s="184"/>
      <c r="J25" s="184"/>
      <c r="K25" s="184"/>
      <c r="L25" s="184"/>
      <c r="M25" s="184"/>
      <c r="N25" s="322"/>
      <c r="O25" s="480" t="s">
        <v>115</v>
      </c>
      <c r="P25" s="481">
        <f>'Agency Sub-Vendors'!M68</f>
        <v>0</v>
      </c>
      <c r="Q25" s="184"/>
      <c r="R25" s="184"/>
      <c r="S25" s="184"/>
      <c r="T25" s="184"/>
      <c r="U25" s="115"/>
      <c r="V25" s="590"/>
      <c r="W25" s="184"/>
      <c r="X25" s="184"/>
      <c r="Y25" s="184"/>
      <c r="Z25" s="184"/>
    </row>
    <row r="26" spans="2:26" ht="17.25" x14ac:dyDescent="0.4">
      <c r="B26" s="593" t="s">
        <v>116</v>
      </c>
      <c r="C26" s="591"/>
      <c r="D26" s="184"/>
      <c r="E26" s="184"/>
      <c r="F26" s="184"/>
      <c r="G26" s="184"/>
      <c r="H26" s="32" t="s">
        <v>117</v>
      </c>
      <c r="I26" s="582"/>
      <c r="J26" s="582"/>
      <c r="K26" s="113">
        <f>'Agency Sub-Vendors'!M63</f>
        <v>0</v>
      </c>
      <c r="L26" s="184"/>
      <c r="M26" s="184"/>
      <c r="N26" s="32" t="s">
        <v>118</v>
      </c>
      <c r="O26" s="582"/>
      <c r="P26" s="582"/>
      <c r="Q26" s="113">
        <f>'Agency Sub-Vendors'!M60</f>
        <v>0</v>
      </c>
      <c r="R26" s="115"/>
      <c r="S26" s="115"/>
      <c r="T26" s="113">
        <f>'Agency Sub-Vendors'!M61</f>
        <v>0</v>
      </c>
      <c r="U26" s="184"/>
      <c r="V26" s="590">
        <f t="shared" ref="V26:V27" si="1">K26-(Q26+T26)</f>
        <v>0</v>
      </c>
      <c r="W26" s="184"/>
      <c r="X26" s="184"/>
      <c r="Y26" s="184"/>
      <c r="Z26" s="184"/>
    </row>
    <row r="27" spans="2:26" ht="17.25" x14ac:dyDescent="0.4">
      <c r="B27" s="593" t="s">
        <v>119</v>
      </c>
      <c r="C27" s="591"/>
      <c r="D27" s="184"/>
      <c r="E27" s="184"/>
      <c r="F27" s="184"/>
      <c r="G27" s="184"/>
      <c r="H27" s="322" t="s">
        <v>120</v>
      </c>
      <c r="I27" s="582"/>
      <c r="J27" s="582"/>
      <c r="K27" s="113">
        <f>'Agency Hours'!T43</f>
        <v>0</v>
      </c>
      <c r="L27" s="184"/>
      <c r="M27" s="184"/>
      <c r="N27" s="32" t="s">
        <v>121</v>
      </c>
      <c r="O27" s="582"/>
      <c r="P27" s="582"/>
      <c r="Q27" s="113">
        <f>'Agency Hours'!Q71</f>
        <v>0</v>
      </c>
      <c r="R27" s="184"/>
      <c r="S27" s="184"/>
      <c r="T27" s="113">
        <f>'Agency Hours'!O43</f>
        <v>0</v>
      </c>
      <c r="U27" s="184"/>
      <c r="V27" s="590">
        <f t="shared" si="1"/>
        <v>0</v>
      </c>
      <c r="W27" s="184"/>
      <c r="X27" s="184"/>
      <c r="Y27" s="184"/>
      <c r="Z27" s="184"/>
    </row>
    <row r="28" spans="2:26" ht="17.25" x14ac:dyDescent="0.4">
      <c r="B28" s="188" t="s">
        <v>122</v>
      </c>
      <c r="C28" s="591"/>
      <c r="D28" s="184"/>
      <c r="E28" s="184"/>
      <c r="F28" s="184"/>
      <c r="G28" s="184"/>
      <c r="H28" s="184"/>
      <c r="I28" s="184"/>
      <c r="J28" s="184"/>
      <c r="K28" s="184"/>
      <c r="L28" s="184"/>
      <c r="M28" s="184"/>
      <c r="N28" s="322"/>
      <c r="O28" s="226" t="s">
        <v>123</v>
      </c>
      <c r="P28" s="227">
        <f>'Agency Hours'!Q58</f>
        <v>0</v>
      </c>
      <c r="Q28" s="184"/>
      <c r="R28" s="184"/>
      <c r="S28" s="184"/>
      <c r="T28" s="184"/>
      <c r="U28" s="184"/>
      <c r="V28" s="590"/>
      <c r="W28" s="184"/>
      <c r="X28" s="184"/>
      <c r="Y28" s="184"/>
      <c r="Z28" s="184"/>
    </row>
    <row r="29" spans="2:26" ht="17.25" x14ac:dyDescent="0.4">
      <c r="B29" s="593"/>
      <c r="C29" s="594"/>
      <c r="D29" s="184"/>
      <c r="E29" s="184"/>
      <c r="F29" s="184"/>
      <c r="G29" s="184"/>
      <c r="H29" s="184"/>
      <c r="I29" s="184"/>
      <c r="J29" s="184"/>
      <c r="K29" s="184"/>
      <c r="L29" s="184"/>
      <c r="M29" s="184"/>
      <c r="N29" s="322"/>
      <c r="O29" s="226" t="s">
        <v>92</v>
      </c>
      <c r="P29" s="227">
        <f>'Agency Hours'!R43</f>
        <v>0</v>
      </c>
      <c r="Q29" s="184"/>
      <c r="R29" s="184"/>
      <c r="S29" s="184"/>
      <c r="T29" s="184"/>
      <c r="U29" s="184"/>
      <c r="V29" s="590"/>
      <c r="W29" s="184"/>
      <c r="X29" s="184"/>
      <c r="Y29" s="589"/>
      <c r="Z29" s="184"/>
    </row>
    <row r="30" spans="2:26" x14ac:dyDescent="0.25">
      <c r="B30" s="582" t="s">
        <v>124</v>
      </c>
      <c r="C30" s="591"/>
      <c r="D30" s="184"/>
      <c r="E30" s="184"/>
      <c r="F30" s="184"/>
      <c r="G30" s="184"/>
      <c r="H30" s="184"/>
      <c r="I30" s="184"/>
      <c r="J30" s="184"/>
      <c r="K30" s="184"/>
      <c r="L30" s="184"/>
      <c r="M30" s="184"/>
      <c r="N30" s="322"/>
      <c r="O30" s="184"/>
      <c r="P30" s="184"/>
      <c r="Q30" s="184"/>
      <c r="R30" s="184"/>
      <c r="S30" s="184"/>
      <c r="T30" s="184"/>
      <c r="U30" s="184"/>
      <c r="V30" s="590"/>
      <c r="W30" s="184"/>
      <c r="X30" s="184"/>
      <c r="Y30" s="184"/>
      <c r="Z30" s="184"/>
    </row>
    <row r="31" spans="2:26" ht="17.25" x14ac:dyDescent="0.4">
      <c r="B31" s="594"/>
      <c r="C31" s="594"/>
      <c r="D31" s="184"/>
      <c r="E31" s="184"/>
      <c r="F31" s="184"/>
      <c r="G31" s="184"/>
      <c r="H31" s="184"/>
      <c r="I31" s="596" t="s">
        <v>125</v>
      </c>
      <c r="J31" s="528">
        <f>'Agency Hours'!J49</f>
        <v>0</v>
      </c>
      <c r="K31" s="184"/>
      <c r="L31" s="184"/>
      <c r="M31" s="184"/>
      <c r="N31" s="322"/>
      <c r="O31" s="596" t="s">
        <v>125</v>
      </c>
      <c r="P31" s="527">
        <f>'Agency Hours'!S49</f>
        <v>0</v>
      </c>
      <c r="Q31" s="184"/>
      <c r="R31" s="184"/>
      <c r="S31" s="184"/>
      <c r="T31" s="184"/>
      <c r="U31" s="527">
        <f>'Agency Hours'!O49</f>
        <v>0</v>
      </c>
      <c r="V31" s="590">
        <f>J31-(P31+U31)</f>
        <v>0</v>
      </c>
      <c r="W31" s="184"/>
      <c r="X31" s="184"/>
      <c r="Y31" s="184"/>
      <c r="Z31" s="184"/>
    </row>
    <row r="32" spans="2:26" x14ac:dyDescent="0.25">
      <c r="B32" s="122" t="s">
        <v>126</v>
      </c>
      <c r="C32" s="591"/>
      <c r="D32" s="184"/>
      <c r="E32" s="184"/>
      <c r="F32" s="184"/>
      <c r="G32" s="184"/>
      <c r="H32" s="184"/>
      <c r="I32" s="184"/>
      <c r="J32" s="184"/>
      <c r="K32" s="184"/>
      <c r="L32" s="184"/>
      <c r="M32" s="184"/>
      <c r="N32" s="322"/>
      <c r="O32" s="184"/>
      <c r="P32" s="184"/>
      <c r="Q32" s="184"/>
      <c r="R32" s="184"/>
      <c r="S32" s="184"/>
      <c r="T32" s="184"/>
      <c r="U32" s="184"/>
      <c r="V32" s="590"/>
      <c r="W32" s="184"/>
      <c r="X32" s="184"/>
      <c r="Y32" s="184"/>
      <c r="Z32" s="184"/>
    </row>
    <row r="33" spans="2:25" ht="17.25" x14ac:dyDescent="0.4">
      <c r="B33" s="582" t="s">
        <v>127</v>
      </c>
      <c r="C33" s="136"/>
      <c r="D33" s="595"/>
      <c r="E33" s="184"/>
      <c r="F33" s="184"/>
      <c r="G33" s="184"/>
      <c r="H33" s="32" t="s">
        <v>128</v>
      </c>
      <c r="I33" s="122"/>
      <c r="J33" s="122"/>
      <c r="K33" s="113">
        <f>'Agency Hours'!Q68</f>
        <v>0</v>
      </c>
      <c r="L33" s="184"/>
      <c r="M33" s="184"/>
      <c r="N33" s="32" t="s">
        <v>129</v>
      </c>
      <c r="O33" s="122"/>
      <c r="P33" s="122"/>
      <c r="Q33" s="113">
        <f>'Agency Hours'!Q64+'Agency Hours'!Q65</f>
        <v>0</v>
      </c>
      <c r="R33" s="184"/>
      <c r="S33" s="184"/>
      <c r="T33" s="113">
        <f>'Agency Hours'!O55</f>
        <v>0</v>
      </c>
      <c r="U33" s="184"/>
      <c r="V33" s="590">
        <f>K33-(Q33+T33)</f>
        <v>0</v>
      </c>
      <c r="W33" s="184"/>
      <c r="X33" s="589"/>
      <c r="Y33" s="589"/>
    </row>
    <row r="34" spans="2:25" ht="17.25" x14ac:dyDescent="0.4">
      <c r="B34" s="582" t="s">
        <v>130</v>
      </c>
      <c r="C34" s="136"/>
      <c r="D34" s="595"/>
      <c r="E34" s="184"/>
      <c r="F34" s="184"/>
      <c r="G34" s="184"/>
      <c r="H34" s="184"/>
      <c r="I34" s="184"/>
      <c r="J34" s="184"/>
      <c r="K34" s="184"/>
      <c r="L34" s="184"/>
      <c r="M34" s="184"/>
      <c r="N34" s="322"/>
      <c r="O34" s="226" t="s">
        <v>123</v>
      </c>
      <c r="P34" s="227">
        <f>'Agency Hours'!S55</f>
        <v>0</v>
      </c>
      <c r="Q34" s="184"/>
      <c r="R34" s="115"/>
      <c r="S34" s="115"/>
      <c r="T34" s="184"/>
      <c r="U34" s="115"/>
      <c r="V34" s="590"/>
      <c r="W34" s="184"/>
      <c r="X34" s="589"/>
      <c r="Y34" s="589"/>
    </row>
    <row r="35" spans="2:25" ht="17.25" x14ac:dyDescent="0.4">
      <c r="B35" s="184"/>
      <c r="C35" s="184"/>
      <c r="D35" s="595"/>
      <c r="E35" s="184"/>
      <c r="F35" s="184"/>
      <c r="G35" s="184"/>
      <c r="H35" s="184"/>
      <c r="I35" s="184"/>
      <c r="J35" s="184"/>
      <c r="K35" s="184"/>
      <c r="L35" s="184"/>
      <c r="M35" s="184"/>
      <c r="N35" s="322"/>
      <c r="O35" s="226" t="s">
        <v>92</v>
      </c>
      <c r="P35" s="227">
        <f>'Agency Hours'!R55</f>
        <v>0</v>
      </c>
      <c r="Q35" s="184"/>
      <c r="R35" s="115"/>
      <c r="S35" s="115"/>
      <c r="T35" s="184"/>
      <c r="U35" s="115"/>
      <c r="V35" s="590"/>
      <c r="W35" s="184"/>
      <c r="X35" s="589"/>
      <c r="Y35" s="589"/>
    </row>
    <row r="36" spans="2:25" x14ac:dyDescent="0.25">
      <c r="B36" s="184"/>
      <c r="C36" t="s">
        <v>131</v>
      </c>
      <c r="D36" s="383">
        <v>300358</v>
      </c>
      <c r="E36" s="184"/>
      <c r="F36" s="184"/>
      <c r="G36" s="184"/>
      <c r="H36" s="184"/>
      <c r="I36" s="184"/>
      <c r="J36" s="184"/>
      <c r="K36" s="184"/>
      <c r="L36" s="184"/>
      <c r="M36" s="184"/>
      <c r="N36" s="322"/>
      <c r="O36" s="184"/>
      <c r="P36" s="184"/>
      <c r="Q36" s="184"/>
      <c r="R36" s="115"/>
      <c r="S36" s="115"/>
      <c r="T36" s="184"/>
      <c r="U36" s="115"/>
      <c r="V36" s="590"/>
      <c r="W36" s="184"/>
      <c r="X36" s="589"/>
      <c r="Y36" s="589"/>
    </row>
    <row r="37" spans="2:25" ht="17.25" x14ac:dyDescent="0.4">
      <c r="B37" s="184"/>
      <c r="C37" t="s">
        <v>132</v>
      </c>
      <c r="D37" s="597"/>
      <c r="E37" s="184"/>
      <c r="F37" s="184"/>
      <c r="G37" s="184"/>
      <c r="H37" s="322" t="s">
        <v>133</v>
      </c>
      <c r="I37" s="582"/>
      <c r="J37" s="582"/>
      <c r="K37" s="113" t="e">
        <f>#REF!</f>
        <v>#REF!</v>
      </c>
      <c r="L37" s="184"/>
      <c r="M37" s="184"/>
      <c r="N37" s="322" t="s">
        <v>133</v>
      </c>
      <c r="O37" s="582"/>
      <c r="P37" s="582"/>
      <c r="Q37" s="113" t="e">
        <f>#REF!</f>
        <v>#REF!</v>
      </c>
      <c r="R37" s="115"/>
      <c r="S37" s="115"/>
      <c r="T37" s="113" t="e">
        <f>#REF!</f>
        <v>#REF!</v>
      </c>
      <c r="U37" s="115"/>
      <c r="V37" s="590" t="e">
        <f t="shared" ref="V37:V39" si="2">K37-(Q37+T37)</f>
        <v>#REF!</v>
      </c>
      <c r="W37" s="184"/>
      <c r="X37" s="589"/>
      <c r="Y37" s="589"/>
    </row>
    <row r="38" spans="2:25" ht="17.25" x14ac:dyDescent="0.4">
      <c r="B38" s="184"/>
      <c r="C38" t="s">
        <v>134</v>
      </c>
      <c r="D38" s="343"/>
      <c r="E38" s="184"/>
      <c r="F38" s="184"/>
      <c r="G38" s="184"/>
      <c r="H38" s="322" t="s">
        <v>135</v>
      </c>
      <c r="I38" s="582"/>
      <c r="J38" s="582"/>
      <c r="K38" s="113" t="e">
        <f>#REF!</f>
        <v>#REF!</v>
      </c>
      <c r="L38" s="184"/>
      <c r="M38" s="184"/>
      <c r="N38" s="322" t="s">
        <v>136</v>
      </c>
      <c r="O38" s="582"/>
      <c r="P38" s="582"/>
      <c r="Q38" s="113" t="e">
        <f>#REF!+#REF!</f>
        <v>#REF!</v>
      </c>
      <c r="R38" s="115"/>
      <c r="S38" s="115"/>
      <c r="T38" s="113" t="e">
        <f>#REF!</f>
        <v>#REF!</v>
      </c>
      <c r="U38" s="115"/>
      <c r="V38" s="590" t="e">
        <f t="shared" si="2"/>
        <v>#REF!</v>
      </c>
      <c r="W38" s="184"/>
      <c r="X38" s="589"/>
      <c r="Y38" s="589"/>
    </row>
    <row r="39" spans="2:25" ht="17.25" x14ac:dyDescent="0.4">
      <c r="B39" s="184"/>
      <c r="C39" t="s">
        <v>137</v>
      </c>
      <c r="D39" s="344"/>
      <c r="E39" s="184"/>
      <c r="F39" s="184"/>
      <c r="G39" s="184"/>
      <c r="H39" s="322" t="s">
        <v>138</v>
      </c>
      <c r="I39" s="582"/>
      <c r="J39" s="582"/>
      <c r="K39" s="113" t="e">
        <f>#REF!</f>
        <v>#REF!</v>
      </c>
      <c r="L39" s="184"/>
      <c r="M39" s="184"/>
      <c r="N39" s="322" t="s">
        <v>138</v>
      </c>
      <c r="O39" s="582"/>
      <c r="P39" s="582"/>
      <c r="Q39" s="113" t="e">
        <f>#REF!</f>
        <v>#REF!</v>
      </c>
      <c r="R39" s="115"/>
      <c r="S39" s="115"/>
      <c r="T39" s="113" t="e">
        <f>#REF!</f>
        <v>#REF!</v>
      </c>
      <c r="U39" s="115"/>
      <c r="V39" s="590" t="e">
        <f t="shared" si="2"/>
        <v>#REF!</v>
      </c>
      <c r="W39" s="598"/>
      <c r="X39" s="589"/>
      <c r="Y39" s="589"/>
    </row>
    <row r="40" spans="2:25" ht="17.25" x14ac:dyDescent="0.4">
      <c r="B40" s="184"/>
      <c r="C40" s="184" t="s">
        <v>139</v>
      </c>
      <c r="D40" s="597"/>
      <c r="E40" s="184"/>
      <c r="F40" s="184"/>
      <c r="G40" s="184"/>
      <c r="H40" s="322" t="s">
        <v>140</v>
      </c>
      <c r="I40" s="582"/>
      <c r="J40" s="582"/>
      <c r="K40" s="113" t="e">
        <f>#REF!</f>
        <v>#REF!</v>
      </c>
      <c r="L40" s="184"/>
      <c r="M40" s="184"/>
      <c r="N40" s="322" t="s">
        <v>140</v>
      </c>
      <c r="O40" s="582"/>
      <c r="P40" s="582"/>
      <c r="Q40" s="113" t="e">
        <f>#REF!</f>
        <v>#REF!</v>
      </c>
      <c r="R40" s="115"/>
      <c r="S40" s="115"/>
      <c r="T40" s="113" t="e">
        <f>SUM(T12,T15:T18,T20,T26:T27,T34:T37)</f>
        <v>#REF!</v>
      </c>
      <c r="U40" s="115"/>
      <c r="V40" s="590" t="e">
        <f>K40-(Q40+T40)</f>
        <v>#REF!</v>
      </c>
      <c r="W40" s="184"/>
      <c r="X40" s="589"/>
      <c r="Y40" s="589"/>
    </row>
    <row r="41" spans="2:25" ht="17.25" x14ac:dyDescent="0.4">
      <c r="B41" s="184"/>
      <c r="C41" t="s">
        <v>141</v>
      </c>
      <c r="D41" s="597"/>
      <c r="E41" s="184"/>
      <c r="F41" s="184"/>
      <c r="G41" s="184"/>
      <c r="H41" s="184"/>
      <c r="I41" s="596" t="s">
        <v>142</v>
      </c>
      <c r="J41" s="528" t="e">
        <f>#REF!</f>
        <v>#REF!</v>
      </c>
      <c r="K41" s="184"/>
      <c r="L41" s="184"/>
      <c r="M41" s="184"/>
      <c r="N41" s="322"/>
      <c r="O41" s="596" t="s">
        <v>142</v>
      </c>
      <c r="P41" s="527" t="e">
        <f>#REF!</f>
        <v>#REF!</v>
      </c>
      <c r="Q41" s="184"/>
      <c r="R41" s="184"/>
      <c r="S41" s="184"/>
      <c r="T41" s="184"/>
      <c r="U41" s="527" t="e">
        <f>#REF!</f>
        <v>#REF!</v>
      </c>
      <c r="V41" s="590" t="e">
        <f>J41-(P41+U41)</f>
        <v>#REF!</v>
      </c>
      <c r="W41" s="184"/>
      <c r="X41" s="646"/>
      <c r="Y41" s="589"/>
    </row>
    <row r="42" spans="2:25" ht="17.25" x14ac:dyDescent="0.4">
      <c r="B42" s="595"/>
      <c r="C42" t="s">
        <v>143</v>
      </c>
      <c r="D42" s="344"/>
      <c r="E42" s="184"/>
      <c r="F42" s="184"/>
      <c r="G42" s="184"/>
      <c r="H42" s="322" t="s">
        <v>144</v>
      </c>
      <c r="I42" s="582"/>
      <c r="J42" s="582"/>
      <c r="K42" s="113">
        <v>0</v>
      </c>
      <c r="L42" s="184"/>
      <c r="M42" s="184"/>
      <c r="N42" s="322" t="s">
        <v>144</v>
      </c>
      <c r="O42" s="582"/>
      <c r="P42" s="582"/>
      <c r="Q42" s="113">
        <v>0</v>
      </c>
      <c r="R42" s="115"/>
      <c r="S42" s="115"/>
      <c r="T42" s="113"/>
      <c r="U42" s="115"/>
      <c r="V42" s="590">
        <f>K42-(Q42+T42)</f>
        <v>0</v>
      </c>
      <c r="W42" s="600"/>
      <c r="X42" s="184"/>
      <c r="Y42" s="184"/>
    </row>
    <row r="43" spans="2:25" ht="15.75" thickBot="1" x14ac:dyDescent="0.3">
      <c r="B43" s="595"/>
      <c r="C43" s="184" t="s">
        <v>145</v>
      </c>
      <c r="D43" s="342"/>
      <c r="E43" s="184"/>
      <c r="F43" s="184"/>
      <c r="G43" s="184"/>
      <c r="H43" s="322" t="s">
        <v>146</v>
      </c>
      <c r="I43" s="582"/>
      <c r="J43" s="582"/>
      <c r="K43" s="116" t="e">
        <f>SUM(K12:K42)</f>
        <v>#REF!</v>
      </c>
      <c r="L43" s="184"/>
      <c r="M43" s="184"/>
      <c r="N43" s="32" t="s">
        <v>147</v>
      </c>
      <c r="O43" s="582"/>
      <c r="P43" s="582"/>
      <c r="Q43" s="116" t="e">
        <f>SUM(Q12:Q42)+P24+P25</f>
        <v>#REF!</v>
      </c>
      <c r="R43" s="184"/>
      <c r="S43" s="184"/>
      <c r="T43" s="116" t="e">
        <f>SUM(T12:T42)</f>
        <v>#REF!</v>
      </c>
      <c r="U43" s="184"/>
      <c r="V43" s="529" t="e">
        <f>SUM(V12:V30,V32:V42)</f>
        <v>#REF!</v>
      </c>
      <c r="W43" s="184"/>
      <c r="X43" s="184"/>
      <c r="Y43" s="184"/>
    </row>
    <row r="44" spans="2:25" ht="15.75" thickTop="1" x14ac:dyDescent="0.25">
      <c r="B44" s="184"/>
      <c r="C44" t="s">
        <v>148</v>
      </c>
      <c r="D44" s="345"/>
      <c r="E44" s="184"/>
      <c r="F44" s="184"/>
      <c r="G44" s="184"/>
      <c r="H44" s="184"/>
      <c r="I44" s="184"/>
      <c r="J44" s="184"/>
      <c r="K44" s="184"/>
      <c r="L44" s="184"/>
      <c r="M44" s="184"/>
      <c r="N44" s="322"/>
      <c r="O44" s="184"/>
      <c r="P44" s="184"/>
      <c r="Q44" s="184"/>
      <c r="R44" s="184"/>
      <c r="S44" s="184"/>
      <c r="T44" s="184"/>
      <c r="U44" s="184"/>
      <c r="V44" s="184"/>
      <c r="W44" s="184"/>
      <c r="X44" s="184"/>
      <c r="Y44" s="184"/>
    </row>
    <row r="45" spans="2:25" ht="17.25" x14ac:dyDescent="0.4">
      <c r="B45" s="595"/>
      <c r="C45" t="s">
        <v>149</v>
      </c>
      <c r="D45" s="342"/>
      <c r="E45" s="184"/>
      <c r="F45" s="184"/>
      <c r="G45" s="184"/>
      <c r="H45" s="184"/>
      <c r="I45" s="184"/>
      <c r="J45" s="184"/>
      <c r="K45" s="184"/>
      <c r="L45" s="184"/>
      <c r="M45" s="184"/>
      <c r="N45" s="322"/>
      <c r="O45" s="226" t="s">
        <v>150</v>
      </c>
      <c r="P45" s="227">
        <f>P14+P23+P29+P35</f>
        <v>0</v>
      </c>
      <c r="Q45" s="184"/>
      <c r="R45" s="184"/>
      <c r="S45" s="184"/>
      <c r="T45" s="184"/>
      <c r="U45" s="184"/>
      <c r="V45" s="184"/>
      <c r="W45" s="184"/>
      <c r="X45" s="184"/>
      <c r="Y45" s="184"/>
    </row>
    <row r="46" spans="2:25" ht="15.75" thickBot="1" x14ac:dyDescent="0.3">
      <c r="B46" s="595"/>
      <c r="C46" s="184"/>
      <c r="D46" s="595"/>
      <c r="E46" s="184"/>
      <c r="F46" s="184"/>
      <c r="G46" s="184"/>
      <c r="H46" s="184"/>
      <c r="I46" s="184"/>
      <c r="J46" s="184"/>
      <c r="K46" s="184"/>
      <c r="L46" s="184"/>
      <c r="M46" s="184"/>
      <c r="N46" s="322"/>
      <c r="O46" s="184"/>
      <c r="P46" s="184"/>
      <c r="Q46" s="184"/>
      <c r="R46" s="184"/>
      <c r="S46" s="184"/>
      <c r="T46" s="184"/>
      <c r="U46" s="184"/>
      <c r="V46" s="184"/>
      <c r="W46" s="184"/>
      <c r="X46" s="184"/>
      <c r="Y46" s="184"/>
    </row>
    <row r="47" spans="2:25" x14ac:dyDescent="0.25">
      <c r="B47" s="557" t="s">
        <v>151</v>
      </c>
      <c r="C47" s="184"/>
      <c r="D47" s="184"/>
      <c r="E47" s="184"/>
      <c r="F47" s="184"/>
      <c r="G47" s="184"/>
      <c r="H47" s="602"/>
      <c r="I47" s="603"/>
      <c r="J47" s="603"/>
      <c r="K47" s="603"/>
      <c r="L47" s="603"/>
      <c r="M47" s="603"/>
      <c r="N47" s="603"/>
      <c r="O47" s="604"/>
      <c r="P47" s="603"/>
      <c r="Q47" s="603"/>
      <c r="R47" s="603"/>
      <c r="S47" s="603"/>
      <c r="T47" s="605"/>
      <c r="U47" s="184"/>
      <c r="V47" s="184"/>
      <c r="W47" s="184"/>
      <c r="X47" s="184"/>
      <c r="Y47" s="184"/>
    </row>
    <row r="48" spans="2:25" ht="17.850000000000001" customHeight="1" x14ac:dyDescent="0.25">
      <c r="B48" s="184"/>
      <c r="C48" s="184"/>
      <c r="D48" s="184"/>
      <c r="E48" s="184"/>
      <c r="F48" s="184"/>
      <c r="G48" s="184"/>
      <c r="H48" s="606"/>
      <c r="I48" s="607"/>
      <c r="J48" s="608"/>
      <c r="K48" s="608"/>
      <c r="L48" s="608"/>
      <c r="M48" s="609"/>
      <c r="N48" s="184"/>
      <c r="O48" s="554"/>
      <c r="P48" s="555"/>
      <c r="Q48" s="556"/>
      <c r="R48" s="554"/>
      <c r="S48" s="184"/>
      <c r="T48" s="324"/>
      <c r="U48" s="184"/>
      <c r="V48" s="184"/>
      <c r="W48" s="184"/>
      <c r="X48" s="184"/>
      <c r="Y48" s="184"/>
    </row>
    <row r="49" spans="2:20" ht="15.75" thickBot="1" x14ac:dyDescent="0.3">
      <c r="B49" s="184"/>
      <c r="C49" t="s">
        <v>152</v>
      </c>
      <c r="D49" s="601">
        <v>0</v>
      </c>
      <c r="E49" s="184"/>
      <c r="F49" s="184"/>
      <c r="G49" s="184"/>
      <c r="H49" s="606"/>
      <c r="I49" s="610"/>
      <c r="J49" s="346" t="s">
        <v>154</v>
      </c>
      <c r="K49" s="347"/>
      <c r="L49" s="347"/>
      <c r="M49" s="611"/>
      <c r="N49" s="102"/>
      <c r="O49" s="184"/>
      <c r="P49" s="184"/>
      <c r="Q49" s="184"/>
      <c r="R49" s="184"/>
      <c r="S49" s="184"/>
      <c r="T49" s="324"/>
    </row>
    <row r="50" spans="2:20" ht="15.75" thickBot="1" x14ac:dyDescent="0.3">
      <c r="B50" s="184"/>
      <c r="C50" t="s">
        <v>153</v>
      </c>
      <c r="D50" s="601">
        <f>Billings!H49</f>
        <v>0</v>
      </c>
      <c r="E50" s="184"/>
      <c r="F50" s="184"/>
      <c r="G50" s="184"/>
      <c r="H50" s="606"/>
      <c r="I50" s="610"/>
      <c r="J50" s="348"/>
      <c r="K50" s="348"/>
      <c r="L50" s="348"/>
      <c r="M50" s="611"/>
      <c r="N50" s="102"/>
      <c r="O50" s="322"/>
      <c r="P50" s="557"/>
      <c r="Q50" s="599"/>
      <c r="R50" s="184"/>
      <c r="S50" s="184"/>
      <c r="T50" s="324"/>
    </row>
    <row r="51" spans="2:20" ht="15.75" thickBot="1" x14ac:dyDescent="0.3">
      <c r="B51" s="184"/>
      <c r="C51" t="s">
        <v>155</v>
      </c>
      <c r="D51" s="601">
        <f>Billings!F27</f>
        <v>0</v>
      </c>
      <c r="E51" s="184"/>
      <c r="F51" s="184"/>
      <c r="G51" s="184"/>
      <c r="H51" s="606"/>
      <c r="I51" s="610"/>
      <c r="J51" s="573" t="s">
        <v>218</v>
      </c>
      <c r="K51" s="574"/>
      <c r="L51" s="575"/>
      <c r="M51" s="350"/>
      <c r="N51" s="102"/>
      <c r="O51" s="102" t="s">
        <v>158</v>
      </c>
      <c r="P51" s="563"/>
      <c r="Q51" s="102" t="s">
        <v>159</v>
      </c>
      <c r="R51" s="102" t="s">
        <v>160</v>
      </c>
      <c r="S51" s="184"/>
      <c r="T51" s="324"/>
    </row>
    <row r="52" spans="2:20" x14ac:dyDescent="0.25">
      <c r="B52" s="184"/>
      <c r="C52" t="s">
        <v>156</v>
      </c>
      <c r="D52" s="601">
        <f>SUM(Billings!F28:F29)</f>
        <v>0</v>
      </c>
      <c r="E52" s="184"/>
      <c r="F52" s="184"/>
      <c r="G52" s="184"/>
      <c r="H52" s="606"/>
      <c r="I52" s="610"/>
      <c r="J52" s="349"/>
      <c r="K52" s="349"/>
      <c r="L52" s="351" t="s">
        <v>80</v>
      </c>
      <c r="M52" s="352"/>
      <c r="N52" s="612"/>
      <c r="O52" s="184"/>
      <c r="P52" s="73"/>
      <c r="Q52" s="184"/>
      <c r="R52" s="184"/>
      <c r="S52" s="184"/>
      <c r="T52" s="324"/>
    </row>
    <row r="53" spans="2:20" x14ac:dyDescent="0.25">
      <c r="B53" s="184"/>
      <c r="C53" t="s">
        <v>161</v>
      </c>
      <c r="D53" s="601">
        <f>SUM(Billings!F29:F30)</f>
        <v>0</v>
      </c>
      <c r="E53" s="184"/>
      <c r="F53" s="7"/>
      <c r="G53" s="7"/>
      <c r="H53" s="613"/>
      <c r="I53" s="614"/>
      <c r="J53" s="349" t="s">
        <v>50</v>
      </c>
      <c r="K53" s="349"/>
      <c r="L53" s="372">
        <f>D51</f>
        <v>0</v>
      </c>
      <c r="M53" s="354"/>
      <c r="N53" s="102"/>
      <c r="O53" s="615"/>
      <c r="P53" s="73">
        <f>O53-L53</f>
        <v>0</v>
      </c>
      <c r="Q53" s="616"/>
      <c r="R53" s="616">
        <f>O53+Q53</f>
        <v>0</v>
      </c>
      <c r="S53" s="184"/>
      <c r="T53" s="324"/>
    </row>
    <row r="54" spans="2:20" x14ac:dyDescent="0.25">
      <c r="B54" s="184"/>
      <c r="C54" s="184"/>
      <c r="D54" s="184"/>
      <c r="E54" s="184"/>
      <c r="F54" s="184"/>
      <c r="G54" s="184"/>
      <c r="H54" s="606"/>
      <c r="I54" s="610"/>
      <c r="J54" s="349" t="s">
        <v>163</v>
      </c>
      <c r="K54" s="349"/>
      <c r="L54" s="372"/>
      <c r="M54" s="354"/>
      <c r="N54" s="612"/>
      <c r="O54" s="184"/>
      <c r="P54" s="73"/>
      <c r="Q54" s="184"/>
      <c r="R54" s="184"/>
      <c r="S54" s="184"/>
      <c r="T54" s="324"/>
    </row>
    <row r="55" spans="2:20" x14ac:dyDescent="0.25">
      <c r="B55" s="184"/>
      <c r="C55" s="184"/>
      <c r="D55" s="184"/>
      <c r="E55" s="184"/>
      <c r="F55" s="184"/>
      <c r="G55" s="184"/>
      <c r="H55" s="606"/>
      <c r="I55" s="610"/>
      <c r="J55" s="349"/>
      <c r="K55" s="349" t="s">
        <v>219</v>
      </c>
      <c r="L55" s="372">
        <f>Q25+P29</f>
        <v>0</v>
      </c>
      <c r="M55" s="354"/>
      <c r="N55" s="102"/>
      <c r="O55" s="615"/>
      <c r="P55" s="73">
        <f>O55-L55</f>
        <v>0</v>
      </c>
      <c r="Q55" s="616"/>
      <c r="R55" s="616">
        <f>O55+Q55</f>
        <v>0</v>
      </c>
      <c r="S55" s="184"/>
      <c r="T55" s="324"/>
    </row>
    <row r="56" spans="2:20" ht="15.75" thickBot="1" x14ac:dyDescent="0.3">
      <c r="B56" s="184"/>
      <c r="C56" s="184"/>
      <c r="D56" s="370" t="s">
        <v>81</v>
      </c>
      <c r="E56" s="184"/>
      <c r="F56" s="184"/>
      <c r="G56" s="184"/>
      <c r="H56" s="606"/>
      <c r="I56" s="610"/>
      <c r="J56" s="349"/>
      <c r="K56" s="349" t="s">
        <v>164</v>
      </c>
      <c r="L56" s="372">
        <f>P30+P23</f>
        <v>0</v>
      </c>
      <c r="M56" s="354"/>
      <c r="N56" s="102"/>
      <c r="O56" s="615"/>
      <c r="P56" s="73">
        <f>O56-L56</f>
        <v>0</v>
      </c>
      <c r="Q56" s="616"/>
      <c r="R56" s="616">
        <f t="shared" ref="R56:R58" si="3">O56+Q56</f>
        <v>0</v>
      </c>
      <c r="S56" s="184"/>
      <c r="T56" s="324"/>
    </row>
    <row r="57" spans="2:20" ht="15.75" thickBot="1" x14ac:dyDescent="0.3">
      <c r="B57" s="184"/>
      <c r="C57" s="184"/>
      <c r="D57" s="184"/>
      <c r="E57" s="371" t="s">
        <v>162</v>
      </c>
      <c r="F57" s="184"/>
      <c r="G57" s="184"/>
      <c r="H57" s="606"/>
      <c r="I57" s="610"/>
      <c r="J57" s="349"/>
      <c r="K57" s="349" t="s">
        <v>41</v>
      </c>
      <c r="L57" s="372">
        <f>P21</f>
        <v>0</v>
      </c>
      <c r="M57" s="354"/>
      <c r="N57" s="102"/>
      <c r="O57" s="615"/>
      <c r="P57" s="73">
        <f t="shared" ref="P57" si="4">O57-L57</f>
        <v>0</v>
      </c>
      <c r="Q57" s="616"/>
      <c r="R57" s="616">
        <f t="shared" si="3"/>
        <v>0</v>
      </c>
      <c r="S57" s="184"/>
      <c r="T57" s="324"/>
    </row>
    <row r="58" spans="2:20" x14ac:dyDescent="0.25">
      <c r="B58" s="184"/>
      <c r="C58" t="s">
        <v>165</v>
      </c>
      <c r="D58" s="598" t="e">
        <f>SUM(K12:K19)-D36</f>
        <v>#REF!</v>
      </c>
      <c r="E58" s="184"/>
      <c r="F58" s="184"/>
      <c r="G58" s="184"/>
      <c r="H58" s="606"/>
      <c r="I58" s="610"/>
      <c r="J58" s="349"/>
      <c r="K58" s="349" t="s">
        <v>166</v>
      </c>
      <c r="L58" s="372">
        <f>P22</f>
        <v>0</v>
      </c>
      <c r="M58" s="354"/>
      <c r="N58" s="102"/>
      <c r="O58" s="615"/>
      <c r="P58" s="73">
        <f>O58-L58</f>
        <v>0</v>
      </c>
      <c r="Q58" s="616"/>
      <c r="R58" s="616">
        <f t="shared" si="3"/>
        <v>0</v>
      </c>
      <c r="S58" s="184"/>
      <c r="T58" s="324"/>
    </row>
    <row r="59" spans="2:20" x14ac:dyDescent="0.25">
      <c r="B59" s="184"/>
      <c r="C59" t="s">
        <v>167</v>
      </c>
      <c r="D59" s="618" t="e">
        <f>SUM(K12:K18)-D49</f>
        <v>#REF!</v>
      </c>
      <c r="E59" s="617" t="e">
        <f>SUM(K12:K18)/D36</f>
        <v>#REF!</v>
      </c>
      <c r="F59" s="184"/>
      <c r="G59" s="184"/>
      <c r="H59" s="606"/>
      <c r="I59" s="610"/>
      <c r="J59" s="349"/>
      <c r="K59" s="349" t="s">
        <v>117</v>
      </c>
      <c r="L59" s="372">
        <f>Q24</f>
        <v>0</v>
      </c>
      <c r="M59" s="354"/>
      <c r="N59" s="102"/>
      <c r="O59" s="615"/>
      <c r="P59" s="73">
        <f t="shared" ref="P59" si="5">O59-L59</f>
        <v>0</v>
      </c>
      <c r="Q59" s="616"/>
      <c r="R59" s="616">
        <f t="shared" ref="R59" si="6">O59+Q59</f>
        <v>0</v>
      </c>
      <c r="S59" s="184"/>
      <c r="T59" s="324"/>
    </row>
    <row r="60" spans="2:20" x14ac:dyDescent="0.25">
      <c r="B60" s="184"/>
      <c r="C60" t="s">
        <v>168</v>
      </c>
      <c r="D60" s="618" t="e">
        <f>SUM(K12:K18)-D51</f>
        <v>#REF!</v>
      </c>
      <c r="E60" s="617" t="e">
        <f>SUM(K12:K19)/D49</f>
        <v>#REF!</v>
      </c>
      <c r="F60" s="184"/>
      <c r="G60" s="184"/>
      <c r="H60" s="606"/>
      <c r="I60" s="610"/>
      <c r="J60" s="349"/>
      <c r="K60" s="349" t="s">
        <v>169</v>
      </c>
      <c r="L60" s="372">
        <f>Q31</f>
        <v>0</v>
      </c>
      <c r="M60" s="354"/>
      <c r="N60" s="102"/>
      <c r="O60" s="615"/>
      <c r="P60" s="73">
        <f>O60-L60</f>
        <v>0</v>
      </c>
      <c r="Q60" s="616"/>
      <c r="R60" s="616">
        <f t="shared" ref="R60:R62" si="7">O60+Q60</f>
        <v>0</v>
      </c>
      <c r="S60" s="184"/>
      <c r="T60" s="324"/>
    </row>
    <row r="61" spans="2:20" x14ac:dyDescent="0.25">
      <c r="B61" s="184"/>
      <c r="C61" t="s">
        <v>170</v>
      </c>
      <c r="D61" s="618" t="e">
        <f>SUM(Q12:Q18)-D51</f>
        <v>#REF!</v>
      </c>
      <c r="E61" s="617" t="e" cm="1">
        <f t="array" ref="E61">SUM(K12:K18/D51)</f>
        <v>#DIV/0!</v>
      </c>
      <c r="F61" s="184"/>
      <c r="G61" s="184"/>
      <c r="H61" s="606"/>
      <c r="I61" s="610"/>
      <c r="J61" s="349" t="s">
        <v>171</v>
      </c>
      <c r="K61" s="349"/>
      <c r="L61" s="372">
        <f>Q33</f>
        <v>0</v>
      </c>
      <c r="M61" s="354"/>
      <c r="N61" s="612"/>
      <c r="O61" s="615"/>
      <c r="P61" s="73">
        <f>O61-L61</f>
        <v>0</v>
      </c>
      <c r="Q61" s="616"/>
      <c r="R61" s="616">
        <f t="shared" si="7"/>
        <v>0</v>
      </c>
      <c r="S61" s="184"/>
      <c r="T61" s="324"/>
    </row>
    <row r="62" spans="2:20" x14ac:dyDescent="0.25">
      <c r="B62" s="184"/>
      <c r="C62" s="184"/>
      <c r="D62" s="184"/>
      <c r="E62" s="619" t="e">
        <f>SUM(Q11:Q19)/D51</f>
        <v>#REF!</v>
      </c>
      <c r="F62" s="184"/>
      <c r="G62" s="184"/>
      <c r="H62" s="606"/>
      <c r="I62" s="610"/>
      <c r="J62" s="349" t="s">
        <v>144</v>
      </c>
      <c r="K62" s="349"/>
      <c r="L62" s="372">
        <f>Q42</f>
        <v>0</v>
      </c>
      <c r="M62" s="354"/>
      <c r="N62" s="102"/>
      <c r="O62" s="615"/>
      <c r="P62" s="73">
        <f>O62-L62</f>
        <v>0</v>
      </c>
      <c r="Q62" s="616"/>
      <c r="R62" s="616">
        <f t="shared" si="7"/>
        <v>0</v>
      </c>
      <c r="S62" s="184"/>
      <c r="T62" s="324"/>
    </row>
    <row r="63" spans="2:20" ht="15.75" thickBot="1" x14ac:dyDescent="0.3">
      <c r="B63" s="184"/>
      <c r="C63" t="s">
        <v>172</v>
      </c>
      <c r="D63" s="618">
        <f>SUM(Q20:Q24)-D50</f>
        <v>0</v>
      </c>
      <c r="E63" s="617"/>
      <c r="F63" s="184"/>
      <c r="G63" s="184"/>
      <c r="H63" s="606"/>
      <c r="I63" s="610"/>
      <c r="J63" s="373" t="s">
        <v>173</v>
      </c>
      <c r="K63" s="349"/>
      <c r="L63" s="374">
        <f>SUM(L53:L62)</f>
        <v>0</v>
      </c>
      <c r="M63" s="647" t="e">
        <f>L63/J80</f>
        <v>#DIV/0!</v>
      </c>
      <c r="N63" s="378" t="s">
        <v>174</v>
      </c>
      <c r="O63" s="553"/>
      <c r="P63" s="73">
        <f>O63-L63</f>
        <v>0</v>
      </c>
      <c r="Q63" s="434"/>
      <c r="R63" s="434"/>
      <c r="S63" s="184"/>
      <c r="T63" s="324"/>
    </row>
    <row r="64" spans="2:20" ht="15.75" thickTop="1" x14ac:dyDescent="0.25">
      <c r="B64" s="184"/>
      <c r="C64" t="s">
        <v>175</v>
      </c>
      <c r="D64" s="618">
        <f>D52-D37</f>
        <v>0</v>
      </c>
      <c r="E64" s="617" t="e">
        <f>SUM(K23:K30)/D50</f>
        <v>#DIV/0!</v>
      </c>
      <c r="F64" s="184"/>
      <c r="G64" s="184"/>
      <c r="H64" s="606"/>
      <c r="I64" s="610"/>
      <c r="J64" s="349"/>
      <c r="K64" s="349"/>
      <c r="L64" s="372"/>
      <c r="M64" s="620"/>
      <c r="N64" s="322"/>
      <c r="O64" s="564">
        <f>O63-SUM(O53:O62)</f>
        <v>0</v>
      </c>
      <c r="P64" s="73"/>
      <c r="Q64" s="564">
        <f>Q63-SUM(Q53:Q62)</f>
        <v>0</v>
      </c>
      <c r="R64" s="564">
        <f>R63-SUM(R53:R62)</f>
        <v>0</v>
      </c>
      <c r="S64" s="184"/>
      <c r="T64" s="324"/>
    </row>
    <row r="65" spans="2:20" ht="15.75" thickBot="1" x14ac:dyDescent="0.3">
      <c r="B65" s="184"/>
      <c r="C65" s="184"/>
      <c r="D65" s="184"/>
      <c r="E65" s="619" t="e">
        <f>D52/D37</f>
        <v>#DIV/0!</v>
      </c>
      <c r="F65" s="184"/>
      <c r="G65" s="184"/>
      <c r="H65" s="606"/>
      <c r="I65" s="610"/>
      <c r="J65" s="357" t="s">
        <v>176</v>
      </c>
      <c r="K65" s="358"/>
      <c r="L65" s="359">
        <f>L63*0.3</f>
        <v>0</v>
      </c>
      <c r="M65" s="362"/>
      <c r="N65" s="184"/>
      <c r="O65" s="615"/>
      <c r="P65" s="73">
        <f>O65-L65</f>
        <v>0</v>
      </c>
      <c r="Q65" s="616"/>
      <c r="R65" s="616">
        <f t="shared" ref="R65:R66" si="8">O65+Q65</f>
        <v>0</v>
      </c>
      <c r="S65" s="184"/>
      <c r="T65" s="324"/>
    </row>
    <row r="66" spans="2:20" ht="15" customHeight="1" x14ac:dyDescent="0.25">
      <c r="B66" s="184"/>
      <c r="C66" s="660" t="s">
        <v>178</v>
      </c>
      <c r="D66" s="605"/>
      <c r="E66" s="184"/>
      <c r="F66" s="184"/>
      <c r="G66" s="184"/>
      <c r="H66" s="606"/>
      <c r="I66" s="610"/>
      <c r="J66" s="357" t="s">
        <v>177</v>
      </c>
      <c r="K66" s="358"/>
      <c r="L66" s="361">
        <f>(0)*0.15</f>
        <v>0</v>
      </c>
      <c r="M66" s="362"/>
      <c r="N66" s="184"/>
      <c r="O66" s="615"/>
      <c r="P66" s="73">
        <f>O66-L66</f>
        <v>0</v>
      </c>
      <c r="Q66" s="616"/>
      <c r="R66" s="616">
        <f t="shared" si="8"/>
        <v>0</v>
      </c>
      <c r="S66" s="184"/>
      <c r="T66" s="324"/>
    </row>
    <row r="67" spans="2:20" ht="15.75" thickBot="1" x14ac:dyDescent="0.3">
      <c r="B67" s="184"/>
      <c r="C67" s="193" t="s">
        <v>180</v>
      </c>
      <c r="D67" s="658" t="b">
        <v>0</v>
      </c>
      <c r="E67" s="184"/>
      <c r="F67" s="184"/>
      <c r="G67" s="184"/>
      <c r="H67" s="606"/>
      <c r="I67" s="610"/>
      <c r="J67" s="357" t="s">
        <v>179</v>
      </c>
      <c r="K67" s="358"/>
      <c r="L67" s="576">
        <f>SUM(L65:L66)</f>
        <v>0</v>
      </c>
      <c r="M67" s="362"/>
      <c r="N67" s="184"/>
      <c r="O67" s="577"/>
      <c r="P67" s="73">
        <f>O67-L67</f>
        <v>0</v>
      </c>
      <c r="Q67" s="578"/>
      <c r="R67" s="578">
        <f t="shared" ref="R67" si="9">O67+Q67</f>
        <v>0</v>
      </c>
      <c r="S67" s="184"/>
      <c r="T67" s="324"/>
    </row>
    <row r="68" spans="2:20" ht="15.75" thickBot="1" x14ac:dyDescent="0.3">
      <c r="B68" s="184"/>
      <c r="C68" s="195" t="s">
        <v>181</v>
      </c>
      <c r="D68" s="659" t="b">
        <v>0</v>
      </c>
      <c r="E68" s="184"/>
      <c r="F68" s="184"/>
      <c r="G68" s="184"/>
      <c r="H68" s="606"/>
      <c r="I68" s="610"/>
      <c r="J68" s="357"/>
      <c r="K68" s="358"/>
      <c r="L68" s="359"/>
      <c r="M68" s="360"/>
      <c r="N68" s="184"/>
      <c r="O68" s="589"/>
      <c r="P68" s="73"/>
      <c r="Q68" s="184"/>
      <c r="R68" s="184"/>
      <c r="S68" s="184"/>
      <c r="T68" s="324"/>
    </row>
    <row r="69" spans="2:20" x14ac:dyDescent="0.25">
      <c r="B69" s="184"/>
      <c r="C69" s="184"/>
      <c r="D69" s="184"/>
      <c r="E69" s="184"/>
      <c r="F69" s="184"/>
      <c r="G69" s="184"/>
      <c r="H69" s="606"/>
      <c r="I69" s="624"/>
      <c r="J69" s="625"/>
      <c r="K69" s="625"/>
      <c r="L69" s="625"/>
      <c r="M69" s="626"/>
      <c r="N69" s="184"/>
      <c r="O69" s="184"/>
      <c r="P69" s="564"/>
      <c r="Q69" s="184"/>
      <c r="R69" s="184"/>
      <c r="S69" s="184"/>
      <c r="T69" s="324"/>
    </row>
    <row r="70" spans="2:20" x14ac:dyDescent="0.25">
      <c r="B70" s="184"/>
      <c r="C70" s="184"/>
      <c r="D70" s="184"/>
      <c r="E70" s="184"/>
      <c r="F70" s="184"/>
      <c r="G70" s="184"/>
      <c r="H70" s="606"/>
      <c r="I70" s="184"/>
      <c r="J70" s="184"/>
      <c r="K70" s="184"/>
      <c r="L70" s="184"/>
      <c r="M70" s="184"/>
      <c r="N70" s="184"/>
      <c r="O70" s="184"/>
      <c r="P70" s="564"/>
      <c r="Q70" s="184"/>
      <c r="R70" s="184"/>
      <c r="S70" s="184"/>
      <c r="T70" s="324"/>
    </row>
    <row r="71" spans="2:20" ht="15.75" thickBot="1" x14ac:dyDescent="0.3">
      <c r="B71" s="184"/>
      <c r="C71" s="184"/>
      <c r="D71" s="184"/>
      <c r="E71" s="184"/>
      <c r="F71" s="184"/>
      <c r="G71" s="184"/>
      <c r="H71" s="606"/>
      <c r="I71" s="184"/>
      <c r="J71" s="498"/>
      <c r="K71" s="550"/>
      <c r="L71" s="550"/>
      <c r="M71" s="551"/>
      <c r="N71" s="184"/>
      <c r="O71" s="184"/>
      <c r="P71" s="562"/>
      <c r="Q71" s="184"/>
      <c r="R71" s="184"/>
      <c r="S71" s="184"/>
      <c r="T71" s="324"/>
    </row>
    <row r="72" spans="2:20" ht="16.5" thickBot="1" x14ac:dyDescent="0.3">
      <c r="B72" s="184"/>
      <c r="C72" s="184"/>
      <c r="D72" s="184"/>
      <c r="E72" s="184"/>
      <c r="F72" s="184"/>
      <c r="G72" s="184"/>
      <c r="H72" s="606"/>
      <c r="I72" s="566"/>
      <c r="J72" s="567" t="s">
        <v>182</v>
      </c>
      <c r="K72" s="567" t="s">
        <v>183</v>
      </c>
      <c r="L72" s="568"/>
      <c r="M72" s="566"/>
      <c r="N72" s="322"/>
      <c r="O72" s="184"/>
      <c r="P72" s="565"/>
      <c r="Q72" s="184"/>
      <c r="R72" s="184"/>
      <c r="S72" s="184"/>
      <c r="T72" s="324"/>
    </row>
    <row r="73" spans="2:20" x14ac:dyDescent="0.25">
      <c r="B73" s="184"/>
      <c r="C73" s="184"/>
      <c r="D73" s="184"/>
      <c r="E73" s="184"/>
      <c r="F73" s="184"/>
      <c r="G73" s="184"/>
      <c r="H73" s="606"/>
      <c r="I73" s="184"/>
      <c r="J73" s="184"/>
      <c r="K73" s="184"/>
      <c r="L73" s="184"/>
      <c r="M73" s="322"/>
      <c r="N73" s="322"/>
      <c r="O73" s="184"/>
      <c r="P73" s="618"/>
      <c r="Q73" s="184"/>
      <c r="R73" s="184"/>
      <c r="S73" s="184"/>
      <c r="T73" s="194"/>
    </row>
    <row r="74" spans="2:20" x14ac:dyDescent="0.25">
      <c r="B74" s="184"/>
      <c r="C74" s="184"/>
      <c r="D74" s="184"/>
      <c r="E74" s="184"/>
      <c r="F74" s="184"/>
      <c r="G74" s="184"/>
      <c r="H74" s="606"/>
      <c r="I74" s="32" t="s">
        <v>186</v>
      </c>
      <c r="J74" s="542">
        <v>0</v>
      </c>
      <c r="K74" s="217">
        <f>SUM(L53)</f>
        <v>0</v>
      </c>
      <c r="L74" s="204">
        <f t="shared" ref="L74:L75" si="10">K74-J74</f>
        <v>0</v>
      </c>
      <c r="M74" s="595" t="str" cm="1">
        <f t="array" ref="M74">_xlfn.IFS(L74&gt;0,"Over Budget",L74&lt;0,"Under Budget",L74=0,"-")</f>
        <v>-</v>
      </c>
      <c r="N74" s="322"/>
      <c r="O74" s="184"/>
      <c r="P74" s="184"/>
      <c r="Q74" s="184"/>
      <c r="R74" s="184"/>
      <c r="S74" s="184"/>
      <c r="T74" s="324"/>
    </row>
    <row r="75" spans="2:20" x14ac:dyDescent="0.25">
      <c r="B75" s="184"/>
      <c r="C75" s="184"/>
      <c r="D75" s="184"/>
      <c r="E75" s="184"/>
      <c r="F75" s="184"/>
      <c r="G75" s="184"/>
      <c r="H75" s="606"/>
      <c r="I75" s="32" t="s">
        <v>169</v>
      </c>
      <c r="J75" s="542">
        <v>0</v>
      </c>
      <c r="K75" s="217">
        <f>SUM(L55:L60)</f>
        <v>0</v>
      </c>
      <c r="L75" s="204">
        <f t="shared" si="10"/>
        <v>0</v>
      </c>
      <c r="M75" s="595" t="str" cm="1">
        <f t="array" ref="M75">_xlfn.IFS(L75&gt;0,"Over Budget",L75&lt;0,"Under Budget",L75=0,"-")</f>
        <v>-</v>
      </c>
      <c r="N75" s="322"/>
      <c r="O75" s="184"/>
      <c r="P75" s="184"/>
      <c r="Q75" s="184"/>
      <c r="R75" s="184"/>
      <c r="S75" s="184"/>
      <c r="T75" s="324"/>
    </row>
    <row r="76" spans="2:20" x14ac:dyDescent="0.25">
      <c r="B76" s="184"/>
      <c r="C76" s="184"/>
      <c r="D76" s="184"/>
      <c r="E76" s="184"/>
      <c r="F76" s="184"/>
      <c r="G76" s="184"/>
      <c r="H76" s="606"/>
      <c r="I76" s="32" t="s">
        <v>120</v>
      </c>
      <c r="J76" s="627">
        <v>0</v>
      </c>
      <c r="K76" s="589">
        <v>0</v>
      </c>
      <c r="L76" s="204">
        <f>K76-J76</f>
        <v>0</v>
      </c>
      <c r="M76" s="595" t="str" cm="1">
        <f t="array" ref="M76">_xlfn.IFS(L76&gt;0,"Over Budget",L76&lt;0,"Under Budget",L76=0,"-")</f>
        <v>-</v>
      </c>
      <c r="N76" s="322"/>
      <c r="O76" s="184"/>
      <c r="P76" s="184"/>
      <c r="Q76" s="184"/>
      <c r="R76" s="184"/>
      <c r="S76" s="184"/>
      <c r="T76" s="324"/>
    </row>
    <row r="77" spans="2:20" x14ac:dyDescent="0.25">
      <c r="B77" s="184"/>
      <c r="C77" s="184"/>
      <c r="D77" s="184"/>
      <c r="E77" s="184"/>
      <c r="F77" s="184"/>
      <c r="G77" s="184"/>
      <c r="H77" s="606"/>
      <c r="I77" s="32" t="s">
        <v>188</v>
      </c>
      <c r="J77" s="543">
        <v>0</v>
      </c>
      <c r="K77" s="204">
        <v>0</v>
      </c>
      <c r="L77" s="204">
        <f>K77-J77</f>
        <v>0</v>
      </c>
      <c r="M77" s="595" t="str" cm="1">
        <f t="array" ref="M77">_xlfn.IFS(L77&gt;0,"Over Budget",L77&lt;0,"Under Budget",L77=0,"-")</f>
        <v>-</v>
      </c>
      <c r="N77" s="322"/>
      <c r="O77" s="184"/>
      <c r="P77" s="184"/>
      <c r="Q77" s="184"/>
      <c r="R77" s="184"/>
      <c r="S77" s="184"/>
      <c r="T77" s="324"/>
    </row>
    <row r="78" spans="2:20" x14ac:dyDescent="0.25">
      <c r="B78" s="184"/>
      <c r="C78" s="184"/>
      <c r="D78" s="184"/>
      <c r="E78" s="184"/>
      <c r="F78" s="184"/>
      <c r="G78" s="184"/>
      <c r="H78" s="606"/>
      <c r="I78" s="32" t="s">
        <v>140</v>
      </c>
      <c r="J78" s="543">
        <v>0</v>
      </c>
      <c r="K78" s="204">
        <f>L61</f>
        <v>0</v>
      </c>
      <c r="L78" s="204">
        <f>K78-J78</f>
        <v>0</v>
      </c>
      <c r="M78" s="595" t="str" cm="1">
        <f t="array" ref="M78">_xlfn.IFS(L78&gt;0,"Over Budget",L78&lt;0,"Under Budget",L78=0,"-")</f>
        <v>-</v>
      </c>
      <c r="N78" s="322"/>
      <c r="O78" s="184"/>
      <c r="P78" s="184"/>
      <c r="Q78" s="184"/>
      <c r="R78" s="184"/>
      <c r="S78" s="184"/>
      <c r="T78" s="325"/>
    </row>
    <row r="79" spans="2:20" x14ac:dyDescent="0.25">
      <c r="B79" s="184"/>
      <c r="C79" s="184"/>
      <c r="D79" s="184"/>
      <c r="E79" s="184"/>
      <c r="F79" s="184"/>
      <c r="G79" s="184"/>
      <c r="H79" s="606"/>
      <c r="I79" s="558" t="s">
        <v>189</v>
      </c>
      <c r="J79" s="559">
        <v>3000</v>
      </c>
      <c r="K79" s="560">
        <f>L62</f>
        <v>0</v>
      </c>
      <c r="L79" s="560">
        <f t="shared" ref="L79" si="11">K79-J79</f>
        <v>-3000</v>
      </c>
      <c r="M79" s="628" t="str" cm="1">
        <f t="array" ref="M79">_xlfn.IFS(L79&gt;0,"Over Budget",L79&lt;0,"Under Budget",L79=0,"-")</f>
        <v>Under Budget</v>
      </c>
      <c r="N79" s="322"/>
      <c r="O79" s="184"/>
      <c r="P79" s="184"/>
      <c r="Q79" s="184"/>
      <c r="R79" s="184"/>
      <c r="S79" s="184"/>
      <c r="T79" s="324"/>
    </row>
    <row r="80" spans="2:20" x14ac:dyDescent="0.25">
      <c r="B80" s="7" t="s">
        <v>184</v>
      </c>
      <c r="C80" s="184"/>
      <c r="D80" s="184"/>
      <c r="E80" s="184"/>
      <c r="F80" s="184"/>
      <c r="G80" s="184"/>
      <c r="H80" s="606"/>
      <c r="I80" s="7" t="s">
        <v>190</v>
      </c>
      <c r="J80" s="629"/>
      <c r="K80" s="589">
        <f>SUM(K74:K79)</f>
        <v>0</v>
      </c>
      <c r="L80" s="589">
        <f>K80-J80</f>
        <v>0</v>
      </c>
      <c r="M80" s="595" t="str" cm="1">
        <f t="array" ref="M80">_xlfn.IFS(L80&gt;0,"Over Budget",L80&lt;0,"Under Budget",L80=0,"-")</f>
        <v>-</v>
      </c>
      <c r="N80" s="322"/>
      <c r="O80" s="184"/>
      <c r="P80" s="184"/>
      <c r="Q80" s="184"/>
      <c r="R80" s="184"/>
      <c r="S80" s="184"/>
      <c r="T80" s="324"/>
    </row>
    <row r="81" spans="2:25" ht="16.5" thickBot="1" x14ac:dyDescent="0.3">
      <c r="B81" s="7" t="s">
        <v>185</v>
      </c>
      <c r="C81" s="184"/>
      <c r="D81" s="184"/>
      <c r="E81" s="184"/>
      <c r="F81" s="184"/>
      <c r="G81" s="184"/>
      <c r="H81" s="606"/>
      <c r="I81" s="184"/>
      <c r="J81" s="561">
        <f>J80-SUM(J74:J79)</f>
        <v>-3000</v>
      </c>
      <c r="K81" s="561">
        <f>O63-K80</f>
        <v>0</v>
      </c>
      <c r="L81" s="618"/>
      <c r="M81" s="184"/>
      <c r="N81" s="322"/>
      <c r="O81" s="184"/>
      <c r="P81" s="536"/>
      <c r="Q81" s="537" t="s">
        <v>192</v>
      </c>
      <c r="R81" s="538"/>
      <c r="S81" s="536"/>
      <c r="T81" s="324"/>
      <c r="U81" s="125"/>
      <c r="V81" s="184"/>
      <c r="W81" s="184"/>
      <c r="X81" s="184"/>
      <c r="Y81" s="184"/>
    </row>
    <row r="82" spans="2:25" x14ac:dyDescent="0.25">
      <c r="B82" s="184"/>
      <c r="C82" s="184"/>
      <c r="D82" s="184"/>
      <c r="E82" s="184"/>
      <c r="F82" s="184"/>
      <c r="G82" s="184"/>
      <c r="H82" s="606"/>
      <c r="I82" s="184"/>
      <c r="J82" s="184"/>
      <c r="K82" s="184"/>
      <c r="L82" s="184"/>
      <c r="M82" s="322"/>
      <c r="N82" s="322"/>
      <c r="O82" s="184"/>
      <c r="P82" s="630"/>
      <c r="Q82" s="630"/>
      <c r="R82" s="630"/>
      <c r="S82" s="630"/>
      <c r="T82" s="324"/>
      <c r="U82" s="184"/>
      <c r="V82" s="184"/>
      <c r="W82" s="184"/>
      <c r="X82" s="184"/>
      <c r="Y82" s="184"/>
    </row>
    <row r="83" spans="2:25" x14ac:dyDescent="0.25">
      <c r="B83" s="184"/>
      <c r="C83" s="184"/>
      <c r="D83" s="184"/>
      <c r="E83" s="184"/>
      <c r="F83" s="184"/>
      <c r="G83" s="184"/>
      <c r="H83" s="606"/>
      <c r="I83" s="7" t="s">
        <v>195</v>
      </c>
      <c r="J83" s="184"/>
      <c r="K83" s="184"/>
      <c r="L83" s="184"/>
      <c r="M83" s="184"/>
      <c r="N83" s="322"/>
      <c r="O83" s="184"/>
      <c r="P83" s="631"/>
      <c r="Q83" s="533" t="s">
        <v>196</v>
      </c>
      <c r="R83" s="632">
        <f>L63-P45</f>
        <v>0</v>
      </c>
      <c r="S83" s="630"/>
      <c r="T83" s="324"/>
      <c r="U83"/>
      <c r="V83"/>
      <c r="W83" s="184"/>
      <c r="X83" s="184"/>
      <c r="Y83" s="184"/>
    </row>
    <row r="84" spans="2:25" ht="15.75" thickBot="1" x14ac:dyDescent="0.3">
      <c r="B84" s="7" t="s">
        <v>187</v>
      </c>
      <c r="C84" s="184"/>
      <c r="D84" s="184"/>
      <c r="E84" s="184"/>
      <c r="F84" s="184"/>
      <c r="G84" s="184"/>
      <c r="H84" s="606"/>
      <c r="I84" t="s">
        <v>197</v>
      </c>
      <c r="J84" s="543">
        <f>J80*0.3</f>
        <v>0</v>
      </c>
      <c r="K84" s="432">
        <f>L67</f>
        <v>0</v>
      </c>
      <c r="L84"/>
      <c r="M84"/>
      <c r="N84" s="184"/>
      <c r="O84" s="184"/>
      <c r="P84" s="633"/>
      <c r="Q84" s="534" t="s">
        <v>198</v>
      </c>
      <c r="R84" s="634">
        <v>0.3</v>
      </c>
      <c r="S84" s="630"/>
      <c r="T84" s="324"/>
      <c r="U84"/>
      <c r="V84"/>
      <c r="W84" s="184"/>
      <c r="X84" s="184"/>
      <c r="Y84" s="184"/>
    </row>
    <row r="85" spans="2:25" ht="15.75" thickTop="1" x14ac:dyDescent="0.25">
      <c r="B85" s="7" t="s">
        <v>185</v>
      </c>
      <c r="C85" s="184"/>
      <c r="D85" s="184"/>
      <c r="E85" s="184"/>
      <c r="F85" s="184"/>
      <c r="G85" s="184"/>
      <c r="H85" s="606"/>
      <c r="I85" t="s">
        <v>220</v>
      </c>
      <c r="J85" s="545">
        <f>-(J84*0.11)</f>
        <v>0</v>
      </c>
      <c r="K85" s="546">
        <f>-K84*0.11</f>
        <v>0</v>
      </c>
      <c r="L85"/>
      <c r="M85"/>
      <c r="N85" s="595" t="str" cm="1">
        <f t="array" ref="N85">_xlfn.IFS(M85&gt;0,"Over Budget",M85&lt;0,"Under Budget",M85=0,"-")</f>
        <v>-</v>
      </c>
      <c r="O85" s="184"/>
      <c r="P85" s="630"/>
      <c r="Q85" s="630"/>
      <c r="R85" s="632">
        <f>R83*R84</f>
        <v>0</v>
      </c>
      <c r="S85" s="630"/>
      <c r="T85" s="324"/>
      <c r="U85"/>
      <c r="V85"/>
      <c r="W85" s="184"/>
      <c r="X85" s="184"/>
      <c r="Y85" s="184"/>
    </row>
    <row r="86" spans="2:25" ht="15.75" thickBot="1" x14ac:dyDescent="0.3">
      <c r="B86" s="184"/>
      <c r="C86" s="184"/>
      <c r="D86" s="184"/>
      <c r="E86" s="184"/>
      <c r="F86" s="184"/>
      <c r="G86" s="184"/>
      <c r="H86" s="606"/>
      <c r="I86" s="7" t="s">
        <v>200</v>
      </c>
      <c r="J86" s="433">
        <f>SUM(J84:J85)</f>
        <v>0</v>
      </c>
      <c r="K86" s="431">
        <f>SUM(K84:K85)</f>
        <v>0</v>
      </c>
      <c r="L86" s="184"/>
      <c r="M86" s="184"/>
      <c r="N86" s="184"/>
      <c r="O86" s="184"/>
      <c r="P86" s="635"/>
      <c r="Q86" s="534" t="s">
        <v>201</v>
      </c>
      <c r="R86" s="636">
        <f>L66</f>
        <v>0</v>
      </c>
      <c r="S86" s="630"/>
      <c r="T86" s="324"/>
      <c r="U86"/>
      <c r="V86"/>
      <c r="W86" s="599"/>
      <c r="X86" s="184"/>
      <c r="Y86" s="184"/>
    </row>
    <row r="87" spans="2:25" ht="15.75" thickTop="1" x14ac:dyDescent="0.25">
      <c r="B87" s="184"/>
      <c r="C87" s="184"/>
      <c r="D87" s="184"/>
      <c r="E87" s="184"/>
      <c r="F87" s="184"/>
      <c r="G87" s="184"/>
      <c r="H87" s="606"/>
      <c r="I87" s="547" t="s">
        <v>202</v>
      </c>
      <c r="J87" s="204"/>
      <c r="K87" s="184"/>
      <c r="L87" s="184"/>
      <c r="M87" s="184"/>
      <c r="N87" s="184"/>
      <c r="O87" s="184"/>
      <c r="P87" s="637"/>
      <c r="Q87" s="638"/>
      <c r="R87" s="639">
        <f>R85+R86</f>
        <v>0</v>
      </c>
      <c r="S87" s="630"/>
      <c r="T87" s="324"/>
      <c r="U87"/>
      <c r="V87"/>
      <c r="W87" s="599"/>
      <c r="X87" s="184"/>
      <c r="Y87" s="184"/>
    </row>
    <row r="88" spans="2:25" ht="15.75" thickBot="1" x14ac:dyDescent="0.3">
      <c r="B88" s="7" t="s">
        <v>191</v>
      </c>
      <c r="C88" s="184"/>
      <c r="D88" s="184"/>
      <c r="E88" s="184"/>
      <c r="F88" s="184"/>
      <c r="G88" s="184"/>
      <c r="H88" s="606"/>
      <c r="I88" s="571" t="s">
        <v>203</v>
      </c>
      <c r="J88" s="545">
        <v>0</v>
      </c>
      <c r="K88" s="546">
        <f>J88</f>
        <v>0</v>
      </c>
      <c r="L88" s="184"/>
      <c r="M88" s="184"/>
      <c r="N88"/>
      <c r="O88" s="184"/>
      <c r="P88" s="633"/>
      <c r="Q88" s="633"/>
      <c r="R88" s="633">
        <v>2.5000000000000001E-3</v>
      </c>
      <c r="S88" s="630"/>
      <c r="T88" s="324"/>
      <c r="U88" s="435" t="s">
        <v>193</v>
      </c>
      <c r="V88"/>
      <c r="W88" s="599"/>
      <c r="X88" s="184"/>
      <c r="Y88" s="184"/>
    </row>
    <row r="89" spans="2:25" ht="15.75" thickTop="1" x14ac:dyDescent="0.25">
      <c r="B89" s="7" t="s">
        <v>194</v>
      </c>
      <c r="C89" s="184"/>
      <c r="D89" s="184"/>
      <c r="E89" s="184"/>
      <c r="F89" s="184"/>
      <c r="G89" s="184"/>
      <c r="H89" s="606"/>
      <c r="I89" s="571" t="s">
        <v>192</v>
      </c>
      <c r="J89" s="545">
        <v>0</v>
      </c>
      <c r="K89" s="546">
        <f>-R97</f>
        <v>0</v>
      </c>
      <c r="L89" s="322"/>
      <c r="M89" s="184"/>
      <c r="N89"/>
      <c r="O89" s="184"/>
      <c r="P89" s="630"/>
      <c r="Q89" s="630"/>
      <c r="R89" s="632">
        <f>R88*R87</f>
        <v>0</v>
      </c>
      <c r="S89" s="630"/>
      <c r="T89" s="324"/>
      <c r="U89"/>
      <c r="V89"/>
      <c r="W89" s="184"/>
      <c r="X89" s="184"/>
      <c r="Y89" s="184"/>
    </row>
    <row r="90" spans="2:25" x14ac:dyDescent="0.25">
      <c r="B90" s="184"/>
      <c r="C90" s="184"/>
      <c r="D90" s="184"/>
      <c r="E90" s="184"/>
      <c r="F90" s="184"/>
      <c r="G90" s="184"/>
      <c r="H90" s="606"/>
      <c r="I90" s="571" t="s">
        <v>144</v>
      </c>
      <c r="J90" s="545">
        <v>0</v>
      </c>
      <c r="K90" s="546">
        <f>J90</f>
        <v>0</v>
      </c>
      <c r="L90" s="184"/>
      <c r="M90" s="184"/>
      <c r="N90" s="184"/>
      <c r="O90" s="184"/>
      <c r="P90" s="630"/>
      <c r="Q90" s="630"/>
      <c r="R90" s="630"/>
      <c r="S90" s="630"/>
      <c r="T90" s="324"/>
      <c r="U90"/>
      <c r="V90"/>
      <c r="W90" s="184"/>
      <c r="X90" s="184"/>
      <c r="Y90" s="184"/>
    </row>
    <row r="91" spans="2:25" x14ac:dyDescent="0.25">
      <c r="B91" s="184"/>
      <c r="C91" s="184"/>
      <c r="D91" s="184"/>
      <c r="E91" s="184"/>
      <c r="F91" s="184"/>
      <c r="G91" s="184"/>
      <c r="H91" s="606"/>
      <c r="I91" s="7" t="s">
        <v>204</v>
      </c>
      <c r="J91" s="431">
        <f>SUM(J86:J90)</f>
        <v>0</v>
      </c>
      <c r="K91" s="431">
        <f>SUM(K86:K90)</f>
        <v>0</v>
      </c>
      <c r="L91" s="184"/>
      <c r="M91" s="184"/>
      <c r="N91" s="184"/>
      <c r="O91" s="184"/>
      <c r="P91" s="630"/>
      <c r="Q91" s="533" t="s">
        <v>205</v>
      </c>
      <c r="R91" s="632">
        <f>P45</f>
        <v>0</v>
      </c>
      <c r="S91" s="630"/>
      <c r="T91" s="549"/>
      <c r="U91"/>
      <c r="V91"/>
      <c r="W91" s="184"/>
      <c r="X91" s="184"/>
      <c r="Y91" s="184"/>
    </row>
    <row r="92" spans="2:25" ht="15.75" thickBot="1" x14ac:dyDescent="0.3">
      <c r="B92" s="184"/>
      <c r="C92" s="184"/>
      <c r="D92" s="184"/>
      <c r="E92" s="184"/>
      <c r="F92" s="184"/>
      <c r="G92" s="184"/>
      <c r="H92" s="606"/>
      <c r="I92" t="s">
        <v>206</v>
      </c>
      <c r="J92" s="545">
        <f>-(J91*0.225)</f>
        <v>0</v>
      </c>
      <c r="K92" s="546">
        <f>-K91*0.225</f>
        <v>0</v>
      </c>
      <c r="L92" s="184"/>
      <c r="M92" s="184"/>
      <c r="N92" s="184"/>
      <c r="O92" s="184"/>
      <c r="P92" s="640"/>
      <c r="Q92" s="534" t="s">
        <v>198</v>
      </c>
      <c r="R92" s="634">
        <v>0.3</v>
      </c>
      <c r="S92" s="630"/>
      <c r="T92" s="641"/>
      <c r="U92"/>
      <c r="V92"/>
      <c r="W92" s="184"/>
      <c r="X92" s="184"/>
      <c r="Y92" s="184"/>
    </row>
    <row r="93" spans="2:25" ht="16.5" thickTop="1" thickBot="1" x14ac:dyDescent="0.3">
      <c r="B93" s="184"/>
      <c r="C93" s="184"/>
      <c r="D93" s="184"/>
      <c r="E93" s="184"/>
      <c r="F93" s="184"/>
      <c r="G93" s="184"/>
      <c r="H93" s="606"/>
      <c r="I93" s="7" t="s">
        <v>207</v>
      </c>
      <c r="J93" s="540">
        <f>SUM(J91:J92)</f>
        <v>0</v>
      </c>
      <c r="K93" s="541">
        <f>SUM(K91:K92)</f>
        <v>0</v>
      </c>
      <c r="L93" s="572">
        <f>K93-J93</f>
        <v>0</v>
      </c>
      <c r="M93" s="595" t="str" cm="1">
        <f t="array" ref="M93">_xlfn.IFS(L93&gt;0,"Over Budget",L93&lt;0,"Under Budget",L93=0,"-")</f>
        <v>-</v>
      </c>
      <c r="N93" s="184"/>
      <c r="O93" s="184"/>
      <c r="P93" s="630"/>
      <c r="Q93" s="630"/>
      <c r="R93" s="632">
        <f>R91*R92</f>
        <v>0</v>
      </c>
      <c r="S93" s="630"/>
      <c r="T93" s="194"/>
      <c r="U93" s="184"/>
      <c r="V93"/>
      <c r="W93" s="184"/>
      <c r="X93" s="184"/>
      <c r="Y93" s="184"/>
    </row>
    <row r="94" spans="2:25" ht="16.5" thickTop="1" thickBot="1" x14ac:dyDescent="0.3">
      <c r="B94" s="184"/>
      <c r="C94" s="184"/>
      <c r="D94" s="184"/>
      <c r="E94" s="184"/>
      <c r="F94" s="184"/>
      <c r="G94" s="184"/>
      <c r="H94" s="606"/>
      <c r="I94" s="243" t="s">
        <v>208</v>
      </c>
      <c r="J94" s="548"/>
      <c r="K94" s="184"/>
      <c r="L94" s="184"/>
      <c r="M94" s="322"/>
      <c r="N94" s="184"/>
      <c r="O94" s="184"/>
      <c r="P94" s="633"/>
      <c r="Q94" s="633"/>
      <c r="R94" s="633">
        <v>2.5000000000000001E-2</v>
      </c>
      <c r="S94" s="630"/>
      <c r="T94" s="194"/>
      <c r="U94"/>
      <c r="V94"/>
      <c r="W94" s="184"/>
      <c r="X94" s="184"/>
      <c r="Y94" s="184"/>
    </row>
    <row r="95" spans="2:25" ht="15.75" thickTop="1" x14ac:dyDescent="0.25">
      <c r="B95" s="184"/>
      <c r="C95" s="184"/>
      <c r="D95" s="184"/>
      <c r="E95" s="184"/>
      <c r="F95" s="184"/>
      <c r="G95" s="184"/>
      <c r="H95" s="606"/>
      <c r="I95" s="184"/>
      <c r="J95" s="184"/>
      <c r="K95" s="184"/>
      <c r="L95" s="184"/>
      <c r="M95" s="184"/>
      <c r="N95" s="184"/>
      <c r="O95" s="184"/>
      <c r="P95" s="630"/>
      <c r="Q95" s="630"/>
      <c r="R95" s="632">
        <f>R93*R94</f>
        <v>0</v>
      </c>
      <c r="S95" s="535">
        <f>(R91+R83)-L63</f>
        <v>0</v>
      </c>
      <c r="T95" s="324"/>
      <c r="U95"/>
      <c r="V95" s="184"/>
      <c r="W95" s="184"/>
      <c r="X95" s="184"/>
      <c r="Y95" s="184"/>
    </row>
    <row r="96" spans="2:25" ht="15.75" thickBot="1" x14ac:dyDescent="0.3">
      <c r="B96" s="184"/>
      <c r="C96" s="184"/>
      <c r="D96" s="184"/>
      <c r="E96" s="184"/>
      <c r="F96" s="184"/>
      <c r="G96" s="184"/>
      <c r="H96" s="606"/>
      <c r="I96" s="184"/>
      <c r="J96" s="184"/>
      <c r="K96" s="184"/>
      <c r="L96" s="184"/>
      <c r="M96" s="184"/>
      <c r="N96" s="184"/>
      <c r="O96" s="184"/>
      <c r="P96" s="630"/>
      <c r="Q96" s="630"/>
      <c r="R96" s="630"/>
      <c r="S96" s="630"/>
      <c r="T96" s="324"/>
      <c r="U96" s="184"/>
      <c r="V96"/>
      <c r="W96" s="184"/>
      <c r="X96" s="184"/>
      <c r="Y96" s="184"/>
    </row>
    <row r="97" spans="2:22" ht="15.75" thickBot="1" x14ac:dyDescent="0.3">
      <c r="B97" s="184"/>
      <c r="C97" s="184"/>
      <c r="D97" s="184"/>
      <c r="E97" s="184"/>
      <c r="F97" s="184"/>
      <c r="G97" s="184"/>
      <c r="H97" s="606"/>
      <c r="I97" s="184"/>
      <c r="J97" s="184"/>
      <c r="K97" s="184"/>
      <c r="L97" s="184"/>
      <c r="M97" s="184"/>
      <c r="N97" s="595" t="str" cm="1">
        <f t="array" ref="N97">_xlfn.IFS(M97&gt;0,"Over Budget",M97&lt;0,"Under Budget",M97=0,"-")</f>
        <v>-</v>
      </c>
      <c r="O97" s="184"/>
      <c r="P97" s="642"/>
      <c r="Q97" s="539" t="s">
        <v>209</v>
      </c>
      <c r="R97" s="643">
        <f>R89+R95</f>
        <v>0</v>
      </c>
      <c r="S97" s="644"/>
      <c r="T97" s="324"/>
      <c r="U97"/>
      <c r="V97"/>
    </row>
    <row r="98" spans="2:22" x14ac:dyDescent="0.25">
      <c r="B98" s="184"/>
      <c r="C98" s="184"/>
      <c r="D98" s="184"/>
      <c r="E98" s="184"/>
      <c r="F98" s="184"/>
      <c r="G98" s="184"/>
      <c r="H98" s="606"/>
      <c r="I98" s="184"/>
      <c r="J98" s="184"/>
      <c r="K98" s="184"/>
      <c r="L98" s="184"/>
      <c r="M98" s="184"/>
      <c r="N98" s="322"/>
      <c r="O98" s="184"/>
      <c r="P98" s="184"/>
      <c r="Q98" s="184"/>
      <c r="R98" s="184"/>
      <c r="S98" s="184"/>
      <c r="T98" s="194"/>
      <c r="U98"/>
      <c r="V98"/>
    </row>
    <row r="99" spans="2:22" ht="15.75" thickBot="1" x14ac:dyDescent="0.3">
      <c r="B99" s="184"/>
      <c r="C99" s="184"/>
      <c r="D99" s="184"/>
      <c r="E99" s="184"/>
      <c r="F99" s="184"/>
      <c r="G99" s="184"/>
      <c r="H99" s="645"/>
      <c r="I99" s="498"/>
      <c r="J99" s="498"/>
      <c r="K99" s="498"/>
      <c r="L99" s="498"/>
      <c r="M99" s="196"/>
      <c r="N99" s="521"/>
      <c r="O99" s="196"/>
      <c r="P99" s="196"/>
      <c r="Q99" s="196"/>
      <c r="R99" s="196"/>
      <c r="S99" s="196"/>
      <c r="T99" s="197"/>
      <c r="U99" s="184"/>
      <c r="V99" s="184"/>
    </row>
    <row r="100" spans="2:22" x14ac:dyDescent="0.25">
      <c r="B100" s="184"/>
      <c r="C100" s="184"/>
      <c r="D100" s="184"/>
      <c r="E100" s="184"/>
      <c r="F100" s="184"/>
      <c r="G100" s="184"/>
      <c r="H100" s="184"/>
      <c r="I100" s="184"/>
      <c r="J100" s="184"/>
      <c r="K100" s="184"/>
      <c r="L100" s="184"/>
      <c r="M100"/>
      <c r="N100" s="322"/>
      <c r="O100" s="184"/>
      <c r="P100" s="184"/>
      <c r="Q100" s="184"/>
      <c r="R100" s="184"/>
      <c r="S100" s="184"/>
      <c r="T100" s="184"/>
      <c r="U100" s="184"/>
      <c r="V100" s="184"/>
    </row>
    <row r="101" spans="2:22" x14ac:dyDescent="0.25">
      <c r="B101" s="184"/>
      <c r="C101" s="184"/>
      <c r="D101" s="184"/>
      <c r="E101" s="184"/>
      <c r="F101" s="184"/>
      <c r="G101" s="184"/>
      <c r="H101" s="184"/>
      <c r="I101" s="184"/>
      <c r="J101" s="184"/>
      <c r="K101" s="184"/>
      <c r="L101" s="184"/>
      <c r="M101"/>
      <c r="N101" s="322"/>
      <c r="O101" s="184"/>
      <c r="P101" s="184"/>
      <c r="Q101" s="184"/>
      <c r="R101" s="184"/>
      <c r="S101" s="184"/>
      <c r="T101" s="184"/>
      <c r="U101" s="184"/>
      <c r="V101" s="184"/>
    </row>
    <row r="102" spans="2:22" x14ac:dyDescent="0.25">
      <c r="B102" s="184"/>
      <c r="C102" s="184"/>
      <c r="D102" s="184"/>
      <c r="E102" s="184"/>
      <c r="F102" s="184"/>
      <c r="G102" s="184"/>
      <c r="H102" s="184"/>
      <c r="I102" s="184"/>
      <c r="J102" s="184"/>
      <c r="K102" s="184"/>
      <c r="L102" s="184"/>
      <c r="M102"/>
      <c r="N102" s="322"/>
      <c r="O102" s="184"/>
      <c r="P102" s="184"/>
      <c r="Q102" s="184"/>
      <c r="R102" s="184"/>
      <c r="S102" s="184"/>
      <c r="T102" s="184"/>
      <c r="U102" s="184"/>
      <c r="V102" s="184"/>
    </row>
    <row r="103" spans="2:22" x14ac:dyDescent="0.25">
      <c r="B103" s="184"/>
      <c r="C103" s="184"/>
      <c r="D103" s="184"/>
      <c r="E103" s="184"/>
      <c r="F103" s="184"/>
      <c r="G103" s="184"/>
      <c r="H103" s="184"/>
      <c r="I103" s="184"/>
      <c r="J103" s="184"/>
      <c r="K103" s="184"/>
      <c r="L103" s="184"/>
      <c r="M103"/>
      <c r="N103" s="322"/>
      <c r="O103" s="184"/>
      <c r="P103" s="184"/>
      <c r="Q103" s="94"/>
      <c r="R103" s="184"/>
      <c r="S103" s="184"/>
      <c r="T103" s="184"/>
      <c r="U103"/>
      <c r="V103" s="184"/>
    </row>
    <row r="104" spans="2:22" x14ac:dyDescent="0.25">
      <c r="B104" s="184"/>
      <c r="C104" s="184"/>
      <c r="D104" s="184"/>
      <c r="E104" s="184"/>
      <c r="F104" s="184"/>
      <c r="G104" s="184"/>
      <c r="H104" s="184"/>
      <c r="I104" s="184"/>
      <c r="J104" s="184"/>
      <c r="K104" s="184"/>
      <c r="L104" s="184"/>
      <c r="M104"/>
      <c r="N104" s="32"/>
      <c r="O104"/>
      <c r="P104"/>
      <c r="Q104"/>
      <c r="R104"/>
      <c r="S104"/>
      <c r="T104"/>
      <c r="U104"/>
      <c r="V104" s="184"/>
    </row>
    <row r="105" spans="2:22" x14ac:dyDescent="0.25">
      <c r="B105" s="184"/>
      <c r="C105" s="184"/>
      <c r="D105" s="184"/>
      <c r="E105" s="184"/>
      <c r="F105" s="184"/>
      <c r="G105" s="184"/>
      <c r="H105" s="184"/>
      <c r="I105" s="184"/>
      <c r="J105" s="184"/>
      <c r="K105" s="184"/>
      <c r="L105" s="184"/>
      <c r="M105"/>
      <c r="N105" s="32"/>
      <c r="O105"/>
      <c r="P105"/>
      <c r="Q105"/>
      <c r="R105"/>
      <c r="S105"/>
      <c r="T105"/>
      <c r="U105"/>
      <c r="V105"/>
    </row>
    <row r="106" spans="2:22" x14ac:dyDescent="0.25">
      <c r="B106" s="184"/>
      <c r="C106" s="184"/>
      <c r="D106" s="184"/>
      <c r="E106" s="184"/>
      <c r="F106" s="184"/>
      <c r="G106" s="184"/>
      <c r="H106" s="184"/>
      <c r="I106" s="184"/>
      <c r="J106" s="184"/>
      <c r="K106" s="184"/>
      <c r="L106" s="184"/>
      <c r="M106"/>
      <c r="N106" s="32"/>
      <c r="O106"/>
      <c r="P106"/>
      <c r="Q106"/>
      <c r="R106"/>
      <c r="S106"/>
      <c r="T106"/>
      <c r="U106"/>
      <c r="V106"/>
    </row>
    <row r="107" spans="2:22" x14ac:dyDescent="0.25">
      <c r="B107" s="184"/>
      <c r="C107" s="184"/>
      <c r="D107" s="184"/>
      <c r="E107" s="184"/>
      <c r="F107" s="184"/>
      <c r="G107" s="184"/>
      <c r="H107" s="184"/>
      <c r="I107" s="184"/>
      <c r="J107" s="184"/>
      <c r="K107" s="184"/>
      <c r="L107" s="184"/>
      <c r="M107"/>
      <c r="N107" s="32"/>
      <c r="O107"/>
      <c r="P107"/>
      <c r="Q107"/>
      <c r="R107"/>
      <c r="S107"/>
      <c r="T107"/>
      <c r="U107"/>
      <c r="V107"/>
    </row>
    <row r="108" spans="2:22" x14ac:dyDescent="0.25">
      <c r="B108" s="184"/>
      <c r="C108" s="184"/>
      <c r="D108" s="184"/>
      <c r="E108" s="184"/>
      <c r="F108" s="184"/>
      <c r="G108" s="184"/>
      <c r="H108" s="184"/>
      <c r="I108" s="184"/>
      <c r="J108" s="184"/>
      <c r="K108" s="184"/>
      <c r="L108" s="184"/>
      <c r="M108"/>
      <c r="N108" s="32"/>
      <c r="O108"/>
      <c r="P108"/>
      <c r="Q108"/>
      <c r="R108"/>
      <c r="S108"/>
      <c r="T108"/>
      <c r="U108" s="184"/>
      <c r="V108"/>
    </row>
    <row r="109" spans="2:22" x14ac:dyDescent="0.25">
      <c r="B109" s="184"/>
      <c r="C109" s="184"/>
      <c r="D109" s="184"/>
      <c r="E109" s="184"/>
      <c r="F109" s="184"/>
      <c r="G109" s="184"/>
      <c r="H109" s="184"/>
      <c r="I109" s="184"/>
      <c r="J109" s="184"/>
      <c r="K109" s="184"/>
      <c r="L109" s="184"/>
      <c r="M109" s="184"/>
      <c r="N109" s="322"/>
      <c r="O109" s="184"/>
      <c r="P109" s="184"/>
      <c r="Q109" s="184"/>
      <c r="R109" s="184"/>
      <c r="S109" s="184"/>
      <c r="T109" s="184"/>
      <c r="U109" s="184"/>
      <c r="V109"/>
    </row>
  </sheetData>
  <dataValidations count="1">
    <dataValidation type="list" allowBlank="1" showInputMessage="1" showErrorMessage="1" sqref="W4" xr:uid="{5A945F9F-5498-4CBF-A61C-61638730A02E}">
      <formula1>#REF!</formula1>
    </dataValidation>
  </dataValidations>
  <pageMargins left="0.7" right="0.7" top="0.75" bottom="0.75" header="0.3" footer="0.3"/>
  <pageSetup scale="51" orientation="landscape" r:id="rId1"/>
  <headerFooter>
    <oddFooter>&amp;R&amp;A
&amp;Z&amp;F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E8258-57FA-4218-BFCB-AB7EE22FEE43}">
  <sheetPr>
    <tabColor rgb="FFFF0000"/>
    <pageSetUpPr fitToPage="1"/>
  </sheetPr>
  <dimension ref="A1:AK100"/>
  <sheetViews>
    <sheetView zoomScale="55" zoomScaleNormal="55" workbookViewId="0">
      <selection activeCell="D30" sqref="D30"/>
    </sheetView>
  </sheetViews>
  <sheetFormatPr defaultColWidth="9.140625" defaultRowHeight="15" x14ac:dyDescent="0.25"/>
  <cols>
    <col min="1" max="1" width="2.85546875" style="112" customWidth="1"/>
    <col min="2" max="2" width="26.42578125" style="112" customWidth="1"/>
    <col min="3" max="3" width="51.85546875" style="112" customWidth="1"/>
    <col min="4" max="4" width="16.85546875" style="112" customWidth="1"/>
    <col min="5" max="5" width="10.85546875" style="112" customWidth="1"/>
    <col min="6" max="7" width="4.85546875" style="112" customWidth="1"/>
    <col min="8" max="8" width="21.85546875" style="112" customWidth="1"/>
    <col min="9" max="9" width="23.85546875" style="112" customWidth="1"/>
    <col min="10" max="10" width="27.140625" style="112" customWidth="1"/>
    <col min="11" max="11" width="22.85546875" style="112" bestFit="1" customWidth="1"/>
    <col min="12" max="12" width="18.140625" style="112" customWidth="1"/>
    <col min="13" max="13" width="17" style="112" customWidth="1"/>
    <col min="14" max="14" width="21.85546875" style="321" bestFit="1" customWidth="1"/>
    <col min="15" max="15" width="17.85546875" style="112" customWidth="1"/>
    <col min="16" max="16" width="12.85546875" style="112" customWidth="1"/>
    <col min="17" max="17" width="16.5703125" style="112" customWidth="1"/>
    <col min="18" max="18" width="14.85546875" style="112" customWidth="1"/>
    <col min="19" max="19" width="9.85546875" style="112" customWidth="1"/>
    <col min="20" max="20" width="13.85546875" style="112" customWidth="1"/>
    <col min="21" max="21" width="12.42578125" style="112" bestFit="1" customWidth="1"/>
    <col min="22" max="22" width="13.85546875" style="112" customWidth="1"/>
    <col min="23" max="23" width="14.140625" style="112" bestFit="1" customWidth="1"/>
    <col min="24" max="24" width="21" style="112" customWidth="1"/>
    <col min="25" max="25" width="14.5703125" style="112" customWidth="1"/>
    <col min="26" max="16384" width="9.140625" style="112"/>
  </cols>
  <sheetData>
    <row r="1" spans="1:37" s="111" customFormat="1" ht="18.75" x14ac:dyDescent="0.3">
      <c r="A1" s="448" t="s">
        <v>61</v>
      </c>
      <c r="B1" s="448"/>
      <c r="C1" s="448"/>
      <c r="D1" s="448"/>
      <c r="E1" s="448"/>
      <c r="F1" s="448"/>
      <c r="G1" s="448"/>
      <c r="H1" s="448"/>
      <c r="I1" s="448"/>
      <c r="J1" s="448"/>
      <c r="K1" s="448"/>
      <c r="L1" s="448"/>
      <c r="M1" s="448"/>
      <c r="N1" s="448"/>
      <c r="O1" s="448"/>
      <c r="P1" s="448"/>
      <c r="Q1" s="448"/>
      <c r="R1" s="448"/>
      <c r="S1" s="448"/>
      <c r="T1" s="448"/>
      <c r="U1" s="448"/>
      <c r="V1" s="448"/>
      <c r="W1" s="448"/>
      <c r="X1" s="448"/>
      <c r="Y1" s="448"/>
    </row>
    <row r="2" spans="1:37" s="111" customFormat="1" ht="18.75" x14ac:dyDescent="0.3">
      <c r="A2" s="448" t="s">
        <v>62</v>
      </c>
      <c r="B2" s="448"/>
      <c r="C2" s="448"/>
      <c r="D2" s="448"/>
      <c r="E2" s="448"/>
      <c r="F2" s="448"/>
      <c r="G2" s="448"/>
      <c r="H2" s="448"/>
      <c r="I2" s="448"/>
      <c r="J2" s="448"/>
      <c r="K2" s="448"/>
      <c r="L2" s="448"/>
      <c r="M2" s="448"/>
      <c r="N2" s="448"/>
      <c r="O2" s="448"/>
      <c r="P2" s="448"/>
      <c r="Q2" s="448"/>
      <c r="R2" s="448"/>
      <c r="S2" s="448"/>
      <c r="T2" s="448"/>
      <c r="U2" s="448"/>
      <c r="V2" s="448"/>
      <c r="W2" s="448"/>
      <c r="X2" s="448"/>
      <c r="Y2" s="448"/>
    </row>
    <row r="4" spans="1:37" ht="15.75" x14ac:dyDescent="0.25">
      <c r="A4" s="184"/>
      <c r="B4" s="582" t="s">
        <v>63</v>
      </c>
      <c r="C4" s="583" t="str">
        <f>CONCATENATE(C17, " ",C18, " ",C5)</f>
        <v xml:space="preserve">  "2022 Q3 Eggo Liege TV"</v>
      </c>
      <c r="D4" s="184"/>
      <c r="E4" s="184"/>
      <c r="F4" s="582" t="s">
        <v>64</v>
      </c>
      <c r="G4" s="582"/>
      <c r="H4" s="192" t="s">
        <v>65</v>
      </c>
      <c r="I4"/>
      <c r="J4"/>
      <c r="K4"/>
      <c r="L4" s="184"/>
      <c r="M4" s="184"/>
      <c r="N4" s="322"/>
      <c r="O4" s="184"/>
      <c r="P4" s="184"/>
      <c r="Q4" s="184"/>
      <c r="R4" s="184"/>
      <c r="S4" s="184"/>
      <c r="T4" s="184"/>
      <c r="U4" s="184"/>
      <c r="V4" s="184"/>
      <c r="W4" s="184"/>
      <c r="X4" s="557" t="s">
        <v>66</v>
      </c>
      <c r="Y4" s="242" t="s">
        <v>67</v>
      </c>
      <c r="Z4" s="184"/>
      <c r="AA4" s="184"/>
      <c r="AB4" s="184"/>
      <c r="AC4" s="184"/>
      <c r="AD4" s="184"/>
      <c r="AE4" s="184"/>
      <c r="AF4" s="184"/>
      <c r="AG4" s="184"/>
      <c r="AH4" s="184"/>
      <c r="AI4" s="184"/>
      <c r="AJ4" s="184"/>
      <c r="AK4" s="184"/>
    </row>
    <row r="5" spans="1:37" ht="15.75" x14ac:dyDescent="0.25">
      <c r="A5" s="184"/>
      <c r="B5" s="582" t="s">
        <v>68</v>
      </c>
      <c r="C5" s="135" t="s">
        <v>210</v>
      </c>
      <c r="D5" s="184"/>
      <c r="E5" s="184"/>
      <c r="F5" s="184"/>
      <c r="G5" s="184"/>
      <c r="H5" s="184"/>
      <c r="I5" s="184"/>
      <c r="J5" s="184"/>
      <c r="K5" s="184"/>
      <c r="L5" s="184"/>
      <c r="M5" s="184"/>
      <c r="N5" s="322"/>
      <c r="O5" s="184"/>
      <c r="P5" s="184"/>
      <c r="Q5" s="184"/>
      <c r="R5" s="184"/>
      <c r="S5" s="184"/>
      <c r="T5" s="184"/>
      <c r="U5" s="184"/>
      <c r="V5" s="184"/>
      <c r="W5" s="184"/>
      <c r="X5" s="184"/>
      <c r="Y5" s="184"/>
      <c r="Z5" s="184"/>
      <c r="AA5" s="184"/>
      <c r="AB5" s="184"/>
      <c r="AC5" s="184"/>
      <c r="AD5" s="184"/>
      <c r="AE5" s="184"/>
      <c r="AF5" s="184"/>
      <c r="AG5" s="184"/>
      <c r="AH5" s="184"/>
      <c r="AI5" s="184"/>
      <c r="AJ5" s="184"/>
      <c r="AK5" s="184"/>
    </row>
    <row r="6" spans="1:37" ht="18.75" x14ac:dyDescent="0.3">
      <c r="A6" s="184"/>
      <c r="B6" s="582"/>
      <c r="C6" s="584"/>
      <c r="D6" s="184"/>
      <c r="E6" s="184"/>
      <c r="F6" s="184"/>
      <c r="G6" s="184"/>
      <c r="H6" s="184"/>
      <c r="I6" s="184"/>
      <c r="J6" s="184"/>
      <c r="K6" s="184"/>
      <c r="L6" s="184"/>
      <c r="M6" s="184"/>
      <c r="N6" s="322"/>
      <c r="O6" s="184"/>
      <c r="P6" s="184"/>
      <c r="Q6" s="184"/>
      <c r="R6" s="184"/>
      <c r="S6" s="184"/>
      <c r="T6" s="184"/>
      <c r="U6" s="184"/>
      <c r="V6" s="184"/>
      <c r="W6" s="184"/>
      <c r="X6" s="184"/>
      <c r="Y6" s="184"/>
      <c r="Z6" s="184"/>
      <c r="AA6" s="184"/>
      <c r="AB6" s="184"/>
      <c r="AC6" s="184"/>
      <c r="AD6" s="184"/>
      <c r="AE6" s="184"/>
      <c r="AF6" s="184"/>
      <c r="AG6" s="184"/>
      <c r="AH6" s="184"/>
      <c r="AI6" s="184"/>
      <c r="AJ6" s="184"/>
      <c r="AK6" s="184"/>
    </row>
    <row r="7" spans="1:37" ht="15.75" thickBot="1" x14ac:dyDescent="0.3">
      <c r="A7" s="184"/>
      <c r="B7" s="122" t="s">
        <v>69</v>
      </c>
      <c r="C7" s="205"/>
      <c r="D7" s="184"/>
      <c r="E7" s="184"/>
      <c r="F7" s="184"/>
      <c r="G7" s="184"/>
      <c r="H7" s="184"/>
      <c r="I7" s="184"/>
      <c r="J7" s="184"/>
      <c r="K7" s="184"/>
      <c r="L7" s="184"/>
      <c r="M7" s="184"/>
      <c r="N7" s="322"/>
      <c r="O7" s="184"/>
      <c r="P7" s="184"/>
      <c r="Q7" s="184"/>
      <c r="R7" s="184"/>
      <c r="S7" s="184"/>
      <c r="T7" s="184"/>
      <c r="U7" s="184"/>
      <c r="V7" s="184"/>
      <c r="W7" s="184"/>
      <c r="X7" s="184"/>
      <c r="Y7" s="184"/>
      <c r="Z7" s="184"/>
      <c r="AA7" s="184"/>
      <c r="AB7" s="184"/>
      <c r="AC7" s="184"/>
      <c r="AD7" s="184"/>
      <c r="AE7" s="184"/>
      <c r="AF7" s="184"/>
      <c r="AG7" s="184"/>
      <c r="AH7" s="184"/>
      <c r="AI7" s="184"/>
      <c r="AJ7" s="184"/>
      <c r="AK7" s="184"/>
    </row>
    <row r="8" spans="1:37" ht="15.75" thickBot="1" x14ac:dyDescent="0.3">
      <c r="A8" s="184"/>
      <c r="B8" s="122" t="s">
        <v>70</v>
      </c>
      <c r="C8" s="205"/>
      <c r="D8" s="184"/>
      <c r="E8" s="184"/>
      <c r="F8" s="184"/>
      <c r="G8" s="184"/>
      <c r="H8" s="380" t="s">
        <v>71</v>
      </c>
      <c r="I8" s="585"/>
      <c r="J8" s="585"/>
      <c r="K8" s="585"/>
      <c r="L8" s="585"/>
      <c r="M8" s="585"/>
      <c r="N8" s="585"/>
      <c r="O8" s="585"/>
      <c r="P8" s="585"/>
      <c r="Q8" s="585"/>
      <c r="R8" s="585"/>
      <c r="S8" s="585"/>
      <c r="T8" s="585"/>
      <c r="U8" s="585"/>
      <c r="V8" s="586"/>
      <c r="W8" s="184"/>
      <c r="X8" s="381" t="s">
        <v>72</v>
      </c>
      <c r="Y8" s="381"/>
      <c r="Z8" s="184"/>
      <c r="AA8" s="184"/>
      <c r="AB8" s="380" t="s">
        <v>73</v>
      </c>
      <c r="AC8" s="585"/>
      <c r="AD8" s="585"/>
      <c r="AE8" s="585"/>
      <c r="AF8" s="585"/>
      <c r="AG8" s="585"/>
      <c r="AH8" s="585"/>
      <c r="AI8" s="585"/>
      <c r="AJ8" s="585"/>
      <c r="AK8" s="586"/>
    </row>
    <row r="9" spans="1:37" ht="15.75" thickBot="1" x14ac:dyDescent="0.3">
      <c r="A9" s="184"/>
      <c r="B9" s="582" t="s">
        <v>74</v>
      </c>
      <c r="C9" s="205"/>
      <c r="D9" s="184"/>
      <c r="E9" s="184"/>
      <c r="F9" s="184"/>
      <c r="G9" s="184"/>
      <c r="H9" s="184"/>
      <c r="I9" s="184"/>
      <c r="J9" s="184"/>
      <c r="K9" s="184"/>
      <c r="L9" s="184"/>
      <c r="M9" s="184"/>
      <c r="N9" s="322"/>
      <c r="O9" s="184"/>
      <c r="P9" s="184"/>
      <c r="Q9" s="184"/>
      <c r="R9" s="184"/>
      <c r="S9" s="184"/>
      <c r="T9" s="184"/>
      <c r="U9" s="184"/>
      <c r="V9" s="184"/>
      <c r="W9" s="184"/>
      <c r="X9" s="184"/>
      <c r="Y9" s="184"/>
      <c r="Z9" s="184"/>
      <c r="AA9" s="184"/>
      <c r="AB9" s="184"/>
      <c r="AC9" s="184"/>
      <c r="AD9" s="184"/>
      <c r="AE9" s="184"/>
      <c r="AF9" s="184"/>
      <c r="AG9" s="184"/>
      <c r="AH9" s="184"/>
      <c r="AI9" s="184"/>
      <c r="AJ9" s="184"/>
      <c r="AK9" s="184"/>
    </row>
    <row r="10" spans="1:37" ht="15.75" thickBot="1" x14ac:dyDescent="0.3">
      <c r="A10" s="184"/>
      <c r="B10" s="122" t="s">
        <v>75</v>
      </c>
      <c r="C10" s="205"/>
      <c r="D10" s="184"/>
      <c r="E10" s="184"/>
      <c r="F10" s="184"/>
      <c r="G10" s="184"/>
      <c r="H10" s="319" t="s">
        <v>76</v>
      </c>
      <c r="I10" s="320"/>
      <c r="J10" s="320"/>
      <c r="K10" s="320"/>
      <c r="L10" s="587"/>
      <c r="M10" s="184"/>
      <c r="N10" s="319" t="s">
        <v>77</v>
      </c>
      <c r="O10" s="320"/>
      <c r="P10" s="320"/>
      <c r="Q10" s="320"/>
      <c r="R10" s="588"/>
      <c r="S10" s="184"/>
      <c r="T10" s="531" t="s">
        <v>78</v>
      </c>
      <c r="U10" s="184"/>
      <c r="V10" s="531" t="s">
        <v>79</v>
      </c>
      <c r="W10" s="184"/>
      <c r="X10" s="102" t="s">
        <v>80</v>
      </c>
      <c r="Y10" s="102" t="s">
        <v>81</v>
      </c>
      <c r="Z10" s="184"/>
      <c r="AA10" s="184"/>
      <c r="AB10" s="184"/>
      <c r="AC10" s="184"/>
      <c r="AD10" s="184"/>
      <c r="AE10" s="184"/>
      <c r="AF10" s="184"/>
      <c r="AG10" s="184"/>
      <c r="AH10" s="184"/>
      <c r="AI10" s="184"/>
      <c r="AJ10" s="184"/>
      <c r="AK10" s="184"/>
    </row>
    <row r="11" spans="1:37" x14ac:dyDescent="0.25">
      <c r="A11" s="184"/>
      <c r="B11" s="122" t="s">
        <v>82</v>
      </c>
      <c r="C11" s="205"/>
      <c r="D11" s="184"/>
      <c r="E11" s="184"/>
      <c r="F11" s="184"/>
      <c r="G11" s="184"/>
      <c r="H11" s="5" t="s">
        <v>83</v>
      </c>
      <c r="I11" s="5"/>
      <c r="J11" s="5"/>
      <c r="K11" s="5"/>
      <c r="L11" s="184"/>
      <c r="M11" s="184"/>
      <c r="N11" s="322"/>
      <c r="O11" s="184"/>
      <c r="P11" s="184"/>
      <c r="Q11" s="184"/>
      <c r="R11" s="184"/>
      <c r="S11" s="184"/>
      <c r="T11" s="184"/>
      <c r="U11" s="184"/>
      <c r="V11" s="184"/>
      <c r="W11" s="184"/>
      <c r="X11" s="184"/>
      <c r="Y11" s="589"/>
      <c r="Z11" s="184"/>
      <c r="AA11" s="184"/>
      <c r="AB11" t="s">
        <v>84</v>
      </c>
      <c r="AC11" s="184"/>
      <c r="AD11" s="184"/>
      <c r="AE11" s="184"/>
      <c r="AF11" s="184"/>
      <c r="AG11" s="184"/>
      <c r="AH11" s="184"/>
      <c r="AI11" s="184"/>
      <c r="AJ11" s="184"/>
      <c r="AK11" s="184"/>
    </row>
    <row r="12" spans="1:37" ht="17.25" x14ac:dyDescent="0.4">
      <c r="A12" s="184"/>
      <c r="B12" s="122" t="s">
        <v>85</v>
      </c>
      <c r="C12" s="136"/>
      <c r="D12" s="184"/>
      <c r="E12" s="184"/>
      <c r="F12" s="184"/>
      <c r="G12" s="184"/>
      <c r="H12" s="322" t="s">
        <v>86</v>
      </c>
      <c r="I12" s="582"/>
      <c r="J12" s="582"/>
      <c r="K12" s="113">
        <f>'Crew Payroll'!AE45</f>
        <v>0</v>
      </c>
      <c r="L12" s="184"/>
      <c r="M12" s="184"/>
      <c r="N12" s="32" t="s">
        <v>87</v>
      </c>
      <c r="O12" s="122"/>
      <c r="P12" s="122"/>
      <c r="Q12" s="114">
        <f>P13+P14</f>
        <v>0</v>
      </c>
      <c r="R12" s="590"/>
      <c r="S12" s="590"/>
      <c r="T12" s="114">
        <f>'Crew Payroll'!U53</f>
        <v>0</v>
      </c>
      <c r="U12" s="590"/>
      <c r="V12" s="590">
        <f>K12-(Q12+T12)</f>
        <v>0</v>
      </c>
      <c r="W12" s="184"/>
      <c r="X12" s="589"/>
      <c r="Y12" s="589"/>
      <c r="Z12" s="184"/>
      <c r="AA12" s="184"/>
      <c r="AB12" s="243" t="s">
        <v>88</v>
      </c>
      <c r="AC12" s="184"/>
      <c r="AD12" s="184"/>
      <c r="AE12" s="184"/>
      <c r="AF12" s="184"/>
      <c r="AG12" s="184"/>
      <c r="AH12" s="184"/>
      <c r="AI12" s="184"/>
      <c r="AJ12" s="184"/>
      <c r="AK12" s="184"/>
    </row>
    <row r="13" spans="1:37" ht="17.25" x14ac:dyDescent="0.4">
      <c r="A13" s="184"/>
      <c r="B13" s="122" t="s">
        <v>89</v>
      </c>
      <c r="C13" s="136"/>
      <c r="D13" s="184"/>
      <c r="E13" s="184"/>
      <c r="F13" s="184"/>
      <c r="G13" s="184"/>
      <c r="H13" s="184"/>
      <c r="I13" s="184"/>
      <c r="J13" s="184"/>
      <c r="K13" s="184"/>
      <c r="L13" s="184"/>
      <c r="M13" s="184"/>
      <c r="N13" s="322"/>
      <c r="O13" s="226" t="s">
        <v>90</v>
      </c>
      <c r="P13" s="227">
        <f>'Crew Payroll'!S53</f>
        <v>0</v>
      </c>
      <c r="Q13" s="184"/>
      <c r="R13" s="184"/>
      <c r="S13" s="184"/>
      <c r="T13" s="184"/>
      <c r="U13" s="184"/>
      <c r="V13" s="590"/>
      <c r="W13" s="184"/>
      <c r="X13" s="589"/>
      <c r="Y13" s="589"/>
      <c r="Z13" s="184"/>
      <c r="AA13" s="184"/>
      <c r="AB13" s="184"/>
      <c r="AC13" s="184"/>
      <c r="AD13" s="184"/>
      <c r="AE13" s="184"/>
      <c r="AF13" s="184"/>
      <c r="AG13" s="184"/>
      <c r="AH13" s="184"/>
      <c r="AI13" s="184"/>
      <c r="AJ13" s="184"/>
      <c r="AK13" s="184"/>
    </row>
    <row r="14" spans="1:37" ht="17.25" x14ac:dyDescent="0.4">
      <c r="A14" s="184"/>
      <c r="B14" s="122" t="s">
        <v>91</v>
      </c>
      <c r="C14" s="137"/>
      <c r="D14" s="184"/>
      <c r="E14" s="184"/>
      <c r="F14" s="184"/>
      <c r="G14" s="184"/>
      <c r="H14" s="184"/>
      <c r="I14" s="184"/>
      <c r="J14" s="184"/>
      <c r="K14" s="184"/>
      <c r="L14" s="184"/>
      <c r="M14" s="184"/>
      <c r="N14" s="322"/>
      <c r="O14" s="226" t="s">
        <v>92</v>
      </c>
      <c r="P14" s="227">
        <f>'Crew Payroll'!S54</f>
        <v>0</v>
      </c>
      <c r="Q14" s="184"/>
      <c r="R14" s="184"/>
      <c r="S14" s="184"/>
      <c r="T14" s="184"/>
      <c r="U14" s="184"/>
      <c r="V14" s="590"/>
      <c r="W14" s="184"/>
      <c r="X14" s="589"/>
      <c r="Y14" s="589"/>
      <c r="Z14" s="184"/>
      <c r="AA14" s="184"/>
      <c r="AB14" s="184"/>
      <c r="AC14" s="184"/>
      <c r="AD14" s="184"/>
      <c r="AE14" s="184"/>
      <c r="AF14" s="184"/>
      <c r="AG14" s="184"/>
      <c r="AH14" s="184"/>
      <c r="AI14" s="184"/>
      <c r="AJ14" s="184"/>
      <c r="AK14" s="184"/>
    </row>
    <row r="15" spans="1:37" ht="17.25" x14ac:dyDescent="0.4">
      <c r="A15" s="184"/>
      <c r="B15" s="122" t="s">
        <v>93</v>
      </c>
      <c r="C15" s="137"/>
      <c r="D15" s="184"/>
      <c r="E15" s="184"/>
      <c r="F15" s="184"/>
      <c r="G15" s="184"/>
      <c r="H15" s="32" t="s">
        <v>94</v>
      </c>
      <c r="I15" s="582"/>
      <c r="J15" s="582"/>
      <c r="K15" s="113" t="e">
        <f>#REF!</f>
        <v>#REF!</v>
      </c>
      <c r="L15" s="184"/>
      <c r="M15" s="184"/>
      <c r="N15" s="32" t="s">
        <v>94</v>
      </c>
      <c r="O15" s="582"/>
      <c r="P15" s="582"/>
      <c r="Q15" s="114" t="e">
        <f>#REF!</f>
        <v>#REF!</v>
      </c>
      <c r="R15" s="184"/>
      <c r="S15" s="184"/>
      <c r="T15" s="114" t="e">
        <f>#REF!</f>
        <v>#REF!</v>
      </c>
      <c r="U15" s="184"/>
      <c r="V15" s="590" t="e">
        <f t="shared" ref="V15:V18" si="0">K15-(Q15+T15)</f>
        <v>#REF!</v>
      </c>
      <c r="W15" s="184"/>
      <c r="X15" s="589"/>
      <c r="Y15" s="589"/>
      <c r="Z15" s="184"/>
      <c r="AA15" s="184"/>
      <c r="AB15" s="184"/>
      <c r="AC15" s="184"/>
      <c r="AD15" s="184"/>
      <c r="AE15" s="184"/>
      <c r="AF15" s="184"/>
      <c r="AG15" s="184"/>
      <c r="AH15" s="184"/>
      <c r="AI15" s="184"/>
      <c r="AJ15" s="184"/>
      <c r="AK15" s="184"/>
    </row>
    <row r="16" spans="1:37" ht="17.25" x14ac:dyDescent="0.4">
      <c r="A16" s="184"/>
      <c r="B16" s="582"/>
      <c r="C16" s="184"/>
      <c r="D16" s="184"/>
      <c r="E16" s="184"/>
      <c r="F16" s="184"/>
      <c r="G16" s="184"/>
      <c r="H16" s="32" t="s">
        <v>95</v>
      </c>
      <c r="I16" s="582"/>
      <c r="J16" s="582"/>
      <c r="K16" s="113" t="e">
        <f>#REF!</f>
        <v>#REF!</v>
      </c>
      <c r="L16" s="184"/>
      <c r="M16" s="184"/>
      <c r="N16" s="32" t="s">
        <v>95</v>
      </c>
      <c r="O16" s="582"/>
      <c r="P16" s="582"/>
      <c r="Q16" s="114" t="e">
        <f>#REF!</f>
        <v>#REF!</v>
      </c>
      <c r="R16" s="184"/>
      <c r="S16" s="184"/>
      <c r="T16" s="114" t="e">
        <f>#REF!</f>
        <v>#REF!</v>
      </c>
      <c r="U16" s="184"/>
      <c r="V16" s="590" t="e">
        <f t="shared" si="0"/>
        <v>#REF!</v>
      </c>
      <c r="W16" s="184"/>
      <c r="X16" s="589"/>
      <c r="Y16" s="589"/>
      <c r="Z16" s="184"/>
      <c r="AA16" s="184"/>
      <c r="AB16" s="184"/>
      <c r="AC16" s="184"/>
      <c r="AD16" s="184"/>
      <c r="AE16" s="184"/>
      <c r="AF16" s="184"/>
      <c r="AG16" s="184"/>
      <c r="AH16" s="184"/>
      <c r="AI16" s="184"/>
      <c r="AJ16" s="184"/>
      <c r="AK16" s="184"/>
    </row>
    <row r="17" spans="2:26" ht="17.25" x14ac:dyDescent="0.4">
      <c r="B17" s="582" t="s">
        <v>96</v>
      </c>
      <c r="C17" s="136"/>
      <c r="D17" s="184"/>
      <c r="E17" s="184"/>
      <c r="F17" s="184"/>
      <c r="G17" s="184"/>
      <c r="H17" s="32" t="s">
        <v>97</v>
      </c>
      <c r="I17" s="122"/>
      <c r="J17" s="122"/>
      <c r="K17" s="113" t="e">
        <f>#REF!</f>
        <v>#REF!</v>
      </c>
      <c r="L17" s="184"/>
      <c r="M17" s="184"/>
      <c r="N17" s="32" t="s">
        <v>97</v>
      </c>
      <c r="O17" s="122"/>
      <c r="P17" s="122"/>
      <c r="Q17" s="114" t="e">
        <f>#REF!</f>
        <v>#REF!</v>
      </c>
      <c r="R17" s="184"/>
      <c r="S17" s="184"/>
      <c r="T17" s="114" t="e">
        <f>#REF!</f>
        <v>#REF!</v>
      </c>
      <c r="U17" s="184"/>
      <c r="V17" s="590" t="e">
        <f t="shared" si="0"/>
        <v>#REF!</v>
      </c>
      <c r="W17" s="184"/>
      <c r="X17" s="589"/>
      <c r="Y17" s="589"/>
      <c r="Z17" s="184"/>
    </row>
    <row r="18" spans="2:26" ht="17.25" x14ac:dyDescent="0.4">
      <c r="B18" s="122" t="s">
        <v>98</v>
      </c>
      <c r="C18" s="136"/>
      <c r="D18" s="184"/>
      <c r="E18" s="184"/>
      <c r="F18" s="184"/>
      <c r="G18" s="184"/>
      <c r="H18" s="32" t="s">
        <v>99</v>
      </c>
      <c r="I18" s="122"/>
      <c r="J18" s="122"/>
      <c r="K18" s="113" t="e">
        <f>#REF!</f>
        <v>#REF!</v>
      </c>
      <c r="L18" s="184"/>
      <c r="M18" s="184"/>
      <c r="N18" s="32" t="s">
        <v>99</v>
      </c>
      <c r="O18" s="122"/>
      <c r="P18" s="122"/>
      <c r="Q18" s="114" t="e">
        <f>#REF!</f>
        <v>#REF!</v>
      </c>
      <c r="R18" s="590"/>
      <c r="S18" s="590"/>
      <c r="T18" s="114" t="e">
        <f>#REF!</f>
        <v>#REF!</v>
      </c>
      <c r="U18" s="590"/>
      <c r="V18" s="590" t="e">
        <f t="shared" si="0"/>
        <v>#REF!</v>
      </c>
      <c r="W18" s="184"/>
      <c r="X18" s="589"/>
      <c r="Y18" s="589"/>
      <c r="Z18" s="184"/>
    </row>
    <row r="19" spans="2:26" x14ac:dyDescent="0.25">
      <c r="B19" s="582" t="s">
        <v>100</v>
      </c>
      <c r="C19" s="136"/>
      <c r="D19" s="243" t="s">
        <v>221</v>
      </c>
      <c r="E19" s="184"/>
      <c r="F19" s="184"/>
      <c r="G19" s="184"/>
      <c r="H19" s="184"/>
      <c r="I19" s="184"/>
      <c r="J19" s="184"/>
      <c r="K19" s="184"/>
      <c r="L19" s="184"/>
      <c r="M19" s="184"/>
      <c r="N19" s="322"/>
      <c r="O19" s="184"/>
      <c r="P19" s="184"/>
      <c r="Q19" s="184"/>
      <c r="R19" s="184"/>
      <c r="S19" s="184"/>
      <c r="T19" s="184"/>
      <c r="U19" s="184"/>
      <c r="V19" s="590"/>
      <c r="W19" s="184"/>
      <c r="X19" s="382"/>
      <c r="Y19" s="589"/>
      <c r="Z19" t="s">
        <v>213</v>
      </c>
    </row>
    <row r="20" spans="2:26" ht="17.25" x14ac:dyDescent="0.4">
      <c r="B20" s="582" t="s">
        <v>101</v>
      </c>
      <c r="C20" s="136"/>
      <c r="D20" s="243" t="s">
        <v>222</v>
      </c>
      <c r="E20" s="184"/>
      <c r="F20" s="184"/>
      <c r="G20" s="184"/>
      <c r="H20" s="32" t="s">
        <v>103</v>
      </c>
      <c r="I20" s="122"/>
      <c r="J20" s="122"/>
      <c r="K20" s="113">
        <f>SUM('Talent &amp; Extras'!T63)</f>
        <v>0</v>
      </c>
      <c r="L20" s="184"/>
      <c r="M20" s="184"/>
      <c r="N20" s="32" t="s">
        <v>103</v>
      </c>
      <c r="O20" s="122"/>
      <c r="P20" s="122"/>
      <c r="Q20" s="113">
        <f>'Talent &amp; Extras'!N81</f>
        <v>0</v>
      </c>
      <c r="R20" s="184"/>
      <c r="S20" s="184"/>
      <c r="T20" s="113">
        <f>'Talent &amp; Extras'!M69</f>
        <v>0</v>
      </c>
      <c r="U20" s="184"/>
      <c r="V20" s="590">
        <f>K20-(Q20+T20)</f>
        <v>0</v>
      </c>
      <c r="W20" s="184"/>
      <c r="X20" s="589"/>
      <c r="Y20" s="589"/>
      <c r="Z20" s="184"/>
    </row>
    <row r="21" spans="2:26" ht="17.25" x14ac:dyDescent="0.4">
      <c r="B21" s="122" t="s">
        <v>104</v>
      </c>
      <c r="C21" s="136"/>
      <c r="D21" s="243" t="s">
        <v>222</v>
      </c>
      <c r="E21" s="184"/>
      <c r="F21" s="184"/>
      <c r="G21" s="184"/>
      <c r="H21" s="322"/>
      <c r="I21" s="592" t="s">
        <v>106</v>
      </c>
      <c r="J21" s="229">
        <f>'Talent &amp; Extras'!Q69</f>
        <v>0</v>
      </c>
      <c r="K21" s="184"/>
      <c r="L21" s="184"/>
      <c r="M21" s="184"/>
      <c r="N21" s="322"/>
      <c r="O21" s="592" t="s">
        <v>106</v>
      </c>
      <c r="P21" s="229">
        <f>'Talent &amp; Extras'!D69</f>
        <v>0</v>
      </c>
      <c r="Q21" s="184"/>
      <c r="R21" s="184"/>
      <c r="S21" s="184"/>
      <c r="T21" s="184"/>
      <c r="U21" s="184"/>
      <c r="V21" s="590"/>
      <c r="W21" s="184"/>
      <c r="X21" s="589"/>
      <c r="Y21" s="589"/>
      <c r="Z21" s="184"/>
    </row>
    <row r="22" spans="2:26" ht="17.25" x14ac:dyDescent="0.4">
      <c r="B22" s="122" t="s">
        <v>107</v>
      </c>
      <c r="C22" s="136"/>
      <c r="D22" s="184"/>
      <c r="E22" s="184"/>
      <c r="F22" s="184"/>
      <c r="G22" s="184"/>
      <c r="H22" s="322"/>
      <c r="I22" s="226" t="s">
        <v>109</v>
      </c>
      <c r="J22" s="229">
        <f>'Talent &amp; Extras'!C71</f>
        <v>0</v>
      </c>
      <c r="K22" s="184"/>
      <c r="L22" s="184"/>
      <c r="M22" s="184"/>
      <c r="N22" s="322"/>
      <c r="O22" s="226" t="s">
        <v>109</v>
      </c>
      <c r="P22" s="229">
        <f>'Talent &amp; Extras'!D70</f>
        <v>0</v>
      </c>
      <c r="Q22" s="184"/>
      <c r="R22" s="115"/>
      <c r="S22" s="115"/>
      <c r="T22" s="184"/>
      <c r="U22" s="115"/>
      <c r="V22" s="590"/>
      <c r="W22" s="184"/>
      <c r="X22" s="589"/>
      <c r="Y22" s="589"/>
      <c r="Z22" s="184"/>
    </row>
    <row r="23" spans="2:26" ht="17.25" x14ac:dyDescent="0.4">
      <c r="B23" s="582" t="s">
        <v>110</v>
      </c>
      <c r="C23" s="591"/>
      <c r="D23" s="184"/>
      <c r="E23" s="184"/>
      <c r="F23" s="184"/>
      <c r="G23" s="184"/>
      <c r="H23" s="184"/>
      <c r="I23" s="184"/>
      <c r="J23" s="184"/>
      <c r="K23" s="184"/>
      <c r="L23" s="184"/>
      <c r="M23" s="184"/>
      <c r="N23" s="322"/>
      <c r="O23" s="226" t="s">
        <v>111</v>
      </c>
      <c r="P23" s="229">
        <f>'Talent &amp; Extras'!R69</f>
        <v>0</v>
      </c>
      <c r="Q23" s="184"/>
      <c r="R23" s="115"/>
      <c r="S23" s="115"/>
      <c r="T23" s="184"/>
      <c r="U23" s="115"/>
      <c r="V23" s="590"/>
      <c r="W23" s="184"/>
      <c r="X23" s="589"/>
      <c r="Y23" s="589"/>
      <c r="Z23" s="184"/>
    </row>
    <row r="24" spans="2:26" ht="17.25" x14ac:dyDescent="0.4">
      <c r="B24" s="582" t="s">
        <v>112</v>
      </c>
      <c r="C24" s="591"/>
      <c r="D24" s="184"/>
      <c r="E24" s="184"/>
      <c r="F24" s="184"/>
      <c r="G24" s="184"/>
      <c r="H24" s="184"/>
      <c r="I24" s="184"/>
      <c r="J24" s="184"/>
      <c r="K24" s="184"/>
      <c r="L24" s="184"/>
      <c r="M24" s="184"/>
      <c r="N24" s="322"/>
      <c r="O24" s="480" t="s">
        <v>113</v>
      </c>
      <c r="P24" s="481">
        <f>'Agency Sub-Vendors'!M69</f>
        <v>0</v>
      </c>
      <c r="Q24" s="184"/>
      <c r="R24" s="184"/>
      <c r="S24" s="184"/>
      <c r="T24" s="184"/>
      <c r="U24" s="184"/>
      <c r="V24" s="590"/>
      <c r="W24" s="184"/>
      <c r="X24" s="589"/>
      <c r="Y24" s="589"/>
      <c r="Z24" s="184"/>
    </row>
    <row r="25" spans="2:26" ht="17.25" x14ac:dyDescent="0.4">
      <c r="B25" s="582" t="s">
        <v>114</v>
      </c>
      <c r="C25" s="591"/>
      <c r="D25" s="184"/>
      <c r="E25" s="184"/>
      <c r="F25" s="184"/>
      <c r="G25" s="184"/>
      <c r="H25" s="184"/>
      <c r="I25" s="184"/>
      <c r="J25" s="184"/>
      <c r="K25" s="184"/>
      <c r="L25" s="184"/>
      <c r="M25" s="184"/>
      <c r="N25" s="322"/>
      <c r="O25" s="480" t="s">
        <v>115</v>
      </c>
      <c r="P25" s="481">
        <f>'Agency Sub-Vendors'!M68</f>
        <v>0</v>
      </c>
      <c r="Q25" s="184"/>
      <c r="R25" s="184"/>
      <c r="S25" s="184"/>
      <c r="T25" s="184"/>
      <c r="U25" s="115"/>
      <c r="V25" s="590"/>
      <c r="W25" s="184"/>
      <c r="X25" s="184"/>
      <c r="Y25" s="184"/>
      <c r="Z25" s="184"/>
    </row>
    <row r="26" spans="2:26" ht="17.25" x14ac:dyDescent="0.4">
      <c r="B26" s="593" t="s">
        <v>116</v>
      </c>
      <c r="C26" s="591"/>
      <c r="D26" s="184"/>
      <c r="E26" s="184"/>
      <c r="F26" s="184"/>
      <c r="G26" s="184"/>
      <c r="H26" s="32" t="s">
        <v>117</v>
      </c>
      <c r="I26" s="582"/>
      <c r="J26" s="582"/>
      <c r="K26" s="113">
        <f>'Agency Sub-Vendors'!M63</f>
        <v>0</v>
      </c>
      <c r="L26" s="184"/>
      <c r="M26" s="184"/>
      <c r="N26" s="32" t="s">
        <v>118</v>
      </c>
      <c r="O26" s="582"/>
      <c r="P26" s="582"/>
      <c r="Q26" s="113">
        <f>'Agency Sub-Vendors'!M60</f>
        <v>0</v>
      </c>
      <c r="R26" s="115"/>
      <c r="S26" s="115"/>
      <c r="T26" s="113">
        <f>'Agency Sub-Vendors'!M61</f>
        <v>0</v>
      </c>
      <c r="U26" s="184"/>
      <c r="V26" s="590">
        <f t="shared" ref="V26:V27" si="1">K26-(Q26+T26)</f>
        <v>0</v>
      </c>
      <c r="W26" s="184"/>
      <c r="X26" s="184"/>
      <c r="Y26" s="184"/>
      <c r="Z26" s="184"/>
    </row>
    <row r="27" spans="2:26" ht="17.25" x14ac:dyDescent="0.4">
      <c r="B27" s="593" t="s">
        <v>119</v>
      </c>
      <c r="C27" s="591"/>
      <c r="D27" s="184"/>
      <c r="E27" s="184"/>
      <c r="F27" s="184"/>
      <c r="G27" s="184"/>
      <c r="H27" s="322" t="s">
        <v>120</v>
      </c>
      <c r="I27" s="582"/>
      <c r="J27" s="582"/>
      <c r="K27" s="113">
        <f>'Agency Hours'!T43</f>
        <v>0</v>
      </c>
      <c r="L27" s="184"/>
      <c r="M27" s="184"/>
      <c r="N27" s="32" t="s">
        <v>121</v>
      </c>
      <c r="O27" s="582"/>
      <c r="P27" s="582"/>
      <c r="Q27" s="113">
        <f>'Agency Hours'!Q71</f>
        <v>0</v>
      </c>
      <c r="R27" s="184"/>
      <c r="S27" s="184"/>
      <c r="T27" s="113">
        <f>'Agency Hours'!O43</f>
        <v>0</v>
      </c>
      <c r="U27" s="184"/>
      <c r="V27" s="590">
        <f t="shared" si="1"/>
        <v>0</v>
      </c>
      <c r="W27" s="184"/>
      <c r="X27" s="184"/>
      <c r="Y27" s="184"/>
      <c r="Z27" s="184"/>
    </row>
    <row r="28" spans="2:26" ht="17.25" x14ac:dyDescent="0.4">
      <c r="B28" s="188" t="s">
        <v>122</v>
      </c>
      <c r="C28" s="591"/>
      <c r="D28" s="184"/>
      <c r="E28" s="184"/>
      <c r="F28" s="184"/>
      <c r="G28" s="184"/>
      <c r="H28" s="184"/>
      <c r="I28" s="184"/>
      <c r="J28" s="184"/>
      <c r="K28" s="184"/>
      <c r="L28" s="184"/>
      <c r="M28" s="184"/>
      <c r="N28" s="322"/>
      <c r="O28" s="226" t="s">
        <v>123</v>
      </c>
      <c r="P28" s="227">
        <f>'Agency Hours'!Q58</f>
        <v>0</v>
      </c>
      <c r="Q28" s="184"/>
      <c r="R28" s="184"/>
      <c r="S28" s="184"/>
      <c r="T28" s="184"/>
      <c r="U28" s="184"/>
      <c r="V28" s="590"/>
      <c r="W28" s="184"/>
      <c r="X28" s="184"/>
      <c r="Y28" s="184"/>
      <c r="Z28" s="184"/>
    </row>
    <row r="29" spans="2:26" ht="17.25" x14ac:dyDescent="0.4">
      <c r="B29" s="593"/>
      <c r="C29" s="594"/>
      <c r="D29" s="184"/>
      <c r="E29" s="184"/>
      <c r="F29" s="184"/>
      <c r="G29" s="184"/>
      <c r="H29" s="184"/>
      <c r="I29" s="184"/>
      <c r="J29" s="184"/>
      <c r="K29" s="184"/>
      <c r="L29" s="184"/>
      <c r="M29" s="184"/>
      <c r="N29" s="322"/>
      <c r="O29" s="226" t="s">
        <v>92</v>
      </c>
      <c r="P29" s="227">
        <f>'Agency Hours'!R43</f>
        <v>0</v>
      </c>
      <c r="Q29" s="184"/>
      <c r="R29" s="184"/>
      <c r="S29" s="184"/>
      <c r="T29" s="184"/>
      <c r="U29" s="184"/>
      <c r="V29" s="590"/>
      <c r="W29" s="184"/>
      <c r="X29" s="184"/>
      <c r="Y29" s="589"/>
      <c r="Z29" s="184"/>
    </row>
    <row r="30" spans="2:26" x14ac:dyDescent="0.25">
      <c r="B30" s="582" t="s">
        <v>124</v>
      </c>
      <c r="C30" s="591"/>
      <c r="D30" s="184"/>
      <c r="E30" s="184"/>
      <c r="F30" s="184"/>
      <c r="G30" s="184"/>
      <c r="H30" s="184"/>
      <c r="I30" s="184"/>
      <c r="J30" s="184"/>
      <c r="K30" s="184"/>
      <c r="L30" s="184"/>
      <c r="M30" s="184"/>
      <c r="N30" s="322"/>
      <c r="O30" s="184"/>
      <c r="P30" s="184"/>
      <c r="Q30" s="184"/>
      <c r="R30" s="184"/>
      <c r="S30" s="184"/>
      <c r="T30" s="184"/>
      <c r="U30" s="184"/>
      <c r="V30" s="590"/>
      <c r="W30" s="184"/>
      <c r="X30" s="184"/>
      <c r="Y30" s="184"/>
      <c r="Z30" s="184"/>
    </row>
    <row r="31" spans="2:26" ht="17.25" x14ac:dyDescent="0.4">
      <c r="B31" s="594"/>
      <c r="C31" s="594"/>
      <c r="D31" s="184"/>
      <c r="E31" s="184"/>
      <c r="F31" s="184"/>
      <c r="G31" s="184"/>
      <c r="H31" s="184"/>
      <c r="I31" s="596" t="s">
        <v>125</v>
      </c>
      <c r="J31" s="528">
        <f>'Agency Hours'!J49</f>
        <v>0</v>
      </c>
      <c r="K31" s="184"/>
      <c r="L31" s="184"/>
      <c r="M31" s="184"/>
      <c r="N31" s="322"/>
      <c r="O31" s="596" t="s">
        <v>125</v>
      </c>
      <c r="P31" s="527">
        <f>'Agency Hours'!S49</f>
        <v>0</v>
      </c>
      <c r="Q31" s="184"/>
      <c r="R31" s="184"/>
      <c r="S31" s="184"/>
      <c r="T31" s="184"/>
      <c r="U31" s="527">
        <f>'Agency Hours'!O49</f>
        <v>0</v>
      </c>
      <c r="V31" s="590">
        <f>J31-(P31+U31)</f>
        <v>0</v>
      </c>
      <c r="W31" s="184"/>
      <c r="X31" s="184"/>
      <c r="Y31" s="184"/>
      <c r="Z31" s="184"/>
    </row>
    <row r="32" spans="2:26" x14ac:dyDescent="0.25">
      <c r="B32" s="122" t="s">
        <v>126</v>
      </c>
      <c r="C32" s="591"/>
      <c r="D32" s="184"/>
      <c r="E32" s="184"/>
      <c r="F32" s="184"/>
      <c r="G32" s="184"/>
      <c r="H32" s="184"/>
      <c r="I32" s="184"/>
      <c r="J32" s="184"/>
      <c r="K32" s="184"/>
      <c r="L32" s="184"/>
      <c r="M32" s="184"/>
      <c r="N32" s="322"/>
      <c r="O32" s="184"/>
      <c r="P32" s="184"/>
      <c r="Q32" s="184"/>
      <c r="R32" s="184"/>
      <c r="S32" s="184"/>
      <c r="T32" s="184"/>
      <c r="U32" s="184"/>
      <c r="V32" s="590"/>
      <c r="W32" s="184"/>
      <c r="X32" s="184"/>
      <c r="Y32" s="184"/>
      <c r="Z32" s="184"/>
    </row>
    <row r="33" spans="2:31" ht="17.25" x14ac:dyDescent="0.4">
      <c r="B33" s="582" t="s">
        <v>127</v>
      </c>
      <c r="C33" s="136"/>
      <c r="D33" s="595"/>
      <c r="E33" s="184"/>
      <c r="F33" s="184"/>
      <c r="G33" s="184"/>
      <c r="H33" s="32" t="s">
        <v>128</v>
      </c>
      <c r="I33" s="122"/>
      <c r="J33" s="122"/>
      <c r="K33" s="113">
        <f>'Agency Hours'!Q68</f>
        <v>0</v>
      </c>
      <c r="L33" s="184"/>
      <c r="M33" s="184"/>
      <c r="N33" s="32" t="s">
        <v>129</v>
      </c>
      <c r="O33" s="122"/>
      <c r="P33" s="122"/>
      <c r="Q33" s="113">
        <f>'Agency Hours'!Q64+'Agency Hours'!Q65</f>
        <v>0</v>
      </c>
      <c r="R33" s="184"/>
      <c r="S33" s="184"/>
      <c r="T33" s="113">
        <f>'Agency Hours'!O55</f>
        <v>0</v>
      </c>
      <c r="U33" s="184"/>
      <c r="V33" s="590">
        <f>K33-(Q33+T33)</f>
        <v>0</v>
      </c>
      <c r="W33" s="184"/>
      <c r="X33" s="589"/>
      <c r="Y33" s="589"/>
      <c r="Z33" s="184"/>
      <c r="AA33" s="184"/>
      <c r="AB33" s="184"/>
      <c r="AC33" s="184"/>
      <c r="AD33" s="184"/>
      <c r="AE33" s="184"/>
    </row>
    <row r="34" spans="2:31" ht="17.25" x14ac:dyDescent="0.4">
      <c r="B34" s="582" t="s">
        <v>130</v>
      </c>
      <c r="C34" s="136"/>
      <c r="D34" s="595"/>
      <c r="E34" s="184"/>
      <c r="F34" s="184"/>
      <c r="G34" s="184"/>
      <c r="H34" s="184"/>
      <c r="I34" s="184"/>
      <c r="J34" s="184"/>
      <c r="K34" s="184"/>
      <c r="L34" s="184"/>
      <c r="M34" s="184"/>
      <c r="N34" s="322"/>
      <c r="O34" s="226" t="s">
        <v>123</v>
      </c>
      <c r="P34" s="227">
        <f>'Agency Hours'!S55</f>
        <v>0</v>
      </c>
      <c r="Q34" s="184"/>
      <c r="R34" s="115"/>
      <c r="S34" s="115"/>
      <c r="T34" s="184"/>
      <c r="U34" s="115"/>
      <c r="V34" s="590"/>
      <c r="W34" s="184"/>
      <c r="X34" s="589"/>
      <c r="Y34" s="589"/>
      <c r="Z34" s="184"/>
      <c r="AA34" s="184"/>
      <c r="AB34" s="184"/>
      <c r="AC34" s="184"/>
      <c r="AD34" s="184"/>
      <c r="AE34" s="184"/>
    </row>
    <row r="35" spans="2:31" ht="17.25" x14ac:dyDescent="0.4">
      <c r="B35" s="184"/>
      <c r="C35" s="184"/>
      <c r="D35" s="595"/>
      <c r="E35" s="184"/>
      <c r="F35" s="184"/>
      <c r="G35" s="184"/>
      <c r="H35" s="184"/>
      <c r="I35" s="184"/>
      <c r="J35" s="184"/>
      <c r="K35" s="184"/>
      <c r="L35" s="184"/>
      <c r="M35" s="184"/>
      <c r="N35" s="322"/>
      <c r="O35" s="226" t="s">
        <v>92</v>
      </c>
      <c r="P35" s="227">
        <f>'Agency Hours'!R55</f>
        <v>0</v>
      </c>
      <c r="Q35" s="184"/>
      <c r="R35" s="115"/>
      <c r="S35" s="115"/>
      <c r="T35" s="184"/>
      <c r="U35" s="115"/>
      <c r="V35" s="590"/>
      <c r="W35" s="184"/>
      <c r="X35" s="589"/>
      <c r="Y35" s="589"/>
      <c r="Z35" s="184"/>
      <c r="AA35" s="184"/>
      <c r="AB35" s="184"/>
      <c r="AC35" s="184"/>
      <c r="AD35" s="184"/>
      <c r="AE35" s="184"/>
    </row>
    <row r="36" spans="2:31" x14ac:dyDescent="0.25">
      <c r="B36" s="184"/>
      <c r="C36" t="s">
        <v>131</v>
      </c>
      <c r="D36" s="383"/>
      <c r="E36" s="184"/>
      <c r="F36" s="184"/>
      <c r="G36" s="184"/>
      <c r="H36" s="184"/>
      <c r="I36" s="184"/>
      <c r="J36" s="184"/>
      <c r="K36" s="184"/>
      <c r="L36" s="184"/>
      <c r="M36" s="184"/>
      <c r="N36" s="322"/>
      <c r="O36" s="184"/>
      <c r="P36" s="184"/>
      <c r="Q36" s="184"/>
      <c r="R36" s="115"/>
      <c r="S36" s="115"/>
      <c r="T36" s="184"/>
      <c r="U36" s="115"/>
      <c r="V36" s="590"/>
      <c r="W36" s="184"/>
      <c r="X36" s="589"/>
      <c r="Y36" s="589"/>
      <c r="Z36" s="184"/>
      <c r="AA36" s="184"/>
      <c r="AB36" s="184"/>
      <c r="AC36" s="184"/>
      <c r="AD36" s="184"/>
      <c r="AE36" s="184"/>
    </row>
    <row r="37" spans="2:31" ht="17.25" x14ac:dyDescent="0.4">
      <c r="B37" s="184"/>
      <c r="C37" t="s">
        <v>132</v>
      </c>
      <c r="D37" s="597"/>
      <c r="E37" s="184"/>
      <c r="F37" s="184"/>
      <c r="G37" s="184"/>
      <c r="H37" s="322" t="s">
        <v>133</v>
      </c>
      <c r="I37" s="582"/>
      <c r="J37" s="582"/>
      <c r="K37" s="113" t="e">
        <f>#REF!</f>
        <v>#REF!</v>
      </c>
      <c r="L37" s="184"/>
      <c r="M37" s="184"/>
      <c r="N37" s="322" t="s">
        <v>133</v>
      </c>
      <c r="O37" s="582"/>
      <c r="P37" s="582"/>
      <c r="Q37" s="113" t="e">
        <f>#REF!</f>
        <v>#REF!</v>
      </c>
      <c r="R37" s="115"/>
      <c r="S37" s="115"/>
      <c r="T37" s="113" t="e">
        <f>#REF!</f>
        <v>#REF!</v>
      </c>
      <c r="U37" s="115"/>
      <c r="V37" s="590" t="e">
        <f t="shared" ref="V37:V39" si="2">K37-(Q37+T37)</f>
        <v>#REF!</v>
      </c>
      <c r="W37" s="184"/>
      <c r="X37" s="589"/>
      <c r="Y37" s="589"/>
      <c r="Z37" s="184"/>
      <c r="AA37" s="184"/>
      <c r="AB37" s="184"/>
      <c r="AC37" s="184"/>
      <c r="AD37" s="184"/>
      <c r="AE37" s="184"/>
    </row>
    <row r="38" spans="2:31" ht="17.25" x14ac:dyDescent="0.4">
      <c r="B38" s="184"/>
      <c r="C38" t="s">
        <v>134</v>
      </c>
      <c r="D38" s="343"/>
      <c r="E38" s="184"/>
      <c r="F38" s="184"/>
      <c r="G38" s="184"/>
      <c r="H38" s="322" t="s">
        <v>135</v>
      </c>
      <c r="I38" s="582"/>
      <c r="J38" s="582"/>
      <c r="K38" s="113" t="e">
        <f>#REF!</f>
        <v>#REF!</v>
      </c>
      <c r="L38" s="184"/>
      <c r="M38" s="184"/>
      <c r="N38" s="322" t="s">
        <v>136</v>
      </c>
      <c r="O38" s="582"/>
      <c r="P38" s="582"/>
      <c r="Q38" s="113" t="e">
        <f>#REF!+#REF!</f>
        <v>#REF!</v>
      </c>
      <c r="R38" s="115"/>
      <c r="S38" s="115"/>
      <c r="T38" s="113" t="e">
        <f>#REF!</f>
        <v>#REF!</v>
      </c>
      <c r="U38" s="115"/>
      <c r="V38" s="590" t="e">
        <f t="shared" si="2"/>
        <v>#REF!</v>
      </c>
      <c r="W38" s="184"/>
      <c r="X38" s="589"/>
      <c r="Y38" s="589"/>
      <c r="Z38" s="184"/>
      <c r="AA38" s="184"/>
      <c r="AB38" s="184"/>
      <c r="AC38" s="184"/>
      <c r="AD38" s="184"/>
      <c r="AE38" s="184"/>
    </row>
    <row r="39" spans="2:31" ht="17.25" x14ac:dyDescent="0.4">
      <c r="B39" s="184"/>
      <c r="C39" t="s">
        <v>137</v>
      </c>
      <c r="D39" s="344"/>
      <c r="E39" s="184"/>
      <c r="F39" s="184"/>
      <c r="G39" s="184"/>
      <c r="H39" s="322" t="s">
        <v>138</v>
      </c>
      <c r="I39" s="582"/>
      <c r="J39" s="582"/>
      <c r="K39" s="113" t="e">
        <f>#REF!</f>
        <v>#REF!</v>
      </c>
      <c r="L39" s="184"/>
      <c r="M39" s="184"/>
      <c r="N39" s="322" t="s">
        <v>138</v>
      </c>
      <c r="O39" s="582"/>
      <c r="P39" s="582"/>
      <c r="Q39" s="113" t="e">
        <f>#REF!</f>
        <v>#REF!</v>
      </c>
      <c r="R39" s="115"/>
      <c r="S39" s="115"/>
      <c r="T39" s="113" t="e">
        <f>#REF!</f>
        <v>#REF!</v>
      </c>
      <c r="U39" s="115"/>
      <c r="V39" s="590" t="e">
        <f t="shared" si="2"/>
        <v>#REF!</v>
      </c>
      <c r="W39" s="598"/>
      <c r="X39" s="589"/>
      <c r="Y39" s="589"/>
      <c r="Z39" s="184"/>
      <c r="AA39" s="184"/>
      <c r="AB39" s="184"/>
      <c r="AC39" s="184"/>
      <c r="AD39" s="184"/>
      <c r="AE39" s="184"/>
    </row>
    <row r="40" spans="2:31" ht="17.25" x14ac:dyDescent="0.4">
      <c r="B40" s="184"/>
      <c r="C40" s="184" t="s">
        <v>139</v>
      </c>
      <c r="D40" s="597"/>
      <c r="E40" s="184"/>
      <c r="F40" s="184"/>
      <c r="G40" s="184"/>
      <c r="H40" s="322" t="s">
        <v>140</v>
      </c>
      <c r="I40" s="582"/>
      <c r="J40" s="582"/>
      <c r="K40" s="113" t="e">
        <f>#REF!</f>
        <v>#REF!</v>
      </c>
      <c r="L40" s="184"/>
      <c r="M40" s="184"/>
      <c r="N40" s="322" t="s">
        <v>140</v>
      </c>
      <c r="O40" s="582"/>
      <c r="P40" s="582"/>
      <c r="Q40" s="113" t="e">
        <f>#REF!</f>
        <v>#REF!</v>
      </c>
      <c r="R40" s="115"/>
      <c r="S40" s="115"/>
      <c r="T40" s="113" t="e">
        <f>SUM(T12,T15:T18,T20,T26:T27,T34:T37)</f>
        <v>#REF!</v>
      </c>
      <c r="U40" s="115"/>
      <c r="V40" s="590" t="e">
        <f>K40-(Q40+T40)</f>
        <v>#REF!</v>
      </c>
      <c r="W40" s="184"/>
      <c r="X40" s="589"/>
      <c r="Y40" s="589"/>
      <c r="Z40" s="184"/>
      <c r="AA40" s="184"/>
      <c r="AB40" s="184"/>
      <c r="AC40" s="184"/>
      <c r="AD40" s="184"/>
      <c r="AE40" s="184"/>
    </row>
    <row r="41" spans="2:31" ht="17.25" x14ac:dyDescent="0.4">
      <c r="B41" s="184"/>
      <c r="C41" t="s">
        <v>141</v>
      </c>
      <c r="D41" s="597"/>
      <c r="E41" s="184"/>
      <c r="F41" s="184"/>
      <c r="G41" s="184"/>
      <c r="H41" s="184"/>
      <c r="I41" s="596" t="s">
        <v>142</v>
      </c>
      <c r="J41" s="528" t="e">
        <f>#REF!</f>
        <v>#REF!</v>
      </c>
      <c r="K41" s="184"/>
      <c r="L41" s="184"/>
      <c r="M41" s="184"/>
      <c r="N41" s="322"/>
      <c r="O41" s="596" t="s">
        <v>142</v>
      </c>
      <c r="P41" s="527" t="e">
        <f>#REF!</f>
        <v>#REF!</v>
      </c>
      <c r="Q41" s="184"/>
      <c r="R41" s="184"/>
      <c r="S41" s="184"/>
      <c r="T41" s="184"/>
      <c r="U41" s="527" t="e">
        <f>#REF!</f>
        <v>#REF!</v>
      </c>
      <c r="V41" s="590" t="e">
        <f>J41-(P41+U41)</f>
        <v>#REF!</v>
      </c>
      <c r="W41" s="184"/>
      <c r="X41" s="646"/>
      <c r="Y41" s="589"/>
      <c r="Z41" s="184"/>
      <c r="AA41" s="184"/>
      <c r="AB41" s="184"/>
      <c r="AC41" s="184"/>
      <c r="AD41" s="184"/>
      <c r="AE41" s="184"/>
    </row>
    <row r="42" spans="2:31" ht="17.25" x14ac:dyDescent="0.4">
      <c r="B42" s="595"/>
      <c r="C42" t="s">
        <v>143</v>
      </c>
      <c r="D42" s="344"/>
      <c r="E42" s="184"/>
      <c r="F42" s="184"/>
      <c r="G42" s="184"/>
      <c r="H42" s="322" t="s">
        <v>144</v>
      </c>
      <c r="I42" s="582"/>
      <c r="J42" s="582"/>
      <c r="K42" s="113">
        <v>0</v>
      </c>
      <c r="L42" s="184"/>
      <c r="M42" s="184"/>
      <c r="N42" s="322" t="s">
        <v>144</v>
      </c>
      <c r="O42" s="582"/>
      <c r="P42" s="582"/>
      <c r="Q42" s="113">
        <v>0</v>
      </c>
      <c r="R42" s="115"/>
      <c r="S42" s="115"/>
      <c r="T42" s="113"/>
      <c r="U42" s="115"/>
      <c r="V42" s="590">
        <f>K42-(Q42+T42)</f>
        <v>0</v>
      </c>
      <c r="W42" s="600"/>
      <c r="X42" s="184"/>
      <c r="Y42" s="184"/>
      <c r="Z42" s="184"/>
      <c r="AA42" s="184"/>
      <c r="AB42" s="184"/>
      <c r="AC42" s="184"/>
      <c r="AD42" s="184"/>
      <c r="AE42" s="184"/>
    </row>
    <row r="43" spans="2:31" ht="15.75" thickBot="1" x14ac:dyDescent="0.3">
      <c r="B43" s="595"/>
      <c r="C43" s="184" t="s">
        <v>145</v>
      </c>
      <c r="D43" s="342"/>
      <c r="E43" s="184"/>
      <c r="F43" s="184"/>
      <c r="G43" s="184"/>
      <c r="H43" s="322" t="s">
        <v>146</v>
      </c>
      <c r="I43" s="582"/>
      <c r="J43" s="582"/>
      <c r="K43" s="116" t="e">
        <f>SUM(K12:K42)</f>
        <v>#REF!</v>
      </c>
      <c r="L43" s="184"/>
      <c r="M43" s="184"/>
      <c r="N43" s="32" t="s">
        <v>147</v>
      </c>
      <c r="O43" s="582"/>
      <c r="P43" s="582"/>
      <c r="Q43" s="116" t="e">
        <f>SUM(Q12:Q42)+P24+P25</f>
        <v>#REF!</v>
      </c>
      <c r="R43" s="184"/>
      <c r="S43" s="184"/>
      <c r="T43" s="116" t="e">
        <f>SUM(T12:T42)</f>
        <v>#REF!</v>
      </c>
      <c r="U43" s="184"/>
      <c r="V43" s="529" t="e">
        <f>SUM(V12:V30,V32:V42)</f>
        <v>#REF!</v>
      </c>
      <c r="W43" s="184"/>
      <c r="X43" s="184"/>
      <c r="Y43" s="184"/>
      <c r="Z43" s="184"/>
      <c r="AA43" s="184"/>
      <c r="AB43" s="184"/>
      <c r="AC43" s="184"/>
      <c r="AD43" s="184"/>
      <c r="AE43" s="184"/>
    </row>
    <row r="44" spans="2:31" ht="15.75" thickTop="1" x14ac:dyDescent="0.25">
      <c r="B44" s="184"/>
      <c r="C44" t="s">
        <v>148</v>
      </c>
      <c r="D44" s="345"/>
      <c r="E44" s="184"/>
      <c r="F44" s="184"/>
      <c r="G44" s="184"/>
      <c r="H44" s="184"/>
      <c r="I44" s="184"/>
      <c r="J44" s="184"/>
      <c r="K44" s="184"/>
      <c r="L44" s="184"/>
      <c r="M44" s="184"/>
      <c r="N44" s="322"/>
      <c r="O44" s="184"/>
      <c r="P44" s="184"/>
      <c r="Q44" s="184"/>
      <c r="R44" s="184"/>
      <c r="S44" s="184"/>
      <c r="T44" s="184"/>
      <c r="U44" s="184"/>
      <c r="V44" s="184"/>
      <c r="W44" s="184"/>
      <c r="X44" s="184"/>
      <c r="Y44" s="184"/>
      <c r="Z44" s="184"/>
      <c r="AA44" s="184"/>
      <c r="AB44" s="184"/>
      <c r="AC44" s="184"/>
      <c r="AD44" s="184"/>
      <c r="AE44" s="184"/>
    </row>
    <row r="45" spans="2:31" ht="17.25" x14ac:dyDescent="0.4">
      <c r="B45" s="595"/>
      <c r="C45" t="s">
        <v>149</v>
      </c>
      <c r="D45" s="342"/>
      <c r="E45" s="184"/>
      <c r="F45" s="184"/>
      <c r="G45" s="184"/>
      <c r="H45" s="184"/>
      <c r="I45" s="184"/>
      <c r="J45" s="184"/>
      <c r="K45" s="184"/>
      <c r="L45" s="184"/>
      <c r="M45" s="184"/>
      <c r="N45" s="322"/>
      <c r="O45" s="226" t="s">
        <v>150</v>
      </c>
      <c r="P45" s="227">
        <f>P14+P23+P29+P35</f>
        <v>0</v>
      </c>
      <c r="Q45" s="184"/>
      <c r="R45" s="184"/>
      <c r="S45" s="184"/>
      <c r="T45" s="184"/>
      <c r="U45" s="184"/>
      <c r="V45" s="184"/>
      <c r="W45" s="184"/>
      <c r="X45" s="184"/>
      <c r="Y45" s="184"/>
      <c r="Z45" s="184"/>
      <c r="AA45" s="184"/>
      <c r="AB45" s="184"/>
      <c r="AC45" s="184"/>
      <c r="AD45" s="184"/>
      <c r="AE45" s="184"/>
    </row>
    <row r="46" spans="2:31" x14ac:dyDescent="0.25">
      <c r="B46" s="595"/>
      <c r="C46" s="184"/>
      <c r="D46" s="184"/>
      <c r="E46" s="184"/>
      <c r="F46" s="7"/>
      <c r="G46" s="7"/>
      <c r="H46" s="184"/>
      <c r="I46" s="184"/>
      <c r="J46" s="184"/>
      <c r="K46" s="184"/>
      <c r="L46" s="184"/>
      <c r="M46" s="184"/>
      <c r="N46" s="322"/>
      <c r="O46" s="184"/>
      <c r="P46" s="184"/>
      <c r="Q46" s="184"/>
      <c r="R46" s="184"/>
      <c r="S46" s="184"/>
      <c r="T46" s="184"/>
      <c r="U46" s="184"/>
      <c r="V46" s="184"/>
      <c r="W46" s="184"/>
      <c r="X46" s="184"/>
      <c r="Y46" s="184"/>
      <c r="Z46" s="184"/>
      <c r="AA46" s="184"/>
      <c r="AB46" s="184"/>
      <c r="AC46" s="184"/>
      <c r="AD46" s="184"/>
      <c r="AE46" s="184"/>
    </row>
    <row r="47" spans="2:31" ht="18" thickBot="1" x14ac:dyDescent="0.45">
      <c r="B47" s="557" t="s">
        <v>151</v>
      </c>
      <c r="C47" s="184"/>
      <c r="D47" s="184"/>
      <c r="E47" s="184"/>
      <c r="F47" s="184"/>
      <c r="G47" s="184"/>
      <c r="H47" s="184"/>
      <c r="I47" s="184"/>
      <c r="J47" s="184"/>
      <c r="K47" s="184"/>
      <c r="L47" s="184"/>
      <c r="M47" s="184"/>
      <c r="N47" s="322"/>
      <c r="O47" s="184"/>
      <c r="P47" s="184"/>
      <c r="Q47" s="184"/>
      <c r="R47" s="184"/>
      <c r="S47" s="184"/>
      <c r="T47" s="184"/>
      <c r="U47" s="184"/>
      <c r="V47" s="184"/>
      <c r="W47" s="184"/>
      <c r="X47" s="184"/>
      <c r="Y47" s="184"/>
      <c r="Z47" s="184"/>
      <c r="AA47" s="184"/>
      <c r="AB47" s="184"/>
      <c r="AC47" s="184"/>
      <c r="AD47" s="184"/>
      <c r="AE47" s="113"/>
    </row>
    <row r="48" spans="2:31" x14ac:dyDescent="0.25">
      <c r="B48" s="184"/>
      <c r="C48" s="184"/>
      <c r="D48" s="184"/>
      <c r="E48" s="184"/>
      <c r="F48" s="184"/>
      <c r="G48" s="184"/>
      <c r="H48" s="602"/>
      <c r="I48" s="603"/>
      <c r="J48" s="603"/>
      <c r="K48" s="603"/>
      <c r="L48" s="603"/>
      <c r="M48" s="603"/>
      <c r="N48" s="603"/>
      <c r="O48" s="604"/>
      <c r="P48" s="603"/>
      <c r="Q48" s="603"/>
      <c r="R48" s="603"/>
      <c r="S48" s="603"/>
      <c r="T48" s="605"/>
      <c r="U48" s="184"/>
      <c r="V48" s="184"/>
      <c r="W48" s="184"/>
      <c r="X48" s="184"/>
      <c r="Y48" s="184"/>
      <c r="Z48" s="184"/>
      <c r="AA48" s="184"/>
      <c r="AB48" s="184"/>
      <c r="AC48" s="184"/>
      <c r="AD48" s="184"/>
      <c r="AE48" s="184"/>
    </row>
    <row r="49" spans="2:20" x14ac:dyDescent="0.25">
      <c r="B49" s="184"/>
      <c r="C49" t="s">
        <v>152</v>
      </c>
      <c r="D49" s="601">
        <v>0</v>
      </c>
      <c r="E49" s="184"/>
      <c r="F49" s="184"/>
      <c r="G49" s="184"/>
      <c r="H49" s="606"/>
      <c r="I49" s="607"/>
      <c r="J49" s="608"/>
      <c r="K49" s="608"/>
      <c r="L49" s="608"/>
      <c r="M49" s="609"/>
      <c r="N49" s="184"/>
      <c r="O49" s="184"/>
      <c r="P49" s="184"/>
      <c r="Q49" s="184"/>
      <c r="R49" s="184"/>
      <c r="S49" s="184"/>
      <c r="T49" s="324"/>
    </row>
    <row r="50" spans="2:20" ht="15.75" thickBot="1" x14ac:dyDescent="0.3">
      <c r="B50" s="184"/>
      <c r="C50" t="s">
        <v>153</v>
      </c>
      <c r="D50" s="601">
        <f>Billings!H49</f>
        <v>0</v>
      </c>
      <c r="E50" s="184"/>
      <c r="F50" s="184"/>
      <c r="G50" s="184"/>
      <c r="H50" s="606"/>
      <c r="I50" s="610"/>
      <c r="J50" s="346" t="s">
        <v>154</v>
      </c>
      <c r="K50" s="347"/>
      <c r="L50" s="347"/>
      <c r="M50" s="611"/>
      <c r="N50" s="184"/>
      <c r="O50" s="184"/>
      <c r="P50" s="184"/>
      <c r="Q50" s="184"/>
      <c r="R50" s="184"/>
      <c r="S50" s="184"/>
      <c r="T50" s="324"/>
    </row>
    <row r="51" spans="2:20" ht="15.75" thickBot="1" x14ac:dyDescent="0.3">
      <c r="B51" s="184"/>
      <c r="C51" t="s">
        <v>155</v>
      </c>
      <c r="D51" s="627">
        <f>Billings!F27</f>
        <v>0</v>
      </c>
      <c r="E51" s="184"/>
      <c r="F51" s="184"/>
      <c r="G51" s="184"/>
      <c r="H51" s="606"/>
      <c r="I51" s="610"/>
      <c r="J51" s="348"/>
      <c r="K51" s="348"/>
      <c r="L51" s="348"/>
      <c r="M51" s="611"/>
      <c r="N51" s="102"/>
      <c r="O51" s="184"/>
      <c r="P51" s="184"/>
      <c r="Q51" s="184"/>
      <c r="R51" s="184"/>
      <c r="S51" s="184"/>
      <c r="T51" s="324"/>
    </row>
    <row r="52" spans="2:20" ht="15.75" thickBot="1" x14ac:dyDescent="0.3">
      <c r="B52" s="184"/>
      <c r="C52" t="s">
        <v>156</v>
      </c>
      <c r="D52" s="601">
        <f>SUM(Billings!F28:F29)</f>
        <v>0</v>
      </c>
      <c r="E52" s="184"/>
      <c r="F52" s="184"/>
      <c r="G52" s="184"/>
      <c r="H52" s="606"/>
      <c r="I52" s="610"/>
      <c r="J52" s="573" t="s">
        <v>223</v>
      </c>
      <c r="K52" s="574"/>
      <c r="L52" s="575"/>
      <c r="M52" s="350"/>
      <c r="N52" s="102"/>
      <c r="O52" s="102" t="s">
        <v>158</v>
      </c>
      <c r="P52" s="564"/>
      <c r="Q52" s="102" t="s">
        <v>159</v>
      </c>
      <c r="R52" s="102" t="s">
        <v>160</v>
      </c>
      <c r="S52" s="184"/>
      <c r="T52" s="324"/>
    </row>
    <row r="53" spans="2:20" x14ac:dyDescent="0.25">
      <c r="B53" s="184"/>
      <c r="C53" t="s">
        <v>161</v>
      </c>
      <c r="D53" s="601">
        <f>SUM(Billings!F29:F30)</f>
        <v>0</v>
      </c>
      <c r="E53" s="184"/>
      <c r="F53" s="184"/>
      <c r="G53" s="184"/>
      <c r="H53" s="606"/>
      <c r="I53" s="610"/>
      <c r="J53" s="349"/>
      <c r="K53" s="349"/>
      <c r="L53" s="351" t="s">
        <v>80</v>
      </c>
      <c r="M53" s="352"/>
      <c r="N53" s="612"/>
      <c r="O53" s="184"/>
      <c r="P53" s="564"/>
      <c r="Q53" s="184"/>
      <c r="R53" s="184"/>
      <c r="S53" s="184"/>
      <c r="T53" s="324"/>
    </row>
    <row r="54" spans="2:20" x14ac:dyDescent="0.25">
      <c r="B54" s="184"/>
      <c r="C54" s="184"/>
      <c r="D54" s="184"/>
      <c r="E54" s="184"/>
      <c r="F54" s="184"/>
      <c r="G54" s="184"/>
      <c r="H54" s="613"/>
      <c r="I54" s="614"/>
      <c r="J54" s="349" t="s">
        <v>224</v>
      </c>
      <c r="K54" s="349"/>
      <c r="L54" s="353">
        <f>D52</f>
        <v>0</v>
      </c>
      <c r="M54" s="354"/>
      <c r="N54" s="102"/>
      <c r="O54" s="615"/>
      <c r="P54" s="564">
        <f>O54-L54</f>
        <v>0</v>
      </c>
      <c r="Q54" s="616"/>
      <c r="R54" s="616">
        <f>O54+Q54</f>
        <v>0</v>
      </c>
      <c r="S54" s="184"/>
      <c r="T54" s="324"/>
    </row>
    <row r="55" spans="2:20" x14ac:dyDescent="0.25">
      <c r="B55" s="184"/>
      <c r="C55" s="184"/>
      <c r="D55" s="184"/>
      <c r="E55" s="184"/>
      <c r="F55" s="184"/>
      <c r="G55" s="184"/>
      <c r="H55" s="606"/>
      <c r="I55" s="610"/>
      <c r="J55" s="349" t="s">
        <v>225</v>
      </c>
      <c r="K55" s="349"/>
      <c r="L55" s="542"/>
      <c r="M55" s="354"/>
      <c r="N55" s="612"/>
      <c r="O55" s="615"/>
      <c r="P55" s="564">
        <f t="shared" ref="P55:P58" si="3">O55-L55</f>
        <v>0</v>
      </c>
      <c r="Q55" s="616"/>
      <c r="R55" s="616">
        <f>O55+Q55</f>
        <v>0</v>
      </c>
      <c r="S55" s="184"/>
      <c r="T55" s="324"/>
    </row>
    <row r="56" spans="2:20" ht="15.75" thickBot="1" x14ac:dyDescent="0.3">
      <c r="B56" s="184"/>
      <c r="C56" s="184"/>
      <c r="D56" s="370" t="s">
        <v>81</v>
      </c>
      <c r="E56" s="184"/>
      <c r="F56" s="184"/>
      <c r="G56" s="184"/>
      <c r="H56" s="606"/>
      <c r="I56" s="610"/>
      <c r="J56" s="349" t="s">
        <v>120</v>
      </c>
      <c r="K56" s="349"/>
      <c r="L56" s="353">
        <f>Q27</f>
        <v>0</v>
      </c>
      <c r="M56" s="354"/>
      <c r="N56" s="102"/>
      <c r="O56" s="615"/>
      <c r="P56" s="564">
        <f>O56-L56</f>
        <v>0</v>
      </c>
      <c r="Q56" s="616"/>
      <c r="R56" s="616">
        <f>O56+Q56</f>
        <v>0</v>
      </c>
      <c r="S56" s="184"/>
      <c r="T56" s="324"/>
    </row>
    <row r="57" spans="2:20" ht="15.75" thickBot="1" x14ac:dyDescent="0.3">
      <c r="B57" s="184"/>
      <c r="C57" s="184"/>
      <c r="D57" s="184"/>
      <c r="E57" s="371" t="s">
        <v>162</v>
      </c>
      <c r="F57" s="184"/>
      <c r="G57" s="184"/>
      <c r="H57" s="606"/>
      <c r="I57" s="610"/>
      <c r="J57" s="349" t="s">
        <v>171</v>
      </c>
      <c r="K57" s="349"/>
      <c r="L57" s="353" t="e">
        <f>#REF!</f>
        <v>#REF!</v>
      </c>
      <c r="M57" s="354"/>
      <c r="N57" s="612"/>
      <c r="O57" s="615"/>
      <c r="P57" s="564" t="e">
        <f t="shared" si="3"/>
        <v>#REF!</v>
      </c>
      <c r="Q57" s="616"/>
      <c r="R57" s="616">
        <f t="shared" ref="R57:R62" si="4">O57+Q57</f>
        <v>0</v>
      </c>
      <c r="S57" s="184"/>
      <c r="T57" s="324"/>
    </row>
    <row r="58" spans="2:20" x14ac:dyDescent="0.25">
      <c r="B58" s="184"/>
      <c r="C58" t="s">
        <v>165</v>
      </c>
      <c r="D58" s="598" t="e">
        <f>SUM(K12:K19)-D36</f>
        <v>#REF!</v>
      </c>
      <c r="E58" s="184"/>
      <c r="F58" s="184"/>
      <c r="G58" s="184"/>
      <c r="H58" s="606"/>
      <c r="I58" s="610"/>
      <c r="J58" s="349" t="s">
        <v>144</v>
      </c>
      <c r="K58" s="349"/>
      <c r="L58" s="353">
        <f>Q42</f>
        <v>0</v>
      </c>
      <c r="M58" s="354"/>
      <c r="N58" s="102"/>
      <c r="O58" s="615"/>
      <c r="P58" s="564">
        <f t="shared" si="3"/>
        <v>0</v>
      </c>
      <c r="Q58" s="616"/>
      <c r="R58" s="616">
        <f t="shared" si="4"/>
        <v>0</v>
      </c>
      <c r="S58" s="184"/>
      <c r="T58" s="324"/>
    </row>
    <row r="59" spans="2:20" ht="15.75" thickBot="1" x14ac:dyDescent="0.3">
      <c r="B59" s="184"/>
      <c r="C59" t="s">
        <v>167</v>
      </c>
      <c r="D59" s="618" t="e">
        <f>SUM(K12:K18)-D49</f>
        <v>#REF!</v>
      </c>
      <c r="E59" s="617" t="e">
        <f>SUM(K12:K18)/D36</f>
        <v>#REF!</v>
      </c>
      <c r="F59" s="184"/>
      <c r="G59" s="184"/>
      <c r="H59" s="606"/>
      <c r="I59" s="610"/>
      <c r="J59" s="373" t="s">
        <v>173</v>
      </c>
      <c r="K59" s="355"/>
      <c r="L59" s="356" t="e">
        <f>SUM(L54:L58)</f>
        <v>#REF!</v>
      </c>
      <c r="M59" s="647" t="e">
        <f>L59/J74</f>
        <v>#REF!</v>
      </c>
      <c r="N59" s="323" t="s">
        <v>174</v>
      </c>
      <c r="O59" s="553"/>
      <c r="P59" s="564" t="e">
        <f>O59-L59</f>
        <v>#REF!</v>
      </c>
      <c r="Q59" s="434"/>
      <c r="R59" s="434"/>
      <c r="S59" s="184"/>
      <c r="T59" s="324"/>
    </row>
    <row r="60" spans="2:20" ht="15.75" thickTop="1" x14ac:dyDescent="0.25">
      <c r="B60" s="184"/>
      <c r="C60" t="s">
        <v>168</v>
      </c>
      <c r="D60" s="618" t="e">
        <f>SUM(K12:K18)-D51</f>
        <v>#REF!</v>
      </c>
      <c r="E60" s="617" t="e">
        <f>SUM(K12:K19)/D49</f>
        <v>#REF!</v>
      </c>
      <c r="F60" s="184"/>
      <c r="G60" s="184"/>
      <c r="H60" s="606"/>
      <c r="I60" s="610"/>
      <c r="J60" s="648"/>
      <c r="K60" s="648"/>
      <c r="L60" s="648"/>
      <c r="M60" s="620"/>
      <c r="N60" s="184"/>
      <c r="O60" s="561">
        <f>O59-SUM(O54:O58)</f>
        <v>0</v>
      </c>
      <c r="P60" s="564"/>
      <c r="Q60" s="564">
        <f>Q59-SUM(Q54:Q58)</f>
        <v>0</v>
      </c>
      <c r="R60" s="564">
        <f>R59-SUM(R54:R58)</f>
        <v>0</v>
      </c>
      <c r="S60" s="184"/>
      <c r="T60" s="324"/>
    </row>
    <row r="61" spans="2:20" x14ac:dyDescent="0.25">
      <c r="B61" s="184"/>
      <c r="C61" t="s">
        <v>170</v>
      </c>
      <c r="D61" s="618" t="e">
        <f>SUM(Q12:Q18)-D51</f>
        <v>#REF!</v>
      </c>
      <c r="E61" s="617" t="e" cm="1">
        <f t="array" ref="E61">SUM(K12:K18/D51)</f>
        <v>#DIV/0!</v>
      </c>
      <c r="F61" s="184"/>
      <c r="G61" s="184"/>
      <c r="H61" s="606"/>
      <c r="I61" s="610"/>
      <c r="J61" s="357" t="s">
        <v>176</v>
      </c>
      <c r="K61" s="358"/>
      <c r="L61" s="359" t="e">
        <f>L59*0.3</f>
        <v>#REF!</v>
      </c>
      <c r="M61" s="360"/>
      <c r="N61" s="184"/>
      <c r="O61" s="615"/>
      <c r="P61" s="564" t="e">
        <f>O61-L61</f>
        <v>#REF!</v>
      </c>
      <c r="Q61" s="616"/>
      <c r="R61" s="616">
        <f t="shared" si="4"/>
        <v>0</v>
      </c>
      <c r="S61" s="184"/>
      <c r="T61" s="324"/>
    </row>
    <row r="62" spans="2:20" x14ac:dyDescent="0.25">
      <c r="B62" s="184"/>
      <c r="C62" s="184"/>
      <c r="D62" s="184"/>
      <c r="E62" s="619" t="e">
        <f>SUM(Q11:Q19)/D51</f>
        <v>#REF!</v>
      </c>
      <c r="F62" s="184"/>
      <c r="G62" s="184"/>
      <c r="H62" s="606"/>
      <c r="I62" s="610"/>
      <c r="J62" s="357" t="s">
        <v>177</v>
      </c>
      <c r="K62" s="358"/>
      <c r="L62" s="361">
        <f>(0)*0.15</f>
        <v>0</v>
      </c>
      <c r="M62" s="362"/>
      <c r="N62" s="184"/>
      <c r="O62" s="615"/>
      <c r="P62" s="562">
        <f>O62-L62</f>
        <v>0</v>
      </c>
      <c r="Q62" s="616"/>
      <c r="R62" s="616">
        <f t="shared" si="4"/>
        <v>0</v>
      </c>
      <c r="S62" s="184"/>
      <c r="T62" s="324"/>
    </row>
    <row r="63" spans="2:20" ht="15.75" thickBot="1" x14ac:dyDescent="0.3">
      <c r="B63" s="184"/>
      <c r="C63" t="s">
        <v>172</v>
      </c>
      <c r="D63" s="618">
        <f>SUM(K20:K26)-D50</f>
        <v>0</v>
      </c>
      <c r="E63" s="617"/>
      <c r="F63" s="184"/>
      <c r="G63" s="184"/>
      <c r="H63" s="606"/>
      <c r="I63" s="610"/>
      <c r="J63" s="357" t="s">
        <v>179</v>
      </c>
      <c r="K63" s="358"/>
      <c r="L63" s="359" t="e">
        <f>SUM(L61:L62)</f>
        <v>#REF!</v>
      </c>
      <c r="M63" s="360"/>
      <c r="N63" s="184"/>
      <c r="O63" s="540"/>
      <c r="P63" s="564" t="e">
        <f>O63-L63</f>
        <v>#REF!</v>
      </c>
      <c r="Q63" s="540"/>
      <c r="R63" s="540">
        <f>O63+Q63</f>
        <v>0</v>
      </c>
      <c r="S63" s="184"/>
      <c r="T63" s="324"/>
    </row>
    <row r="64" spans="2:20" ht="15.75" thickTop="1" x14ac:dyDescent="0.25">
      <c r="B64" s="184"/>
      <c r="C64" t="s">
        <v>175</v>
      </c>
      <c r="D64" s="618">
        <f>D52-D37</f>
        <v>0</v>
      </c>
      <c r="E64" s="617" t="e">
        <f>SUM(K26:K40)/D50</f>
        <v>#REF!</v>
      </c>
      <c r="F64" s="184"/>
      <c r="G64" s="184"/>
      <c r="H64" s="606"/>
      <c r="I64" s="624"/>
      <c r="J64" s="625"/>
      <c r="K64" s="625"/>
      <c r="L64" s="625"/>
      <c r="M64" s="626"/>
      <c r="N64" s="184"/>
      <c r="O64" s="184"/>
      <c r="P64" s="564"/>
      <c r="Q64" s="184"/>
      <c r="R64" s="184"/>
      <c r="S64" s="184"/>
      <c r="T64" s="324"/>
    </row>
    <row r="65" spans="2:22" ht="15.75" thickBot="1" x14ac:dyDescent="0.3">
      <c r="B65" s="184"/>
      <c r="C65" t="s">
        <v>226</v>
      </c>
      <c r="D65" s="184" t="e">
        <f>SUM(K20:K33)/D52</f>
        <v>#DIV/0!</v>
      </c>
      <c r="E65" s="619" t="e">
        <f>D52/D37</f>
        <v>#DIV/0!</v>
      </c>
      <c r="F65" s="184"/>
      <c r="G65" s="184"/>
      <c r="H65" s="606"/>
      <c r="I65" s="184"/>
      <c r="J65" s="184"/>
      <c r="K65" s="184"/>
      <c r="L65" s="184"/>
      <c r="M65" s="184"/>
      <c r="N65" s="184"/>
      <c r="O65" s="622"/>
      <c r="P65" s="564"/>
      <c r="Q65" s="623"/>
      <c r="R65" s="623"/>
      <c r="S65" s="184"/>
      <c r="T65" s="324"/>
      <c r="U65" s="184"/>
      <c r="V65" s="184"/>
    </row>
    <row r="66" spans="2:22" ht="15" customHeight="1" thickBot="1" x14ac:dyDescent="0.3">
      <c r="B66" s="184"/>
      <c r="C66" s="184"/>
      <c r="D66" s="617"/>
      <c r="E66" s="184"/>
      <c r="F66" s="184"/>
      <c r="G66" s="184"/>
      <c r="H66" s="606"/>
      <c r="I66" s="566"/>
      <c r="J66" s="567" t="s">
        <v>182</v>
      </c>
      <c r="K66" s="567" t="s">
        <v>183</v>
      </c>
      <c r="L66" s="568"/>
      <c r="M66" s="566"/>
      <c r="N66" s="322"/>
      <c r="O66" s="322"/>
      <c r="P66" s="562"/>
      <c r="Q66" s="184"/>
      <c r="R66" s="184"/>
      <c r="S66" s="184"/>
      <c r="T66" s="324"/>
      <c r="U66" s="184"/>
      <c r="V66" s="184"/>
    </row>
    <row r="67" spans="2:22" x14ac:dyDescent="0.25">
      <c r="B67" s="184"/>
      <c r="C67" s="660" t="s">
        <v>178</v>
      </c>
      <c r="D67" s="605"/>
      <c r="E67" s="184"/>
      <c r="F67" s="184"/>
      <c r="G67" s="184"/>
      <c r="H67" s="606"/>
      <c r="I67" s="184"/>
      <c r="J67" s="184"/>
      <c r="K67" s="184"/>
      <c r="L67" s="184"/>
      <c r="M67" s="322"/>
      <c r="N67" s="322"/>
      <c r="O67" s="184"/>
      <c r="P67" s="562"/>
      <c r="Q67" s="184"/>
      <c r="R67" s="184"/>
      <c r="S67" s="184"/>
      <c r="T67" s="324"/>
      <c r="U67" s="184"/>
      <c r="V67" s="184"/>
    </row>
    <row r="68" spans="2:22" x14ac:dyDescent="0.25">
      <c r="B68" s="184"/>
      <c r="C68" s="193" t="s">
        <v>180</v>
      </c>
      <c r="D68" s="658" t="b">
        <v>0</v>
      </c>
      <c r="E68" s="184"/>
      <c r="F68" s="184"/>
      <c r="G68" s="184"/>
      <c r="H68" s="606"/>
      <c r="I68" s="32" t="s">
        <v>186</v>
      </c>
      <c r="J68" s="542">
        <v>0</v>
      </c>
      <c r="K68" s="217">
        <f>D51</f>
        <v>0</v>
      </c>
      <c r="L68" s="204">
        <f t="shared" ref="L68:L69" si="5">K68-J68</f>
        <v>0</v>
      </c>
      <c r="M68" s="595" t="str" cm="1">
        <f t="array" ref="M68">_xlfn.IFS(L68&gt;0,"Over Budget",L68&lt;0,"Under Budget",L68=0,"-")</f>
        <v>-</v>
      </c>
      <c r="N68" s="322"/>
      <c r="O68" s="184"/>
      <c r="P68" s="564"/>
      <c r="Q68" s="184"/>
      <c r="R68" s="184"/>
      <c r="S68" s="184"/>
      <c r="T68" s="194"/>
      <c r="U68" s="184"/>
      <c r="V68" s="184"/>
    </row>
    <row r="69" spans="2:22" ht="15.75" thickBot="1" x14ac:dyDescent="0.3">
      <c r="B69" s="184"/>
      <c r="C69" s="195" t="s">
        <v>181</v>
      </c>
      <c r="D69" s="659" t="b">
        <v>0</v>
      </c>
      <c r="E69" s="184"/>
      <c r="F69" s="184"/>
      <c r="G69" s="184"/>
      <c r="H69" s="606"/>
      <c r="I69" s="32" t="s">
        <v>169</v>
      </c>
      <c r="J69" s="542">
        <v>0</v>
      </c>
      <c r="K69" s="217">
        <f>SUM(L54:L55)-D51</f>
        <v>0</v>
      </c>
      <c r="L69" s="204">
        <f t="shared" si="5"/>
        <v>0</v>
      </c>
      <c r="M69" s="595" t="str" cm="1">
        <f t="array" ref="M69">_xlfn.IFS(L69&gt;0,"Over Budget",L69&lt;0,"Under Budget",L69=0,"-")</f>
        <v>-</v>
      </c>
      <c r="N69" s="322"/>
      <c r="O69" s="184"/>
      <c r="P69" s="564"/>
      <c r="Q69" s="184"/>
      <c r="R69" s="184"/>
      <c r="S69" s="184"/>
      <c r="T69" s="324"/>
      <c r="U69" s="184"/>
      <c r="V69" s="184"/>
    </row>
    <row r="70" spans="2:22" x14ac:dyDescent="0.25">
      <c r="B70" s="184"/>
      <c r="C70" s="184"/>
      <c r="D70" s="184"/>
      <c r="E70" s="184"/>
      <c r="F70" s="184"/>
      <c r="G70" s="184"/>
      <c r="H70" s="606"/>
      <c r="I70" s="32" t="s">
        <v>120</v>
      </c>
      <c r="J70" s="627">
        <v>0</v>
      </c>
      <c r="K70" s="589">
        <f>L56</f>
        <v>0</v>
      </c>
      <c r="L70" s="204">
        <f>K70-J70</f>
        <v>0</v>
      </c>
      <c r="M70" s="595" t="str" cm="1">
        <f t="array" ref="M70">_xlfn.IFS(L70&gt;0,"Over Budget",L70&lt;0,"Under Budget",L70=0,"-")</f>
        <v>-</v>
      </c>
      <c r="N70" s="322"/>
      <c r="O70" s="184"/>
      <c r="P70" s="564"/>
      <c r="Q70" s="184"/>
      <c r="R70" s="184"/>
      <c r="S70" s="184"/>
      <c r="T70" s="324"/>
      <c r="U70" s="184"/>
      <c r="V70"/>
    </row>
    <row r="71" spans="2:22" x14ac:dyDescent="0.25">
      <c r="B71" s="7" t="s">
        <v>184</v>
      </c>
      <c r="C71" s="184"/>
      <c r="D71" s="184"/>
      <c r="E71" s="184"/>
      <c r="F71" s="184"/>
      <c r="G71" s="184"/>
      <c r="H71" s="606"/>
      <c r="I71" s="32" t="s">
        <v>188</v>
      </c>
      <c r="J71" s="543">
        <v>0</v>
      </c>
      <c r="K71" s="204">
        <v>0</v>
      </c>
      <c r="L71" s="204">
        <f>K71-J71</f>
        <v>0</v>
      </c>
      <c r="M71" s="595" t="str" cm="1">
        <f t="array" ref="M71">_xlfn.IFS(L71&gt;0,"Over Budget",L71&lt;0,"Under Budget",L71=0,"-")</f>
        <v>-</v>
      </c>
      <c r="N71" s="322"/>
      <c r="O71" s="184"/>
      <c r="P71" s="562"/>
      <c r="Q71" s="184"/>
      <c r="R71" s="184"/>
      <c r="S71" s="184"/>
      <c r="T71" s="324"/>
      <c r="U71" s="184"/>
      <c r="V71"/>
    </row>
    <row r="72" spans="2:22" x14ac:dyDescent="0.25">
      <c r="B72" s="7" t="s">
        <v>185</v>
      </c>
      <c r="C72" s="184"/>
      <c r="D72" s="184"/>
      <c r="E72" s="184"/>
      <c r="F72" s="184"/>
      <c r="G72" s="184"/>
      <c r="H72" s="606"/>
      <c r="I72" s="32" t="s">
        <v>140</v>
      </c>
      <c r="J72" s="543">
        <v>0</v>
      </c>
      <c r="K72" s="204">
        <f>L55</f>
        <v>0</v>
      </c>
      <c r="L72" s="204">
        <f>K72-J72</f>
        <v>0</v>
      </c>
      <c r="M72" s="595" t="str" cm="1">
        <f t="array" ref="M72">_xlfn.IFS(L72&gt;0,"Over Budget",L72&lt;0,"Under Budget",L72=0,"-")</f>
        <v>-</v>
      </c>
      <c r="N72" s="322"/>
      <c r="O72" s="184"/>
      <c r="P72" s="184"/>
      <c r="Q72" s="184"/>
      <c r="R72" s="184"/>
      <c r="S72" s="184"/>
      <c r="T72" s="324"/>
      <c r="U72" s="184"/>
      <c r="V72"/>
    </row>
    <row r="73" spans="2:22" x14ac:dyDescent="0.25">
      <c r="B73" s="184"/>
      <c r="C73" s="184"/>
      <c r="D73" s="184"/>
      <c r="E73" s="184"/>
      <c r="F73" s="184"/>
      <c r="G73" s="184"/>
      <c r="H73" s="606"/>
      <c r="I73" s="558" t="s">
        <v>189</v>
      </c>
      <c r="J73" s="559">
        <v>3000</v>
      </c>
      <c r="K73" s="560">
        <f>L58</f>
        <v>0</v>
      </c>
      <c r="L73" s="560">
        <f t="shared" ref="L73" si="6">K73-J73</f>
        <v>-3000</v>
      </c>
      <c r="M73" s="628" t="str" cm="1">
        <f t="array" ref="M73">_xlfn.IFS(L73&gt;0,"Over Budget",L73&lt;0,"Under Budget",L73=0,"-")</f>
        <v>Under Budget</v>
      </c>
      <c r="N73" s="322"/>
      <c r="O73" s="184"/>
      <c r="P73" s="184"/>
      <c r="Q73" s="184"/>
      <c r="R73" s="184"/>
      <c r="S73" s="184"/>
      <c r="T73" s="325"/>
      <c r="U73" s="125"/>
      <c r="V73"/>
    </row>
    <row r="74" spans="2:22" x14ac:dyDescent="0.25">
      <c r="B74" s="184"/>
      <c r="C74" s="184"/>
      <c r="D74" s="184"/>
      <c r="E74" s="184"/>
      <c r="F74" s="184"/>
      <c r="G74" s="184"/>
      <c r="H74" s="606"/>
      <c r="I74" s="7" t="s">
        <v>190</v>
      </c>
      <c r="J74" s="629"/>
      <c r="K74" s="599">
        <f>SUM(K68:K73)</f>
        <v>0</v>
      </c>
      <c r="L74" s="618">
        <f>K74-J74</f>
        <v>0</v>
      </c>
      <c r="M74" s="595" t="str" cm="1">
        <f t="array" ref="M74">_xlfn.IFS(L74&gt;0,"Over Budget",L74&lt;0,"Under Budget",L74=0,"-")</f>
        <v>-</v>
      </c>
      <c r="N74" s="322"/>
      <c r="O74" s="184"/>
      <c r="P74" s="184"/>
      <c r="Q74" s="184"/>
      <c r="R74" s="184"/>
      <c r="S74" s="184"/>
      <c r="T74" s="324"/>
      <c r="U74" s="435"/>
      <c r="V74"/>
    </row>
    <row r="75" spans="2:22" ht="16.5" thickBot="1" x14ac:dyDescent="0.3">
      <c r="B75" s="7" t="s">
        <v>187</v>
      </c>
      <c r="C75" s="184"/>
      <c r="D75" s="184"/>
      <c r="E75" s="184"/>
      <c r="F75" s="184"/>
      <c r="G75" s="184"/>
      <c r="H75" s="606"/>
      <c r="I75" s="184"/>
      <c r="J75" s="561">
        <f>J74-SUM(J68:J73)</f>
        <v>-3000</v>
      </c>
      <c r="K75" s="561">
        <f>O59-K74</f>
        <v>0</v>
      </c>
      <c r="L75" s="618"/>
      <c r="M75" s="184"/>
      <c r="N75" s="322"/>
      <c r="O75" s="322"/>
      <c r="P75" s="536"/>
      <c r="Q75" s="537" t="s">
        <v>192</v>
      </c>
      <c r="R75" s="538"/>
      <c r="S75" s="536"/>
      <c r="T75" s="324"/>
      <c r="U75"/>
      <c r="V75"/>
    </row>
    <row r="76" spans="2:22" x14ac:dyDescent="0.25">
      <c r="B76" s="7" t="s">
        <v>185</v>
      </c>
      <c r="C76" s="184"/>
      <c r="D76" s="184"/>
      <c r="E76" s="184"/>
      <c r="F76" s="184"/>
      <c r="G76" s="184"/>
      <c r="H76" s="606"/>
      <c r="I76" s="184"/>
      <c r="J76" s="184"/>
      <c r="K76" s="184"/>
      <c r="L76" s="184"/>
      <c r="M76" s="322"/>
      <c r="N76" s="322"/>
      <c r="O76" s="184"/>
      <c r="P76" s="630"/>
      <c r="Q76" s="630"/>
      <c r="R76" s="630"/>
      <c r="S76" s="630"/>
      <c r="T76" s="324"/>
      <c r="U76"/>
      <c r="V76"/>
    </row>
    <row r="77" spans="2:22" x14ac:dyDescent="0.25">
      <c r="B77" s="184"/>
      <c r="C77" s="184"/>
      <c r="D77" s="184"/>
      <c r="E77" s="184"/>
      <c r="F77" s="184"/>
      <c r="G77" s="184"/>
      <c r="H77" s="606"/>
      <c r="I77" s="7" t="s">
        <v>195</v>
      </c>
      <c r="J77" s="184"/>
      <c r="K77" s="184"/>
      <c r="L77" s="184"/>
      <c r="M77" s="184"/>
      <c r="N77" s="322"/>
      <c r="O77" s="184"/>
      <c r="P77" s="631"/>
      <c r="Q77" s="533" t="s">
        <v>196</v>
      </c>
      <c r="R77" s="632" t="e">
        <f>L59-P45</f>
        <v>#REF!</v>
      </c>
      <c r="S77" s="630"/>
      <c r="T77" s="324"/>
      <c r="U77"/>
      <c r="V77"/>
    </row>
    <row r="78" spans="2:22" ht="15.75" thickBot="1" x14ac:dyDescent="0.3">
      <c r="B78" s="184"/>
      <c r="C78" s="184"/>
      <c r="D78" s="184"/>
      <c r="E78" s="184"/>
      <c r="F78" s="184"/>
      <c r="G78" s="184"/>
      <c r="H78" s="606"/>
      <c r="I78" t="s">
        <v>197</v>
      </c>
      <c r="J78" s="543">
        <f>J74*0.3</f>
        <v>0</v>
      </c>
      <c r="K78" s="432">
        <f>L64</f>
        <v>0</v>
      </c>
      <c r="L78"/>
      <c r="M78"/>
      <c r="N78" s="322"/>
      <c r="O78" s="184"/>
      <c r="P78" s="633"/>
      <c r="Q78" s="534" t="s">
        <v>198</v>
      </c>
      <c r="R78" s="634">
        <v>0.3</v>
      </c>
      <c r="S78" s="630"/>
      <c r="T78" s="324"/>
      <c r="U78"/>
      <c r="V78"/>
    </row>
    <row r="79" spans="2:22" ht="15.75" thickTop="1" x14ac:dyDescent="0.25">
      <c r="B79" s="7" t="s">
        <v>191</v>
      </c>
      <c r="C79" s="184"/>
      <c r="D79" s="184"/>
      <c r="E79" s="184"/>
      <c r="F79" s="184"/>
      <c r="G79" s="184"/>
      <c r="H79" s="606"/>
      <c r="I79" t="s">
        <v>199</v>
      </c>
      <c r="J79" s="545">
        <f>-(J78*0.11)</f>
        <v>0</v>
      </c>
      <c r="K79" s="546">
        <f>-K78*0.11</f>
        <v>0</v>
      </c>
      <c r="L79"/>
      <c r="M79"/>
      <c r="N79" s="322"/>
      <c r="O79" s="184"/>
      <c r="P79" s="630"/>
      <c r="Q79" s="630"/>
      <c r="R79" s="632" t="e">
        <f>R77*R78</f>
        <v>#REF!</v>
      </c>
      <c r="S79" s="630"/>
      <c r="T79" s="324"/>
      <c r="U79"/>
      <c r="V79"/>
    </row>
    <row r="80" spans="2:22" ht="15.75" thickBot="1" x14ac:dyDescent="0.3">
      <c r="B80" s="7" t="s">
        <v>194</v>
      </c>
      <c r="C80" s="184"/>
      <c r="D80" s="184"/>
      <c r="E80" s="184"/>
      <c r="F80" s="184"/>
      <c r="G80" s="184"/>
      <c r="H80" s="606"/>
      <c r="I80" s="7" t="s">
        <v>200</v>
      </c>
      <c r="J80" s="433">
        <f>SUM(J78:J79)</f>
        <v>0</v>
      </c>
      <c r="K80" s="431">
        <f>SUM(K78:K79)</f>
        <v>0</v>
      </c>
      <c r="L80" s="184"/>
      <c r="M80" s="184"/>
      <c r="N80" s="322"/>
      <c r="O80" s="184"/>
      <c r="P80" s="635"/>
      <c r="Q80" s="534" t="s">
        <v>201</v>
      </c>
      <c r="R80" s="636">
        <f>L60</f>
        <v>0</v>
      </c>
      <c r="S80" s="630"/>
      <c r="T80" s="324"/>
      <c r="U80"/>
      <c r="V80"/>
    </row>
    <row r="81" spans="2:27" ht="15.75" thickTop="1" x14ac:dyDescent="0.25">
      <c r="B81" s="184"/>
      <c r="C81" s="184"/>
      <c r="D81" s="184"/>
      <c r="E81" s="184"/>
      <c r="F81" s="184"/>
      <c r="G81" s="184"/>
      <c r="H81" s="606"/>
      <c r="I81" s="547" t="s">
        <v>202</v>
      </c>
      <c r="J81" s="204"/>
      <c r="K81" s="184"/>
      <c r="L81" s="184"/>
      <c r="M81" s="184"/>
      <c r="N81" s="322"/>
      <c r="O81" s="184"/>
      <c r="P81" s="637"/>
      <c r="Q81" s="638"/>
      <c r="R81" s="639" t="e">
        <f>R79+R80</f>
        <v>#REF!</v>
      </c>
      <c r="S81" s="630"/>
      <c r="T81" s="324"/>
      <c r="U81"/>
      <c r="V81"/>
      <c r="W81" s="184"/>
      <c r="X81" s="184"/>
      <c r="Y81" s="184"/>
      <c r="Z81" s="184"/>
      <c r="AA81" s="184"/>
    </row>
    <row r="82" spans="2:27" ht="15.75" thickBot="1" x14ac:dyDescent="0.3">
      <c r="B82" s="184"/>
      <c r="C82" s="184"/>
      <c r="D82" s="184"/>
      <c r="E82" s="184"/>
      <c r="F82" s="184"/>
      <c r="G82" s="184"/>
      <c r="H82" s="606"/>
      <c r="I82" s="571" t="s">
        <v>203</v>
      </c>
      <c r="J82" s="545">
        <v>0</v>
      </c>
      <c r="K82" s="546">
        <f>J82</f>
        <v>0</v>
      </c>
      <c r="L82" s="184"/>
      <c r="M82" s="184"/>
      <c r="N82" s="322"/>
      <c r="O82" s="184"/>
      <c r="P82" s="633"/>
      <c r="Q82" s="633"/>
      <c r="R82" s="633">
        <v>2.5000000000000001E-3</v>
      </c>
      <c r="S82" s="630"/>
      <c r="T82" s="324"/>
      <c r="U82" s="435" t="s">
        <v>193</v>
      </c>
      <c r="V82" s="184"/>
      <c r="W82" s="599"/>
      <c r="X82" s="184"/>
      <c r="Y82" s="184"/>
      <c r="Z82" s="184"/>
      <c r="AA82" s="184"/>
    </row>
    <row r="83" spans="2:27" ht="15.75" thickTop="1" x14ac:dyDescent="0.25">
      <c r="B83" s="184"/>
      <c r="C83" s="184"/>
      <c r="D83" s="184"/>
      <c r="E83" s="184"/>
      <c r="F83" s="184"/>
      <c r="G83" s="184"/>
      <c r="H83" s="606"/>
      <c r="I83" s="571" t="s">
        <v>192</v>
      </c>
      <c r="J83" s="545">
        <v>0</v>
      </c>
      <c r="K83" s="546" t="e">
        <f>-R91</f>
        <v>#REF!</v>
      </c>
      <c r="L83" s="322"/>
      <c r="M83" s="184"/>
      <c r="N83" s="322"/>
      <c r="O83" s="184"/>
      <c r="P83" s="630"/>
      <c r="Q83" s="630"/>
      <c r="R83" s="632" t="e">
        <f>R82*R81</f>
        <v>#REF!</v>
      </c>
      <c r="S83" s="630"/>
      <c r="T83" s="324"/>
      <c r="U83"/>
      <c r="V83"/>
      <c r="W83" s="599"/>
      <c r="X83" s="184"/>
      <c r="Y83" s="184"/>
      <c r="Z83" s="184"/>
      <c r="AA83" s="184"/>
    </row>
    <row r="84" spans="2:27" x14ac:dyDescent="0.25">
      <c r="B84" s="184"/>
      <c r="C84" s="184"/>
      <c r="D84" s="184"/>
      <c r="E84" s="184"/>
      <c r="F84" s="184"/>
      <c r="G84" s="184"/>
      <c r="H84" s="606"/>
      <c r="I84" s="571" t="s">
        <v>144</v>
      </c>
      <c r="J84" s="545">
        <v>0</v>
      </c>
      <c r="K84" s="546">
        <f>J84</f>
        <v>0</v>
      </c>
      <c r="L84" s="184"/>
      <c r="M84" s="184"/>
      <c r="N84" s="322"/>
      <c r="O84" s="184"/>
      <c r="P84" s="630"/>
      <c r="Q84" s="630"/>
      <c r="R84" s="630"/>
      <c r="S84" s="630"/>
      <c r="T84" s="324"/>
      <c r="U84"/>
      <c r="V84"/>
      <c r="W84" s="599"/>
      <c r="X84" s="184"/>
      <c r="Y84" s="184"/>
      <c r="Z84" s="184"/>
      <c r="AA84" s="184"/>
    </row>
    <row r="85" spans="2:27" x14ac:dyDescent="0.25">
      <c r="B85" s="184"/>
      <c r="C85" s="184"/>
      <c r="D85" s="184"/>
      <c r="E85" s="184"/>
      <c r="F85" s="184"/>
      <c r="G85" s="184"/>
      <c r="H85" s="606"/>
      <c r="I85" s="7" t="s">
        <v>204</v>
      </c>
      <c r="J85" s="431">
        <f>SUM(J80:J84)</f>
        <v>0</v>
      </c>
      <c r="K85" s="431" t="e">
        <f>SUM(K80:K84)</f>
        <v>#REF!</v>
      </c>
      <c r="L85" s="184"/>
      <c r="M85" s="184"/>
      <c r="N85" s="322"/>
      <c r="O85" s="184"/>
      <c r="P85" s="630"/>
      <c r="Q85" s="533" t="s">
        <v>205</v>
      </c>
      <c r="R85" s="632">
        <f>P45</f>
        <v>0</v>
      </c>
      <c r="S85" s="630"/>
      <c r="T85" s="324"/>
      <c r="U85"/>
      <c r="V85"/>
      <c r="W85" s="184"/>
      <c r="X85" s="184"/>
      <c r="Y85" s="184"/>
      <c r="Z85" s="184"/>
      <c r="AA85" s="184"/>
    </row>
    <row r="86" spans="2:27" ht="15.75" thickBot="1" x14ac:dyDescent="0.3">
      <c r="B86" s="184"/>
      <c r="C86" s="184"/>
      <c r="D86" s="184"/>
      <c r="E86" s="184"/>
      <c r="F86" s="184"/>
      <c r="G86" s="184"/>
      <c r="H86" s="606"/>
      <c r="I86" t="s">
        <v>206</v>
      </c>
      <c r="J86" s="545">
        <f>-(J85*0.225)</f>
        <v>0</v>
      </c>
      <c r="K86" s="546" t="e">
        <f>-K85*0.225</f>
        <v>#REF!</v>
      </c>
      <c r="L86" s="184"/>
      <c r="M86" s="184"/>
      <c r="N86" s="322"/>
      <c r="O86" s="184"/>
      <c r="P86" s="640"/>
      <c r="Q86" s="534" t="s">
        <v>198</v>
      </c>
      <c r="R86" s="634">
        <v>0.3</v>
      </c>
      <c r="S86" s="630"/>
      <c r="T86" s="324"/>
      <c r="U86" s="184"/>
      <c r="V86" s="184"/>
      <c r="W86" s="184"/>
      <c r="X86" s="184"/>
      <c r="Y86" s="184"/>
      <c r="Z86" s="184"/>
      <c r="AA86" s="184"/>
    </row>
    <row r="87" spans="2:27" ht="16.5" thickTop="1" thickBot="1" x14ac:dyDescent="0.3">
      <c r="B87" s="184"/>
      <c r="C87" s="184"/>
      <c r="D87" s="184"/>
      <c r="E87" s="184"/>
      <c r="F87" s="184"/>
      <c r="G87" s="184"/>
      <c r="H87" s="606"/>
      <c r="I87" s="7" t="s">
        <v>207</v>
      </c>
      <c r="J87" s="540">
        <f>SUM(J85:J86)</f>
        <v>0</v>
      </c>
      <c r="K87" s="541" t="e">
        <f>SUM(K85:K86)</f>
        <v>#REF!</v>
      </c>
      <c r="L87" s="544" t="e">
        <f>K87-J87</f>
        <v>#REF!</v>
      </c>
      <c r="M87" s="595" t="e" cm="1">
        <f t="array" ref="M87">_xlfn.IFS(L87&gt;0,"Over Budget",L87&lt;0,"Under Budget",L87=0,"-")</f>
        <v>#REF!</v>
      </c>
      <c r="N87" s="322"/>
      <c r="O87" s="184"/>
      <c r="P87" s="630"/>
      <c r="Q87" s="630"/>
      <c r="R87" s="632">
        <f>R85*R86</f>
        <v>0</v>
      </c>
      <c r="S87" s="630"/>
      <c r="T87" s="549"/>
      <c r="U87"/>
      <c r="V87"/>
      <c r="W87" s="184"/>
      <c r="X87" s="184"/>
      <c r="Y87" s="184"/>
      <c r="Z87" s="184"/>
      <c r="AA87" s="184"/>
    </row>
    <row r="88" spans="2:27" ht="16.5" thickTop="1" thickBot="1" x14ac:dyDescent="0.3">
      <c r="B88" s="184"/>
      <c r="C88" s="184"/>
      <c r="D88" s="184"/>
      <c r="E88" s="184"/>
      <c r="F88" s="184"/>
      <c r="G88" s="184"/>
      <c r="H88" s="606"/>
      <c r="I88" s="243" t="s">
        <v>208</v>
      </c>
      <c r="J88" s="548"/>
      <c r="K88" s="184"/>
      <c r="L88" s="184"/>
      <c r="M88" s="322"/>
      <c r="N88" s="322"/>
      <c r="O88" s="184"/>
      <c r="P88" s="633"/>
      <c r="Q88" s="633"/>
      <c r="R88" s="633">
        <v>2.5000000000000001E-2</v>
      </c>
      <c r="S88" s="630"/>
      <c r="T88" s="641"/>
      <c r="U88"/>
      <c r="V88"/>
      <c r="W88" s="184"/>
      <c r="X88" s="184"/>
      <c r="Y88" s="184"/>
      <c r="Z88" s="184"/>
      <c r="AA88" s="184"/>
    </row>
    <row r="89" spans="2:27" ht="15.75" thickTop="1" x14ac:dyDescent="0.25">
      <c r="B89" s="184"/>
      <c r="C89" s="184"/>
      <c r="D89" s="184"/>
      <c r="E89" s="184"/>
      <c r="F89" s="184"/>
      <c r="G89" s="184"/>
      <c r="H89" s="606"/>
      <c r="I89" s="184"/>
      <c r="J89" s="184"/>
      <c r="K89" s="184"/>
      <c r="L89" s="184"/>
      <c r="M89" s="184"/>
      <c r="N89" s="322"/>
      <c r="O89" s="184"/>
      <c r="P89" s="630"/>
      <c r="Q89" s="630"/>
      <c r="R89" s="632">
        <f>R87*R88</f>
        <v>0</v>
      </c>
      <c r="S89" s="569" t="e">
        <f>(R85+R77)-L57</f>
        <v>#REF!</v>
      </c>
      <c r="T89" s="194"/>
      <c r="U89" s="184"/>
      <c r="V89" s="184"/>
      <c r="W89" s="184"/>
      <c r="X89" s="184"/>
      <c r="Y89" s="184"/>
      <c r="Z89" s="184"/>
      <c r="AA89" s="184"/>
    </row>
    <row r="90" spans="2:27" ht="15.75" thickBot="1" x14ac:dyDescent="0.3">
      <c r="B90" s="184"/>
      <c r="C90" s="184"/>
      <c r="D90" s="184"/>
      <c r="E90" s="184"/>
      <c r="F90" s="184"/>
      <c r="G90" s="184"/>
      <c r="H90" s="606"/>
      <c r="I90" s="184"/>
      <c r="J90" s="184"/>
      <c r="K90" s="184"/>
      <c r="L90" s="184"/>
      <c r="M90" s="184"/>
      <c r="N90" s="322"/>
      <c r="O90" s="184"/>
      <c r="P90" s="630"/>
      <c r="Q90" s="630"/>
      <c r="R90" s="630"/>
      <c r="S90" s="630"/>
      <c r="T90" s="194"/>
      <c r="U90"/>
      <c r="V90" s="184"/>
      <c r="W90" s="184"/>
      <c r="X90" s="184"/>
      <c r="Y90" s="184"/>
      <c r="Z90" s="184"/>
      <c r="AA90" s="184"/>
    </row>
    <row r="91" spans="2:27" ht="15.75" thickBot="1" x14ac:dyDescent="0.3">
      <c r="B91" s="184"/>
      <c r="C91" s="184"/>
      <c r="D91" s="184"/>
      <c r="E91" s="184"/>
      <c r="F91" s="184"/>
      <c r="G91" s="184"/>
      <c r="H91" s="606"/>
      <c r="I91" s="184"/>
      <c r="J91" s="184"/>
      <c r="K91" s="184"/>
      <c r="L91" s="184"/>
      <c r="M91" s="184"/>
      <c r="N91" s="322"/>
      <c r="O91" s="184"/>
      <c r="P91" s="642"/>
      <c r="Q91" s="539" t="s">
        <v>209</v>
      </c>
      <c r="R91" s="643" t="e">
        <f>R83+R89</f>
        <v>#REF!</v>
      </c>
      <c r="S91" s="644"/>
      <c r="T91" s="324"/>
      <c r="U91"/>
      <c r="V91" s="184"/>
      <c r="W91" s="184"/>
      <c r="X91" s="184"/>
      <c r="Y91" s="184"/>
      <c r="Z91" s="184"/>
      <c r="AA91" s="184"/>
    </row>
    <row r="92" spans="2:27" x14ac:dyDescent="0.25">
      <c r="B92" s="184"/>
      <c r="C92" s="184"/>
      <c r="D92" s="184"/>
      <c r="E92" s="184"/>
      <c r="F92" s="184"/>
      <c r="G92" s="184"/>
      <c r="H92" s="606"/>
      <c r="I92" s="184"/>
      <c r="J92" s="184"/>
      <c r="K92" s="184"/>
      <c r="L92" s="184"/>
      <c r="M92" s="184"/>
      <c r="N92" s="322"/>
      <c r="O92" s="184"/>
      <c r="P92" s="184"/>
      <c r="Q92" s="184"/>
      <c r="R92" s="184"/>
      <c r="S92" s="184"/>
      <c r="T92" s="324"/>
      <c r="U92" s="184"/>
      <c r="V92" s="184"/>
      <c r="W92" s="184"/>
      <c r="X92" s="184"/>
      <c r="Y92" s="184"/>
      <c r="Z92" s="184"/>
      <c r="AA92" s="184"/>
    </row>
    <row r="93" spans="2:27" ht="15.75" thickBot="1" x14ac:dyDescent="0.3">
      <c r="B93" s="184"/>
      <c r="C93" s="184"/>
      <c r="D93" s="184"/>
      <c r="E93" s="184"/>
      <c r="F93" s="184"/>
      <c r="G93" s="184"/>
      <c r="H93" s="645"/>
      <c r="I93" s="498"/>
      <c r="J93" s="498"/>
      <c r="K93" s="498"/>
      <c r="L93" s="498"/>
      <c r="M93" s="196"/>
      <c r="N93" s="521"/>
      <c r="O93" s="196"/>
      <c r="P93" s="196"/>
      <c r="Q93" s="196"/>
      <c r="R93" s="196"/>
      <c r="S93" s="498"/>
      <c r="T93" s="197"/>
      <c r="U93" s="184"/>
      <c r="V93" s="184"/>
      <c r="W93" s="184"/>
      <c r="X93" s="184"/>
      <c r="Y93" s="184"/>
      <c r="Z93" s="184"/>
      <c r="AA93" s="184"/>
    </row>
    <row r="94" spans="2:27" x14ac:dyDescent="0.25">
      <c r="B94" s="184"/>
      <c r="C94" s="184"/>
      <c r="D94" s="184"/>
      <c r="E94" s="184"/>
      <c r="F94" s="184"/>
      <c r="G94" s="184"/>
      <c r="H94" s="184"/>
      <c r="I94" s="184"/>
      <c r="J94" s="184"/>
      <c r="K94" s="184"/>
      <c r="L94" s="184"/>
      <c r="M94"/>
      <c r="N94" s="322"/>
      <c r="O94" s="184"/>
      <c r="P94" s="184"/>
      <c r="Q94" s="184"/>
      <c r="R94" s="184"/>
      <c r="S94" s="184"/>
      <c r="T94" s="184"/>
      <c r="U94" s="184"/>
      <c r="V94" s="184"/>
      <c r="W94" s="184"/>
      <c r="X94" s="184"/>
      <c r="Y94" s="184"/>
      <c r="Z94" s="184"/>
      <c r="AA94" s="184"/>
    </row>
    <row r="95" spans="2:27" x14ac:dyDescent="0.25">
      <c r="B95" s="184"/>
      <c r="C95" s="184"/>
      <c r="D95" s="184"/>
      <c r="E95" s="184"/>
      <c r="F95" s="184"/>
      <c r="G95" s="184"/>
      <c r="H95" s="184"/>
      <c r="I95" s="184"/>
      <c r="J95" s="184"/>
      <c r="K95" s="184"/>
      <c r="L95" s="184"/>
      <c r="M95"/>
      <c r="N95" s="322"/>
      <c r="O95" s="184"/>
      <c r="P95" s="184"/>
      <c r="Q95" s="184"/>
      <c r="R95" s="184"/>
      <c r="S95" s="184"/>
      <c r="T95" s="184"/>
      <c r="U95" s="184"/>
      <c r="V95" s="184"/>
      <c r="W95" s="184"/>
      <c r="X95" s="184"/>
      <c r="Y95" s="184"/>
      <c r="Z95" s="184"/>
      <c r="AA95" s="184"/>
    </row>
    <row r="96" spans="2:27" x14ac:dyDescent="0.25">
      <c r="B96" s="184"/>
      <c r="C96" s="184"/>
      <c r="D96" s="184"/>
      <c r="E96" s="184"/>
      <c r="F96" s="184"/>
      <c r="G96" s="184"/>
      <c r="H96" s="184"/>
      <c r="I96" s="184"/>
      <c r="J96" s="184"/>
      <c r="K96" s="184"/>
      <c r="L96" s="184"/>
      <c r="M96" s="184"/>
      <c r="N96" s="322"/>
      <c r="O96" s="184"/>
      <c r="P96" s="184"/>
      <c r="Q96" s="184"/>
      <c r="R96" s="184"/>
      <c r="S96" s="184"/>
      <c r="T96" s="184"/>
      <c r="U96" s="184"/>
      <c r="V96" s="184"/>
      <c r="W96"/>
      <c r="X96"/>
      <c r="Y96" s="184"/>
      <c r="Z96" s="184"/>
      <c r="AA96" s="184"/>
    </row>
    <row r="97" spans="13:24" x14ac:dyDescent="0.25">
      <c r="M97"/>
      <c r="N97" s="32"/>
      <c r="O97"/>
      <c r="P97"/>
      <c r="Q97"/>
      <c r="R97"/>
      <c r="S97"/>
      <c r="T97"/>
      <c r="U97" s="184"/>
      <c r="V97" s="184"/>
      <c r="W97" s="184"/>
      <c r="X97" s="184"/>
    </row>
    <row r="98" spans="13:24" x14ac:dyDescent="0.25">
      <c r="M98"/>
      <c r="N98" s="32"/>
      <c r="O98"/>
      <c r="P98"/>
      <c r="Q98"/>
      <c r="R98"/>
      <c r="S98"/>
      <c r="T98"/>
      <c r="U98"/>
      <c r="V98"/>
      <c r="W98"/>
      <c r="X98"/>
    </row>
    <row r="99" spans="13:24" x14ac:dyDescent="0.25">
      <c r="M99"/>
      <c r="N99" s="32"/>
      <c r="O99"/>
      <c r="P99"/>
      <c r="Q99"/>
      <c r="R99"/>
      <c r="S99"/>
      <c r="T99"/>
      <c r="U99"/>
      <c r="V99"/>
      <c r="W99"/>
      <c r="X99"/>
    </row>
    <row r="100" spans="13:24" x14ac:dyDescent="0.25">
      <c r="M100" s="184"/>
      <c r="N100" s="322"/>
      <c r="O100" s="184"/>
      <c r="P100" s="184"/>
      <c r="Q100" s="184"/>
      <c r="R100" s="184"/>
      <c r="S100" s="184"/>
      <c r="T100" s="184"/>
      <c r="U100"/>
      <c r="V100"/>
      <c r="W100"/>
      <c r="X100"/>
    </row>
  </sheetData>
  <dataValidations disablePrompts="1" count="1">
    <dataValidation type="list" allowBlank="1" showInputMessage="1" showErrorMessage="1" sqref="Y4" xr:uid="{F38AE3F2-85FC-4804-ACCA-8E69294AAC17}">
      <formula1>#REF!</formula1>
    </dataValidation>
  </dataValidations>
  <pageMargins left="0.7" right="0.7" top="0.75" bottom="0.75" header="0.3" footer="0.3"/>
  <pageSetup scale="51" orientation="landscape" r:id="rId1"/>
  <headerFooter>
    <oddFooter>&amp;R&amp;A
&amp;Z&amp;F</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11DE-BF1E-4F69-8D89-17754F097732}">
  <sheetPr>
    <tabColor rgb="FF00B050"/>
  </sheetPr>
  <dimension ref="A1:AK63"/>
  <sheetViews>
    <sheetView zoomScale="85" zoomScaleNormal="85" workbookViewId="0">
      <selection activeCell="K27" sqref="K27"/>
    </sheetView>
  </sheetViews>
  <sheetFormatPr defaultRowHeight="15" x14ac:dyDescent="0.25"/>
  <cols>
    <col min="2" max="2" width="10.85546875" bestFit="1" customWidth="1"/>
    <col min="3" max="3" width="9.85546875" bestFit="1" customWidth="1"/>
    <col min="4" max="4" width="20" customWidth="1"/>
    <col min="5" max="6" width="19.5703125" customWidth="1"/>
    <col min="7" max="7" width="24.85546875" style="8" customWidth="1"/>
    <col min="8" max="8" width="20.42578125" bestFit="1" customWidth="1"/>
    <col min="9" max="9" width="25.85546875" customWidth="1"/>
    <col min="10" max="10" width="22.85546875" customWidth="1"/>
    <col min="11" max="11" width="15.85546875" customWidth="1"/>
    <col min="12" max="12" width="17.140625" bestFit="1" customWidth="1"/>
    <col min="13" max="13" width="16.140625" bestFit="1" customWidth="1"/>
    <col min="14" max="17" width="16.140625" customWidth="1"/>
    <col min="18" max="18" width="16.42578125" customWidth="1"/>
    <col min="19" max="20" width="15.140625" customWidth="1"/>
    <col min="21" max="21" width="17.42578125" customWidth="1"/>
    <col min="22" max="22" width="15.140625" customWidth="1"/>
    <col min="23" max="23" width="16" bestFit="1" customWidth="1"/>
    <col min="24" max="24" width="26.140625" customWidth="1"/>
    <col min="25" max="25" width="7.85546875" bestFit="1" customWidth="1"/>
    <col min="26" max="26" width="27.140625" bestFit="1" customWidth="1"/>
    <col min="27" max="27" width="24.140625" customWidth="1"/>
    <col min="28" max="28" width="17.5703125" customWidth="1"/>
    <col min="29" max="29" width="11.42578125" bestFit="1" customWidth="1"/>
    <col min="30" max="30" width="14.140625" bestFit="1" customWidth="1"/>
    <col min="31" max="31" width="18.140625" customWidth="1"/>
    <col min="32" max="32" width="15.140625" customWidth="1"/>
    <col min="33" max="33" width="15.42578125" customWidth="1"/>
    <col min="34" max="34" width="11.140625" bestFit="1" customWidth="1"/>
    <col min="35" max="35" width="11.140625" customWidth="1"/>
    <col min="36" max="36" width="16.85546875" customWidth="1"/>
    <col min="37" max="37" width="6" bestFit="1" customWidth="1"/>
    <col min="38" max="38" width="20.42578125" bestFit="1" customWidth="1"/>
    <col min="39" max="39" width="11.42578125" bestFit="1" customWidth="1"/>
    <col min="40" max="40" width="5.85546875" bestFit="1" customWidth="1"/>
  </cols>
  <sheetData>
    <row r="1" spans="1:37" ht="18.75" x14ac:dyDescent="0.3">
      <c r="A1" s="448" t="s">
        <v>61</v>
      </c>
      <c r="B1" s="448"/>
      <c r="C1" s="448"/>
      <c r="D1" s="448"/>
      <c r="E1" s="448"/>
      <c r="F1" s="448"/>
      <c r="G1" s="448"/>
      <c r="H1" s="448"/>
      <c r="I1" s="448"/>
      <c r="J1" s="448"/>
      <c r="K1" s="448"/>
      <c r="L1" s="448"/>
      <c r="M1" s="448"/>
      <c r="N1" s="448"/>
      <c r="O1" s="448"/>
      <c r="P1" s="448"/>
      <c r="Q1" s="448"/>
      <c r="R1" s="448"/>
      <c r="S1" s="448"/>
      <c r="T1" s="448"/>
      <c r="U1" s="448"/>
      <c r="V1" s="448"/>
      <c r="W1" s="448"/>
      <c r="X1" s="448"/>
      <c r="Y1" s="448"/>
      <c r="Z1" s="448"/>
      <c r="AH1" s="185"/>
      <c r="AI1" s="185"/>
      <c r="AJ1" s="185"/>
      <c r="AK1" s="185"/>
    </row>
    <row r="2" spans="1:37" ht="18.75" x14ac:dyDescent="0.3">
      <c r="A2" s="448" t="s">
        <v>227</v>
      </c>
      <c r="B2" s="448"/>
      <c r="C2" s="448"/>
      <c r="D2" s="448"/>
      <c r="E2" s="448"/>
      <c r="F2" s="448"/>
      <c r="G2" s="448"/>
      <c r="H2" s="448"/>
      <c r="I2" s="448"/>
      <c r="J2" s="448"/>
      <c r="K2" s="448"/>
      <c r="L2" s="448"/>
      <c r="M2" s="448"/>
      <c r="N2" s="448"/>
      <c r="O2" s="448"/>
      <c r="P2" s="448"/>
      <c r="Q2" s="448"/>
      <c r="R2" s="448"/>
      <c r="S2" s="448"/>
      <c r="T2" s="448"/>
      <c r="U2" s="448"/>
      <c r="V2" s="448"/>
      <c r="W2" s="448"/>
      <c r="X2" s="448"/>
      <c r="Y2" s="448"/>
      <c r="Z2" s="448"/>
      <c r="AH2" s="103"/>
      <c r="AI2" s="103"/>
    </row>
    <row r="3" spans="1:37" ht="15.75" x14ac:dyDescent="0.25">
      <c r="B3" s="9"/>
      <c r="C3" s="103"/>
      <c r="M3" s="103"/>
      <c r="N3" s="103"/>
      <c r="O3" s="103"/>
      <c r="P3" s="103"/>
      <c r="Q3" s="103"/>
      <c r="R3" s="103"/>
      <c r="W3" s="103"/>
      <c r="X3" s="103"/>
      <c r="AH3" s="8"/>
      <c r="AI3" s="8"/>
    </row>
    <row r="4" spans="1:37" ht="15.75" x14ac:dyDescent="0.25">
      <c r="B4" s="9"/>
      <c r="C4" s="103"/>
      <c r="M4" s="103"/>
      <c r="N4" s="103"/>
      <c r="O4" s="103"/>
      <c r="P4" s="103"/>
      <c r="Q4" s="103"/>
      <c r="R4" s="103"/>
      <c r="W4" s="103"/>
      <c r="X4" s="103"/>
      <c r="Z4" s="5"/>
      <c r="AA4" s="5"/>
      <c r="AB4" s="5"/>
      <c r="AF4" s="5"/>
      <c r="AG4" s="102"/>
      <c r="AH4" s="102"/>
      <c r="AI4" s="102"/>
    </row>
    <row r="5" spans="1:37" ht="15.75" x14ac:dyDescent="0.25">
      <c r="B5" s="9"/>
      <c r="C5" s="103"/>
      <c r="D5" s="103"/>
      <c r="E5" s="103"/>
      <c r="F5" s="103"/>
      <c r="G5" s="103"/>
      <c r="H5" s="103"/>
      <c r="I5" s="103"/>
      <c r="J5" s="366"/>
      <c r="K5" s="9"/>
      <c r="L5" s="103"/>
      <c r="M5" s="103"/>
      <c r="N5" s="103"/>
      <c r="O5" s="103"/>
      <c r="P5" s="103"/>
      <c r="Q5" s="103"/>
      <c r="R5" s="103"/>
      <c r="S5" s="103"/>
      <c r="T5" s="103"/>
      <c r="U5" s="103"/>
      <c r="V5" s="103"/>
      <c r="W5" s="103"/>
      <c r="X5" s="103"/>
      <c r="Y5" s="8"/>
      <c r="Z5" s="5"/>
      <c r="AA5" s="5"/>
      <c r="AB5" s="5"/>
      <c r="AF5" s="5"/>
      <c r="AG5" s="102"/>
      <c r="AH5" s="102"/>
      <c r="AI5" s="102"/>
      <c r="AJ5" s="102"/>
      <c r="AK5" s="5"/>
    </row>
    <row r="6" spans="1:37" x14ac:dyDescent="0.25">
      <c r="B6" s="9"/>
      <c r="C6" s="8"/>
      <c r="I6" s="27"/>
      <c r="J6" s="27"/>
      <c r="K6" s="96"/>
      <c r="R6" s="8"/>
      <c r="S6" s="8"/>
      <c r="T6" s="8"/>
      <c r="U6" s="8"/>
      <c r="V6" s="8"/>
      <c r="X6" s="8"/>
      <c r="Y6" s="8"/>
      <c r="Z6" s="8"/>
      <c r="AA6" s="8"/>
      <c r="AB6" s="8"/>
      <c r="AG6" s="8"/>
      <c r="AH6" s="8"/>
      <c r="AI6" s="8"/>
      <c r="AJ6" s="8"/>
    </row>
    <row r="7" spans="1:37" s="7" customFormat="1" ht="31.5" x14ac:dyDescent="0.25">
      <c r="B7" s="10" t="s">
        <v>228</v>
      </c>
      <c r="C7" s="13" t="s">
        <v>229</v>
      </c>
      <c r="D7" s="13" t="s">
        <v>230</v>
      </c>
      <c r="E7" s="48" t="s">
        <v>231</v>
      </c>
      <c r="F7" s="48" t="s">
        <v>232</v>
      </c>
      <c r="G7" s="13" t="s">
        <v>233</v>
      </c>
      <c r="H7" s="13" t="s">
        <v>234</v>
      </c>
      <c r="I7" s="26" t="s">
        <v>235</v>
      </c>
      <c r="J7" s="26" t="s">
        <v>236</v>
      </c>
      <c r="K7" s="70" t="s">
        <v>237</v>
      </c>
      <c r="L7" s="13" t="s">
        <v>238</v>
      </c>
      <c r="M7" s="13" t="s">
        <v>188</v>
      </c>
      <c r="N7" s="13" t="s">
        <v>239</v>
      </c>
      <c r="O7" s="13" t="s">
        <v>240</v>
      </c>
      <c r="P7" s="13" t="s">
        <v>233</v>
      </c>
      <c r="Q7" s="13" t="s">
        <v>241</v>
      </c>
      <c r="R7" s="48" t="s">
        <v>242</v>
      </c>
      <c r="S7" s="13" t="s">
        <v>243</v>
      </c>
      <c r="T7" s="13" t="s">
        <v>244</v>
      </c>
      <c r="U7" s="13" t="s">
        <v>245</v>
      </c>
      <c r="V7" s="13" t="s">
        <v>246</v>
      </c>
      <c r="W7" s="13" t="s">
        <v>247</v>
      </c>
      <c r="X7" s="13" t="s">
        <v>248</v>
      </c>
      <c r="Y7" s="8"/>
      <c r="Z7" s="329" t="s">
        <v>249</v>
      </c>
      <c r="AA7" s="329" t="s">
        <v>250</v>
      </c>
      <c r="AB7" s="329" t="s">
        <v>251</v>
      </c>
      <c r="AC7" s="329" t="s">
        <v>252</v>
      </c>
      <c r="AD7" s="329" t="s">
        <v>253</v>
      </c>
      <c r="AE7" s="330" t="s">
        <v>254</v>
      </c>
      <c r="AF7" s="329" t="s">
        <v>255</v>
      </c>
      <c r="AG7" s="329" t="s">
        <v>256</v>
      </c>
      <c r="AH7" s="8"/>
      <c r="AI7" s="329" t="s">
        <v>257</v>
      </c>
      <c r="AJ7" s="329" t="s">
        <v>258</v>
      </c>
    </row>
    <row r="8" spans="1:37" ht="15.75" x14ac:dyDescent="0.25">
      <c r="B8" s="11">
        <v>1</v>
      </c>
      <c r="C8" s="16"/>
      <c r="D8" s="14"/>
      <c r="E8" s="14"/>
      <c r="F8" s="14"/>
      <c r="G8" s="14"/>
      <c r="H8" s="1"/>
      <c r="I8" s="14"/>
      <c r="J8" s="106"/>
      <c r="K8" s="138"/>
      <c r="L8" s="1">
        <v>0</v>
      </c>
      <c r="M8" s="2"/>
      <c r="N8" s="2"/>
      <c r="O8" s="2"/>
      <c r="P8" s="2"/>
      <c r="Q8" s="2"/>
      <c r="R8" s="216"/>
      <c r="S8" s="216"/>
      <c r="T8" s="581"/>
      <c r="U8" s="216"/>
      <c r="V8" s="216"/>
      <c r="W8" s="2"/>
      <c r="X8" s="1"/>
      <c r="Z8" s="368">
        <f>D8</f>
        <v>0</v>
      </c>
      <c r="AA8" s="369">
        <f>H8</f>
        <v>0</v>
      </c>
      <c r="AB8" s="367">
        <f>N8</f>
        <v>0</v>
      </c>
      <c r="AC8" s="367" t="str">
        <f>O7</f>
        <v xml:space="preserve">City </v>
      </c>
      <c r="AD8" s="367">
        <f>Q8</f>
        <v>0</v>
      </c>
      <c r="AE8" s="333">
        <f>J8</f>
        <v>0</v>
      </c>
      <c r="AF8" s="334">
        <f>K8</f>
        <v>0</v>
      </c>
      <c r="AG8" s="335">
        <f>L8</f>
        <v>0</v>
      </c>
      <c r="AI8" s="313">
        <f>T8</f>
        <v>0</v>
      </c>
      <c r="AJ8" s="2">
        <f>U8</f>
        <v>0</v>
      </c>
    </row>
    <row r="9" spans="1:37" ht="15.75" x14ac:dyDescent="0.25">
      <c r="B9" s="11">
        <v>2</v>
      </c>
      <c r="C9" s="16"/>
      <c r="D9" s="14"/>
      <c r="E9" s="14"/>
      <c r="F9" s="14"/>
      <c r="G9" s="14"/>
      <c r="H9" s="1"/>
      <c r="I9" s="14"/>
      <c r="J9" s="106"/>
      <c r="K9" s="138"/>
      <c r="L9" s="1">
        <v>0</v>
      </c>
      <c r="M9" s="1"/>
      <c r="N9" s="1"/>
      <c r="O9" s="1"/>
      <c r="P9" s="1"/>
      <c r="Q9" s="1"/>
      <c r="R9" s="216"/>
      <c r="S9" s="216"/>
      <c r="T9" s="581"/>
      <c r="U9" s="216"/>
      <c r="V9" s="216"/>
      <c r="W9" s="2"/>
      <c r="X9" s="1"/>
      <c r="Z9" s="368">
        <f t="shared" ref="Z9:Z23" si="0">D9</f>
        <v>0</v>
      </c>
      <c r="AA9" s="369">
        <f t="shared" ref="AA9:AA23" si="1">H9</f>
        <v>0</v>
      </c>
      <c r="AB9" s="367">
        <f t="shared" ref="AB9:AB23" si="2">N9</f>
        <v>0</v>
      </c>
      <c r="AC9" s="367">
        <f t="shared" ref="AC9:AC23" si="3">O8</f>
        <v>0</v>
      </c>
      <c r="AD9" s="367">
        <f t="shared" ref="AD9:AD23" si="4">Q9</f>
        <v>0</v>
      </c>
      <c r="AE9" s="333">
        <f t="shared" ref="AE9:AE23" si="5">J9</f>
        <v>0</v>
      </c>
      <c r="AF9" s="334">
        <f t="shared" ref="AF9:AF23" si="6">K9</f>
        <v>0</v>
      </c>
      <c r="AG9" s="335">
        <f t="shared" ref="AG9:AG23" si="7">L9</f>
        <v>0</v>
      </c>
      <c r="AI9" s="313">
        <f t="shared" ref="AI9:AI23" si="8">T9</f>
        <v>0</v>
      </c>
      <c r="AJ9" s="2">
        <f t="shared" ref="AJ9:AJ23" si="9">U9</f>
        <v>0</v>
      </c>
    </row>
    <row r="10" spans="1:37" ht="15.75" x14ac:dyDescent="0.25">
      <c r="B10" s="11">
        <v>3</v>
      </c>
      <c r="C10" s="16"/>
      <c r="D10" s="14"/>
      <c r="E10" s="14"/>
      <c r="F10" s="14"/>
      <c r="G10" s="14"/>
      <c r="H10" s="1"/>
      <c r="I10" s="14"/>
      <c r="J10" s="106"/>
      <c r="K10" s="138"/>
      <c r="L10" s="1">
        <v>0</v>
      </c>
      <c r="M10" s="1"/>
      <c r="N10" s="1"/>
      <c r="O10" s="1"/>
      <c r="P10" s="1"/>
      <c r="Q10" s="1"/>
      <c r="R10" s="216"/>
      <c r="S10" s="216"/>
      <c r="T10" s="581"/>
      <c r="U10" s="216"/>
      <c r="V10" s="216"/>
      <c r="W10" s="2"/>
      <c r="X10" s="1"/>
      <c r="Z10" s="368">
        <f t="shared" si="0"/>
        <v>0</v>
      </c>
      <c r="AA10" s="369">
        <f t="shared" si="1"/>
        <v>0</v>
      </c>
      <c r="AB10" s="367">
        <f t="shared" si="2"/>
        <v>0</v>
      </c>
      <c r="AC10" s="367">
        <f t="shared" si="3"/>
        <v>0</v>
      </c>
      <c r="AD10" s="367">
        <f t="shared" si="4"/>
        <v>0</v>
      </c>
      <c r="AE10" s="333">
        <f t="shared" si="5"/>
        <v>0</v>
      </c>
      <c r="AF10" s="334">
        <f t="shared" si="6"/>
        <v>0</v>
      </c>
      <c r="AG10" s="335">
        <f t="shared" si="7"/>
        <v>0</v>
      </c>
      <c r="AI10" s="313">
        <f t="shared" si="8"/>
        <v>0</v>
      </c>
      <c r="AJ10" s="2">
        <f t="shared" si="9"/>
        <v>0</v>
      </c>
    </row>
    <row r="11" spans="1:37" ht="15.75" x14ac:dyDescent="0.25">
      <c r="B11" s="11">
        <v>4</v>
      </c>
      <c r="C11" s="16"/>
      <c r="D11" s="14"/>
      <c r="E11" s="14"/>
      <c r="F11" s="14"/>
      <c r="G11" s="14"/>
      <c r="H11" s="1"/>
      <c r="I11" s="14"/>
      <c r="J11" s="106"/>
      <c r="K11" s="138"/>
      <c r="L11" s="1">
        <v>0</v>
      </c>
      <c r="M11" s="1"/>
      <c r="N11" s="1"/>
      <c r="O11" s="1"/>
      <c r="P11" s="1"/>
      <c r="Q11" s="1"/>
      <c r="R11" s="216"/>
      <c r="S11" s="216"/>
      <c r="T11" s="581"/>
      <c r="U11" s="216"/>
      <c r="V11" s="216"/>
      <c r="W11" s="2"/>
      <c r="X11" s="1"/>
      <c r="Z11" s="368">
        <f t="shared" si="0"/>
        <v>0</v>
      </c>
      <c r="AA11" s="369">
        <f t="shared" si="1"/>
        <v>0</v>
      </c>
      <c r="AB11" s="367">
        <f t="shared" si="2"/>
        <v>0</v>
      </c>
      <c r="AC11" s="367">
        <f t="shared" si="3"/>
        <v>0</v>
      </c>
      <c r="AD11" s="367">
        <f t="shared" si="4"/>
        <v>0</v>
      </c>
      <c r="AE11" s="333">
        <f t="shared" si="5"/>
        <v>0</v>
      </c>
      <c r="AF11" s="334">
        <f t="shared" si="6"/>
        <v>0</v>
      </c>
      <c r="AG11" s="335">
        <f t="shared" si="7"/>
        <v>0</v>
      </c>
      <c r="AI11" s="313">
        <f t="shared" si="8"/>
        <v>0</v>
      </c>
      <c r="AJ11" s="2">
        <f t="shared" si="9"/>
        <v>0</v>
      </c>
    </row>
    <row r="12" spans="1:37" ht="15.75" x14ac:dyDescent="0.25">
      <c r="B12" s="11">
        <v>5</v>
      </c>
      <c r="C12" s="16"/>
      <c r="D12" s="14"/>
      <c r="E12" s="14"/>
      <c r="F12" s="14"/>
      <c r="G12" s="14"/>
      <c r="H12" s="1"/>
      <c r="I12" s="14"/>
      <c r="J12" s="106"/>
      <c r="K12" s="138"/>
      <c r="L12" s="1">
        <v>0</v>
      </c>
      <c r="M12" s="1"/>
      <c r="N12" s="1"/>
      <c r="O12" s="1"/>
      <c r="P12" s="1"/>
      <c r="Q12" s="1"/>
      <c r="R12" s="216"/>
      <c r="S12" s="216"/>
      <c r="T12" s="581"/>
      <c r="U12" s="216"/>
      <c r="V12" s="216"/>
      <c r="W12" s="2"/>
      <c r="X12" s="1"/>
      <c r="Z12" s="368">
        <f t="shared" si="0"/>
        <v>0</v>
      </c>
      <c r="AA12" s="369">
        <f t="shared" si="1"/>
        <v>0</v>
      </c>
      <c r="AB12" s="367">
        <f t="shared" si="2"/>
        <v>0</v>
      </c>
      <c r="AC12" s="367">
        <f t="shared" si="3"/>
        <v>0</v>
      </c>
      <c r="AD12" s="367">
        <f t="shared" si="4"/>
        <v>0</v>
      </c>
      <c r="AE12" s="333">
        <f t="shared" si="5"/>
        <v>0</v>
      </c>
      <c r="AF12" s="334">
        <f t="shared" si="6"/>
        <v>0</v>
      </c>
      <c r="AG12" s="335">
        <f t="shared" si="7"/>
        <v>0</v>
      </c>
      <c r="AI12" s="313">
        <f t="shared" si="8"/>
        <v>0</v>
      </c>
      <c r="AJ12" s="2">
        <f t="shared" si="9"/>
        <v>0</v>
      </c>
    </row>
    <row r="13" spans="1:37" ht="15.75" x14ac:dyDescent="0.25">
      <c r="B13" s="11">
        <v>6</v>
      </c>
      <c r="C13" s="16"/>
      <c r="D13" s="14"/>
      <c r="E13" s="14"/>
      <c r="F13" s="14"/>
      <c r="G13" s="14"/>
      <c r="H13" s="1"/>
      <c r="I13" s="14"/>
      <c r="J13" s="106"/>
      <c r="K13" s="138"/>
      <c r="L13" s="1">
        <v>0</v>
      </c>
      <c r="M13" s="1"/>
      <c r="N13" s="1"/>
      <c r="O13" s="1"/>
      <c r="P13" s="1"/>
      <c r="Q13" s="1"/>
      <c r="R13" s="216"/>
      <c r="S13" s="216"/>
      <c r="T13" s="581"/>
      <c r="U13" s="216"/>
      <c r="V13" s="216"/>
      <c r="W13" s="2"/>
      <c r="X13" s="1"/>
      <c r="Z13" s="368">
        <f t="shared" si="0"/>
        <v>0</v>
      </c>
      <c r="AA13" s="369">
        <f t="shared" si="1"/>
        <v>0</v>
      </c>
      <c r="AB13" s="367">
        <f t="shared" si="2"/>
        <v>0</v>
      </c>
      <c r="AC13" s="367">
        <f t="shared" si="3"/>
        <v>0</v>
      </c>
      <c r="AD13" s="367">
        <f t="shared" si="4"/>
        <v>0</v>
      </c>
      <c r="AE13" s="333">
        <f t="shared" si="5"/>
        <v>0</v>
      </c>
      <c r="AF13" s="334">
        <f t="shared" si="6"/>
        <v>0</v>
      </c>
      <c r="AG13" s="335">
        <f t="shared" si="7"/>
        <v>0</v>
      </c>
      <c r="AI13" s="313">
        <f t="shared" si="8"/>
        <v>0</v>
      </c>
      <c r="AJ13" s="2">
        <f t="shared" si="9"/>
        <v>0</v>
      </c>
    </row>
    <row r="14" spans="1:37" ht="15.75" x14ac:dyDescent="0.25">
      <c r="B14" s="11">
        <v>7</v>
      </c>
      <c r="C14" s="16"/>
      <c r="D14" s="14"/>
      <c r="E14" s="14"/>
      <c r="F14" s="14"/>
      <c r="G14" s="14"/>
      <c r="H14" s="1"/>
      <c r="I14" s="14"/>
      <c r="J14" s="106"/>
      <c r="K14" s="138"/>
      <c r="L14" s="1">
        <v>0</v>
      </c>
      <c r="M14" s="1"/>
      <c r="N14" s="1"/>
      <c r="O14" s="1"/>
      <c r="P14" s="1"/>
      <c r="Q14" s="1"/>
      <c r="R14" s="216"/>
      <c r="S14" s="216"/>
      <c r="T14" s="581"/>
      <c r="U14" s="216"/>
      <c r="V14" s="216"/>
      <c r="W14" s="2"/>
      <c r="X14" s="1"/>
      <c r="Z14" s="368">
        <f t="shared" si="0"/>
        <v>0</v>
      </c>
      <c r="AA14" s="369">
        <f t="shared" si="1"/>
        <v>0</v>
      </c>
      <c r="AB14" s="367">
        <f t="shared" si="2"/>
        <v>0</v>
      </c>
      <c r="AC14" s="367">
        <f t="shared" si="3"/>
        <v>0</v>
      </c>
      <c r="AD14" s="367">
        <f t="shared" si="4"/>
        <v>0</v>
      </c>
      <c r="AE14" s="333">
        <f t="shared" si="5"/>
        <v>0</v>
      </c>
      <c r="AF14" s="334">
        <f t="shared" si="6"/>
        <v>0</v>
      </c>
      <c r="AG14" s="335">
        <f t="shared" si="7"/>
        <v>0</v>
      </c>
      <c r="AI14" s="313">
        <f t="shared" si="8"/>
        <v>0</v>
      </c>
      <c r="AJ14" s="2">
        <f t="shared" si="9"/>
        <v>0</v>
      </c>
    </row>
    <row r="15" spans="1:37" ht="15.75" x14ac:dyDescent="0.25">
      <c r="B15" s="11">
        <v>8</v>
      </c>
      <c r="C15" s="16"/>
      <c r="D15" s="14"/>
      <c r="E15" s="14"/>
      <c r="F15" s="14"/>
      <c r="G15" s="14"/>
      <c r="H15" s="1"/>
      <c r="I15" s="14"/>
      <c r="J15" s="106"/>
      <c r="K15" s="138"/>
      <c r="L15" s="1">
        <v>0</v>
      </c>
      <c r="M15" s="1"/>
      <c r="N15" s="1"/>
      <c r="O15" s="1"/>
      <c r="P15" s="1"/>
      <c r="Q15" s="1"/>
      <c r="R15" s="216"/>
      <c r="S15" s="216"/>
      <c r="T15" s="581"/>
      <c r="U15" s="216"/>
      <c r="V15" s="216"/>
      <c r="W15" s="2"/>
      <c r="X15" s="1"/>
      <c r="Z15" s="368">
        <f t="shared" si="0"/>
        <v>0</v>
      </c>
      <c r="AA15" s="369">
        <f t="shared" si="1"/>
        <v>0</v>
      </c>
      <c r="AB15" s="367">
        <f t="shared" si="2"/>
        <v>0</v>
      </c>
      <c r="AC15" s="367">
        <f t="shared" si="3"/>
        <v>0</v>
      </c>
      <c r="AD15" s="367">
        <f t="shared" si="4"/>
        <v>0</v>
      </c>
      <c r="AE15" s="333">
        <f t="shared" si="5"/>
        <v>0</v>
      </c>
      <c r="AF15" s="334">
        <f t="shared" si="6"/>
        <v>0</v>
      </c>
      <c r="AG15" s="335">
        <f t="shared" si="7"/>
        <v>0</v>
      </c>
      <c r="AI15" s="313">
        <f t="shared" si="8"/>
        <v>0</v>
      </c>
      <c r="AJ15" s="2">
        <f t="shared" si="9"/>
        <v>0</v>
      </c>
    </row>
    <row r="16" spans="1:37" ht="15.75" x14ac:dyDescent="0.25">
      <c r="B16" s="11">
        <v>9</v>
      </c>
      <c r="C16" s="16"/>
      <c r="D16" s="14"/>
      <c r="E16" s="14"/>
      <c r="F16" s="14"/>
      <c r="G16" s="14"/>
      <c r="H16" s="1"/>
      <c r="I16" s="14"/>
      <c r="J16" s="106"/>
      <c r="K16" s="138"/>
      <c r="L16" s="1">
        <v>0</v>
      </c>
      <c r="M16" s="1"/>
      <c r="N16" s="1"/>
      <c r="O16" s="1"/>
      <c r="P16" s="1"/>
      <c r="Q16" s="1"/>
      <c r="R16" s="216"/>
      <c r="S16" s="216"/>
      <c r="T16" s="581"/>
      <c r="U16" s="216"/>
      <c r="V16" s="216"/>
      <c r="W16" s="2"/>
      <c r="X16" s="1"/>
      <c r="Z16" s="368">
        <f t="shared" ref="Z16:Z19" si="10">D16</f>
        <v>0</v>
      </c>
      <c r="AA16" s="369">
        <f t="shared" ref="AA16:AA19" si="11">H16</f>
        <v>0</v>
      </c>
      <c r="AB16" s="367">
        <f t="shared" ref="AB16:AB19" si="12">N16</f>
        <v>0</v>
      </c>
      <c r="AC16" s="367">
        <f>O11</f>
        <v>0</v>
      </c>
      <c r="AD16" s="367">
        <f t="shared" ref="AD16:AD19" si="13">Q16</f>
        <v>0</v>
      </c>
      <c r="AE16" s="333">
        <f t="shared" ref="AE16:AE19" si="14">J16</f>
        <v>0</v>
      </c>
      <c r="AF16" s="334">
        <f t="shared" ref="AF16:AF19" si="15">K16</f>
        <v>0</v>
      </c>
      <c r="AG16" s="335">
        <f t="shared" ref="AG16:AG19" si="16">L16</f>
        <v>0</v>
      </c>
      <c r="AI16" s="313">
        <f t="shared" si="8"/>
        <v>0</v>
      </c>
      <c r="AJ16" s="2">
        <f t="shared" ref="AJ16:AJ19" si="17">U16</f>
        <v>0</v>
      </c>
    </row>
    <row r="17" spans="2:36" ht="15.75" x14ac:dyDescent="0.25">
      <c r="B17" s="11">
        <v>10</v>
      </c>
      <c r="C17" s="16"/>
      <c r="D17" s="14"/>
      <c r="E17" s="14"/>
      <c r="F17" s="14"/>
      <c r="G17" s="14"/>
      <c r="H17" s="1"/>
      <c r="I17" s="14"/>
      <c r="J17" s="106"/>
      <c r="K17" s="138"/>
      <c r="L17" s="1">
        <v>0</v>
      </c>
      <c r="M17" s="1"/>
      <c r="N17" s="1"/>
      <c r="O17" s="1"/>
      <c r="P17" s="1"/>
      <c r="Q17" s="1"/>
      <c r="R17" s="216"/>
      <c r="S17" s="216"/>
      <c r="T17" s="581"/>
      <c r="U17" s="216"/>
      <c r="V17" s="216"/>
      <c r="W17" s="2"/>
      <c r="X17" s="1"/>
      <c r="Z17" s="368">
        <f t="shared" si="10"/>
        <v>0</v>
      </c>
      <c r="AA17" s="369">
        <f t="shared" si="11"/>
        <v>0</v>
      </c>
      <c r="AB17" s="367">
        <f t="shared" si="12"/>
        <v>0</v>
      </c>
      <c r="AC17" s="367">
        <f t="shared" ref="AC17:AC19" si="18">O16</f>
        <v>0</v>
      </c>
      <c r="AD17" s="367">
        <f t="shared" si="13"/>
        <v>0</v>
      </c>
      <c r="AE17" s="333">
        <f t="shared" si="14"/>
        <v>0</v>
      </c>
      <c r="AF17" s="334">
        <f t="shared" si="15"/>
        <v>0</v>
      </c>
      <c r="AG17" s="335">
        <f t="shared" si="16"/>
        <v>0</v>
      </c>
      <c r="AI17" s="313">
        <f t="shared" si="8"/>
        <v>0</v>
      </c>
      <c r="AJ17" s="2">
        <f t="shared" si="17"/>
        <v>0</v>
      </c>
    </row>
    <row r="18" spans="2:36" ht="15.75" x14ac:dyDescent="0.25">
      <c r="B18" s="11">
        <v>11</v>
      </c>
      <c r="C18" s="16"/>
      <c r="D18" s="14"/>
      <c r="E18" s="14"/>
      <c r="F18" s="14"/>
      <c r="G18" s="14"/>
      <c r="H18" s="1"/>
      <c r="I18" s="14"/>
      <c r="J18" s="106"/>
      <c r="K18" s="138"/>
      <c r="L18" s="1">
        <v>0</v>
      </c>
      <c r="M18" s="1"/>
      <c r="N18" s="1"/>
      <c r="O18" s="1"/>
      <c r="P18" s="1"/>
      <c r="Q18" s="1"/>
      <c r="R18" s="216"/>
      <c r="S18" s="216"/>
      <c r="T18" s="581"/>
      <c r="U18" s="216"/>
      <c r="V18" s="216"/>
      <c r="W18" s="2"/>
      <c r="X18" s="1"/>
      <c r="Z18" s="368">
        <f t="shared" si="10"/>
        <v>0</v>
      </c>
      <c r="AA18" s="369">
        <f t="shared" si="11"/>
        <v>0</v>
      </c>
      <c r="AB18" s="367">
        <f t="shared" si="12"/>
        <v>0</v>
      </c>
      <c r="AC18" s="367">
        <f t="shared" si="18"/>
        <v>0</v>
      </c>
      <c r="AD18" s="367">
        <f t="shared" si="13"/>
        <v>0</v>
      </c>
      <c r="AE18" s="333">
        <f t="shared" si="14"/>
        <v>0</v>
      </c>
      <c r="AF18" s="334">
        <f t="shared" si="15"/>
        <v>0</v>
      </c>
      <c r="AG18" s="335">
        <f t="shared" si="16"/>
        <v>0</v>
      </c>
      <c r="AI18" s="313">
        <f t="shared" si="8"/>
        <v>0</v>
      </c>
      <c r="AJ18" s="2">
        <f t="shared" si="17"/>
        <v>0</v>
      </c>
    </row>
    <row r="19" spans="2:36" ht="15.75" x14ac:dyDescent="0.25">
      <c r="B19" s="11">
        <v>12</v>
      </c>
      <c r="C19" s="16"/>
      <c r="D19" s="14"/>
      <c r="E19" s="14"/>
      <c r="F19" s="14"/>
      <c r="G19" s="14"/>
      <c r="H19" s="1"/>
      <c r="I19" s="14"/>
      <c r="J19" s="106"/>
      <c r="K19" s="138"/>
      <c r="L19" s="1">
        <v>0</v>
      </c>
      <c r="M19" s="1"/>
      <c r="N19" s="1"/>
      <c r="O19" s="1"/>
      <c r="P19" s="1"/>
      <c r="Q19" s="1"/>
      <c r="R19" s="216"/>
      <c r="S19" s="216"/>
      <c r="T19" s="581"/>
      <c r="U19" s="216"/>
      <c r="V19" s="216"/>
      <c r="W19" s="2"/>
      <c r="X19" s="1"/>
      <c r="Z19" s="368">
        <f t="shared" si="10"/>
        <v>0</v>
      </c>
      <c r="AA19" s="369">
        <f t="shared" si="11"/>
        <v>0</v>
      </c>
      <c r="AB19" s="367">
        <f t="shared" si="12"/>
        <v>0</v>
      </c>
      <c r="AC19" s="367">
        <f t="shared" si="18"/>
        <v>0</v>
      </c>
      <c r="AD19" s="367">
        <f t="shared" si="13"/>
        <v>0</v>
      </c>
      <c r="AE19" s="333">
        <f t="shared" si="14"/>
        <v>0</v>
      </c>
      <c r="AF19" s="334">
        <f t="shared" si="15"/>
        <v>0</v>
      </c>
      <c r="AG19" s="335">
        <f t="shared" si="16"/>
        <v>0</v>
      </c>
      <c r="AI19" s="313">
        <f t="shared" si="8"/>
        <v>0</v>
      </c>
      <c r="AJ19" s="2">
        <f t="shared" si="17"/>
        <v>0</v>
      </c>
    </row>
    <row r="20" spans="2:36" ht="15.75" x14ac:dyDescent="0.25">
      <c r="B20" s="11">
        <v>9</v>
      </c>
      <c r="C20" s="16"/>
      <c r="D20" s="14"/>
      <c r="E20" s="14"/>
      <c r="F20" s="14"/>
      <c r="G20" s="14"/>
      <c r="H20" s="1"/>
      <c r="I20" s="14"/>
      <c r="J20" s="106"/>
      <c r="K20" s="138"/>
      <c r="L20" s="1">
        <v>0</v>
      </c>
      <c r="M20" s="1"/>
      <c r="N20" s="1"/>
      <c r="O20" s="1"/>
      <c r="P20" s="1"/>
      <c r="Q20" s="1"/>
      <c r="R20" s="216"/>
      <c r="S20" s="216"/>
      <c r="T20" s="581"/>
      <c r="U20" s="216"/>
      <c r="V20" s="216"/>
      <c r="W20" s="2"/>
      <c r="X20" s="1"/>
      <c r="Z20" s="368">
        <f t="shared" si="0"/>
        <v>0</v>
      </c>
      <c r="AA20" s="369">
        <f t="shared" si="1"/>
        <v>0</v>
      </c>
      <c r="AB20" s="367">
        <f t="shared" si="2"/>
        <v>0</v>
      </c>
      <c r="AC20" s="367">
        <f>O15</f>
        <v>0</v>
      </c>
      <c r="AD20" s="367">
        <f t="shared" si="4"/>
        <v>0</v>
      </c>
      <c r="AE20" s="333">
        <f t="shared" si="5"/>
        <v>0</v>
      </c>
      <c r="AF20" s="334">
        <f t="shared" si="6"/>
        <v>0</v>
      </c>
      <c r="AG20" s="335">
        <f t="shared" si="7"/>
        <v>0</v>
      </c>
      <c r="AI20" s="313">
        <f t="shared" si="8"/>
        <v>0</v>
      </c>
      <c r="AJ20" s="2">
        <f t="shared" si="9"/>
        <v>0</v>
      </c>
    </row>
    <row r="21" spans="2:36" ht="15.75" x14ac:dyDescent="0.25">
      <c r="B21" s="11">
        <v>10</v>
      </c>
      <c r="C21" s="16"/>
      <c r="D21" s="14"/>
      <c r="E21" s="14"/>
      <c r="F21" s="14"/>
      <c r="G21" s="14"/>
      <c r="H21" s="1"/>
      <c r="I21" s="14"/>
      <c r="J21" s="106"/>
      <c r="K21" s="138"/>
      <c r="L21" s="1">
        <v>0</v>
      </c>
      <c r="M21" s="1"/>
      <c r="N21" s="1"/>
      <c r="O21" s="1"/>
      <c r="P21" s="1"/>
      <c r="Q21" s="1"/>
      <c r="R21" s="216"/>
      <c r="S21" s="216"/>
      <c r="T21" s="581"/>
      <c r="U21" s="216"/>
      <c r="V21" s="216"/>
      <c r="W21" s="2"/>
      <c r="X21" s="1"/>
      <c r="Z21" s="368">
        <f t="shared" si="0"/>
        <v>0</v>
      </c>
      <c r="AA21" s="369">
        <f t="shared" si="1"/>
        <v>0</v>
      </c>
      <c r="AB21" s="367">
        <f t="shared" si="2"/>
        <v>0</v>
      </c>
      <c r="AC21" s="367">
        <f t="shared" si="3"/>
        <v>0</v>
      </c>
      <c r="AD21" s="367">
        <f t="shared" si="4"/>
        <v>0</v>
      </c>
      <c r="AE21" s="333">
        <f t="shared" si="5"/>
        <v>0</v>
      </c>
      <c r="AF21" s="334">
        <f t="shared" si="6"/>
        <v>0</v>
      </c>
      <c r="AG21" s="335">
        <f t="shared" si="7"/>
        <v>0</v>
      </c>
      <c r="AI21" s="313">
        <f t="shared" si="8"/>
        <v>0</v>
      </c>
      <c r="AJ21" s="2">
        <f t="shared" si="9"/>
        <v>0</v>
      </c>
    </row>
    <row r="22" spans="2:36" ht="15.75" x14ac:dyDescent="0.25">
      <c r="B22" s="11">
        <v>11</v>
      </c>
      <c r="C22" s="16"/>
      <c r="D22" s="14"/>
      <c r="E22" s="14"/>
      <c r="F22" s="14"/>
      <c r="G22" s="14"/>
      <c r="H22" s="1"/>
      <c r="I22" s="14"/>
      <c r="J22" s="106"/>
      <c r="K22" s="138"/>
      <c r="L22" s="1">
        <v>0</v>
      </c>
      <c r="M22" s="1"/>
      <c r="N22" s="1"/>
      <c r="O22" s="1"/>
      <c r="P22" s="1"/>
      <c r="Q22" s="1"/>
      <c r="R22" s="216"/>
      <c r="S22" s="216"/>
      <c r="T22" s="581"/>
      <c r="U22" s="216"/>
      <c r="V22" s="216"/>
      <c r="W22" s="2"/>
      <c r="X22" s="1"/>
      <c r="Z22" s="368">
        <f t="shared" si="0"/>
        <v>0</v>
      </c>
      <c r="AA22" s="369">
        <f t="shared" si="1"/>
        <v>0</v>
      </c>
      <c r="AB22" s="367">
        <f t="shared" si="2"/>
        <v>0</v>
      </c>
      <c r="AC22" s="367">
        <f t="shared" si="3"/>
        <v>0</v>
      </c>
      <c r="AD22" s="367">
        <f t="shared" si="4"/>
        <v>0</v>
      </c>
      <c r="AE22" s="333">
        <f t="shared" si="5"/>
        <v>0</v>
      </c>
      <c r="AF22" s="334">
        <f t="shared" si="6"/>
        <v>0</v>
      </c>
      <c r="AG22" s="335">
        <f t="shared" si="7"/>
        <v>0</v>
      </c>
      <c r="AI22" s="313">
        <f t="shared" si="8"/>
        <v>0</v>
      </c>
      <c r="AJ22" s="2">
        <f t="shared" si="9"/>
        <v>0</v>
      </c>
    </row>
    <row r="23" spans="2:36" ht="15.75" x14ac:dyDescent="0.25">
      <c r="B23" s="11">
        <v>12</v>
      </c>
      <c r="C23" s="16"/>
      <c r="D23" s="14"/>
      <c r="E23" s="14"/>
      <c r="F23" s="14"/>
      <c r="G23" s="14"/>
      <c r="H23" s="1"/>
      <c r="I23" s="14"/>
      <c r="J23" s="106"/>
      <c r="K23" s="138"/>
      <c r="L23" s="1">
        <v>0</v>
      </c>
      <c r="M23" s="1"/>
      <c r="N23" s="1"/>
      <c r="O23" s="1"/>
      <c r="P23" s="1"/>
      <c r="Q23" s="1"/>
      <c r="R23" s="216"/>
      <c r="S23" s="216"/>
      <c r="T23" s="581"/>
      <c r="U23" s="216"/>
      <c r="V23" s="216"/>
      <c r="W23" s="2"/>
      <c r="X23" s="1"/>
      <c r="Z23" s="368">
        <f t="shared" si="0"/>
        <v>0</v>
      </c>
      <c r="AA23" s="369">
        <f t="shared" si="1"/>
        <v>0</v>
      </c>
      <c r="AB23" s="367">
        <f t="shared" si="2"/>
        <v>0</v>
      </c>
      <c r="AC23" s="367">
        <f t="shared" si="3"/>
        <v>0</v>
      </c>
      <c r="AD23" s="367">
        <f t="shared" si="4"/>
        <v>0</v>
      </c>
      <c r="AE23" s="333">
        <f t="shared" si="5"/>
        <v>0</v>
      </c>
      <c r="AF23" s="334">
        <f t="shared" si="6"/>
        <v>0</v>
      </c>
      <c r="AG23" s="335">
        <f t="shared" si="7"/>
        <v>0</v>
      </c>
      <c r="AI23" s="313">
        <f t="shared" si="8"/>
        <v>0</v>
      </c>
      <c r="AJ23" s="2">
        <f t="shared" si="9"/>
        <v>0</v>
      </c>
    </row>
    <row r="25" spans="2:36" x14ac:dyDescent="0.25">
      <c r="L25" s="50">
        <f>SUBTOTAL(9,$L$8:$L$23)</f>
        <v>0</v>
      </c>
      <c r="M25" s="50">
        <f>SUBTOTAL(9,$M$8:$M$23)</f>
        <v>0</v>
      </c>
    </row>
    <row r="26" spans="2:36" x14ac:dyDescent="0.25">
      <c r="D26" s="215" t="s">
        <v>230</v>
      </c>
      <c r="E26" s="48" t="s">
        <v>232</v>
      </c>
      <c r="F26" s="215" t="s">
        <v>259</v>
      </c>
      <c r="G26" s="215" t="s">
        <v>260</v>
      </c>
      <c r="H26" s="215" t="s">
        <v>231</v>
      </c>
    </row>
    <row r="27" spans="2:36" ht="15.75" x14ac:dyDescent="0.25">
      <c r="D27" s="14"/>
      <c r="E27" s="14"/>
      <c r="F27" s="365">
        <f>SUMIFS($L$8:$L$23,$D$8:$D$23,$D27,$F$8:$F$23,$E27)</f>
        <v>0</v>
      </c>
      <c r="G27" s="257">
        <f>_xlfn.XLOOKUP($D27,$D$8:$D$23,$W$8:$W$23)</f>
        <v>0</v>
      </c>
      <c r="H27" s="257">
        <f>_xlfn.XLOOKUP($D27,$D$8:$D$23,$E$8:$E$23)</f>
        <v>0</v>
      </c>
    </row>
    <row r="28" spans="2:36" ht="15.75" x14ac:dyDescent="0.25">
      <c r="D28" s="14"/>
      <c r="E28" s="14"/>
      <c r="F28" s="365">
        <f t="shared" ref="F28:F33" si="19">SUMIFS($L$8:$L$23,$D$8:$D$23,$D28,$F$8:$F$23,$E28)</f>
        <v>0</v>
      </c>
      <c r="G28" s="257">
        <f t="shared" ref="G28:G33" si="20">_xlfn.XLOOKUP($D28,$D$8:$D$23,$W$8:$W$23)</f>
        <v>0</v>
      </c>
      <c r="H28" s="257">
        <f t="shared" ref="H28:H33" si="21">_xlfn.XLOOKUP($D28,$D$8:$D$23,$E$8:$E$23)</f>
        <v>0</v>
      </c>
    </row>
    <row r="29" spans="2:36" ht="15.75" x14ac:dyDescent="0.25">
      <c r="D29" s="14"/>
      <c r="E29" s="14"/>
      <c r="F29" s="365">
        <f t="shared" si="19"/>
        <v>0</v>
      </c>
      <c r="G29" s="257">
        <f t="shared" si="20"/>
        <v>0</v>
      </c>
      <c r="H29" s="257">
        <f t="shared" si="21"/>
        <v>0</v>
      </c>
    </row>
    <row r="30" spans="2:36" ht="15.75" x14ac:dyDescent="0.25">
      <c r="D30" s="14"/>
      <c r="E30" s="14"/>
      <c r="F30" s="365">
        <f t="shared" si="19"/>
        <v>0</v>
      </c>
      <c r="G30" s="29">
        <f t="shared" si="20"/>
        <v>0</v>
      </c>
      <c r="H30" s="29">
        <f t="shared" si="21"/>
        <v>0</v>
      </c>
    </row>
    <row r="31" spans="2:36" ht="15.75" x14ac:dyDescent="0.25">
      <c r="D31" s="14"/>
      <c r="E31" s="14"/>
      <c r="F31" s="365">
        <f t="shared" si="19"/>
        <v>0</v>
      </c>
      <c r="G31" s="29">
        <f t="shared" si="20"/>
        <v>0</v>
      </c>
      <c r="H31" s="29">
        <f t="shared" si="21"/>
        <v>0</v>
      </c>
    </row>
    <row r="32" spans="2:36" ht="15.75" x14ac:dyDescent="0.25">
      <c r="D32" s="14"/>
      <c r="E32" s="14"/>
      <c r="F32" s="365">
        <f t="shared" si="19"/>
        <v>0</v>
      </c>
      <c r="G32" s="29">
        <f t="shared" si="20"/>
        <v>0</v>
      </c>
      <c r="H32" s="29">
        <f t="shared" si="21"/>
        <v>0</v>
      </c>
    </row>
    <row r="33" spans="4:8" ht="15.75" x14ac:dyDescent="0.25">
      <c r="D33" s="14"/>
      <c r="E33" s="14"/>
      <c r="F33" s="365">
        <f t="shared" si="19"/>
        <v>0</v>
      </c>
      <c r="G33" s="29">
        <f t="shared" si="20"/>
        <v>0</v>
      </c>
      <c r="H33" s="29">
        <f t="shared" si="21"/>
        <v>0</v>
      </c>
    </row>
    <row r="34" spans="4:8" ht="15.75" x14ac:dyDescent="0.25">
      <c r="F34" s="530">
        <f>SUM(F27:F33)</f>
        <v>0</v>
      </c>
    </row>
    <row r="39" spans="4:8" x14ac:dyDescent="0.25">
      <c r="E39" s="311" t="s">
        <v>238</v>
      </c>
      <c r="F39" s="311" t="s">
        <v>261</v>
      </c>
      <c r="G39" s="311" t="s">
        <v>262</v>
      </c>
      <c r="H39" s="311" t="s">
        <v>79</v>
      </c>
    </row>
    <row r="40" spans="4:8" x14ac:dyDescent="0.25">
      <c r="D40" t="s">
        <v>263</v>
      </c>
      <c r="E40" s="217">
        <f>SUMIFS($L$8:$L$23,$E$8:$E$23,$D40)</f>
        <v>0</v>
      </c>
      <c r="F40" s="217">
        <f>SUMIFS($L$8:$L$23,$E$8:$E$23,$D40,$C$8:$C$23,"YES")</f>
        <v>0</v>
      </c>
      <c r="G40" s="217">
        <f>SUMIFS($L$8:$L$23,$C$8:$C$23,"PENDING",$E$8:$E$23,$D40)</f>
        <v>0</v>
      </c>
      <c r="H40" s="217">
        <f>E40-(F40+G40)</f>
        <v>0</v>
      </c>
    </row>
    <row r="41" spans="4:8" x14ac:dyDescent="0.25">
      <c r="D41" t="s">
        <v>186</v>
      </c>
      <c r="E41" s="204">
        <f>SUMIFS($L$8:$L$23,$E$8:$E$23,$D41)</f>
        <v>0</v>
      </c>
      <c r="F41" s="217">
        <f>SUMIFS($L$8:$L$23,$E$8:$E$23,$D41,$C$8:$C$23,"YES")</f>
        <v>0</v>
      </c>
      <c r="G41" s="217">
        <f>SUMIFS($L$8:$L$23,$C$8:$C$23,"PENDING",$E$8:$E$23,$D41)</f>
        <v>0</v>
      </c>
      <c r="H41" s="217">
        <f>E41-(F41+G41)</f>
        <v>0</v>
      </c>
    </row>
    <row r="42" spans="4:8" ht="15.75" thickBot="1" x14ac:dyDescent="0.3">
      <c r="D42" s="196" t="s">
        <v>264</v>
      </c>
      <c r="E42" s="218">
        <f>SUMIFS($L$8:$L$23,$E$8:$E$23,$D42)</f>
        <v>0</v>
      </c>
      <c r="F42" s="218">
        <f>SUMIFS($L$8:$L$23,$E$8:$E$23,$D42,$C$8:$C$23,"YES")</f>
        <v>0</v>
      </c>
      <c r="G42" s="218">
        <f>SUMIFS($L$8:$L$23,$C$8:$C$23,"PENDING",$E$8:$E$23,$D42)</f>
        <v>0</v>
      </c>
      <c r="H42" s="218">
        <f>E42-(F42+G42)</f>
        <v>0</v>
      </c>
    </row>
    <row r="43" spans="4:8" x14ac:dyDescent="0.25">
      <c r="E43" s="217">
        <f>SUM(E40:E42)</f>
        <v>0</v>
      </c>
      <c r="F43" s="217">
        <f t="shared" ref="F43:G43" si="22">SUM(F40:F42)</f>
        <v>0</v>
      </c>
      <c r="G43" s="217">
        <f t="shared" si="22"/>
        <v>0</v>
      </c>
      <c r="H43" s="217">
        <f>E43-(F43+G43)</f>
        <v>0</v>
      </c>
    </row>
    <row r="47" spans="4:8" x14ac:dyDescent="0.25">
      <c r="D47" s="649"/>
      <c r="E47" s="162" t="s">
        <v>265</v>
      </c>
      <c r="F47" s="162"/>
      <c r="G47" s="650"/>
      <c r="H47" s="651"/>
    </row>
    <row r="48" spans="4:8" x14ac:dyDescent="0.25">
      <c r="D48" s="149"/>
      <c r="E48" s="150"/>
      <c r="F48" s="150"/>
      <c r="G48" s="151"/>
      <c r="H48" s="152"/>
    </row>
    <row r="49" spans="4:8" x14ac:dyDescent="0.25">
      <c r="D49" s="160" t="s">
        <v>266</v>
      </c>
      <c r="E49" s="96" t="s">
        <v>153</v>
      </c>
      <c r="F49" s="96"/>
      <c r="G49" s="122" t="s">
        <v>80</v>
      </c>
      <c r="H49" s="153">
        <v>0</v>
      </c>
    </row>
    <row r="50" spans="4:8" ht="15.75" thickBot="1" x14ac:dyDescent="0.3">
      <c r="D50" s="154"/>
      <c r="E50" s="8"/>
      <c r="F50" s="8"/>
      <c r="G50" s="126" t="s">
        <v>267</v>
      </c>
      <c r="H50" s="155" t="e">
        <f>SUM('Comm Summary (L-L, L-O)'!K20:K40)</f>
        <v>#REF!</v>
      </c>
    </row>
    <row r="51" spans="4:8" ht="15.75" thickTop="1" x14ac:dyDescent="0.25">
      <c r="D51" s="156"/>
      <c r="E51" s="157"/>
      <c r="F51" s="157"/>
      <c r="G51" s="158" t="s">
        <v>81</v>
      </c>
      <c r="H51" s="159" t="e">
        <f>SUM(H49:H50)</f>
        <v>#REF!</v>
      </c>
    </row>
    <row r="52" spans="4:8" x14ac:dyDescent="0.25">
      <c r="D52" s="184"/>
      <c r="E52" s="184"/>
      <c r="F52" s="184"/>
      <c r="G52" s="184"/>
      <c r="H52" s="184"/>
    </row>
    <row r="53" spans="4:8" x14ac:dyDescent="0.25">
      <c r="D53" s="184"/>
      <c r="E53" s="184"/>
      <c r="F53" s="184"/>
      <c r="G53" s="184"/>
      <c r="H53" s="184"/>
    </row>
    <row r="54" spans="4:8" x14ac:dyDescent="0.25">
      <c r="D54" s="652"/>
      <c r="E54" s="163" t="s">
        <v>265</v>
      </c>
      <c r="F54" s="163"/>
      <c r="G54" s="653"/>
      <c r="H54" s="654"/>
    </row>
    <row r="55" spans="4:8" x14ac:dyDescent="0.25">
      <c r="D55" s="149"/>
      <c r="E55" s="150"/>
      <c r="F55" s="150"/>
      <c r="G55" s="151"/>
      <c r="H55" s="152"/>
    </row>
    <row r="56" spans="4:8" x14ac:dyDescent="0.25">
      <c r="D56" s="160" t="s">
        <v>268</v>
      </c>
      <c r="E56" s="96" t="s">
        <v>153</v>
      </c>
      <c r="F56" s="96"/>
      <c r="G56" s="122" t="s">
        <v>80</v>
      </c>
      <c r="H56" s="153">
        <f>G40</f>
        <v>0</v>
      </c>
    </row>
    <row r="57" spans="4:8" ht="15.75" thickBot="1" x14ac:dyDescent="0.3">
      <c r="D57" s="154"/>
      <c r="E57" s="8"/>
      <c r="F57" s="8"/>
      <c r="G57" s="126" t="s">
        <v>267</v>
      </c>
      <c r="H57" s="155">
        <v>0</v>
      </c>
    </row>
    <row r="58" spans="4:8" ht="15.75" thickTop="1" x14ac:dyDescent="0.25">
      <c r="D58" s="156"/>
      <c r="E58" s="157"/>
      <c r="F58" s="157"/>
      <c r="G58" s="158" t="s">
        <v>81</v>
      </c>
      <c r="H58" s="159">
        <f>SUM(H56:H57)</f>
        <v>0</v>
      </c>
    </row>
    <row r="59" spans="4:8" x14ac:dyDescent="0.25">
      <c r="D59" s="184"/>
      <c r="E59" s="184"/>
      <c r="F59" s="184"/>
      <c r="G59" s="184"/>
      <c r="H59" s="184"/>
    </row>
    <row r="60" spans="4:8" x14ac:dyDescent="0.25">
      <c r="D60" s="184"/>
      <c r="E60" s="184"/>
      <c r="F60" s="184"/>
      <c r="G60" s="184"/>
      <c r="H60" s="184"/>
    </row>
    <row r="61" spans="4:8" x14ac:dyDescent="0.25">
      <c r="D61" s="184"/>
      <c r="G61" s="122" t="s">
        <v>269</v>
      </c>
      <c r="H61" s="39">
        <f>H49+H56</f>
        <v>0</v>
      </c>
    </row>
    <row r="62" spans="4:8" ht="15.75" thickBot="1" x14ac:dyDescent="0.3">
      <c r="D62" s="184"/>
      <c r="G62" s="126" t="s">
        <v>270</v>
      </c>
      <c r="H62" s="127" t="e">
        <f>SUM(H50,H57)</f>
        <v>#REF!</v>
      </c>
    </row>
    <row r="63" spans="4:8" ht="15.75" thickTop="1" x14ac:dyDescent="0.25">
      <c r="D63" s="184"/>
      <c r="G63" s="122" t="s">
        <v>81</v>
      </c>
      <c r="H63" s="94" t="e">
        <f>SUM(H61:H62)</f>
        <v>#REF!</v>
      </c>
    </row>
  </sheetData>
  <autoFilter ref="B7:S22" xr:uid="{8850604E-9853-416E-99EE-5198C32E36ED}"/>
  <conditionalFormatting sqref="C8:C23">
    <cfRule type="cellIs" dxfId="166" priority="1" operator="equal">
      <formula>"PENDING"</formula>
    </cfRule>
    <cfRule type="cellIs" dxfId="165" priority="2" operator="equal">
      <formula>"NO-OOS"</formula>
    </cfRule>
    <cfRule type="cellIs" dxfId="164" priority="3" operator="equal">
      <formula>"PROJECT FEE"</formula>
    </cfRule>
    <cfRule type="cellIs" dxfId="163" priority="4" operator="equal">
      <formula>"NO-IL"</formula>
    </cfRule>
    <cfRule type="cellIs" dxfId="162" priority="5" operator="equal">
      <formula>"YES"</formula>
    </cfRule>
  </conditionalFormatting>
  <dataValidations count="1">
    <dataValidation type="list" allowBlank="1" showInputMessage="1" showErrorMessage="1" sqref="C8:C23 E27:E30 U8:V23 R8:S23 G8:G11 D40:D42 E8:F23 H8:H23" xr:uid="{A19B175A-6911-43B2-B3C8-C16EA2DAA8F4}">
      <formula1>#REF!</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BT317"/>
  <sheetViews>
    <sheetView tabSelected="1" zoomScale="70" zoomScaleNormal="70" workbookViewId="0">
      <pane xSplit="5" ySplit="8" topLeftCell="P9" activePane="bottomRight" state="frozen"/>
      <selection pane="topRight" activeCell="J36" sqref="J36"/>
      <selection pane="bottomLeft" activeCell="J36" sqref="J36"/>
      <selection pane="bottomRight" activeCell="AD37" sqref="AD37"/>
    </sheetView>
  </sheetViews>
  <sheetFormatPr defaultColWidth="9.140625" defaultRowHeight="15" x14ac:dyDescent="0.25"/>
  <cols>
    <col min="1" max="1" width="2" customWidth="1"/>
    <col min="2" max="2" width="7.42578125" style="9" customWidth="1"/>
    <col min="3" max="3" width="14.140625" style="8" bestFit="1" customWidth="1"/>
    <col min="4" max="4" width="13.140625" style="27" customWidth="1"/>
    <col min="5" max="5" width="26.140625" style="8" customWidth="1"/>
    <col min="6" max="7" width="19.5703125" style="8" customWidth="1"/>
    <col min="8" max="9" width="13.85546875" style="173" customWidth="1"/>
    <col min="10" max="10" width="16.5703125" style="438" customWidth="1"/>
    <col min="11" max="11" width="16.140625" customWidth="1"/>
    <col min="12" max="12" width="23.140625" style="173" bestFit="1" customWidth="1"/>
    <col min="13" max="13" width="23.140625" style="173" customWidth="1"/>
    <col min="14" max="14" width="18.5703125" style="96" bestFit="1" customWidth="1"/>
    <col min="15" max="17" width="29.140625" style="39" bestFit="1" customWidth="1"/>
    <col min="18" max="18" width="24.140625" style="39" bestFit="1" customWidth="1"/>
    <col min="19" max="19" width="17.140625" style="39" bestFit="1" customWidth="1"/>
    <col min="20" max="20" width="23.140625" style="39" bestFit="1" customWidth="1"/>
    <col min="21" max="22" width="15.42578125" style="39" bestFit="1" customWidth="1"/>
    <col min="23" max="23" width="13.85546875" style="39" bestFit="1" customWidth="1"/>
    <col min="24" max="24" width="14" style="39" bestFit="1" customWidth="1"/>
    <col min="25" max="25" width="14.5703125" style="39" bestFit="1" customWidth="1"/>
    <col min="26" max="26" width="16.85546875" style="39" bestFit="1" customWidth="1"/>
    <col min="27" max="27" width="19" style="39" bestFit="1" customWidth="1"/>
    <col min="28" max="28" width="19" style="39" customWidth="1"/>
    <col min="29" max="29" width="16" style="39" bestFit="1" customWidth="1"/>
    <col min="30" max="30" width="16" style="39" customWidth="1"/>
    <col min="31" max="31" width="15.85546875" style="39" bestFit="1" customWidth="1"/>
    <col min="32" max="32" width="25.140625" style="39" bestFit="1" customWidth="1"/>
    <col min="33" max="33" width="24.5703125" style="8" bestFit="1" customWidth="1"/>
    <col min="34" max="37" width="24.5703125" style="8" customWidth="1"/>
    <col min="38" max="38" width="21.140625" customWidth="1"/>
    <col min="39" max="39" width="13" customWidth="1"/>
    <col min="40" max="40" width="20.85546875" customWidth="1"/>
    <col min="41" max="41" width="19.5703125" style="8" customWidth="1"/>
    <col min="42" max="42" width="19.140625" style="8" customWidth="1"/>
    <col min="43" max="43" width="13.5703125" style="8" customWidth="1"/>
    <col min="44" max="44" width="22.85546875" style="8" customWidth="1"/>
    <col min="45" max="45" width="20.85546875" style="8" customWidth="1"/>
    <col min="46" max="46" width="18.5703125" style="8" customWidth="1"/>
    <col min="47" max="47" width="14.5703125" style="8" customWidth="1"/>
    <col min="48" max="48" width="18" style="8" customWidth="1"/>
    <col min="49" max="49" width="18.5703125" style="8" bestFit="1" customWidth="1"/>
    <col min="50" max="50" width="25.5703125" style="8" customWidth="1"/>
    <col min="51" max="51" width="12.42578125" style="8" customWidth="1"/>
    <col min="52" max="52" width="11.140625" style="177" customWidth="1"/>
    <col min="53" max="53" width="11.85546875" style="8" customWidth="1"/>
    <col min="54" max="55" width="21.85546875" style="8" customWidth="1"/>
    <col min="56" max="56" width="46.140625" style="8" customWidth="1"/>
    <col min="57" max="57" width="11.5703125" style="8" bestFit="1" customWidth="1"/>
    <col min="58" max="58" width="11.5703125" style="8" customWidth="1"/>
    <col min="59" max="59" width="19.5703125" style="8" bestFit="1" customWidth="1"/>
    <col min="60" max="60" width="20.42578125" style="8" bestFit="1" customWidth="1"/>
    <col min="61" max="61" width="21.5703125" style="8" bestFit="1" customWidth="1"/>
    <col min="62" max="65" width="11.5703125" style="8" customWidth="1"/>
    <col min="66" max="66" width="15.5703125" bestFit="1" customWidth="1"/>
    <col min="67" max="67" width="18" customWidth="1"/>
    <col min="68" max="68" width="20.140625" customWidth="1"/>
    <col min="69" max="69" width="17.85546875" customWidth="1"/>
    <col min="70" max="70" width="12.85546875" bestFit="1" customWidth="1"/>
    <col min="71" max="71" width="13" bestFit="1" customWidth="1"/>
    <col min="72" max="72" width="14.140625" customWidth="1"/>
  </cols>
  <sheetData>
    <row r="1" spans="1:72" s="282" customFormat="1" ht="44.85" customHeight="1" thickBot="1" x14ac:dyDescent="0.4">
      <c r="B1" s="312" t="s">
        <v>271</v>
      </c>
      <c r="C1" s="312"/>
      <c r="D1" s="312"/>
      <c r="E1" s="312"/>
      <c r="F1" s="312"/>
      <c r="G1" s="312"/>
      <c r="H1" s="312"/>
      <c r="I1" s="312"/>
      <c r="J1" s="436" t="s">
        <v>272</v>
      </c>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312"/>
      <c r="AY1" s="312"/>
      <c r="AZ1" s="312"/>
      <c r="BA1" s="312"/>
      <c r="BB1" s="283"/>
      <c r="BC1" s="283"/>
      <c r="BN1" s="312"/>
      <c r="BO1" s="312"/>
      <c r="BP1" s="312"/>
      <c r="BQ1" s="312"/>
    </row>
    <row r="2" spans="1:72" ht="16.5" thickBot="1" x14ac:dyDescent="0.3">
      <c r="B2" s="103"/>
      <c r="C2" s="31"/>
      <c r="D2" s="25"/>
      <c r="E2" s="31"/>
      <c r="F2" s="103"/>
      <c r="G2" s="103"/>
      <c r="H2" s="172"/>
      <c r="I2" s="172"/>
      <c r="J2" s="437"/>
      <c r="N2" s="103"/>
      <c r="O2" s="103"/>
      <c r="P2" s="103"/>
      <c r="Q2" s="103"/>
      <c r="R2" s="103"/>
      <c r="S2" s="103"/>
      <c r="T2" s="103"/>
      <c r="U2" s="103" t="s">
        <v>272</v>
      </c>
      <c r="V2" s="103"/>
      <c r="W2" s="103"/>
      <c r="X2" s="103"/>
      <c r="Y2" s="103"/>
      <c r="Z2" s="103"/>
      <c r="AA2" s="103"/>
      <c r="AB2" s="103"/>
      <c r="AC2" s="103"/>
      <c r="AD2" s="103"/>
      <c r="AE2" s="103"/>
      <c r="AF2" s="103"/>
      <c r="AG2" s="31"/>
      <c r="AH2" s="31"/>
      <c r="AI2" s="31"/>
      <c r="AJ2" s="31"/>
      <c r="AK2" s="31"/>
      <c r="AL2" s="31"/>
      <c r="AM2" s="31"/>
      <c r="AN2" s="31"/>
      <c r="AO2" s="103"/>
      <c r="AP2" s="103"/>
      <c r="AQ2" s="103"/>
      <c r="AR2" s="103"/>
      <c r="AS2" s="103"/>
      <c r="AT2" s="103"/>
      <c r="AV2" s="208" t="s">
        <v>273</v>
      </c>
      <c r="AW2" s="209">
        <v>44831</v>
      </c>
      <c r="AX2" s="103"/>
      <c r="AY2" s="103"/>
      <c r="AZ2" s="8"/>
      <c r="BB2"/>
      <c r="BC2"/>
      <c r="BD2"/>
      <c r="BE2"/>
      <c r="BF2"/>
      <c r="BG2"/>
      <c r="BH2"/>
      <c r="BI2"/>
      <c r="BJ2"/>
      <c r="BK2"/>
      <c r="BL2"/>
      <c r="BM2"/>
    </row>
    <row r="3" spans="1:72" ht="15.75" thickBot="1" x14ac:dyDescent="0.3">
      <c r="C3" s="5" t="s">
        <v>68</v>
      </c>
      <c r="D3" s="5" t="s">
        <v>274</v>
      </c>
      <c r="E3"/>
      <c r="H3" s="23"/>
      <c r="I3" s="23"/>
      <c r="O3"/>
      <c r="P3"/>
      <c r="Q3"/>
      <c r="R3"/>
      <c r="S3"/>
      <c r="T3"/>
      <c r="U3"/>
      <c r="V3"/>
      <c r="W3"/>
      <c r="X3"/>
      <c r="Y3"/>
      <c r="Z3"/>
      <c r="AA3" s="8"/>
      <c r="AB3" s="8"/>
      <c r="AC3" s="8"/>
      <c r="AD3" s="8"/>
      <c r="AE3" s="8"/>
      <c r="AF3"/>
      <c r="AG3" s="32"/>
      <c r="AH3" s="32"/>
      <c r="AI3" s="32"/>
      <c r="AJ3" s="32"/>
      <c r="AK3" s="32"/>
      <c r="AL3" s="32"/>
      <c r="AM3" s="32"/>
      <c r="AN3" s="8"/>
      <c r="AV3" s="208" t="s">
        <v>275</v>
      </c>
      <c r="AW3" s="209">
        <v>44834</v>
      </c>
      <c r="AZ3" s="8"/>
      <c r="BB3"/>
      <c r="BC3"/>
      <c r="BD3"/>
      <c r="BE3"/>
      <c r="BF3"/>
      <c r="BG3"/>
      <c r="BH3"/>
      <c r="BI3"/>
      <c r="BJ3"/>
      <c r="BK3"/>
      <c r="BL3"/>
      <c r="BM3"/>
    </row>
    <row r="4" spans="1:72" ht="19.5" thickBot="1" x14ac:dyDescent="0.35">
      <c r="C4" s="206" t="s">
        <v>74</v>
      </c>
      <c r="D4" s="202">
        <v>44741</v>
      </c>
      <c r="E4"/>
      <c r="F4" s="102"/>
      <c r="H4" s="7"/>
      <c r="I4" s="7"/>
      <c r="J4" s="439"/>
      <c r="O4"/>
      <c r="P4"/>
      <c r="Q4"/>
      <c r="R4"/>
      <c r="S4"/>
      <c r="T4"/>
      <c r="U4"/>
      <c r="V4"/>
      <c r="W4"/>
      <c r="X4" s="5"/>
      <c r="Y4" s="5"/>
      <c r="Z4" s="5"/>
      <c r="AA4" s="6"/>
      <c r="AB4" s="6"/>
      <c r="AC4" s="6"/>
      <c r="AD4" s="6"/>
      <c r="AE4" s="8"/>
      <c r="AF4" s="5"/>
      <c r="AG4" s="5"/>
      <c r="AH4" s="5"/>
      <c r="AI4" s="5"/>
      <c r="AJ4" s="5"/>
      <c r="AK4" s="5"/>
      <c r="AL4" s="427" t="s">
        <v>276</v>
      </c>
      <c r="AM4" s="428"/>
      <c r="AN4" s="427"/>
      <c r="AO4" s="429"/>
      <c r="AP4" s="429"/>
      <c r="AQ4" s="430"/>
      <c r="AR4" s="429"/>
      <c r="AS4" s="102"/>
      <c r="AT4" s="102"/>
      <c r="AV4" s="208" t="s">
        <v>277</v>
      </c>
      <c r="AW4" s="209">
        <v>44896</v>
      </c>
      <c r="AY4" s="102"/>
      <c r="AZ4" s="8"/>
      <c r="BA4" s="102"/>
      <c r="BB4"/>
      <c r="BC4"/>
      <c r="BD4"/>
      <c r="BE4"/>
      <c r="BF4"/>
      <c r="BG4"/>
      <c r="BH4"/>
      <c r="BI4"/>
      <c r="BJ4"/>
      <c r="BK4"/>
      <c r="BL4"/>
      <c r="BM4"/>
    </row>
    <row r="5" spans="1:72" ht="19.5" thickBot="1" x14ac:dyDescent="0.35">
      <c r="C5" s="206" t="s">
        <v>278</v>
      </c>
      <c r="D5" s="203" t="s">
        <v>65</v>
      </c>
      <c r="E5"/>
      <c r="F5" s="102"/>
      <c r="J5" s="439"/>
      <c r="O5"/>
      <c r="P5"/>
      <c r="Q5"/>
      <c r="R5"/>
      <c r="S5"/>
      <c r="T5"/>
      <c r="U5" s="286">
        <v>6.2E-2</v>
      </c>
      <c r="V5" s="286">
        <v>1.4500000000000001E-2</v>
      </c>
      <c r="W5" s="285"/>
      <c r="X5" s="285"/>
      <c r="Y5" s="285"/>
      <c r="Z5" s="6"/>
      <c r="AA5" s="6"/>
      <c r="AB5" s="6"/>
      <c r="AC5" s="8"/>
      <c r="AD5" s="8"/>
      <c r="AP5" s="102"/>
      <c r="AQ5" s="102"/>
      <c r="AR5" s="102"/>
      <c r="AS5" s="102"/>
      <c r="AT5" s="102"/>
      <c r="AY5" s="102"/>
      <c r="AZ5" s="8"/>
      <c r="BA5" s="102"/>
      <c r="BB5"/>
      <c r="BC5"/>
      <c r="BD5"/>
      <c r="BE5"/>
      <c r="BF5"/>
      <c r="BG5"/>
      <c r="BH5"/>
      <c r="BI5"/>
      <c r="BJ5"/>
      <c r="BK5"/>
      <c r="BL5"/>
      <c r="BM5"/>
    </row>
    <row r="6" spans="1:72" ht="19.5" thickBot="1" x14ac:dyDescent="0.35">
      <c r="C6" s="206"/>
      <c r="D6" s="203"/>
      <c r="E6"/>
      <c r="F6" s="102"/>
      <c r="G6" s="256"/>
      <c r="J6" s="439"/>
      <c r="O6"/>
      <c r="P6"/>
      <c r="Q6"/>
      <c r="R6"/>
      <c r="S6"/>
      <c r="T6"/>
      <c r="U6" s="187"/>
      <c r="V6" s="187"/>
      <c r="W6" s="285"/>
      <c r="X6" s="285"/>
      <c r="Y6" s="285"/>
      <c r="Z6" s="6"/>
      <c r="AA6" s="6"/>
      <c r="AB6" s="6"/>
      <c r="AC6" s="8"/>
      <c r="AD6" s="8"/>
      <c r="AL6" s="5"/>
      <c r="AM6" s="5"/>
      <c r="AN6" s="102"/>
      <c r="AO6" s="102"/>
      <c r="AP6" s="102"/>
      <c r="AR6" s="102"/>
      <c r="AS6" s="102"/>
      <c r="AT6" s="102"/>
      <c r="AW6" s="102"/>
      <c r="AX6" s="264"/>
      <c r="AY6" s="102"/>
      <c r="AZ6" s="8"/>
      <c r="BA6" s="102"/>
      <c r="BB6" s="444" t="s">
        <v>279</v>
      </c>
      <c r="BC6"/>
      <c r="BD6"/>
      <c r="BE6"/>
      <c r="BF6"/>
      <c r="BG6" s="314" t="s">
        <v>280</v>
      </c>
      <c r="BH6" s="339"/>
      <c r="BI6"/>
      <c r="BJ6"/>
      <c r="BK6"/>
      <c r="BL6"/>
      <c r="BM6"/>
      <c r="BO6" s="208" t="s">
        <v>281</v>
      </c>
      <c r="BP6" s="210" t="s">
        <v>282</v>
      </c>
    </row>
    <row r="7" spans="1:72" ht="15.75" thickBot="1" x14ac:dyDescent="0.3">
      <c r="C7" s="5"/>
      <c r="E7" s="258" t="s">
        <v>283</v>
      </c>
      <c r="F7" s="263" t="s">
        <v>284</v>
      </c>
      <c r="K7" s="102"/>
      <c r="Y7" s="51" t="s">
        <v>79</v>
      </c>
      <c r="Z7" s="51"/>
      <c r="AA7" s="51"/>
      <c r="AB7" s="51"/>
      <c r="AC7" s="51" t="s">
        <v>79</v>
      </c>
      <c r="AD7" s="51"/>
      <c r="AE7" s="51"/>
      <c r="AL7" s="699" t="s">
        <v>285</v>
      </c>
      <c r="AM7" s="700"/>
      <c r="AN7" s="700"/>
      <c r="AO7" s="701"/>
      <c r="AP7" s="699" t="s">
        <v>286</v>
      </c>
      <c r="AQ7" s="700"/>
      <c r="AR7" s="700"/>
      <c r="AS7" s="701"/>
      <c r="AT7" s="699" t="s">
        <v>287</v>
      </c>
      <c r="AU7" s="700"/>
      <c r="AV7" s="700"/>
      <c r="AW7" s="700"/>
      <c r="AX7" s="700"/>
      <c r="AY7" s="700"/>
      <c r="AZ7" s="700"/>
      <c r="BA7" s="700"/>
      <c r="BB7" s="265" t="s">
        <v>288</v>
      </c>
      <c r="BC7" s="328"/>
      <c r="BN7" s="21"/>
      <c r="BO7" s="21"/>
      <c r="BP7" s="21"/>
      <c r="BQ7" s="21"/>
      <c r="BR7" s="21"/>
      <c r="BS7" s="21"/>
      <c r="BT7" s="21"/>
    </row>
    <row r="8" spans="1:72" s="248" customFormat="1" ht="47.1" customHeight="1" x14ac:dyDescent="0.25">
      <c r="B8" s="232" t="s">
        <v>289</v>
      </c>
      <c r="C8" s="232" t="s">
        <v>229</v>
      </c>
      <c r="D8" s="232" t="s">
        <v>290</v>
      </c>
      <c r="E8" s="232" t="s">
        <v>291</v>
      </c>
      <c r="F8" s="232" t="s">
        <v>292</v>
      </c>
      <c r="G8" s="232" t="s">
        <v>293</v>
      </c>
      <c r="H8" s="232" t="s">
        <v>294</v>
      </c>
      <c r="I8" s="232" t="s">
        <v>295</v>
      </c>
      <c r="J8" s="440" t="s">
        <v>296</v>
      </c>
      <c r="K8" s="446" t="s">
        <v>297</v>
      </c>
      <c r="L8" s="247" t="s">
        <v>298</v>
      </c>
      <c r="M8" s="297" t="s">
        <v>299</v>
      </c>
      <c r="N8" s="233" t="s">
        <v>300</v>
      </c>
      <c r="O8" s="253" t="s">
        <v>301</v>
      </c>
      <c r="P8" s="253" t="s">
        <v>302</v>
      </c>
      <c r="Q8" s="253" t="s">
        <v>303</v>
      </c>
      <c r="R8" s="254" t="s">
        <v>304</v>
      </c>
      <c r="S8" s="254" t="s">
        <v>305</v>
      </c>
      <c r="T8" s="254" t="s">
        <v>306</v>
      </c>
      <c r="U8" s="254" t="s">
        <v>307</v>
      </c>
      <c r="V8" s="254" t="s">
        <v>308</v>
      </c>
      <c r="W8" s="254" t="s">
        <v>309</v>
      </c>
      <c r="X8" s="254" t="s">
        <v>310</v>
      </c>
      <c r="Y8" s="254" t="s">
        <v>311</v>
      </c>
      <c r="Z8" s="254" t="s">
        <v>312</v>
      </c>
      <c r="AA8" s="254" t="s">
        <v>313</v>
      </c>
      <c r="AB8" s="254" t="s">
        <v>314</v>
      </c>
      <c r="AC8" s="254" t="s">
        <v>315</v>
      </c>
      <c r="AD8" s="254" t="s">
        <v>8283</v>
      </c>
      <c r="AE8" s="254" t="s">
        <v>316</v>
      </c>
      <c r="AF8" s="255" t="s">
        <v>317</v>
      </c>
      <c r="AG8" s="254" t="s">
        <v>318</v>
      </c>
      <c r="AH8" s="254" t="s">
        <v>8281</v>
      </c>
      <c r="AI8" s="254" t="s">
        <v>8282</v>
      </c>
      <c r="AJ8" s="254" t="s">
        <v>8279</v>
      </c>
      <c r="AK8" s="254" t="s">
        <v>8280</v>
      </c>
      <c r="AL8" s="232" t="s">
        <v>319</v>
      </c>
      <c r="AM8" s="232" t="s">
        <v>320</v>
      </c>
      <c r="AN8" s="232" t="s">
        <v>321</v>
      </c>
      <c r="AO8" s="232" t="s">
        <v>322</v>
      </c>
      <c r="AP8" s="232" t="s">
        <v>323</v>
      </c>
      <c r="AQ8" s="232" t="s">
        <v>324</v>
      </c>
      <c r="AR8" s="232" t="s">
        <v>325</v>
      </c>
      <c r="AS8" s="232" t="s">
        <v>326</v>
      </c>
      <c r="AT8" s="326" t="s">
        <v>327</v>
      </c>
      <c r="AU8" s="326" t="s">
        <v>328</v>
      </c>
      <c r="AV8" s="326" t="s">
        <v>329</v>
      </c>
      <c r="AW8" s="326" t="s">
        <v>330</v>
      </c>
      <c r="AX8" s="326" t="s">
        <v>331</v>
      </c>
      <c r="AY8" s="326" t="s">
        <v>332</v>
      </c>
      <c r="AZ8" s="326" t="s">
        <v>241</v>
      </c>
      <c r="BA8" s="326" t="s">
        <v>233</v>
      </c>
      <c r="BB8" s="327" t="s">
        <v>333</v>
      </c>
      <c r="BC8" s="327" t="s">
        <v>334</v>
      </c>
      <c r="BD8" s="254" t="s">
        <v>248</v>
      </c>
      <c r="BE8" s="256"/>
      <c r="BF8" s="256" t="s">
        <v>335</v>
      </c>
      <c r="BG8" s="246" t="s">
        <v>336</v>
      </c>
      <c r="BH8" s="246" t="s">
        <v>337</v>
      </c>
      <c r="BI8" s="246" t="s">
        <v>338</v>
      </c>
      <c r="BJ8" s="246" t="s">
        <v>339</v>
      </c>
      <c r="BK8" s="246" t="s">
        <v>340</v>
      </c>
      <c r="BL8" s="246" t="s">
        <v>341</v>
      </c>
      <c r="BM8" s="245" t="s">
        <v>342</v>
      </c>
      <c r="BN8" s="249" t="s">
        <v>343</v>
      </c>
      <c r="BO8" s="250" t="s">
        <v>344</v>
      </c>
      <c r="BP8" s="249" t="s">
        <v>345</v>
      </c>
      <c r="BQ8" s="251" t="s">
        <v>346</v>
      </c>
      <c r="BR8" s="91" t="s">
        <v>347</v>
      </c>
      <c r="BS8" s="91" t="s">
        <v>348</v>
      </c>
    </row>
    <row r="9" spans="1:72" ht="15.75" x14ac:dyDescent="0.25">
      <c r="A9" s="39"/>
      <c r="B9" s="11"/>
      <c r="C9" s="16"/>
      <c r="D9" s="16"/>
      <c r="E9" s="35"/>
      <c r="F9" s="35"/>
      <c r="G9" s="29" t="e">
        <f>_xlfn.XLOOKUP(F9,#REF!,#REF!)</f>
        <v>#REF!</v>
      </c>
      <c r="H9" s="16"/>
      <c r="I9" s="16"/>
      <c r="J9" s="59"/>
      <c r="K9" s="39"/>
      <c r="L9" s="106"/>
      <c r="M9" s="106"/>
      <c r="N9" s="99"/>
      <c r="O9" s="42"/>
      <c r="P9" s="42"/>
      <c r="Q9" s="42"/>
      <c r="R9" s="42"/>
      <c r="S9" s="42"/>
      <c r="T9" s="42"/>
      <c r="U9" s="42"/>
      <c r="V9" s="42"/>
      <c r="W9" s="42"/>
      <c r="X9" s="42"/>
      <c r="Y9" s="42"/>
      <c r="Z9" s="42"/>
      <c r="AA9" s="42"/>
      <c r="AB9" s="42"/>
      <c r="AC9" s="384"/>
      <c r="AD9" s="384"/>
      <c r="AE9" s="42"/>
      <c r="AF9" s="191"/>
      <c r="AG9" s="190"/>
      <c r="AH9" s="695"/>
      <c r="AI9" s="695"/>
      <c r="AJ9" s="695"/>
      <c r="AK9" s="695"/>
      <c r="AL9" s="239"/>
      <c r="AM9" s="16"/>
      <c r="AN9" s="257"/>
      <c r="AO9" s="29"/>
      <c r="AP9" s="29"/>
      <c r="AQ9" s="29"/>
      <c r="AR9" s="29"/>
      <c r="AS9" s="29"/>
      <c r="AT9" s="230"/>
      <c r="AU9" s="231"/>
      <c r="AV9" s="231"/>
      <c r="AW9" s="99" t="str">
        <f t="shared" ref="AW9:AW39" si="0">IF(C9="NO-OOS","N/A",IF(AT9="Driver's License",IF(AU9&gt;$AW$3,"SOS",IF(AV9&gt;=$AW$3,"Valid",IF(AND(AU9&lt;$AW$3,$AW$4&gt;$AW$3,AU9&gt;AW2),"Covid","Expired"))),IF(AT9="I9",IF(AV9&gt;=$AW$2,"Valid",IF(AND(AT9&lt;$AW$3,$AW$4&gt;$AW$3,AV9&gt;AW2),"Covid","Expired")),IF(AT9="Work Permit",IF(AND(AU9&lt;=$AW$2,(AV9+365)&gt;=$AW$3),"Valid","Expired"),IF(AT9="Missing Residency","Missing",IF(AT9="","","Other"))))))</f>
        <v/>
      </c>
      <c r="AX9" s="120"/>
      <c r="AY9" s="16"/>
      <c r="AZ9" s="16"/>
      <c r="BA9" s="16"/>
      <c r="BB9" s="99"/>
      <c r="BC9" s="29"/>
      <c r="BD9" s="121"/>
      <c r="BE9"/>
      <c r="BF9"/>
      <c r="BG9" s="2"/>
      <c r="BH9" s="2"/>
      <c r="BI9" s="2"/>
      <c r="BJ9" s="2"/>
      <c r="BK9" s="2"/>
      <c r="BL9" s="2"/>
      <c r="BM9" s="2"/>
      <c r="BN9" s="1">
        <f>IF($BP$6="GROSS WAGES",(Q9+R9+S9+T9+AA9)-AF9,(Q9+R9+S9+T9)-AF9)</f>
        <v>0</v>
      </c>
      <c r="BO9" s="1">
        <f t="shared" ref="BO9:BO41" si="1">U9+V9+W9+X9</f>
        <v>0</v>
      </c>
      <c r="BP9" s="1">
        <f t="shared" ref="BP9:BP41" si="2">IF($BP$6="ER BENEFITS / PH&amp;W",(Z9+AA9),(Z9))</f>
        <v>0</v>
      </c>
      <c r="BQ9" s="238">
        <f t="shared" ref="BQ9" si="3">SUM(BN9:BP9)</f>
        <v>0</v>
      </c>
      <c r="BR9" s="94">
        <f t="shared" ref="BR9:BR41" si="4">AE9-BQ9</f>
        <v>0</v>
      </c>
      <c r="BS9" s="73">
        <f t="shared" ref="BS9:BS42" si="5">BQ9-AE9+Y9+AC9+AF9</f>
        <v>0</v>
      </c>
    </row>
    <row r="10" spans="1:72" ht="15.75" x14ac:dyDescent="0.25">
      <c r="B10" s="11">
        <v>1</v>
      </c>
      <c r="C10" s="16"/>
      <c r="D10" s="16"/>
      <c r="E10" s="35"/>
      <c r="F10" s="35"/>
      <c r="G10" s="29" t="e">
        <f>_xlfn.XLOOKUP(F10,#REF!,#REF!)</f>
        <v>#REF!</v>
      </c>
      <c r="H10" s="16"/>
      <c r="I10" s="16"/>
      <c r="J10" s="441"/>
      <c r="K10" s="39"/>
      <c r="L10" s="260"/>
      <c r="M10" s="260"/>
      <c r="N10" s="138"/>
      <c r="O10" s="384">
        <v>0</v>
      </c>
      <c r="P10" s="384">
        <v>0</v>
      </c>
      <c r="Q10" s="384">
        <v>0</v>
      </c>
      <c r="R10" s="384">
        <v>0</v>
      </c>
      <c r="S10" s="384">
        <v>0</v>
      </c>
      <c r="T10" s="384">
        <v>0</v>
      </c>
      <c r="U10" s="384">
        <v>0</v>
      </c>
      <c r="V10" s="384">
        <v>0</v>
      </c>
      <c r="W10" s="384">
        <v>0</v>
      </c>
      <c r="X10" s="384">
        <v>0</v>
      </c>
      <c r="Y10" s="384">
        <v>0</v>
      </c>
      <c r="Z10" s="384">
        <v>0</v>
      </c>
      <c r="AA10" s="384">
        <v>0</v>
      </c>
      <c r="AB10" s="384">
        <v>0</v>
      </c>
      <c r="AC10" s="384">
        <v>0</v>
      </c>
      <c r="AD10" s="384">
        <v>0</v>
      </c>
      <c r="AE10" s="42">
        <f>SUM(O10:AC10)</f>
        <v>0</v>
      </c>
      <c r="AF10" s="49">
        <v>0</v>
      </c>
      <c r="AG10" s="190">
        <f t="shared" ref="AG10:AG19" si="6">AE10-AF10</f>
        <v>0</v>
      </c>
      <c r="AH10" s="695">
        <v>0</v>
      </c>
      <c r="AI10" s="695">
        <f>AE10-AG10</f>
        <v>0</v>
      </c>
      <c r="AJ10" s="695"/>
      <c r="AK10" s="695"/>
      <c r="AL10" s="239"/>
      <c r="AM10" s="16"/>
      <c r="AN10" s="257"/>
      <c r="AO10" s="29"/>
      <c r="AP10" s="29"/>
      <c r="AQ10" s="29"/>
      <c r="AR10" s="29"/>
      <c r="AS10" s="29"/>
      <c r="AT10" s="230"/>
      <c r="AU10" s="106"/>
      <c r="AV10" s="106"/>
      <c r="AW10" s="99" t="str">
        <f t="shared" si="0"/>
        <v/>
      </c>
      <c r="AX10" s="120"/>
      <c r="AY10" s="16"/>
      <c r="AZ10" s="16"/>
      <c r="BA10" s="16"/>
      <c r="BB10" s="443" t="s">
        <v>349</v>
      </c>
      <c r="BC10" s="443" t="s">
        <v>349</v>
      </c>
      <c r="BD10" s="121"/>
      <c r="BF10" s="8">
        <f t="shared" ref="BF10:BF41" si="7">N10</f>
        <v>0</v>
      </c>
      <c r="BG10" s="29">
        <f t="shared" ref="BG10:BG41" si="8">E10</f>
        <v>0</v>
      </c>
      <c r="BH10" s="29">
        <f t="shared" ref="BH10:BH41" si="9">F10</f>
        <v>0</v>
      </c>
      <c r="BI10" s="29" t="e">
        <f t="shared" ref="BI10:BI41" si="10">G10</f>
        <v>#REF!</v>
      </c>
      <c r="BJ10" s="29">
        <f>AX10</f>
        <v>0</v>
      </c>
      <c r="BK10" s="11">
        <f>AY10</f>
        <v>0</v>
      </c>
      <c r="BL10" s="11">
        <f>AZ10</f>
        <v>0</v>
      </c>
      <c r="BM10" s="11">
        <f t="shared" ref="BM10:BM41" si="11">H10</f>
        <v>0</v>
      </c>
      <c r="BN10" s="1">
        <f t="shared" ref="BN10:BN41" si="12">IF($BP$6="GROSS WAGES",(O10+P10+Q10+R10+S10+T10+AA10)-AF10,(O10+P10+Q10+R10+S10+T10)-AF10)</f>
        <v>0</v>
      </c>
      <c r="BO10" s="1">
        <f t="shared" si="1"/>
        <v>0</v>
      </c>
      <c r="BP10" s="1">
        <f t="shared" si="2"/>
        <v>0</v>
      </c>
      <c r="BQ10" s="238">
        <f t="shared" ref="BQ10:BQ41" si="13">SUM(BN10:BP10)</f>
        <v>0</v>
      </c>
      <c r="BR10" s="94">
        <f t="shared" si="4"/>
        <v>0</v>
      </c>
      <c r="BS10" s="73">
        <f t="shared" si="5"/>
        <v>0</v>
      </c>
    </row>
    <row r="11" spans="1:72" ht="15.75" x14ac:dyDescent="0.25">
      <c r="A11" s="39"/>
      <c r="B11" s="11">
        <v>2</v>
      </c>
      <c r="C11" s="16"/>
      <c r="D11" s="16"/>
      <c r="E11" s="35"/>
      <c r="F11" s="35"/>
      <c r="G11" s="29" t="e">
        <f>_xlfn.XLOOKUP(F11,#REF!,#REF!)</f>
        <v>#REF!</v>
      </c>
      <c r="H11" s="16"/>
      <c r="I11" s="16"/>
      <c r="J11" s="441"/>
      <c r="K11" s="39"/>
      <c r="L11" s="260"/>
      <c r="M11" s="260"/>
      <c r="N11" s="138"/>
      <c r="O11" s="384">
        <v>0</v>
      </c>
      <c r="P11" s="384">
        <v>0</v>
      </c>
      <c r="Q11" s="384">
        <v>0</v>
      </c>
      <c r="R11" s="384">
        <v>0</v>
      </c>
      <c r="S11" s="384">
        <v>0</v>
      </c>
      <c r="T11" s="384">
        <v>0</v>
      </c>
      <c r="U11" s="384">
        <v>0</v>
      </c>
      <c r="V11" s="384">
        <v>0</v>
      </c>
      <c r="W11" s="384">
        <v>0</v>
      </c>
      <c r="X11" s="384">
        <v>0</v>
      </c>
      <c r="Y11" s="384">
        <v>0</v>
      </c>
      <c r="Z11" s="384">
        <v>0</v>
      </c>
      <c r="AA11" s="384">
        <v>0</v>
      </c>
      <c r="AB11" s="384">
        <v>0</v>
      </c>
      <c r="AC11" s="384">
        <v>0</v>
      </c>
      <c r="AD11" s="384">
        <v>0</v>
      </c>
      <c r="AE11" s="42">
        <f t="shared" ref="AE11:AE39" si="14">SUM(Q11:AC11)</f>
        <v>0</v>
      </c>
      <c r="AF11" s="49">
        <v>0</v>
      </c>
      <c r="AG11" s="190">
        <f t="shared" si="6"/>
        <v>0</v>
      </c>
      <c r="AH11" s="695">
        <v>0</v>
      </c>
      <c r="AI11" s="695">
        <f t="shared" ref="AI11:AI41" si="15">AE11-AG11</f>
        <v>0</v>
      </c>
      <c r="AJ11" s="695"/>
      <c r="AK11" s="695"/>
      <c r="AL11" s="239"/>
      <c r="AM11" s="16"/>
      <c r="AN11" s="257"/>
      <c r="AO11" s="29"/>
      <c r="AP11" s="29"/>
      <c r="AQ11" s="29"/>
      <c r="AR11" s="29"/>
      <c r="AS11" s="29"/>
      <c r="AT11" s="29"/>
      <c r="AU11" s="106"/>
      <c r="AV11" s="106"/>
      <c r="AW11" s="99" t="str">
        <f t="shared" si="0"/>
        <v/>
      </c>
      <c r="AX11" s="120"/>
      <c r="AY11" s="16"/>
      <c r="AZ11" s="16"/>
      <c r="BA11" s="16"/>
      <c r="BB11" s="443" t="s">
        <v>349</v>
      </c>
      <c r="BC11" s="443" t="s">
        <v>349</v>
      </c>
      <c r="BD11" s="121"/>
      <c r="BE11"/>
      <c r="BF11" s="8">
        <f t="shared" si="7"/>
        <v>0</v>
      </c>
      <c r="BG11" s="29">
        <f t="shared" si="8"/>
        <v>0</v>
      </c>
      <c r="BH11" s="29">
        <f t="shared" si="9"/>
        <v>0</v>
      </c>
      <c r="BI11" s="29" t="e">
        <f t="shared" si="10"/>
        <v>#REF!</v>
      </c>
      <c r="BJ11" s="29">
        <f t="shared" ref="BJ11:BJ41" si="16">AX11</f>
        <v>0</v>
      </c>
      <c r="BK11" s="11">
        <f t="shared" ref="BK11:BK41" si="17">AY11</f>
        <v>0</v>
      </c>
      <c r="BL11" s="11">
        <f>AZ11</f>
        <v>0</v>
      </c>
      <c r="BM11" s="11">
        <f t="shared" si="11"/>
        <v>0</v>
      </c>
      <c r="BN11" s="1">
        <f t="shared" si="12"/>
        <v>0</v>
      </c>
      <c r="BO11" s="1">
        <f t="shared" si="1"/>
        <v>0</v>
      </c>
      <c r="BP11" s="1">
        <f t="shared" si="2"/>
        <v>0</v>
      </c>
      <c r="BQ11" s="238">
        <f t="shared" si="13"/>
        <v>0</v>
      </c>
      <c r="BR11" s="94">
        <f t="shared" si="4"/>
        <v>0</v>
      </c>
      <c r="BS11" s="73">
        <f t="shared" si="5"/>
        <v>0</v>
      </c>
    </row>
    <row r="12" spans="1:72" ht="15.75" x14ac:dyDescent="0.25">
      <c r="A12" s="39"/>
      <c r="B12" s="11">
        <v>3</v>
      </c>
      <c r="C12" s="16"/>
      <c r="D12" s="16"/>
      <c r="E12" s="35"/>
      <c r="F12" s="35"/>
      <c r="G12" s="29" t="e">
        <f>_xlfn.XLOOKUP(F12,#REF!,#REF!)</f>
        <v>#REF!</v>
      </c>
      <c r="H12" s="16"/>
      <c r="I12" s="16"/>
      <c r="J12" s="441"/>
      <c r="K12" s="39"/>
      <c r="L12" s="260"/>
      <c r="M12" s="260"/>
      <c r="N12" s="138"/>
      <c r="O12" s="384">
        <v>0</v>
      </c>
      <c r="P12" s="384">
        <v>0</v>
      </c>
      <c r="Q12" s="384">
        <v>0</v>
      </c>
      <c r="R12" s="384">
        <v>0</v>
      </c>
      <c r="S12" s="384">
        <v>0</v>
      </c>
      <c r="T12" s="384">
        <v>0</v>
      </c>
      <c r="U12" s="384">
        <v>0</v>
      </c>
      <c r="V12" s="384">
        <v>0</v>
      </c>
      <c r="W12" s="384">
        <v>0</v>
      </c>
      <c r="X12" s="384">
        <v>0</v>
      </c>
      <c r="Y12" s="384">
        <v>0</v>
      </c>
      <c r="Z12" s="384">
        <v>0</v>
      </c>
      <c r="AA12" s="384">
        <v>0</v>
      </c>
      <c r="AB12" s="384">
        <v>0</v>
      </c>
      <c r="AC12" s="384">
        <v>0</v>
      </c>
      <c r="AD12" s="384">
        <v>0</v>
      </c>
      <c r="AE12" s="42">
        <f t="shared" si="14"/>
        <v>0</v>
      </c>
      <c r="AF12" s="49">
        <v>0</v>
      </c>
      <c r="AG12" s="190">
        <f t="shared" si="6"/>
        <v>0</v>
      </c>
      <c r="AH12" s="695">
        <v>0</v>
      </c>
      <c r="AI12" s="695">
        <f t="shared" si="15"/>
        <v>0</v>
      </c>
      <c r="AJ12" s="695"/>
      <c r="AK12" s="695"/>
      <c r="AL12" s="239"/>
      <c r="AM12" s="16"/>
      <c r="AN12" s="257"/>
      <c r="AO12" s="29"/>
      <c r="AP12" s="29"/>
      <c r="AQ12" s="29"/>
      <c r="AR12" s="29"/>
      <c r="AS12" s="29"/>
      <c r="AT12" s="29"/>
      <c r="AU12" s="106"/>
      <c r="AV12" s="106"/>
      <c r="AW12" s="99" t="str">
        <f t="shared" si="0"/>
        <v/>
      </c>
      <c r="AX12" s="120"/>
      <c r="AY12" s="16"/>
      <c r="AZ12" s="16"/>
      <c r="BA12" s="16"/>
      <c r="BB12" s="443" t="s">
        <v>349</v>
      </c>
      <c r="BC12" s="443" t="s">
        <v>349</v>
      </c>
      <c r="BD12" s="121"/>
      <c r="BE12"/>
      <c r="BF12" s="8">
        <f t="shared" si="7"/>
        <v>0</v>
      </c>
      <c r="BG12" s="29">
        <f t="shared" si="8"/>
        <v>0</v>
      </c>
      <c r="BH12" s="29">
        <f t="shared" si="9"/>
        <v>0</v>
      </c>
      <c r="BI12" s="29" t="e">
        <f t="shared" si="10"/>
        <v>#REF!</v>
      </c>
      <c r="BJ12" s="29">
        <f t="shared" si="16"/>
        <v>0</v>
      </c>
      <c r="BK12" s="11">
        <f t="shared" si="17"/>
        <v>0</v>
      </c>
      <c r="BL12" s="11">
        <f>AZ12</f>
        <v>0</v>
      </c>
      <c r="BM12" s="11">
        <f t="shared" si="11"/>
        <v>0</v>
      </c>
      <c r="BN12" s="1">
        <f t="shared" si="12"/>
        <v>0</v>
      </c>
      <c r="BO12" s="1">
        <f t="shared" si="1"/>
        <v>0</v>
      </c>
      <c r="BP12" s="1">
        <f t="shared" si="2"/>
        <v>0</v>
      </c>
      <c r="BQ12" s="238">
        <f t="shared" si="13"/>
        <v>0</v>
      </c>
      <c r="BR12" s="94">
        <f t="shared" si="4"/>
        <v>0</v>
      </c>
      <c r="BS12" s="73">
        <f t="shared" si="5"/>
        <v>0</v>
      </c>
    </row>
    <row r="13" spans="1:72" ht="15.75" x14ac:dyDescent="0.25">
      <c r="A13" s="39"/>
      <c r="B13" s="11">
        <v>4</v>
      </c>
      <c r="C13" s="16"/>
      <c r="D13" s="16"/>
      <c r="E13" s="35"/>
      <c r="F13" s="35"/>
      <c r="G13" s="29" t="e">
        <f>_xlfn.XLOOKUP(F13,#REF!,#REF!)</f>
        <v>#REF!</v>
      </c>
      <c r="H13" s="16"/>
      <c r="I13" s="16"/>
      <c r="J13" s="441"/>
      <c r="K13" s="39"/>
      <c r="L13" s="260"/>
      <c r="M13" s="260"/>
      <c r="N13" s="138"/>
      <c r="O13" s="384">
        <v>0</v>
      </c>
      <c r="P13" s="384">
        <v>0</v>
      </c>
      <c r="Q13" s="384">
        <v>0</v>
      </c>
      <c r="R13" s="384">
        <v>0</v>
      </c>
      <c r="S13" s="384">
        <v>0</v>
      </c>
      <c r="T13" s="384">
        <v>0</v>
      </c>
      <c r="U13" s="384">
        <v>0</v>
      </c>
      <c r="V13" s="384">
        <v>0</v>
      </c>
      <c r="W13" s="384">
        <v>0</v>
      </c>
      <c r="X13" s="384">
        <v>0</v>
      </c>
      <c r="Y13" s="384">
        <v>0</v>
      </c>
      <c r="Z13" s="384">
        <v>0</v>
      </c>
      <c r="AA13" s="384">
        <v>0</v>
      </c>
      <c r="AB13" s="384">
        <v>0</v>
      </c>
      <c r="AC13" s="384">
        <v>0</v>
      </c>
      <c r="AD13" s="384">
        <v>0</v>
      </c>
      <c r="AE13" s="42">
        <f t="shared" si="14"/>
        <v>0</v>
      </c>
      <c r="AF13" s="49">
        <v>0</v>
      </c>
      <c r="AG13" s="190">
        <f t="shared" si="6"/>
        <v>0</v>
      </c>
      <c r="AH13" s="695">
        <v>0</v>
      </c>
      <c r="AI13" s="695">
        <f t="shared" si="15"/>
        <v>0</v>
      </c>
      <c r="AJ13" s="695"/>
      <c r="AK13" s="695"/>
      <c r="AL13" s="239"/>
      <c r="AM13" s="16"/>
      <c r="AN13" s="257"/>
      <c r="AO13" s="29"/>
      <c r="AP13" s="29"/>
      <c r="AQ13" s="29"/>
      <c r="AR13" s="29"/>
      <c r="AS13" s="29"/>
      <c r="AT13" s="29"/>
      <c r="AU13" s="106"/>
      <c r="AV13" s="106"/>
      <c r="AW13" s="99" t="str">
        <f t="shared" si="0"/>
        <v/>
      </c>
      <c r="AX13" s="121"/>
      <c r="AY13" s="16"/>
      <c r="AZ13" s="16"/>
      <c r="BA13" s="16"/>
      <c r="BB13" s="443" t="s">
        <v>349</v>
      </c>
      <c r="BC13" s="443" t="s">
        <v>349</v>
      </c>
      <c r="BD13" s="121"/>
      <c r="BE13"/>
      <c r="BF13" s="8">
        <f t="shared" si="7"/>
        <v>0</v>
      </c>
      <c r="BG13" s="29">
        <f t="shared" si="8"/>
        <v>0</v>
      </c>
      <c r="BH13" s="29">
        <f t="shared" si="9"/>
        <v>0</v>
      </c>
      <c r="BI13" s="29" t="e">
        <f t="shared" si="10"/>
        <v>#REF!</v>
      </c>
      <c r="BJ13" s="29">
        <f t="shared" si="16"/>
        <v>0</v>
      </c>
      <c r="BK13" s="11">
        <f t="shared" si="17"/>
        <v>0</v>
      </c>
      <c r="BL13" s="11">
        <f t="shared" ref="BL13:BL41" si="18">AZ13</f>
        <v>0</v>
      </c>
      <c r="BM13" s="11">
        <f t="shared" si="11"/>
        <v>0</v>
      </c>
      <c r="BN13" s="1">
        <f t="shared" si="12"/>
        <v>0</v>
      </c>
      <c r="BO13" s="1">
        <f t="shared" si="1"/>
        <v>0</v>
      </c>
      <c r="BP13" s="1">
        <f t="shared" si="2"/>
        <v>0</v>
      </c>
      <c r="BQ13" s="238">
        <f t="shared" si="13"/>
        <v>0</v>
      </c>
      <c r="BR13" s="94">
        <f t="shared" si="4"/>
        <v>0</v>
      </c>
      <c r="BS13" s="73">
        <f t="shared" si="5"/>
        <v>0</v>
      </c>
    </row>
    <row r="14" spans="1:72" ht="15.75" x14ac:dyDescent="0.25">
      <c r="A14" s="39"/>
      <c r="B14" s="11">
        <v>5</v>
      </c>
      <c r="C14" s="16"/>
      <c r="E14" s="35"/>
      <c r="F14" s="35"/>
      <c r="G14" s="29" t="e">
        <f>_xlfn.XLOOKUP(F14,#REF!,#REF!)</f>
        <v>#REF!</v>
      </c>
      <c r="H14" s="16"/>
      <c r="I14" s="16"/>
      <c r="J14" s="441"/>
      <c r="K14" s="39"/>
      <c r="L14" s="260"/>
      <c r="M14" s="260"/>
      <c r="N14" s="138"/>
      <c r="O14" s="384">
        <v>0</v>
      </c>
      <c r="P14" s="384">
        <v>0</v>
      </c>
      <c r="Q14" s="384">
        <v>0</v>
      </c>
      <c r="R14" s="384">
        <v>0</v>
      </c>
      <c r="S14" s="384">
        <v>0</v>
      </c>
      <c r="T14" s="384">
        <v>0</v>
      </c>
      <c r="U14" s="384">
        <v>0</v>
      </c>
      <c r="V14" s="384">
        <v>0</v>
      </c>
      <c r="W14" s="384">
        <v>0</v>
      </c>
      <c r="X14" s="384">
        <v>0</v>
      </c>
      <c r="Y14" s="384">
        <v>0</v>
      </c>
      <c r="Z14" s="384">
        <v>0</v>
      </c>
      <c r="AA14" s="384">
        <v>0</v>
      </c>
      <c r="AB14" s="384">
        <v>0</v>
      </c>
      <c r="AC14" s="384">
        <v>0</v>
      </c>
      <c r="AD14" s="384">
        <v>0</v>
      </c>
      <c r="AE14" s="42">
        <f t="shared" si="14"/>
        <v>0</v>
      </c>
      <c r="AF14" s="49">
        <v>0</v>
      </c>
      <c r="AG14" s="190">
        <f t="shared" si="6"/>
        <v>0</v>
      </c>
      <c r="AH14" s="695">
        <v>0</v>
      </c>
      <c r="AI14" s="695">
        <f t="shared" si="15"/>
        <v>0</v>
      </c>
      <c r="AJ14" s="695"/>
      <c r="AK14" s="695"/>
      <c r="AL14" s="239"/>
      <c r="AM14" s="16"/>
      <c r="AN14" s="257"/>
      <c r="AO14" s="29"/>
      <c r="AP14" s="29"/>
      <c r="AQ14" s="29"/>
      <c r="AR14" s="29"/>
      <c r="AS14" s="29"/>
      <c r="AT14" s="29"/>
      <c r="AU14" s="106"/>
      <c r="AV14" s="106"/>
      <c r="AW14" s="99" t="str">
        <f t="shared" si="0"/>
        <v/>
      </c>
      <c r="AX14" s="121"/>
      <c r="AY14" s="16"/>
      <c r="AZ14" s="16"/>
      <c r="BA14" s="16"/>
      <c r="BB14" s="443" t="s">
        <v>349</v>
      </c>
      <c r="BC14" s="443" t="s">
        <v>349</v>
      </c>
      <c r="BD14" s="121"/>
      <c r="BE14"/>
      <c r="BF14" s="8">
        <f t="shared" si="7"/>
        <v>0</v>
      </c>
      <c r="BG14" s="29">
        <f t="shared" si="8"/>
        <v>0</v>
      </c>
      <c r="BH14" s="29">
        <f t="shared" si="9"/>
        <v>0</v>
      </c>
      <c r="BI14" s="29" t="e">
        <f t="shared" si="10"/>
        <v>#REF!</v>
      </c>
      <c r="BJ14" s="29">
        <f t="shared" si="16"/>
        <v>0</v>
      </c>
      <c r="BK14" s="11">
        <f t="shared" si="17"/>
        <v>0</v>
      </c>
      <c r="BL14" s="11">
        <f t="shared" si="18"/>
        <v>0</v>
      </c>
      <c r="BM14" s="11">
        <f t="shared" si="11"/>
        <v>0</v>
      </c>
      <c r="BN14" s="1">
        <f t="shared" si="12"/>
        <v>0</v>
      </c>
      <c r="BO14" s="1">
        <f t="shared" si="1"/>
        <v>0</v>
      </c>
      <c r="BP14" s="1">
        <f t="shared" si="2"/>
        <v>0</v>
      </c>
      <c r="BQ14" s="238">
        <f t="shared" si="13"/>
        <v>0</v>
      </c>
      <c r="BR14" s="94">
        <f t="shared" si="4"/>
        <v>0</v>
      </c>
      <c r="BS14" s="73">
        <f t="shared" si="5"/>
        <v>0</v>
      </c>
    </row>
    <row r="15" spans="1:72" ht="15.75" x14ac:dyDescent="0.25">
      <c r="A15" s="39"/>
      <c r="B15" s="11">
        <v>6</v>
      </c>
      <c r="C15" s="16"/>
      <c r="D15" s="16"/>
      <c r="E15" s="35"/>
      <c r="F15" s="35"/>
      <c r="G15" s="29" t="e">
        <f>_xlfn.XLOOKUP(F15,#REF!,#REF!)</f>
        <v>#REF!</v>
      </c>
      <c r="H15" s="16"/>
      <c r="I15" s="16"/>
      <c r="J15" s="441"/>
      <c r="K15" s="39"/>
      <c r="L15" s="260"/>
      <c r="M15" s="260"/>
      <c r="N15" s="138"/>
      <c r="O15" s="384">
        <v>0</v>
      </c>
      <c r="P15" s="384">
        <v>0</v>
      </c>
      <c r="Q15" s="384">
        <v>0</v>
      </c>
      <c r="R15" s="384">
        <v>0</v>
      </c>
      <c r="S15" s="384">
        <v>0</v>
      </c>
      <c r="T15" s="384">
        <v>0</v>
      </c>
      <c r="U15" s="384">
        <v>0</v>
      </c>
      <c r="V15" s="384">
        <v>0</v>
      </c>
      <c r="W15" s="384">
        <v>0</v>
      </c>
      <c r="X15" s="384">
        <v>0</v>
      </c>
      <c r="Y15" s="384">
        <v>0</v>
      </c>
      <c r="Z15" s="384">
        <v>0</v>
      </c>
      <c r="AA15" s="384">
        <v>0</v>
      </c>
      <c r="AB15" s="384">
        <v>0</v>
      </c>
      <c r="AC15" s="384">
        <v>0</v>
      </c>
      <c r="AD15" s="384">
        <v>0</v>
      </c>
      <c r="AE15" s="42">
        <f t="shared" si="14"/>
        <v>0</v>
      </c>
      <c r="AF15" s="49">
        <v>0</v>
      </c>
      <c r="AG15" s="190">
        <f t="shared" si="6"/>
        <v>0</v>
      </c>
      <c r="AH15" s="695">
        <v>0</v>
      </c>
      <c r="AI15" s="695">
        <f t="shared" si="15"/>
        <v>0</v>
      </c>
      <c r="AJ15" s="695"/>
      <c r="AK15" s="695"/>
      <c r="AL15" s="239"/>
      <c r="AM15" s="16"/>
      <c r="AN15" s="257"/>
      <c r="AO15" s="29"/>
      <c r="AP15" s="29"/>
      <c r="AQ15" s="29"/>
      <c r="AR15" s="29"/>
      <c r="AS15" s="29"/>
      <c r="AT15" s="29"/>
      <c r="AU15" s="106"/>
      <c r="AV15" s="106"/>
      <c r="AW15" s="99" t="str">
        <f t="shared" si="0"/>
        <v/>
      </c>
      <c r="AX15" s="121"/>
      <c r="AY15" s="16"/>
      <c r="AZ15" s="16"/>
      <c r="BA15" s="16"/>
      <c r="BB15" s="443" t="s">
        <v>349</v>
      </c>
      <c r="BC15" s="443" t="s">
        <v>349</v>
      </c>
      <c r="BD15" s="121"/>
      <c r="BF15" s="8">
        <f t="shared" si="7"/>
        <v>0</v>
      </c>
      <c r="BG15" s="29">
        <f t="shared" si="8"/>
        <v>0</v>
      </c>
      <c r="BH15" s="29">
        <f t="shared" si="9"/>
        <v>0</v>
      </c>
      <c r="BI15" s="29" t="e">
        <f t="shared" si="10"/>
        <v>#REF!</v>
      </c>
      <c r="BJ15" s="29">
        <f t="shared" si="16"/>
        <v>0</v>
      </c>
      <c r="BK15" s="11">
        <f t="shared" si="17"/>
        <v>0</v>
      </c>
      <c r="BL15" s="11">
        <f t="shared" si="18"/>
        <v>0</v>
      </c>
      <c r="BM15" s="11">
        <f t="shared" si="11"/>
        <v>0</v>
      </c>
      <c r="BN15" s="1">
        <f t="shared" si="12"/>
        <v>0</v>
      </c>
      <c r="BO15" s="1">
        <f t="shared" si="1"/>
        <v>0</v>
      </c>
      <c r="BP15" s="1">
        <f t="shared" si="2"/>
        <v>0</v>
      </c>
      <c r="BQ15" s="238">
        <f t="shared" si="13"/>
        <v>0</v>
      </c>
      <c r="BR15" s="94">
        <f t="shared" si="4"/>
        <v>0</v>
      </c>
      <c r="BS15" s="73">
        <f t="shared" si="5"/>
        <v>0</v>
      </c>
    </row>
    <row r="16" spans="1:72" ht="15.75" x14ac:dyDescent="0.25">
      <c r="B16" s="11">
        <v>7</v>
      </c>
      <c r="C16" s="16"/>
      <c r="D16" s="16"/>
      <c r="E16" s="35"/>
      <c r="F16" s="35"/>
      <c r="G16" s="29" t="e">
        <f>_xlfn.XLOOKUP(F16,#REF!,#REF!)</f>
        <v>#REF!</v>
      </c>
      <c r="H16" s="16"/>
      <c r="I16" s="16"/>
      <c r="J16" s="441"/>
      <c r="K16" s="39"/>
      <c r="L16" s="260"/>
      <c r="M16" s="260"/>
      <c r="N16" s="138"/>
      <c r="O16" s="384">
        <v>0</v>
      </c>
      <c r="P16" s="384">
        <v>0</v>
      </c>
      <c r="Q16" s="384">
        <v>0</v>
      </c>
      <c r="R16" s="384">
        <v>0</v>
      </c>
      <c r="S16" s="384">
        <v>0</v>
      </c>
      <c r="T16" s="384">
        <v>0</v>
      </c>
      <c r="U16" s="384">
        <v>0</v>
      </c>
      <c r="V16" s="384">
        <v>0</v>
      </c>
      <c r="W16" s="384">
        <v>0</v>
      </c>
      <c r="X16" s="384">
        <v>0</v>
      </c>
      <c r="Y16" s="384">
        <v>0</v>
      </c>
      <c r="Z16" s="384">
        <v>0</v>
      </c>
      <c r="AA16" s="384">
        <v>0</v>
      </c>
      <c r="AB16" s="384">
        <v>0</v>
      </c>
      <c r="AC16" s="384">
        <v>0</v>
      </c>
      <c r="AD16" s="384">
        <v>0</v>
      </c>
      <c r="AE16" s="42">
        <f t="shared" si="14"/>
        <v>0</v>
      </c>
      <c r="AF16" s="49">
        <v>0</v>
      </c>
      <c r="AG16" s="190">
        <f t="shared" si="6"/>
        <v>0</v>
      </c>
      <c r="AH16" s="695">
        <v>0</v>
      </c>
      <c r="AI16" s="695">
        <f t="shared" si="15"/>
        <v>0</v>
      </c>
      <c r="AJ16" s="695"/>
      <c r="AK16" s="695"/>
      <c r="AL16" s="239"/>
      <c r="AM16" s="16"/>
      <c r="AN16" s="257"/>
      <c r="AO16" s="29"/>
      <c r="AP16" s="29"/>
      <c r="AQ16" s="29"/>
      <c r="AR16" s="29"/>
      <c r="AS16" s="29"/>
      <c r="AT16" s="29"/>
      <c r="AU16" s="106"/>
      <c r="AV16" s="106"/>
      <c r="AW16" s="99" t="str">
        <f t="shared" si="0"/>
        <v/>
      </c>
      <c r="AX16" s="121"/>
      <c r="AY16" s="16"/>
      <c r="AZ16" s="16"/>
      <c r="BA16" s="16"/>
      <c r="BB16" s="443" t="s">
        <v>349</v>
      </c>
      <c r="BC16" s="443" t="s">
        <v>349</v>
      </c>
      <c r="BD16" s="121"/>
      <c r="BF16" s="8">
        <f t="shared" si="7"/>
        <v>0</v>
      </c>
      <c r="BG16" s="29">
        <f t="shared" si="8"/>
        <v>0</v>
      </c>
      <c r="BH16" s="29">
        <f t="shared" si="9"/>
        <v>0</v>
      </c>
      <c r="BI16" s="29" t="e">
        <f t="shared" si="10"/>
        <v>#REF!</v>
      </c>
      <c r="BJ16" s="29">
        <f t="shared" si="16"/>
        <v>0</v>
      </c>
      <c r="BK16" s="11">
        <f t="shared" si="17"/>
        <v>0</v>
      </c>
      <c r="BL16" s="11">
        <f t="shared" si="18"/>
        <v>0</v>
      </c>
      <c r="BM16" s="11">
        <f t="shared" si="11"/>
        <v>0</v>
      </c>
      <c r="BN16" s="1">
        <f t="shared" si="12"/>
        <v>0</v>
      </c>
      <c r="BO16" s="1">
        <f t="shared" si="1"/>
        <v>0</v>
      </c>
      <c r="BP16" s="1">
        <f t="shared" si="2"/>
        <v>0</v>
      </c>
      <c r="BQ16" s="238">
        <f t="shared" si="13"/>
        <v>0</v>
      </c>
      <c r="BR16" s="94">
        <f t="shared" si="4"/>
        <v>0</v>
      </c>
      <c r="BS16" s="73">
        <f t="shared" si="5"/>
        <v>0</v>
      </c>
    </row>
    <row r="17" spans="1:71" ht="15.75" x14ac:dyDescent="0.25">
      <c r="A17" s="39"/>
      <c r="B17" s="11">
        <v>8</v>
      </c>
      <c r="C17" s="16"/>
      <c r="D17" s="16"/>
      <c r="E17" s="35"/>
      <c r="F17" s="35"/>
      <c r="G17" s="29" t="e">
        <f>_xlfn.XLOOKUP(F17,#REF!,#REF!)</f>
        <v>#REF!</v>
      </c>
      <c r="H17" s="16"/>
      <c r="I17" s="16"/>
      <c r="J17" s="441"/>
      <c r="K17" s="39"/>
      <c r="L17" s="260"/>
      <c r="M17" s="260"/>
      <c r="N17" s="138"/>
      <c r="O17" s="384">
        <v>0</v>
      </c>
      <c r="P17" s="384">
        <v>0</v>
      </c>
      <c r="Q17" s="384">
        <v>0</v>
      </c>
      <c r="R17" s="384">
        <v>0</v>
      </c>
      <c r="S17" s="384">
        <v>0</v>
      </c>
      <c r="T17" s="384">
        <v>0</v>
      </c>
      <c r="U17" s="384">
        <v>0</v>
      </c>
      <c r="V17" s="384">
        <v>0</v>
      </c>
      <c r="W17" s="384">
        <v>0</v>
      </c>
      <c r="X17" s="384">
        <v>0</v>
      </c>
      <c r="Y17" s="384">
        <v>0</v>
      </c>
      <c r="Z17" s="384">
        <v>0</v>
      </c>
      <c r="AA17" s="384">
        <v>0</v>
      </c>
      <c r="AB17" s="384">
        <v>0</v>
      </c>
      <c r="AC17" s="384">
        <v>0</v>
      </c>
      <c r="AD17" s="384">
        <v>0</v>
      </c>
      <c r="AE17" s="42">
        <f t="shared" si="14"/>
        <v>0</v>
      </c>
      <c r="AF17" s="49">
        <v>0</v>
      </c>
      <c r="AG17" s="190">
        <f t="shared" si="6"/>
        <v>0</v>
      </c>
      <c r="AH17" s="695">
        <v>0</v>
      </c>
      <c r="AI17" s="695">
        <f t="shared" si="15"/>
        <v>0</v>
      </c>
      <c r="AJ17" s="695"/>
      <c r="AK17" s="695"/>
      <c r="AL17" s="239"/>
      <c r="AM17" s="16"/>
      <c r="AN17" s="257"/>
      <c r="AO17" s="29"/>
      <c r="AP17" s="29"/>
      <c r="AQ17" s="29"/>
      <c r="AR17" s="29"/>
      <c r="AS17" s="29"/>
      <c r="AT17" s="29"/>
      <c r="AU17" s="106"/>
      <c r="AV17" s="106"/>
      <c r="AW17" s="99" t="str">
        <f t="shared" si="0"/>
        <v/>
      </c>
      <c r="AX17" s="121"/>
      <c r="AY17" s="16"/>
      <c r="AZ17" s="16"/>
      <c r="BA17" s="16"/>
      <c r="BB17" s="443" t="s">
        <v>349</v>
      </c>
      <c r="BC17" s="443" t="s">
        <v>349</v>
      </c>
      <c r="BD17" s="121"/>
      <c r="BE17"/>
      <c r="BF17" s="8">
        <f t="shared" si="7"/>
        <v>0</v>
      </c>
      <c r="BG17" s="29">
        <f t="shared" si="8"/>
        <v>0</v>
      </c>
      <c r="BH17" s="29">
        <f t="shared" si="9"/>
        <v>0</v>
      </c>
      <c r="BI17" s="29" t="e">
        <f t="shared" si="10"/>
        <v>#REF!</v>
      </c>
      <c r="BJ17" s="29">
        <f t="shared" si="16"/>
        <v>0</v>
      </c>
      <c r="BK17" s="11">
        <f t="shared" si="17"/>
        <v>0</v>
      </c>
      <c r="BL17" s="11">
        <f t="shared" si="18"/>
        <v>0</v>
      </c>
      <c r="BM17" s="11">
        <f t="shared" si="11"/>
        <v>0</v>
      </c>
      <c r="BN17" s="1">
        <f t="shared" si="12"/>
        <v>0</v>
      </c>
      <c r="BO17" s="1">
        <f t="shared" si="1"/>
        <v>0</v>
      </c>
      <c r="BP17" s="1">
        <f t="shared" si="2"/>
        <v>0</v>
      </c>
      <c r="BQ17" s="238">
        <f t="shared" si="13"/>
        <v>0</v>
      </c>
      <c r="BR17" s="94">
        <f t="shared" si="4"/>
        <v>0</v>
      </c>
      <c r="BS17" s="73">
        <f t="shared" si="5"/>
        <v>0</v>
      </c>
    </row>
    <row r="18" spans="1:71" ht="15.75" x14ac:dyDescent="0.25">
      <c r="B18" s="11">
        <v>9</v>
      </c>
      <c r="C18" s="16"/>
      <c r="D18" s="16"/>
      <c r="E18" s="35"/>
      <c r="F18" s="35"/>
      <c r="G18" s="29" t="e">
        <f>_xlfn.XLOOKUP(F18,#REF!,#REF!)</f>
        <v>#REF!</v>
      </c>
      <c r="H18" s="16"/>
      <c r="I18" s="16"/>
      <c r="J18" s="441"/>
      <c r="K18" s="39"/>
      <c r="L18" s="260"/>
      <c r="M18" s="260"/>
      <c r="N18" s="138"/>
      <c r="O18" s="384">
        <v>0</v>
      </c>
      <c r="P18" s="384">
        <v>0</v>
      </c>
      <c r="Q18" s="384">
        <v>0</v>
      </c>
      <c r="R18" s="384">
        <v>0</v>
      </c>
      <c r="S18" s="384">
        <v>0</v>
      </c>
      <c r="T18" s="384">
        <v>0</v>
      </c>
      <c r="U18" s="384">
        <v>0</v>
      </c>
      <c r="V18" s="384">
        <v>0</v>
      </c>
      <c r="W18" s="384">
        <v>0</v>
      </c>
      <c r="X18" s="384">
        <v>0</v>
      </c>
      <c r="Y18" s="384">
        <v>0</v>
      </c>
      <c r="Z18" s="384">
        <v>0</v>
      </c>
      <c r="AA18" s="384">
        <v>0</v>
      </c>
      <c r="AB18" s="384">
        <v>0</v>
      </c>
      <c r="AC18" s="384">
        <v>0</v>
      </c>
      <c r="AD18" s="384">
        <v>0</v>
      </c>
      <c r="AE18" s="42">
        <f t="shared" si="14"/>
        <v>0</v>
      </c>
      <c r="AF18" s="49">
        <v>0</v>
      </c>
      <c r="AG18" s="190">
        <f t="shared" si="6"/>
        <v>0</v>
      </c>
      <c r="AH18" s="695">
        <v>0</v>
      </c>
      <c r="AI18" s="695">
        <f t="shared" si="15"/>
        <v>0</v>
      </c>
      <c r="AJ18" s="695"/>
      <c r="AK18" s="695"/>
      <c r="AL18" s="239"/>
      <c r="AM18" s="16"/>
      <c r="AN18" s="257"/>
      <c r="AO18" s="29"/>
      <c r="AP18" s="29"/>
      <c r="AQ18" s="29"/>
      <c r="AR18" s="29"/>
      <c r="AS18" s="29"/>
      <c r="AT18" s="29"/>
      <c r="AU18" s="106"/>
      <c r="AV18" s="106"/>
      <c r="AW18" s="99" t="str">
        <f t="shared" si="0"/>
        <v/>
      </c>
      <c r="AX18" s="121"/>
      <c r="AY18" s="16"/>
      <c r="AZ18" s="16"/>
      <c r="BA18" s="16"/>
      <c r="BB18" s="443" t="s">
        <v>349</v>
      </c>
      <c r="BC18" s="443" t="s">
        <v>349</v>
      </c>
      <c r="BD18" s="121"/>
      <c r="BF18" s="8">
        <f t="shared" si="7"/>
        <v>0</v>
      </c>
      <c r="BG18" s="29">
        <f t="shared" si="8"/>
        <v>0</v>
      </c>
      <c r="BH18" s="29">
        <f t="shared" si="9"/>
        <v>0</v>
      </c>
      <c r="BI18" s="29" t="e">
        <f t="shared" si="10"/>
        <v>#REF!</v>
      </c>
      <c r="BJ18" s="29">
        <f t="shared" si="16"/>
        <v>0</v>
      </c>
      <c r="BK18" s="11">
        <f t="shared" si="17"/>
        <v>0</v>
      </c>
      <c r="BL18" s="11">
        <f t="shared" si="18"/>
        <v>0</v>
      </c>
      <c r="BM18" s="11">
        <f t="shared" si="11"/>
        <v>0</v>
      </c>
      <c r="BN18" s="1">
        <f t="shared" si="12"/>
        <v>0</v>
      </c>
      <c r="BO18" s="1">
        <f t="shared" si="1"/>
        <v>0</v>
      </c>
      <c r="BP18" s="1">
        <f t="shared" si="2"/>
        <v>0</v>
      </c>
      <c r="BQ18" s="238">
        <f t="shared" si="13"/>
        <v>0</v>
      </c>
      <c r="BR18" s="94">
        <f t="shared" si="4"/>
        <v>0</v>
      </c>
      <c r="BS18" s="73">
        <f t="shared" si="5"/>
        <v>0</v>
      </c>
    </row>
    <row r="19" spans="1:71" ht="15.75" x14ac:dyDescent="0.25">
      <c r="B19" s="11">
        <v>10</v>
      </c>
      <c r="C19" s="16"/>
      <c r="D19" s="16"/>
      <c r="E19" s="35"/>
      <c r="F19" s="35"/>
      <c r="G19" s="29" t="e">
        <f>_xlfn.XLOOKUP(F19,#REF!,#REF!)</f>
        <v>#REF!</v>
      </c>
      <c r="H19" s="16"/>
      <c r="I19" s="16"/>
      <c r="J19" s="441"/>
      <c r="K19" s="39"/>
      <c r="L19" s="259"/>
      <c r="M19" s="259"/>
      <c r="N19" s="99"/>
      <c r="O19" s="384">
        <v>0</v>
      </c>
      <c r="P19" s="384">
        <v>0</v>
      </c>
      <c r="Q19" s="384">
        <v>0</v>
      </c>
      <c r="R19" s="384">
        <v>0</v>
      </c>
      <c r="S19" s="384">
        <v>0</v>
      </c>
      <c r="T19" s="384">
        <v>0</v>
      </c>
      <c r="U19" s="384">
        <v>0</v>
      </c>
      <c r="V19" s="384">
        <v>0</v>
      </c>
      <c r="W19" s="384">
        <v>0</v>
      </c>
      <c r="X19" s="384">
        <v>0</v>
      </c>
      <c r="Y19" s="384">
        <v>0</v>
      </c>
      <c r="Z19" s="384">
        <v>0</v>
      </c>
      <c r="AA19" s="384">
        <v>0</v>
      </c>
      <c r="AB19" s="384">
        <v>0</v>
      </c>
      <c r="AC19" s="384">
        <v>0</v>
      </c>
      <c r="AD19" s="384">
        <v>0</v>
      </c>
      <c r="AE19" s="42">
        <f t="shared" si="14"/>
        <v>0</v>
      </c>
      <c r="AF19" s="49">
        <v>0</v>
      </c>
      <c r="AG19" s="190">
        <f t="shared" si="6"/>
        <v>0</v>
      </c>
      <c r="AH19" s="695">
        <v>0</v>
      </c>
      <c r="AI19" s="695">
        <f t="shared" si="15"/>
        <v>0</v>
      </c>
      <c r="AJ19" s="695"/>
      <c r="AK19" s="695"/>
      <c r="AL19" s="239"/>
      <c r="AM19" s="16"/>
      <c r="AN19" s="257"/>
      <c r="AO19" s="29"/>
      <c r="AP19" s="29"/>
      <c r="AQ19" s="29"/>
      <c r="AR19" s="29"/>
      <c r="AS19" s="29"/>
      <c r="AT19" s="29"/>
      <c r="AU19" s="106"/>
      <c r="AV19" s="106"/>
      <c r="AW19" s="99" t="str">
        <f t="shared" si="0"/>
        <v/>
      </c>
      <c r="AX19" s="121"/>
      <c r="AY19" s="16"/>
      <c r="AZ19" s="40"/>
      <c r="BA19" s="16"/>
      <c r="BB19" s="443" t="s">
        <v>349</v>
      </c>
      <c r="BC19" s="443" t="s">
        <v>349</v>
      </c>
      <c r="BD19" s="121"/>
      <c r="BF19" s="8">
        <f t="shared" si="7"/>
        <v>0</v>
      </c>
      <c r="BG19" s="29">
        <f t="shared" si="8"/>
        <v>0</v>
      </c>
      <c r="BH19" s="29">
        <f t="shared" si="9"/>
        <v>0</v>
      </c>
      <c r="BI19" s="29" t="e">
        <f t="shared" si="10"/>
        <v>#REF!</v>
      </c>
      <c r="BJ19" s="29">
        <f t="shared" si="16"/>
        <v>0</v>
      </c>
      <c r="BK19" s="11">
        <f t="shared" si="17"/>
        <v>0</v>
      </c>
      <c r="BL19" s="11">
        <f t="shared" si="18"/>
        <v>0</v>
      </c>
      <c r="BM19" s="11">
        <f t="shared" si="11"/>
        <v>0</v>
      </c>
      <c r="BN19" s="1">
        <f t="shared" si="12"/>
        <v>0</v>
      </c>
      <c r="BO19" s="1">
        <f t="shared" si="1"/>
        <v>0</v>
      </c>
      <c r="BP19" s="1">
        <f t="shared" si="2"/>
        <v>0</v>
      </c>
      <c r="BQ19" s="238">
        <f t="shared" si="13"/>
        <v>0</v>
      </c>
      <c r="BR19" s="94">
        <f t="shared" si="4"/>
        <v>0</v>
      </c>
      <c r="BS19" s="73">
        <f t="shared" si="5"/>
        <v>0</v>
      </c>
    </row>
    <row r="20" spans="1:71" ht="15.75" x14ac:dyDescent="0.25">
      <c r="A20" s="39"/>
      <c r="B20" s="11">
        <v>11</v>
      </c>
      <c r="C20" s="16"/>
      <c r="D20" s="16"/>
      <c r="E20" s="35"/>
      <c r="F20" s="35"/>
      <c r="G20" s="29" t="e">
        <f>_xlfn.XLOOKUP(F20,#REF!,#REF!)</f>
        <v>#REF!</v>
      </c>
      <c r="H20" s="16"/>
      <c r="I20" s="16"/>
      <c r="J20" s="441"/>
      <c r="K20" s="39"/>
      <c r="L20" s="259"/>
      <c r="M20" s="259"/>
      <c r="N20" s="99"/>
      <c r="O20" s="384">
        <v>0</v>
      </c>
      <c r="P20" s="384">
        <v>0</v>
      </c>
      <c r="Q20" s="384">
        <v>0</v>
      </c>
      <c r="R20" s="384">
        <v>0</v>
      </c>
      <c r="S20" s="384">
        <v>0</v>
      </c>
      <c r="T20" s="384">
        <v>0</v>
      </c>
      <c r="U20" s="384">
        <v>0</v>
      </c>
      <c r="V20" s="384">
        <v>0</v>
      </c>
      <c r="W20" s="384">
        <v>0</v>
      </c>
      <c r="X20" s="384">
        <v>0</v>
      </c>
      <c r="Y20" s="384">
        <v>0</v>
      </c>
      <c r="Z20" s="384">
        <v>0</v>
      </c>
      <c r="AA20" s="384">
        <v>0</v>
      </c>
      <c r="AB20" s="384">
        <v>0</v>
      </c>
      <c r="AC20" s="384">
        <v>0</v>
      </c>
      <c r="AD20" s="384">
        <v>0</v>
      </c>
      <c r="AE20" s="42">
        <f t="shared" si="14"/>
        <v>0</v>
      </c>
      <c r="AF20" s="49">
        <v>0</v>
      </c>
      <c r="AG20" s="190">
        <f t="shared" ref="AG20:AG39" si="19">AE20-AF20</f>
        <v>0</v>
      </c>
      <c r="AH20" s="695">
        <v>0</v>
      </c>
      <c r="AI20" s="695">
        <f t="shared" si="15"/>
        <v>0</v>
      </c>
      <c r="AJ20" s="695"/>
      <c r="AK20" s="695"/>
      <c r="AL20" s="239"/>
      <c r="AM20" s="16"/>
      <c r="AN20" s="257"/>
      <c r="AO20" s="29"/>
      <c r="AP20" s="29"/>
      <c r="AQ20" s="29"/>
      <c r="AR20" s="29"/>
      <c r="AS20" s="29"/>
      <c r="AT20" s="29"/>
      <c r="AU20" s="106"/>
      <c r="AV20" s="106"/>
      <c r="AW20" s="99" t="str">
        <f t="shared" si="0"/>
        <v/>
      </c>
      <c r="AX20" s="121"/>
      <c r="AY20" s="16"/>
      <c r="AZ20" s="40"/>
      <c r="BA20" s="16"/>
      <c r="BB20" s="443" t="s">
        <v>349</v>
      </c>
      <c r="BC20" s="443" t="s">
        <v>349</v>
      </c>
      <c r="BD20" s="121"/>
      <c r="BE20"/>
      <c r="BF20" s="8">
        <f t="shared" si="7"/>
        <v>0</v>
      </c>
      <c r="BG20" s="29">
        <f t="shared" si="8"/>
        <v>0</v>
      </c>
      <c r="BH20" s="29">
        <f t="shared" si="9"/>
        <v>0</v>
      </c>
      <c r="BI20" s="29" t="e">
        <f t="shared" si="10"/>
        <v>#REF!</v>
      </c>
      <c r="BJ20" s="29">
        <f t="shared" si="16"/>
        <v>0</v>
      </c>
      <c r="BK20" s="11">
        <f t="shared" si="17"/>
        <v>0</v>
      </c>
      <c r="BL20" s="11">
        <f t="shared" si="18"/>
        <v>0</v>
      </c>
      <c r="BM20" s="11">
        <f t="shared" si="11"/>
        <v>0</v>
      </c>
      <c r="BN20" s="1">
        <f t="shared" si="12"/>
        <v>0</v>
      </c>
      <c r="BO20" s="1">
        <f t="shared" si="1"/>
        <v>0</v>
      </c>
      <c r="BP20" s="1">
        <f t="shared" si="2"/>
        <v>0</v>
      </c>
      <c r="BQ20" s="238">
        <f t="shared" si="13"/>
        <v>0</v>
      </c>
      <c r="BR20" s="94">
        <f t="shared" si="4"/>
        <v>0</v>
      </c>
      <c r="BS20" s="73">
        <f t="shared" si="5"/>
        <v>0</v>
      </c>
    </row>
    <row r="21" spans="1:71" ht="15.75" x14ac:dyDescent="0.25">
      <c r="A21" s="39"/>
      <c r="B21" s="11">
        <v>12</v>
      </c>
      <c r="C21" s="16"/>
      <c r="D21" s="16"/>
      <c r="E21" s="35"/>
      <c r="F21" s="35"/>
      <c r="G21" s="29" t="e">
        <f>_xlfn.XLOOKUP(F21,#REF!,#REF!)</f>
        <v>#REF!</v>
      </c>
      <c r="H21" s="16"/>
      <c r="I21" s="16"/>
      <c r="J21" s="441"/>
      <c r="K21" s="39"/>
      <c r="L21" s="259"/>
      <c r="M21" s="259"/>
      <c r="N21" s="99"/>
      <c r="O21" s="384">
        <v>0</v>
      </c>
      <c r="P21" s="384">
        <v>0</v>
      </c>
      <c r="Q21" s="384">
        <v>0</v>
      </c>
      <c r="R21" s="384">
        <v>0</v>
      </c>
      <c r="S21" s="384">
        <v>0</v>
      </c>
      <c r="T21" s="384">
        <v>0</v>
      </c>
      <c r="U21" s="384">
        <v>0</v>
      </c>
      <c r="V21" s="384">
        <v>0</v>
      </c>
      <c r="W21" s="384">
        <v>0</v>
      </c>
      <c r="X21" s="384">
        <v>0</v>
      </c>
      <c r="Y21" s="384">
        <v>0</v>
      </c>
      <c r="Z21" s="384">
        <v>0</v>
      </c>
      <c r="AA21" s="384">
        <v>0</v>
      </c>
      <c r="AB21" s="384">
        <v>0</v>
      </c>
      <c r="AC21" s="384">
        <v>0</v>
      </c>
      <c r="AD21" s="384">
        <v>0</v>
      </c>
      <c r="AE21" s="42">
        <f t="shared" si="14"/>
        <v>0</v>
      </c>
      <c r="AF21" s="49">
        <v>0</v>
      </c>
      <c r="AG21" s="190">
        <f t="shared" si="19"/>
        <v>0</v>
      </c>
      <c r="AH21" s="695">
        <v>0</v>
      </c>
      <c r="AI21" s="695">
        <f t="shared" si="15"/>
        <v>0</v>
      </c>
      <c r="AJ21" s="695"/>
      <c r="AK21" s="695"/>
      <c r="AL21" s="239"/>
      <c r="AM21" s="16"/>
      <c r="AN21" s="257"/>
      <c r="AO21" s="29"/>
      <c r="AP21" s="29"/>
      <c r="AQ21" s="29"/>
      <c r="AR21" s="29"/>
      <c r="AS21" s="29"/>
      <c r="AT21" s="29"/>
      <c r="AU21" s="106"/>
      <c r="AV21" s="106"/>
      <c r="AW21" s="99" t="str">
        <f t="shared" si="0"/>
        <v/>
      </c>
      <c r="AX21" s="121"/>
      <c r="AY21" s="16"/>
      <c r="AZ21" s="40"/>
      <c r="BA21" s="16"/>
      <c r="BB21" s="443" t="s">
        <v>349</v>
      </c>
      <c r="BC21" s="443" t="s">
        <v>349</v>
      </c>
      <c r="BD21" s="121"/>
      <c r="BE21"/>
      <c r="BF21" s="8">
        <f t="shared" si="7"/>
        <v>0</v>
      </c>
      <c r="BG21" s="29">
        <f t="shared" si="8"/>
        <v>0</v>
      </c>
      <c r="BH21" s="29">
        <f t="shared" si="9"/>
        <v>0</v>
      </c>
      <c r="BI21" s="29" t="e">
        <f t="shared" si="10"/>
        <v>#REF!</v>
      </c>
      <c r="BJ21" s="29">
        <f t="shared" si="16"/>
        <v>0</v>
      </c>
      <c r="BK21" s="11">
        <f t="shared" si="17"/>
        <v>0</v>
      </c>
      <c r="BL21" s="11">
        <f t="shared" si="18"/>
        <v>0</v>
      </c>
      <c r="BM21" s="11">
        <f t="shared" si="11"/>
        <v>0</v>
      </c>
      <c r="BN21" s="1">
        <f t="shared" si="12"/>
        <v>0</v>
      </c>
      <c r="BO21" s="1">
        <f t="shared" si="1"/>
        <v>0</v>
      </c>
      <c r="BP21" s="1">
        <f t="shared" si="2"/>
        <v>0</v>
      </c>
      <c r="BQ21" s="238">
        <f t="shared" si="13"/>
        <v>0</v>
      </c>
      <c r="BR21" s="94">
        <f t="shared" si="4"/>
        <v>0</v>
      </c>
      <c r="BS21" s="73">
        <f t="shared" si="5"/>
        <v>0</v>
      </c>
    </row>
    <row r="22" spans="1:71" ht="15.75" x14ac:dyDescent="0.25">
      <c r="A22" s="39"/>
      <c r="B22" s="11">
        <v>13</v>
      </c>
      <c r="C22" s="16"/>
      <c r="D22" s="16"/>
      <c r="E22" s="35"/>
      <c r="F22" s="35"/>
      <c r="G22" s="29" t="e">
        <f>_xlfn.XLOOKUP(F22,#REF!,#REF!)</f>
        <v>#REF!</v>
      </c>
      <c r="H22" s="16"/>
      <c r="I22" s="16"/>
      <c r="J22" s="441"/>
      <c r="K22" s="39"/>
      <c r="L22" s="259"/>
      <c r="M22" s="259"/>
      <c r="N22" s="99"/>
      <c r="O22" s="384">
        <v>0</v>
      </c>
      <c r="P22" s="384">
        <v>0</v>
      </c>
      <c r="Q22" s="384">
        <v>0</v>
      </c>
      <c r="R22" s="384">
        <v>0</v>
      </c>
      <c r="S22" s="384">
        <v>0</v>
      </c>
      <c r="T22" s="384">
        <v>0</v>
      </c>
      <c r="U22" s="384">
        <v>0</v>
      </c>
      <c r="V22" s="384">
        <v>0</v>
      </c>
      <c r="W22" s="384">
        <v>0</v>
      </c>
      <c r="X22" s="384">
        <v>0</v>
      </c>
      <c r="Y22" s="384">
        <v>0</v>
      </c>
      <c r="Z22" s="384">
        <v>0</v>
      </c>
      <c r="AA22" s="384">
        <v>0</v>
      </c>
      <c r="AB22" s="384">
        <v>0</v>
      </c>
      <c r="AC22" s="384">
        <v>0</v>
      </c>
      <c r="AD22" s="384">
        <v>0</v>
      </c>
      <c r="AE22" s="42">
        <f t="shared" si="14"/>
        <v>0</v>
      </c>
      <c r="AF22" s="49">
        <v>0</v>
      </c>
      <c r="AG22" s="190">
        <f t="shared" si="19"/>
        <v>0</v>
      </c>
      <c r="AH22" s="695">
        <v>0</v>
      </c>
      <c r="AI22" s="695">
        <f t="shared" si="15"/>
        <v>0</v>
      </c>
      <c r="AJ22" s="695"/>
      <c r="AK22" s="695"/>
      <c r="AL22" s="239"/>
      <c r="AM22" s="16"/>
      <c r="AN22" s="257"/>
      <c r="AO22" s="29"/>
      <c r="AP22" s="29"/>
      <c r="AQ22" s="29"/>
      <c r="AR22" s="29"/>
      <c r="AS22" s="29"/>
      <c r="AT22" s="29"/>
      <c r="AU22" s="106"/>
      <c r="AV22" s="106"/>
      <c r="AW22" s="99" t="str">
        <f t="shared" si="0"/>
        <v/>
      </c>
      <c r="AX22" s="121"/>
      <c r="AY22" s="16"/>
      <c r="AZ22" s="40"/>
      <c r="BA22" s="16"/>
      <c r="BB22" s="443" t="s">
        <v>349</v>
      </c>
      <c r="BC22" s="443" t="s">
        <v>349</v>
      </c>
      <c r="BD22" s="121"/>
      <c r="BE22"/>
      <c r="BF22" s="8">
        <f t="shared" si="7"/>
        <v>0</v>
      </c>
      <c r="BG22" s="29">
        <f t="shared" si="8"/>
        <v>0</v>
      </c>
      <c r="BH22" s="29">
        <f t="shared" si="9"/>
        <v>0</v>
      </c>
      <c r="BI22" s="29" t="e">
        <f t="shared" si="10"/>
        <v>#REF!</v>
      </c>
      <c r="BJ22" s="29">
        <f t="shared" si="16"/>
        <v>0</v>
      </c>
      <c r="BK22" s="11">
        <f t="shared" si="17"/>
        <v>0</v>
      </c>
      <c r="BL22" s="11">
        <f t="shared" si="18"/>
        <v>0</v>
      </c>
      <c r="BM22" s="11">
        <f t="shared" si="11"/>
        <v>0</v>
      </c>
      <c r="BN22" s="1">
        <f t="shared" si="12"/>
        <v>0</v>
      </c>
      <c r="BO22" s="1">
        <f t="shared" si="1"/>
        <v>0</v>
      </c>
      <c r="BP22" s="1">
        <f t="shared" si="2"/>
        <v>0</v>
      </c>
      <c r="BQ22" s="238">
        <f t="shared" si="13"/>
        <v>0</v>
      </c>
      <c r="BR22" s="94">
        <f t="shared" si="4"/>
        <v>0</v>
      </c>
      <c r="BS22" s="73">
        <f t="shared" si="5"/>
        <v>0</v>
      </c>
    </row>
    <row r="23" spans="1:71" ht="15.75" x14ac:dyDescent="0.25">
      <c r="A23" s="39"/>
      <c r="B23" s="11">
        <v>14</v>
      </c>
      <c r="C23" s="16"/>
      <c r="D23" s="16"/>
      <c r="E23" s="35"/>
      <c r="F23" s="35"/>
      <c r="G23" s="29" t="e">
        <f>_xlfn.XLOOKUP(F23,#REF!,#REF!)</f>
        <v>#REF!</v>
      </c>
      <c r="H23" s="16"/>
      <c r="I23" s="16"/>
      <c r="J23" s="441"/>
      <c r="K23" s="39"/>
      <c r="L23" s="259"/>
      <c r="M23" s="259"/>
      <c r="N23" s="99"/>
      <c r="O23" s="384">
        <v>0</v>
      </c>
      <c r="P23" s="384">
        <v>0</v>
      </c>
      <c r="Q23" s="384">
        <v>0</v>
      </c>
      <c r="R23" s="384">
        <v>0</v>
      </c>
      <c r="S23" s="384">
        <v>0</v>
      </c>
      <c r="T23" s="384">
        <v>0</v>
      </c>
      <c r="U23" s="384">
        <v>0</v>
      </c>
      <c r="V23" s="384">
        <v>0</v>
      </c>
      <c r="W23" s="384">
        <v>0</v>
      </c>
      <c r="X23" s="384">
        <v>0</v>
      </c>
      <c r="Y23" s="384">
        <v>0</v>
      </c>
      <c r="Z23" s="384">
        <v>0</v>
      </c>
      <c r="AA23" s="384">
        <v>0</v>
      </c>
      <c r="AB23" s="384">
        <v>0</v>
      </c>
      <c r="AC23" s="384">
        <v>0</v>
      </c>
      <c r="AD23" s="384">
        <v>0</v>
      </c>
      <c r="AE23" s="42">
        <f t="shared" si="14"/>
        <v>0</v>
      </c>
      <c r="AF23" s="49">
        <v>0</v>
      </c>
      <c r="AG23" s="190">
        <f t="shared" si="19"/>
        <v>0</v>
      </c>
      <c r="AH23" s="695">
        <v>0</v>
      </c>
      <c r="AI23" s="695">
        <f t="shared" si="15"/>
        <v>0</v>
      </c>
      <c r="AJ23" s="695"/>
      <c r="AK23" s="695"/>
      <c r="AL23" s="239"/>
      <c r="AM23" s="16"/>
      <c r="AN23" s="257"/>
      <c r="AO23" s="29"/>
      <c r="AP23" s="29"/>
      <c r="AQ23" s="29"/>
      <c r="AR23" s="29"/>
      <c r="AS23" s="29"/>
      <c r="AT23" s="29"/>
      <c r="AU23" s="106"/>
      <c r="AV23" s="106"/>
      <c r="AW23" s="99" t="str">
        <f t="shared" si="0"/>
        <v/>
      </c>
      <c r="AX23" s="121"/>
      <c r="AY23" s="16"/>
      <c r="AZ23" s="40"/>
      <c r="BA23" s="16"/>
      <c r="BB23" s="443" t="s">
        <v>349</v>
      </c>
      <c r="BC23" s="443" t="s">
        <v>349</v>
      </c>
      <c r="BD23" s="121"/>
      <c r="BF23" s="8">
        <f t="shared" si="7"/>
        <v>0</v>
      </c>
      <c r="BG23" s="29">
        <f t="shared" si="8"/>
        <v>0</v>
      </c>
      <c r="BH23" s="29">
        <f t="shared" si="9"/>
        <v>0</v>
      </c>
      <c r="BI23" s="29" t="e">
        <f t="shared" si="10"/>
        <v>#REF!</v>
      </c>
      <c r="BJ23" s="29">
        <f t="shared" si="16"/>
        <v>0</v>
      </c>
      <c r="BK23" s="11">
        <f t="shared" si="17"/>
        <v>0</v>
      </c>
      <c r="BL23" s="11">
        <f t="shared" si="18"/>
        <v>0</v>
      </c>
      <c r="BM23" s="11">
        <f t="shared" si="11"/>
        <v>0</v>
      </c>
      <c r="BN23" s="1">
        <f t="shared" si="12"/>
        <v>0</v>
      </c>
      <c r="BO23" s="1">
        <f t="shared" si="1"/>
        <v>0</v>
      </c>
      <c r="BP23" s="1">
        <f t="shared" si="2"/>
        <v>0</v>
      </c>
      <c r="BQ23" s="238">
        <f t="shared" si="13"/>
        <v>0</v>
      </c>
      <c r="BR23" s="94">
        <f t="shared" si="4"/>
        <v>0</v>
      </c>
      <c r="BS23" s="73">
        <f t="shared" si="5"/>
        <v>0</v>
      </c>
    </row>
    <row r="24" spans="1:71" ht="15.75" x14ac:dyDescent="0.25">
      <c r="A24" s="39"/>
      <c r="B24" s="11">
        <v>15</v>
      </c>
      <c r="C24" s="16"/>
      <c r="D24" s="16"/>
      <c r="E24" s="35"/>
      <c r="F24" s="35"/>
      <c r="G24" s="29" t="e">
        <f>_xlfn.XLOOKUP(F24,#REF!,#REF!)</f>
        <v>#REF!</v>
      </c>
      <c r="H24" s="16"/>
      <c r="I24" s="16"/>
      <c r="J24" s="441"/>
      <c r="K24" s="39"/>
      <c r="L24" s="259"/>
      <c r="M24" s="259"/>
      <c r="N24" s="99"/>
      <c r="O24" s="384">
        <v>0</v>
      </c>
      <c r="P24" s="384">
        <v>0</v>
      </c>
      <c r="Q24" s="384">
        <v>0</v>
      </c>
      <c r="R24" s="384">
        <v>0</v>
      </c>
      <c r="S24" s="384">
        <v>0</v>
      </c>
      <c r="T24" s="384">
        <v>0</v>
      </c>
      <c r="U24" s="384">
        <v>0</v>
      </c>
      <c r="V24" s="384">
        <v>0</v>
      </c>
      <c r="W24" s="384">
        <v>0</v>
      </c>
      <c r="X24" s="384">
        <v>0</v>
      </c>
      <c r="Y24" s="384">
        <v>0</v>
      </c>
      <c r="Z24" s="384">
        <v>0</v>
      </c>
      <c r="AA24" s="384">
        <v>0</v>
      </c>
      <c r="AB24" s="384">
        <v>0</v>
      </c>
      <c r="AC24" s="384">
        <v>0</v>
      </c>
      <c r="AD24" s="384">
        <v>0</v>
      </c>
      <c r="AE24" s="42">
        <f t="shared" si="14"/>
        <v>0</v>
      </c>
      <c r="AF24" s="49">
        <v>0</v>
      </c>
      <c r="AG24" s="190">
        <f t="shared" si="19"/>
        <v>0</v>
      </c>
      <c r="AH24" s="695">
        <v>0</v>
      </c>
      <c r="AI24" s="695">
        <f t="shared" si="15"/>
        <v>0</v>
      </c>
      <c r="AJ24" s="695"/>
      <c r="AK24" s="695"/>
      <c r="AL24" s="239"/>
      <c r="AM24" s="16"/>
      <c r="AN24" s="257"/>
      <c r="AO24" s="29"/>
      <c r="AP24" s="29"/>
      <c r="AQ24" s="29"/>
      <c r="AR24" s="29"/>
      <c r="AS24" s="29"/>
      <c r="AT24" s="29"/>
      <c r="AU24" s="106"/>
      <c r="AV24" s="106"/>
      <c r="AW24" s="99" t="str">
        <f t="shared" si="0"/>
        <v/>
      </c>
      <c r="AX24" s="121"/>
      <c r="AY24" s="16"/>
      <c r="AZ24" s="40"/>
      <c r="BA24" s="16"/>
      <c r="BB24" s="443" t="s">
        <v>349</v>
      </c>
      <c r="BC24" s="443" t="s">
        <v>349</v>
      </c>
      <c r="BD24" s="121"/>
      <c r="BE24"/>
      <c r="BF24" s="8">
        <f t="shared" si="7"/>
        <v>0</v>
      </c>
      <c r="BG24" s="29">
        <f t="shared" si="8"/>
        <v>0</v>
      </c>
      <c r="BH24" s="29">
        <f t="shared" si="9"/>
        <v>0</v>
      </c>
      <c r="BI24" s="29" t="e">
        <f t="shared" si="10"/>
        <v>#REF!</v>
      </c>
      <c r="BJ24" s="29">
        <f t="shared" si="16"/>
        <v>0</v>
      </c>
      <c r="BK24" s="11">
        <f t="shared" si="17"/>
        <v>0</v>
      </c>
      <c r="BL24" s="11">
        <f t="shared" si="18"/>
        <v>0</v>
      </c>
      <c r="BM24" s="11">
        <f t="shared" si="11"/>
        <v>0</v>
      </c>
      <c r="BN24" s="1">
        <f t="shared" si="12"/>
        <v>0</v>
      </c>
      <c r="BO24" s="1">
        <f t="shared" si="1"/>
        <v>0</v>
      </c>
      <c r="BP24" s="1">
        <f t="shared" si="2"/>
        <v>0</v>
      </c>
      <c r="BQ24" s="238">
        <f t="shared" si="13"/>
        <v>0</v>
      </c>
      <c r="BR24" s="94">
        <f t="shared" si="4"/>
        <v>0</v>
      </c>
      <c r="BS24" s="73">
        <f t="shared" si="5"/>
        <v>0</v>
      </c>
    </row>
    <row r="25" spans="1:71" ht="15.75" x14ac:dyDescent="0.25">
      <c r="B25" s="11">
        <v>16</v>
      </c>
      <c r="C25" s="16"/>
      <c r="D25" s="16"/>
      <c r="E25" s="35"/>
      <c r="F25" s="35"/>
      <c r="G25" s="29" t="e">
        <f>_xlfn.XLOOKUP(F25,#REF!,#REF!)</f>
        <v>#REF!</v>
      </c>
      <c r="H25" s="16"/>
      <c r="I25" s="16"/>
      <c r="J25" s="441"/>
      <c r="K25" s="39"/>
      <c r="L25" s="259"/>
      <c r="M25" s="259"/>
      <c r="N25" s="99"/>
      <c r="O25" s="384">
        <v>0</v>
      </c>
      <c r="P25" s="384">
        <v>0</v>
      </c>
      <c r="Q25" s="384">
        <v>0</v>
      </c>
      <c r="R25" s="384">
        <v>0</v>
      </c>
      <c r="S25" s="384">
        <v>0</v>
      </c>
      <c r="T25" s="384">
        <v>0</v>
      </c>
      <c r="U25" s="384">
        <v>0</v>
      </c>
      <c r="V25" s="384">
        <v>0</v>
      </c>
      <c r="W25" s="384">
        <v>0</v>
      </c>
      <c r="X25" s="384">
        <v>0</v>
      </c>
      <c r="Y25" s="384">
        <v>0</v>
      </c>
      <c r="Z25" s="384">
        <v>0</v>
      </c>
      <c r="AA25" s="384">
        <v>0</v>
      </c>
      <c r="AB25" s="384">
        <v>0</v>
      </c>
      <c r="AC25" s="384">
        <v>0</v>
      </c>
      <c r="AD25" s="384">
        <v>0</v>
      </c>
      <c r="AE25" s="42">
        <f t="shared" si="14"/>
        <v>0</v>
      </c>
      <c r="AF25" s="49">
        <v>0</v>
      </c>
      <c r="AG25" s="190">
        <f t="shared" si="19"/>
        <v>0</v>
      </c>
      <c r="AH25" s="695">
        <v>0</v>
      </c>
      <c r="AI25" s="695">
        <f t="shared" si="15"/>
        <v>0</v>
      </c>
      <c r="AJ25" s="695"/>
      <c r="AK25" s="695"/>
      <c r="AL25" s="239"/>
      <c r="AM25" s="16"/>
      <c r="AN25" s="257"/>
      <c r="AO25" s="29"/>
      <c r="AP25" s="29"/>
      <c r="AQ25" s="29"/>
      <c r="AR25" s="29"/>
      <c r="AS25" s="29"/>
      <c r="AT25" s="29"/>
      <c r="AU25" s="106"/>
      <c r="AV25" s="106"/>
      <c r="AW25" s="99" t="str">
        <f t="shared" si="0"/>
        <v/>
      </c>
      <c r="AX25" s="121"/>
      <c r="AY25" s="16"/>
      <c r="AZ25" s="40"/>
      <c r="BA25" s="16"/>
      <c r="BB25" s="443" t="s">
        <v>349</v>
      </c>
      <c r="BC25" s="443" t="s">
        <v>349</v>
      </c>
      <c r="BD25" s="121"/>
      <c r="BF25" s="8">
        <f t="shared" si="7"/>
        <v>0</v>
      </c>
      <c r="BG25" s="29">
        <f t="shared" si="8"/>
        <v>0</v>
      </c>
      <c r="BH25" s="29">
        <f t="shared" si="9"/>
        <v>0</v>
      </c>
      <c r="BI25" s="29" t="e">
        <f t="shared" si="10"/>
        <v>#REF!</v>
      </c>
      <c r="BJ25" s="29">
        <f t="shared" si="16"/>
        <v>0</v>
      </c>
      <c r="BK25" s="11">
        <f t="shared" si="17"/>
        <v>0</v>
      </c>
      <c r="BL25" s="11">
        <f t="shared" si="18"/>
        <v>0</v>
      </c>
      <c r="BM25" s="11">
        <f t="shared" si="11"/>
        <v>0</v>
      </c>
      <c r="BN25" s="1">
        <f t="shared" si="12"/>
        <v>0</v>
      </c>
      <c r="BO25" s="1">
        <f t="shared" si="1"/>
        <v>0</v>
      </c>
      <c r="BP25" s="1">
        <f t="shared" si="2"/>
        <v>0</v>
      </c>
      <c r="BQ25" s="238">
        <f t="shared" si="13"/>
        <v>0</v>
      </c>
      <c r="BR25" s="94">
        <f t="shared" si="4"/>
        <v>0</v>
      </c>
      <c r="BS25" s="73">
        <f t="shared" si="5"/>
        <v>0</v>
      </c>
    </row>
    <row r="26" spans="1:71" ht="15.75" x14ac:dyDescent="0.25">
      <c r="B26" s="11">
        <v>17</v>
      </c>
      <c r="C26" s="16"/>
      <c r="D26" s="16"/>
      <c r="E26" s="35"/>
      <c r="F26" s="35"/>
      <c r="G26" s="29" t="e">
        <f>_xlfn.XLOOKUP(F26,#REF!,#REF!)</f>
        <v>#REF!</v>
      </c>
      <c r="H26" s="16"/>
      <c r="I26" s="16"/>
      <c r="J26" s="441"/>
      <c r="K26" s="39"/>
      <c r="L26" s="259"/>
      <c r="M26" s="259"/>
      <c r="N26" s="99"/>
      <c r="O26" s="384">
        <v>0</v>
      </c>
      <c r="P26" s="384">
        <v>0</v>
      </c>
      <c r="Q26" s="384">
        <v>0</v>
      </c>
      <c r="R26" s="384">
        <v>0</v>
      </c>
      <c r="S26" s="384">
        <v>0</v>
      </c>
      <c r="T26" s="384">
        <v>0</v>
      </c>
      <c r="U26" s="384">
        <v>0</v>
      </c>
      <c r="V26" s="384">
        <v>0</v>
      </c>
      <c r="W26" s="384">
        <v>0</v>
      </c>
      <c r="X26" s="384">
        <v>0</v>
      </c>
      <c r="Y26" s="384">
        <v>0</v>
      </c>
      <c r="Z26" s="384">
        <v>0</v>
      </c>
      <c r="AA26" s="384">
        <v>0</v>
      </c>
      <c r="AB26" s="384">
        <v>0</v>
      </c>
      <c r="AC26" s="384">
        <v>0</v>
      </c>
      <c r="AD26" s="384">
        <v>0</v>
      </c>
      <c r="AE26" s="42">
        <f t="shared" si="14"/>
        <v>0</v>
      </c>
      <c r="AF26" s="49">
        <v>0</v>
      </c>
      <c r="AG26" s="190">
        <f t="shared" si="19"/>
        <v>0</v>
      </c>
      <c r="AH26" s="695">
        <v>0</v>
      </c>
      <c r="AI26" s="695">
        <f t="shared" si="15"/>
        <v>0</v>
      </c>
      <c r="AJ26" s="695"/>
      <c r="AK26" s="695"/>
      <c r="AL26" s="239"/>
      <c r="AM26" s="16"/>
      <c r="AN26" s="257"/>
      <c r="AO26" s="29"/>
      <c r="AP26" s="29"/>
      <c r="AQ26" s="29"/>
      <c r="AR26" s="29"/>
      <c r="AS26" s="29"/>
      <c r="AT26" s="29"/>
      <c r="AU26" s="106"/>
      <c r="AV26" s="106"/>
      <c r="AW26" s="99" t="str">
        <f t="shared" si="0"/>
        <v/>
      </c>
      <c r="AX26" s="121"/>
      <c r="AY26" s="16"/>
      <c r="AZ26" s="40"/>
      <c r="BA26" s="16"/>
      <c r="BB26" s="443" t="s">
        <v>349</v>
      </c>
      <c r="BC26" s="443" t="s">
        <v>349</v>
      </c>
      <c r="BD26" s="121"/>
      <c r="BF26" s="8">
        <f t="shared" si="7"/>
        <v>0</v>
      </c>
      <c r="BG26" s="29">
        <f t="shared" si="8"/>
        <v>0</v>
      </c>
      <c r="BH26" s="29">
        <f t="shared" si="9"/>
        <v>0</v>
      </c>
      <c r="BI26" s="29" t="e">
        <f t="shared" si="10"/>
        <v>#REF!</v>
      </c>
      <c r="BJ26" s="29">
        <f t="shared" si="16"/>
        <v>0</v>
      </c>
      <c r="BK26" s="11">
        <f t="shared" si="17"/>
        <v>0</v>
      </c>
      <c r="BL26" s="11">
        <f t="shared" si="18"/>
        <v>0</v>
      </c>
      <c r="BM26" s="11">
        <f t="shared" si="11"/>
        <v>0</v>
      </c>
      <c r="BN26" s="1">
        <f t="shared" si="12"/>
        <v>0</v>
      </c>
      <c r="BO26" s="1">
        <f t="shared" si="1"/>
        <v>0</v>
      </c>
      <c r="BP26" s="1">
        <f t="shared" si="2"/>
        <v>0</v>
      </c>
      <c r="BQ26" s="238">
        <f t="shared" si="13"/>
        <v>0</v>
      </c>
      <c r="BR26" s="94">
        <f t="shared" si="4"/>
        <v>0</v>
      </c>
      <c r="BS26" s="73">
        <f t="shared" si="5"/>
        <v>0</v>
      </c>
    </row>
    <row r="27" spans="1:71" ht="15.75" x14ac:dyDescent="0.25">
      <c r="A27" s="39"/>
      <c r="B27" s="11">
        <v>18</v>
      </c>
      <c r="C27" s="16"/>
      <c r="D27" s="16"/>
      <c r="E27" s="35"/>
      <c r="F27" s="35"/>
      <c r="G27" s="29" t="e">
        <f>_xlfn.XLOOKUP(F27,#REF!,#REF!)</f>
        <v>#REF!</v>
      </c>
      <c r="H27" s="16"/>
      <c r="I27" s="16"/>
      <c r="J27" s="441"/>
      <c r="K27" s="39"/>
      <c r="L27" s="259"/>
      <c r="M27" s="259"/>
      <c r="N27" s="99"/>
      <c r="O27" s="384">
        <v>0</v>
      </c>
      <c r="P27" s="384">
        <v>0</v>
      </c>
      <c r="Q27" s="384">
        <v>0</v>
      </c>
      <c r="R27" s="384">
        <v>0</v>
      </c>
      <c r="S27" s="384">
        <v>0</v>
      </c>
      <c r="T27" s="384">
        <v>0</v>
      </c>
      <c r="U27" s="384">
        <v>0</v>
      </c>
      <c r="V27" s="384">
        <v>0</v>
      </c>
      <c r="W27" s="384">
        <v>0</v>
      </c>
      <c r="X27" s="384">
        <v>0</v>
      </c>
      <c r="Y27" s="384">
        <v>0</v>
      </c>
      <c r="Z27" s="384">
        <v>0</v>
      </c>
      <c r="AA27" s="384">
        <v>0</v>
      </c>
      <c r="AB27" s="384">
        <v>0</v>
      </c>
      <c r="AC27" s="384">
        <v>0</v>
      </c>
      <c r="AD27" s="384">
        <v>0</v>
      </c>
      <c r="AE27" s="42">
        <f t="shared" si="14"/>
        <v>0</v>
      </c>
      <c r="AF27" s="49">
        <v>0</v>
      </c>
      <c r="AG27" s="190">
        <f t="shared" si="19"/>
        <v>0</v>
      </c>
      <c r="AH27" s="695">
        <v>0</v>
      </c>
      <c r="AI27" s="695">
        <f t="shared" si="15"/>
        <v>0</v>
      </c>
      <c r="AJ27" s="695"/>
      <c r="AK27" s="695"/>
      <c r="AL27" s="239"/>
      <c r="AM27" s="16"/>
      <c r="AN27" s="257"/>
      <c r="AO27" s="29"/>
      <c r="AP27" s="29"/>
      <c r="AQ27" s="29"/>
      <c r="AR27" s="29"/>
      <c r="AS27" s="29"/>
      <c r="AT27" s="29"/>
      <c r="AU27" s="106"/>
      <c r="AV27" s="106"/>
      <c r="AW27" s="99" t="str">
        <f t="shared" si="0"/>
        <v/>
      </c>
      <c r="AX27" s="120"/>
      <c r="AY27" s="16"/>
      <c r="AZ27" s="16"/>
      <c r="BA27" s="16"/>
      <c r="BB27" s="443" t="s">
        <v>349</v>
      </c>
      <c r="BC27" s="443" t="s">
        <v>349</v>
      </c>
      <c r="BD27" s="121"/>
      <c r="BE27"/>
      <c r="BF27" s="8">
        <f t="shared" si="7"/>
        <v>0</v>
      </c>
      <c r="BG27" s="29">
        <f t="shared" si="8"/>
        <v>0</v>
      </c>
      <c r="BH27" s="29">
        <f t="shared" si="9"/>
        <v>0</v>
      </c>
      <c r="BI27" s="29" t="e">
        <f t="shared" si="10"/>
        <v>#REF!</v>
      </c>
      <c r="BJ27" s="29">
        <f t="shared" si="16"/>
        <v>0</v>
      </c>
      <c r="BK27" s="11">
        <f t="shared" si="17"/>
        <v>0</v>
      </c>
      <c r="BL27" s="11">
        <f t="shared" si="18"/>
        <v>0</v>
      </c>
      <c r="BM27" s="11">
        <f t="shared" si="11"/>
        <v>0</v>
      </c>
      <c r="BN27" s="1">
        <f t="shared" si="12"/>
        <v>0</v>
      </c>
      <c r="BO27" s="1">
        <f t="shared" si="1"/>
        <v>0</v>
      </c>
      <c r="BP27" s="1">
        <f t="shared" si="2"/>
        <v>0</v>
      </c>
      <c r="BQ27" s="238">
        <f t="shared" si="13"/>
        <v>0</v>
      </c>
      <c r="BR27" s="94">
        <f t="shared" si="4"/>
        <v>0</v>
      </c>
      <c r="BS27" s="73">
        <f t="shared" si="5"/>
        <v>0</v>
      </c>
    </row>
    <row r="28" spans="1:71" ht="15.75" x14ac:dyDescent="0.25">
      <c r="A28" s="39"/>
      <c r="B28" s="11">
        <v>19</v>
      </c>
      <c r="C28" s="16"/>
      <c r="D28" s="16"/>
      <c r="E28" s="35"/>
      <c r="F28" s="35"/>
      <c r="G28" s="29" t="e">
        <f>_xlfn.XLOOKUP(F28,#REF!,#REF!)</f>
        <v>#REF!</v>
      </c>
      <c r="H28" s="16"/>
      <c r="I28" s="16"/>
      <c r="J28" s="441"/>
      <c r="K28" s="39"/>
      <c r="L28" s="259"/>
      <c r="M28" s="259"/>
      <c r="N28" s="99"/>
      <c r="O28" s="384">
        <v>0</v>
      </c>
      <c r="P28" s="384">
        <v>0</v>
      </c>
      <c r="Q28" s="384">
        <v>0</v>
      </c>
      <c r="R28" s="384">
        <v>0</v>
      </c>
      <c r="S28" s="384">
        <v>0</v>
      </c>
      <c r="T28" s="384">
        <v>0</v>
      </c>
      <c r="U28" s="384">
        <v>0</v>
      </c>
      <c r="V28" s="384">
        <v>0</v>
      </c>
      <c r="W28" s="384">
        <v>0</v>
      </c>
      <c r="X28" s="384">
        <v>0</v>
      </c>
      <c r="Y28" s="384">
        <v>0</v>
      </c>
      <c r="Z28" s="384">
        <v>0</v>
      </c>
      <c r="AA28" s="384">
        <v>0</v>
      </c>
      <c r="AB28" s="384">
        <v>0</v>
      </c>
      <c r="AC28" s="384">
        <v>0</v>
      </c>
      <c r="AD28" s="384">
        <v>0</v>
      </c>
      <c r="AE28" s="42">
        <f t="shared" si="14"/>
        <v>0</v>
      </c>
      <c r="AF28" s="49">
        <v>0</v>
      </c>
      <c r="AG28" s="190">
        <f t="shared" si="19"/>
        <v>0</v>
      </c>
      <c r="AH28" s="695">
        <v>0</v>
      </c>
      <c r="AI28" s="695">
        <f t="shared" si="15"/>
        <v>0</v>
      </c>
      <c r="AJ28" s="695"/>
      <c r="AK28" s="695"/>
      <c r="AL28" s="239"/>
      <c r="AM28" s="16"/>
      <c r="AN28" s="257"/>
      <c r="AO28" s="29"/>
      <c r="AP28" s="29"/>
      <c r="AQ28" s="29"/>
      <c r="AR28" s="29"/>
      <c r="AS28" s="29"/>
      <c r="AT28" s="29"/>
      <c r="AU28" s="106"/>
      <c r="AV28" s="106"/>
      <c r="AW28" s="99" t="str">
        <f t="shared" si="0"/>
        <v/>
      </c>
      <c r="AX28" s="121"/>
      <c r="AY28" s="16"/>
      <c r="AZ28" s="40"/>
      <c r="BA28" s="16"/>
      <c r="BB28" s="443" t="s">
        <v>349</v>
      </c>
      <c r="BC28" s="443" t="s">
        <v>349</v>
      </c>
      <c r="BD28" s="121"/>
      <c r="BE28"/>
      <c r="BF28" s="8">
        <f t="shared" si="7"/>
        <v>0</v>
      </c>
      <c r="BG28" s="29">
        <f t="shared" si="8"/>
        <v>0</v>
      </c>
      <c r="BH28" s="29">
        <f t="shared" si="9"/>
        <v>0</v>
      </c>
      <c r="BI28" s="29" t="e">
        <f t="shared" si="10"/>
        <v>#REF!</v>
      </c>
      <c r="BJ28" s="29">
        <f t="shared" si="16"/>
        <v>0</v>
      </c>
      <c r="BK28" s="11">
        <f t="shared" si="17"/>
        <v>0</v>
      </c>
      <c r="BL28" s="11">
        <f t="shared" si="18"/>
        <v>0</v>
      </c>
      <c r="BM28" s="11">
        <f t="shared" si="11"/>
        <v>0</v>
      </c>
      <c r="BN28" s="1">
        <f t="shared" si="12"/>
        <v>0</v>
      </c>
      <c r="BO28" s="1">
        <f t="shared" si="1"/>
        <v>0</v>
      </c>
      <c r="BP28" s="1">
        <f t="shared" si="2"/>
        <v>0</v>
      </c>
      <c r="BQ28" s="238">
        <f t="shared" si="13"/>
        <v>0</v>
      </c>
      <c r="BR28" s="94">
        <f t="shared" si="4"/>
        <v>0</v>
      </c>
      <c r="BS28" s="73">
        <f t="shared" si="5"/>
        <v>0</v>
      </c>
    </row>
    <row r="29" spans="1:71" ht="15.75" x14ac:dyDescent="0.25">
      <c r="A29" s="39"/>
      <c r="B29" s="11">
        <v>20</v>
      </c>
      <c r="C29" s="16"/>
      <c r="D29" s="16"/>
      <c r="E29" s="35"/>
      <c r="F29" s="35"/>
      <c r="G29" s="29" t="e">
        <f>_xlfn.XLOOKUP(F29,#REF!,#REF!)</f>
        <v>#REF!</v>
      </c>
      <c r="H29" s="16"/>
      <c r="I29" s="16"/>
      <c r="J29" s="441"/>
      <c r="K29" s="39"/>
      <c r="L29" s="259"/>
      <c r="M29" s="259"/>
      <c r="N29" s="99"/>
      <c r="O29" s="384">
        <v>0</v>
      </c>
      <c r="P29" s="384">
        <v>0</v>
      </c>
      <c r="Q29" s="384">
        <v>0</v>
      </c>
      <c r="R29" s="384">
        <v>0</v>
      </c>
      <c r="S29" s="384">
        <v>0</v>
      </c>
      <c r="T29" s="384">
        <v>0</v>
      </c>
      <c r="U29" s="384">
        <v>0</v>
      </c>
      <c r="V29" s="384">
        <v>0</v>
      </c>
      <c r="W29" s="384">
        <v>0</v>
      </c>
      <c r="X29" s="384">
        <v>0</v>
      </c>
      <c r="Y29" s="384">
        <v>0</v>
      </c>
      <c r="Z29" s="384">
        <v>0</v>
      </c>
      <c r="AA29" s="384">
        <v>0</v>
      </c>
      <c r="AB29" s="384">
        <v>0</v>
      </c>
      <c r="AC29" s="384">
        <v>0</v>
      </c>
      <c r="AD29" s="384">
        <v>0</v>
      </c>
      <c r="AE29" s="42">
        <f t="shared" si="14"/>
        <v>0</v>
      </c>
      <c r="AF29" s="49">
        <v>0</v>
      </c>
      <c r="AG29" s="190">
        <f t="shared" si="19"/>
        <v>0</v>
      </c>
      <c r="AH29" s="695">
        <v>0</v>
      </c>
      <c r="AI29" s="695">
        <f t="shared" si="15"/>
        <v>0</v>
      </c>
      <c r="AJ29" s="695"/>
      <c r="AK29" s="695"/>
      <c r="AL29" s="239"/>
      <c r="AM29" s="16"/>
      <c r="AN29" s="257"/>
      <c r="AO29" s="29"/>
      <c r="AP29" s="29"/>
      <c r="AQ29" s="29"/>
      <c r="AR29" s="29"/>
      <c r="AS29" s="29"/>
      <c r="AT29" s="29"/>
      <c r="AU29" s="106"/>
      <c r="AV29" s="106"/>
      <c r="AW29" s="99" t="str">
        <f t="shared" si="0"/>
        <v/>
      </c>
      <c r="AX29" s="121"/>
      <c r="AY29" s="16"/>
      <c r="AZ29" s="40"/>
      <c r="BA29" s="16"/>
      <c r="BB29" s="443" t="s">
        <v>349</v>
      </c>
      <c r="BC29" s="443" t="s">
        <v>349</v>
      </c>
      <c r="BD29" s="121"/>
      <c r="BE29"/>
      <c r="BF29" s="8">
        <f t="shared" si="7"/>
        <v>0</v>
      </c>
      <c r="BG29" s="29">
        <f t="shared" si="8"/>
        <v>0</v>
      </c>
      <c r="BH29" s="29">
        <f t="shared" si="9"/>
        <v>0</v>
      </c>
      <c r="BI29" s="29" t="e">
        <f t="shared" si="10"/>
        <v>#REF!</v>
      </c>
      <c r="BJ29" s="29">
        <f t="shared" si="16"/>
        <v>0</v>
      </c>
      <c r="BK29" s="11">
        <f t="shared" si="17"/>
        <v>0</v>
      </c>
      <c r="BL29" s="11">
        <f t="shared" si="18"/>
        <v>0</v>
      </c>
      <c r="BM29" s="11">
        <f t="shared" si="11"/>
        <v>0</v>
      </c>
      <c r="BN29" s="1">
        <f t="shared" si="12"/>
        <v>0</v>
      </c>
      <c r="BO29" s="1">
        <f t="shared" si="1"/>
        <v>0</v>
      </c>
      <c r="BP29" s="1">
        <f t="shared" si="2"/>
        <v>0</v>
      </c>
      <c r="BQ29" s="238">
        <f t="shared" si="13"/>
        <v>0</v>
      </c>
      <c r="BR29" s="94">
        <f t="shared" si="4"/>
        <v>0</v>
      </c>
      <c r="BS29" s="73">
        <f t="shared" si="5"/>
        <v>0</v>
      </c>
    </row>
    <row r="30" spans="1:71" ht="15.75" x14ac:dyDescent="0.25">
      <c r="A30" s="39"/>
      <c r="B30" s="11">
        <v>21</v>
      </c>
      <c r="C30" s="16"/>
      <c r="D30" s="16"/>
      <c r="E30" s="35"/>
      <c r="F30" s="35"/>
      <c r="G30" s="29" t="e">
        <f>_xlfn.XLOOKUP(F30,#REF!,#REF!)</f>
        <v>#REF!</v>
      </c>
      <c r="H30" s="16"/>
      <c r="I30" s="16"/>
      <c r="J30" s="441"/>
      <c r="K30" s="39"/>
      <c r="L30" s="259"/>
      <c r="M30" s="259"/>
      <c r="N30" s="99"/>
      <c r="O30" s="384">
        <v>0</v>
      </c>
      <c r="P30" s="384">
        <v>0</v>
      </c>
      <c r="Q30" s="384">
        <v>0</v>
      </c>
      <c r="R30" s="384">
        <v>0</v>
      </c>
      <c r="S30" s="384">
        <v>0</v>
      </c>
      <c r="T30" s="384">
        <v>0</v>
      </c>
      <c r="U30" s="384">
        <v>0</v>
      </c>
      <c r="V30" s="384">
        <v>0</v>
      </c>
      <c r="W30" s="384">
        <v>0</v>
      </c>
      <c r="X30" s="384">
        <v>0</v>
      </c>
      <c r="Y30" s="384">
        <v>0</v>
      </c>
      <c r="Z30" s="384">
        <v>0</v>
      </c>
      <c r="AA30" s="384">
        <v>0</v>
      </c>
      <c r="AB30" s="384">
        <v>0</v>
      </c>
      <c r="AC30" s="384">
        <v>0</v>
      </c>
      <c r="AD30" s="384">
        <v>0</v>
      </c>
      <c r="AE30" s="42">
        <f t="shared" si="14"/>
        <v>0</v>
      </c>
      <c r="AF30" s="49">
        <v>0</v>
      </c>
      <c r="AG30" s="190">
        <f t="shared" si="19"/>
        <v>0</v>
      </c>
      <c r="AH30" s="695">
        <v>0</v>
      </c>
      <c r="AI30" s="695">
        <f t="shared" si="15"/>
        <v>0</v>
      </c>
      <c r="AJ30" s="695"/>
      <c r="AK30" s="695"/>
      <c r="AL30" s="239"/>
      <c r="AM30" s="16"/>
      <c r="AN30" s="257"/>
      <c r="AO30" s="29"/>
      <c r="AP30" s="29"/>
      <c r="AQ30" s="29"/>
      <c r="AR30" s="29"/>
      <c r="AS30" s="29"/>
      <c r="AT30" s="29"/>
      <c r="AU30" s="106"/>
      <c r="AV30" s="106"/>
      <c r="AW30" s="99" t="str">
        <f t="shared" si="0"/>
        <v/>
      </c>
      <c r="AX30" s="121"/>
      <c r="AY30" s="16"/>
      <c r="AZ30" s="40"/>
      <c r="BA30" s="16"/>
      <c r="BB30" s="443" t="s">
        <v>349</v>
      </c>
      <c r="BC30" s="443" t="s">
        <v>349</v>
      </c>
      <c r="BD30" s="121"/>
      <c r="BE30"/>
      <c r="BF30" s="8">
        <f t="shared" si="7"/>
        <v>0</v>
      </c>
      <c r="BG30" s="29">
        <f t="shared" si="8"/>
        <v>0</v>
      </c>
      <c r="BH30" s="29">
        <f t="shared" si="9"/>
        <v>0</v>
      </c>
      <c r="BI30" s="29" t="e">
        <f t="shared" si="10"/>
        <v>#REF!</v>
      </c>
      <c r="BJ30" s="29">
        <f t="shared" si="16"/>
        <v>0</v>
      </c>
      <c r="BK30" s="11">
        <f t="shared" si="17"/>
        <v>0</v>
      </c>
      <c r="BL30" s="11">
        <f t="shared" si="18"/>
        <v>0</v>
      </c>
      <c r="BM30" s="11">
        <f t="shared" si="11"/>
        <v>0</v>
      </c>
      <c r="BN30" s="1">
        <f t="shared" si="12"/>
        <v>0</v>
      </c>
      <c r="BO30" s="1">
        <f t="shared" si="1"/>
        <v>0</v>
      </c>
      <c r="BP30" s="1">
        <f t="shared" si="2"/>
        <v>0</v>
      </c>
      <c r="BQ30" s="238">
        <f t="shared" si="13"/>
        <v>0</v>
      </c>
      <c r="BR30" s="94">
        <f t="shared" si="4"/>
        <v>0</v>
      </c>
      <c r="BS30" s="73">
        <f t="shared" si="5"/>
        <v>0</v>
      </c>
    </row>
    <row r="31" spans="1:71" ht="15.75" x14ac:dyDescent="0.25">
      <c r="A31" s="39"/>
      <c r="B31" s="11">
        <v>22</v>
      </c>
      <c r="C31" s="16"/>
      <c r="D31" s="16"/>
      <c r="E31" s="35"/>
      <c r="F31" s="35"/>
      <c r="G31" s="29" t="e">
        <f>_xlfn.XLOOKUP(F31,#REF!,#REF!)</f>
        <v>#REF!</v>
      </c>
      <c r="H31" s="16"/>
      <c r="I31" s="16"/>
      <c r="J31" s="441"/>
      <c r="K31" s="39"/>
      <c r="L31" s="259"/>
      <c r="M31" s="259"/>
      <c r="N31" s="99"/>
      <c r="O31" s="384">
        <v>0</v>
      </c>
      <c r="P31" s="384">
        <v>0</v>
      </c>
      <c r="Q31" s="384">
        <v>0</v>
      </c>
      <c r="R31" s="384">
        <v>0</v>
      </c>
      <c r="S31" s="384">
        <v>0</v>
      </c>
      <c r="T31" s="384">
        <v>0</v>
      </c>
      <c r="U31" s="384">
        <v>0</v>
      </c>
      <c r="V31" s="384">
        <v>0</v>
      </c>
      <c r="W31" s="384">
        <v>0</v>
      </c>
      <c r="X31" s="384">
        <v>0</v>
      </c>
      <c r="Y31" s="384">
        <v>0</v>
      </c>
      <c r="Z31" s="384">
        <v>0</v>
      </c>
      <c r="AA31" s="384">
        <v>0</v>
      </c>
      <c r="AB31" s="384">
        <v>0</v>
      </c>
      <c r="AC31" s="384">
        <v>0</v>
      </c>
      <c r="AD31" s="384">
        <v>0</v>
      </c>
      <c r="AE31" s="42">
        <f t="shared" si="14"/>
        <v>0</v>
      </c>
      <c r="AF31" s="49">
        <v>0</v>
      </c>
      <c r="AG31" s="190">
        <f t="shared" si="19"/>
        <v>0</v>
      </c>
      <c r="AH31" s="695">
        <v>0</v>
      </c>
      <c r="AI31" s="695">
        <f t="shared" si="15"/>
        <v>0</v>
      </c>
      <c r="AJ31" s="695"/>
      <c r="AK31" s="695"/>
      <c r="AL31" s="239"/>
      <c r="AM31" s="16"/>
      <c r="AN31" s="257"/>
      <c r="AO31" s="29"/>
      <c r="AP31" s="29"/>
      <c r="AQ31" s="29"/>
      <c r="AR31" s="29"/>
      <c r="AS31" s="29"/>
      <c r="AT31" s="29"/>
      <c r="AU31" s="106"/>
      <c r="AV31" s="106"/>
      <c r="AW31" s="99" t="str">
        <f t="shared" si="0"/>
        <v/>
      </c>
      <c r="AX31" s="121"/>
      <c r="AY31" s="16"/>
      <c r="AZ31" s="40"/>
      <c r="BA31" s="16"/>
      <c r="BB31" s="443" t="s">
        <v>349</v>
      </c>
      <c r="BC31" s="443" t="s">
        <v>349</v>
      </c>
      <c r="BD31" s="121"/>
      <c r="BF31" s="8">
        <f t="shared" si="7"/>
        <v>0</v>
      </c>
      <c r="BG31" s="29">
        <f t="shared" si="8"/>
        <v>0</v>
      </c>
      <c r="BH31" s="29">
        <f t="shared" si="9"/>
        <v>0</v>
      </c>
      <c r="BI31" s="29" t="e">
        <f t="shared" si="10"/>
        <v>#REF!</v>
      </c>
      <c r="BJ31" s="29">
        <f t="shared" si="16"/>
        <v>0</v>
      </c>
      <c r="BK31" s="11">
        <f t="shared" si="17"/>
        <v>0</v>
      </c>
      <c r="BL31" s="11">
        <f t="shared" si="18"/>
        <v>0</v>
      </c>
      <c r="BM31" s="11">
        <f t="shared" si="11"/>
        <v>0</v>
      </c>
      <c r="BN31" s="1">
        <f t="shared" si="12"/>
        <v>0</v>
      </c>
      <c r="BO31" s="1">
        <f t="shared" si="1"/>
        <v>0</v>
      </c>
      <c r="BP31" s="1">
        <f t="shared" si="2"/>
        <v>0</v>
      </c>
      <c r="BQ31" s="238">
        <f t="shared" si="13"/>
        <v>0</v>
      </c>
      <c r="BR31" s="94">
        <f t="shared" si="4"/>
        <v>0</v>
      </c>
      <c r="BS31" s="73">
        <f t="shared" si="5"/>
        <v>0</v>
      </c>
    </row>
    <row r="32" spans="1:71" ht="15.75" x14ac:dyDescent="0.25">
      <c r="A32" s="39"/>
      <c r="B32" s="11">
        <v>23</v>
      </c>
      <c r="C32" s="16"/>
      <c r="D32" s="16"/>
      <c r="E32" s="35"/>
      <c r="F32" s="35"/>
      <c r="G32" s="29" t="e">
        <f>_xlfn.XLOOKUP(F32,#REF!,#REF!)</f>
        <v>#REF!</v>
      </c>
      <c r="H32" s="16"/>
      <c r="I32" s="16"/>
      <c r="J32" s="441"/>
      <c r="K32" s="39"/>
      <c r="L32" s="259"/>
      <c r="M32" s="259"/>
      <c r="N32" s="99"/>
      <c r="O32" s="384">
        <v>0</v>
      </c>
      <c r="P32" s="384">
        <v>0</v>
      </c>
      <c r="Q32" s="384">
        <v>0</v>
      </c>
      <c r="R32" s="384">
        <v>0</v>
      </c>
      <c r="S32" s="384">
        <v>0</v>
      </c>
      <c r="T32" s="384">
        <v>0</v>
      </c>
      <c r="U32" s="384">
        <v>0</v>
      </c>
      <c r="V32" s="384">
        <v>0</v>
      </c>
      <c r="W32" s="384">
        <v>0</v>
      </c>
      <c r="X32" s="384">
        <v>0</v>
      </c>
      <c r="Y32" s="384">
        <v>0</v>
      </c>
      <c r="Z32" s="384">
        <v>0</v>
      </c>
      <c r="AA32" s="384">
        <v>0</v>
      </c>
      <c r="AB32" s="384">
        <v>0</v>
      </c>
      <c r="AC32" s="384">
        <v>0</v>
      </c>
      <c r="AD32" s="384">
        <v>0</v>
      </c>
      <c r="AE32" s="42">
        <f t="shared" si="14"/>
        <v>0</v>
      </c>
      <c r="AF32" s="49">
        <v>0</v>
      </c>
      <c r="AG32" s="190">
        <f t="shared" si="19"/>
        <v>0</v>
      </c>
      <c r="AH32" s="695">
        <v>0</v>
      </c>
      <c r="AI32" s="695">
        <f t="shared" si="15"/>
        <v>0</v>
      </c>
      <c r="AJ32" s="695"/>
      <c r="AK32" s="695"/>
      <c r="AL32" s="239"/>
      <c r="AM32" s="16"/>
      <c r="AN32" s="257"/>
      <c r="AO32" s="29"/>
      <c r="AP32" s="29"/>
      <c r="AQ32" s="29"/>
      <c r="AR32" s="29"/>
      <c r="AS32" s="29"/>
      <c r="AT32" s="29"/>
      <c r="AU32" s="106"/>
      <c r="AV32" s="106"/>
      <c r="AW32" s="99" t="str">
        <f t="shared" si="0"/>
        <v/>
      </c>
      <c r="AX32" s="121"/>
      <c r="AY32" s="16"/>
      <c r="AZ32" s="40"/>
      <c r="BA32" s="16"/>
      <c r="BB32" s="443" t="s">
        <v>349</v>
      </c>
      <c r="BC32" s="443" t="s">
        <v>349</v>
      </c>
      <c r="BD32" s="121"/>
      <c r="BE32"/>
      <c r="BF32" s="8">
        <f t="shared" si="7"/>
        <v>0</v>
      </c>
      <c r="BG32" s="29">
        <f t="shared" si="8"/>
        <v>0</v>
      </c>
      <c r="BH32" s="29">
        <f t="shared" si="9"/>
        <v>0</v>
      </c>
      <c r="BI32" s="29" t="e">
        <f t="shared" si="10"/>
        <v>#REF!</v>
      </c>
      <c r="BJ32" s="29">
        <f t="shared" si="16"/>
        <v>0</v>
      </c>
      <c r="BK32" s="11">
        <f t="shared" si="17"/>
        <v>0</v>
      </c>
      <c r="BL32" s="11">
        <f t="shared" si="18"/>
        <v>0</v>
      </c>
      <c r="BM32" s="11">
        <f t="shared" si="11"/>
        <v>0</v>
      </c>
      <c r="BN32" s="1">
        <f t="shared" si="12"/>
        <v>0</v>
      </c>
      <c r="BO32" s="1">
        <f t="shared" si="1"/>
        <v>0</v>
      </c>
      <c r="BP32" s="1">
        <f t="shared" si="2"/>
        <v>0</v>
      </c>
      <c r="BQ32" s="238">
        <f t="shared" si="13"/>
        <v>0</v>
      </c>
      <c r="BR32" s="94">
        <f t="shared" si="4"/>
        <v>0</v>
      </c>
      <c r="BS32" s="73">
        <f t="shared" si="5"/>
        <v>0</v>
      </c>
    </row>
    <row r="33" spans="1:72" ht="15.75" x14ac:dyDescent="0.25">
      <c r="A33" s="39"/>
      <c r="B33" s="11">
        <v>24</v>
      </c>
      <c r="C33" s="16"/>
      <c r="D33" s="16"/>
      <c r="E33" s="35"/>
      <c r="F33" s="35"/>
      <c r="G33" s="29" t="e">
        <f>_xlfn.XLOOKUP(F33,#REF!,#REF!)</f>
        <v>#REF!</v>
      </c>
      <c r="H33" s="16"/>
      <c r="I33" s="16"/>
      <c r="J33" s="441"/>
      <c r="K33" s="39"/>
      <c r="L33" s="259"/>
      <c r="M33" s="259"/>
      <c r="N33" s="99"/>
      <c r="O33" s="384">
        <v>0</v>
      </c>
      <c r="P33" s="384">
        <v>0</v>
      </c>
      <c r="Q33" s="384">
        <v>0</v>
      </c>
      <c r="R33" s="384">
        <v>0</v>
      </c>
      <c r="S33" s="384">
        <v>0</v>
      </c>
      <c r="T33" s="384">
        <v>0</v>
      </c>
      <c r="U33" s="384">
        <v>0</v>
      </c>
      <c r="V33" s="384">
        <v>0</v>
      </c>
      <c r="W33" s="384">
        <v>0</v>
      </c>
      <c r="X33" s="384">
        <v>0</v>
      </c>
      <c r="Y33" s="384">
        <v>0</v>
      </c>
      <c r="Z33" s="384">
        <v>0</v>
      </c>
      <c r="AA33" s="384">
        <v>0</v>
      </c>
      <c r="AB33" s="384">
        <v>0</v>
      </c>
      <c r="AC33" s="384">
        <v>0</v>
      </c>
      <c r="AD33" s="384">
        <v>0</v>
      </c>
      <c r="AE33" s="42">
        <f t="shared" si="14"/>
        <v>0</v>
      </c>
      <c r="AF33" s="49">
        <v>0</v>
      </c>
      <c r="AG33" s="190">
        <f t="shared" si="19"/>
        <v>0</v>
      </c>
      <c r="AH33" s="695">
        <v>0</v>
      </c>
      <c r="AI33" s="695">
        <f t="shared" si="15"/>
        <v>0</v>
      </c>
      <c r="AJ33" s="695"/>
      <c r="AK33" s="695"/>
      <c r="AL33" s="239"/>
      <c r="AM33" s="16"/>
      <c r="AN33" s="257"/>
      <c r="AO33" s="29"/>
      <c r="AP33" s="29"/>
      <c r="AQ33" s="29"/>
      <c r="AR33" s="29"/>
      <c r="AS33" s="29"/>
      <c r="AT33" s="29"/>
      <c r="AU33" s="106"/>
      <c r="AV33" s="106"/>
      <c r="AW33" s="99" t="str">
        <f t="shared" si="0"/>
        <v/>
      </c>
      <c r="AX33" s="121"/>
      <c r="AY33" s="16"/>
      <c r="AZ33" s="40"/>
      <c r="BA33" s="16"/>
      <c r="BB33" s="443" t="s">
        <v>349</v>
      </c>
      <c r="BC33" s="443" t="s">
        <v>349</v>
      </c>
      <c r="BD33" s="121"/>
      <c r="BE33"/>
      <c r="BF33" s="8">
        <f t="shared" si="7"/>
        <v>0</v>
      </c>
      <c r="BG33" s="29">
        <f t="shared" si="8"/>
        <v>0</v>
      </c>
      <c r="BH33" s="29">
        <f t="shared" si="9"/>
        <v>0</v>
      </c>
      <c r="BI33" s="29" t="e">
        <f t="shared" si="10"/>
        <v>#REF!</v>
      </c>
      <c r="BJ33" s="29">
        <f t="shared" si="16"/>
        <v>0</v>
      </c>
      <c r="BK33" s="11">
        <f t="shared" si="17"/>
        <v>0</v>
      </c>
      <c r="BL33" s="11">
        <f t="shared" si="18"/>
        <v>0</v>
      </c>
      <c r="BM33" s="11">
        <f t="shared" si="11"/>
        <v>0</v>
      </c>
      <c r="BN33" s="1">
        <f t="shared" si="12"/>
        <v>0</v>
      </c>
      <c r="BO33" s="1">
        <f t="shared" si="1"/>
        <v>0</v>
      </c>
      <c r="BP33" s="1">
        <f t="shared" si="2"/>
        <v>0</v>
      </c>
      <c r="BQ33" s="238">
        <f t="shared" si="13"/>
        <v>0</v>
      </c>
      <c r="BR33" s="94">
        <f t="shared" si="4"/>
        <v>0</v>
      </c>
      <c r="BS33" s="73">
        <f t="shared" si="5"/>
        <v>0</v>
      </c>
    </row>
    <row r="34" spans="1:72" ht="15.75" x14ac:dyDescent="0.25">
      <c r="A34" s="39"/>
      <c r="B34" s="11">
        <v>25</v>
      </c>
      <c r="C34" s="16"/>
      <c r="D34" s="16"/>
      <c r="E34" s="35"/>
      <c r="F34" s="35"/>
      <c r="G34" s="29" t="e">
        <f>_xlfn.XLOOKUP(F34,#REF!,#REF!)</f>
        <v>#REF!</v>
      </c>
      <c r="H34" s="16"/>
      <c r="I34" s="16"/>
      <c r="J34" s="441"/>
      <c r="K34" s="39"/>
      <c r="L34" s="259"/>
      <c r="M34" s="259"/>
      <c r="N34" s="99"/>
      <c r="O34" s="384">
        <v>0</v>
      </c>
      <c r="P34" s="384">
        <v>0</v>
      </c>
      <c r="Q34" s="384">
        <v>0</v>
      </c>
      <c r="R34" s="384">
        <v>0</v>
      </c>
      <c r="S34" s="384">
        <v>0</v>
      </c>
      <c r="T34" s="384">
        <v>0</v>
      </c>
      <c r="U34" s="384">
        <v>0</v>
      </c>
      <c r="V34" s="384">
        <v>0</v>
      </c>
      <c r="W34" s="384">
        <v>0</v>
      </c>
      <c r="X34" s="384">
        <v>0</v>
      </c>
      <c r="Y34" s="384">
        <v>0</v>
      </c>
      <c r="Z34" s="384">
        <v>0</v>
      </c>
      <c r="AA34" s="384">
        <v>0</v>
      </c>
      <c r="AB34" s="384">
        <v>0</v>
      </c>
      <c r="AC34" s="384">
        <v>0</v>
      </c>
      <c r="AD34" s="384">
        <v>0</v>
      </c>
      <c r="AE34" s="42">
        <f t="shared" si="14"/>
        <v>0</v>
      </c>
      <c r="AF34" s="49">
        <v>0</v>
      </c>
      <c r="AG34" s="190">
        <f t="shared" si="19"/>
        <v>0</v>
      </c>
      <c r="AH34" s="695">
        <v>0</v>
      </c>
      <c r="AI34" s="695">
        <f t="shared" si="15"/>
        <v>0</v>
      </c>
      <c r="AJ34" s="695"/>
      <c r="AK34" s="695"/>
      <c r="AL34" s="239"/>
      <c r="AM34" s="16"/>
      <c r="AN34" s="257"/>
      <c r="AO34" s="29"/>
      <c r="AP34" s="29"/>
      <c r="AQ34" s="29"/>
      <c r="AR34" s="29"/>
      <c r="AS34" s="29"/>
      <c r="AT34" s="29"/>
      <c r="AU34" s="106"/>
      <c r="AV34" s="106"/>
      <c r="AW34" s="99" t="str">
        <f t="shared" si="0"/>
        <v/>
      </c>
      <c r="AX34" s="121"/>
      <c r="AY34" s="16"/>
      <c r="AZ34" s="40"/>
      <c r="BA34" s="16"/>
      <c r="BB34" s="443" t="s">
        <v>349</v>
      </c>
      <c r="BC34" s="443" t="s">
        <v>349</v>
      </c>
      <c r="BD34" s="121"/>
      <c r="BE34"/>
      <c r="BF34" s="8">
        <f t="shared" si="7"/>
        <v>0</v>
      </c>
      <c r="BG34" s="29">
        <f t="shared" si="8"/>
        <v>0</v>
      </c>
      <c r="BH34" s="29">
        <f t="shared" si="9"/>
        <v>0</v>
      </c>
      <c r="BI34" s="29" t="e">
        <f t="shared" si="10"/>
        <v>#REF!</v>
      </c>
      <c r="BJ34" s="29">
        <f t="shared" si="16"/>
        <v>0</v>
      </c>
      <c r="BK34" s="11">
        <f t="shared" si="17"/>
        <v>0</v>
      </c>
      <c r="BL34" s="11">
        <f t="shared" si="18"/>
        <v>0</v>
      </c>
      <c r="BM34" s="11">
        <f t="shared" si="11"/>
        <v>0</v>
      </c>
      <c r="BN34" s="1">
        <f t="shared" si="12"/>
        <v>0</v>
      </c>
      <c r="BO34" s="1">
        <f t="shared" si="1"/>
        <v>0</v>
      </c>
      <c r="BP34" s="1">
        <f t="shared" si="2"/>
        <v>0</v>
      </c>
      <c r="BQ34" s="238">
        <f t="shared" si="13"/>
        <v>0</v>
      </c>
      <c r="BR34" s="94">
        <f t="shared" si="4"/>
        <v>0</v>
      </c>
      <c r="BS34" s="73">
        <f t="shared" si="5"/>
        <v>0</v>
      </c>
    </row>
    <row r="35" spans="1:72" ht="15.75" x14ac:dyDescent="0.25">
      <c r="A35" s="39"/>
      <c r="B35" s="11">
        <v>26</v>
      </c>
      <c r="C35" s="16"/>
      <c r="D35" s="16"/>
      <c r="E35" s="35"/>
      <c r="F35" s="35"/>
      <c r="G35" s="29" t="e">
        <f>_xlfn.XLOOKUP(F35,#REF!,#REF!)</f>
        <v>#REF!</v>
      </c>
      <c r="H35" s="16"/>
      <c r="I35" s="16"/>
      <c r="J35" s="441"/>
      <c r="K35" s="39"/>
      <c r="L35" s="259"/>
      <c r="M35" s="259"/>
      <c r="N35" s="99"/>
      <c r="O35" s="384">
        <v>0</v>
      </c>
      <c r="P35" s="384">
        <v>0</v>
      </c>
      <c r="Q35" s="384">
        <v>0</v>
      </c>
      <c r="R35" s="384">
        <v>0</v>
      </c>
      <c r="S35" s="384">
        <v>0</v>
      </c>
      <c r="T35" s="384">
        <v>0</v>
      </c>
      <c r="U35" s="384">
        <v>0</v>
      </c>
      <c r="V35" s="384">
        <v>0</v>
      </c>
      <c r="W35" s="384">
        <v>0</v>
      </c>
      <c r="X35" s="384">
        <v>0</v>
      </c>
      <c r="Y35" s="384">
        <v>0</v>
      </c>
      <c r="Z35" s="384">
        <v>0</v>
      </c>
      <c r="AA35" s="384">
        <v>0</v>
      </c>
      <c r="AB35" s="384">
        <v>0</v>
      </c>
      <c r="AC35" s="384">
        <v>0</v>
      </c>
      <c r="AD35" s="384">
        <v>0</v>
      </c>
      <c r="AE35" s="42">
        <f t="shared" si="14"/>
        <v>0</v>
      </c>
      <c r="AF35" s="49">
        <v>0</v>
      </c>
      <c r="AG35" s="190">
        <f t="shared" si="19"/>
        <v>0</v>
      </c>
      <c r="AH35" s="695">
        <v>0</v>
      </c>
      <c r="AI35" s="695">
        <f t="shared" si="15"/>
        <v>0</v>
      </c>
      <c r="AJ35" s="695"/>
      <c r="AK35" s="695"/>
      <c r="AL35" s="239"/>
      <c r="AM35" s="16"/>
      <c r="AN35" s="257"/>
      <c r="AO35" s="29"/>
      <c r="AP35" s="29"/>
      <c r="AQ35" s="29"/>
      <c r="AR35" s="29"/>
      <c r="AS35" s="29"/>
      <c r="AT35" s="29"/>
      <c r="AU35" s="106"/>
      <c r="AV35" s="106"/>
      <c r="AW35" s="99" t="str">
        <f t="shared" si="0"/>
        <v/>
      </c>
      <c r="AX35" s="121"/>
      <c r="AY35" s="16"/>
      <c r="AZ35" s="40"/>
      <c r="BA35" s="16"/>
      <c r="BB35" s="443" t="s">
        <v>349</v>
      </c>
      <c r="BC35" s="443" t="s">
        <v>349</v>
      </c>
      <c r="BD35" s="121"/>
      <c r="BF35" s="8">
        <f t="shared" si="7"/>
        <v>0</v>
      </c>
      <c r="BG35" s="29">
        <f t="shared" si="8"/>
        <v>0</v>
      </c>
      <c r="BH35" s="29">
        <f t="shared" si="9"/>
        <v>0</v>
      </c>
      <c r="BI35" s="29" t="e">
        <f t="shared" si="10"/>
        <v>#REF!</v>
      </c>
      <c r="BJ35" s="29">
        <f t="shared" si="16"/>
        <v>0</v>
      </c>
      <c r="BK35" s="11">
        <f t="shared" si="17"/>
        <v>0</v>
      </c>
      <c r="BL35" s="11">
        <f t="shared" si="18"/>
        <v>0</v>
      </c>
      <c r="BM35" s="11">
        <f t="shared" si="11"/>
        <v>0</v>
      </c>
      <c r="BN35" s="1">
        <f t="shared" si="12"/>
        <v>0</v>
      </c>
      <c r="BO35" s="1">
        <f t="shared" si="1"/>
        <v>0</v>
      </c>
      <c r="BP35" s="1">
        <f t="shared" si="2"/>
        <v>0</v>
      </c>
      <c r="BQ35" s="238">
        <f t="shared" si="13"/>
        <v>0</v>
      </c>
      <c r="BR35" s="94">
        <f t="shared" si="4"/>
        <v>0</v>
      </c>
      <c r="BS35" s="73">
        <f t="shared" si="5"/>
        <v>0</v>
      </c>
    </row>
    <row r="36" spans="1:72" ht="15.75" x14ac:dyDescent="0.25">
      <c r="B36" s="11">
        <v>27</v>
      </c>
      <c r="C36" s="16"/>
      <c r="D36" s="16"/>
      <c r="E36" s="35"/>
      <c r="F36" s="35"/>
      <c r="G36" s="29" t="e">
        <f>_xlfn.XLOOKUP(F36,#REF!,#REF!)</f>
        <v>#REF!</v>
      </c>
      <c r="H36" s="16"/>
      <c r="I36" s="16"/>
      <c r="J36" s="441"/>
      <c r="K36" s="39"/>
      <c r="L36" s="259"/>
      <c r="M36" s="259"/>
      <c r="N36" s="99"/>
      <c r="O36" s="384">
        <v>0</v>
      </c>
      <c r="P36" s="384">
        <v>0</v>
      </c>
      <c r="Q36" s="384">
        <v>0</v>
      </c>
      <c r="R36" s="384">
        <v>0</v>
      </c>
      <c r="S36" s="384">
        <v>0</v>
      </c>
      <c r="T36" s="384">
        <v>0</v>
      </c>
      <c r="U36" s="384">
        <v>0</v>
      </c>
      <c r="V36" s="384">
        <v>0</v>
      </c>
      <c r="W36" s="384">
        <v>0</v>
      </c>
      <c r="X36" s="384">
        <v>0</v>
      </c>
      <c r="Y36" s="384">
        <v>0</v>
      </c>
      <c r="Z36" s="384">
        <v>0</v>
      </c>
      <c r="AA36" s="384">
        <v>0</v>
      </c>
      <c r="AB36" s="384">
        <v>0</v>
      </c>
      <c r="AC36" s="384">
        <v>0</v>
      </c>
      <c r="AD36" s="384">
        <v>0</v>
      </c>
      <c r="AE36" s="42">
        <f t="shared" si="14"/>
        <v>0</v>
      </c>
      <c r="AF36" s="49">
        <v>0</v>
      </c>
      <c r="AG36" s="190">
        <f t="shared" si="19"/>
        <v>0</v>
      </c>
      <c r="AH36" s="695">
        <v>0</v>
      </c>
      <c r="AI36" s="695">
        <f t="shared" si="15"/>
        <v>0</v>
      </c>
      <c r="AJ36" s="695"/>
      <c r="AK36" s="695"/>
      <c r="AL36" s="239"/>
      <c r="AM36" s="16"/>
      <c r="AN36" s="257"/>
      <c r="AO36" s="29"/>
      <c r="AP36" s="29"/>
      <c r="AQ36" s="29"/>
      <c r="AR36" s="29"/>
      <c r="AS36" s="29"/>
      <c r="AT36" s="29"/>
      <c r="AU36" s="106"/>
      <c r="AV36" s="106"/>
      <c r="AW36" s="99" t="str">
        <f t="shared" si="0"/>
        <v/>
      </c>
      <c r="AX36" s="121"/>
      <c r="AY36" s="16"/>
      <c r="AZ36" s="40"/>
      <c r="BA36" s="16"/>
      <c r="BB36" s="443" t="s">
        <v>349</v>
      </c>
      <c r="BC36" s="443" t="s">
        <v>349</v>
      </c>
      <c r="BD36" s="121"/>
      <c r="BF36" s="8">
        <f t="shared" si="7"/>
        <v>0</v>
      </c>
      <c r="BG36" s="29">
        <f t="shared" si="8"/>
        <v>0</v>
      </c>
      <c r="BH36" s="29">
        <f t="shared" si="9"/>
        <v>0</v>
      </c>
      <c r="BI36" s="29" t="e">
        <f t="shared" si="10"/>
        <v>#REF!</v>
      </c>
      <c r="BJ36" s="29">
        <f t="shared" si="16"/>
        <v>0</v>
      </c>
      <c r="BK36" s="11">
        <f t="shared" si="17"/>
        <v>0</v>
      </c>
      <c r="BL36" s="11">
        <f t="shared" si="18"/>
        <v>0</v>
      </c>
      <c r="BM36" s="11">
        <f t="shared" si="11"/>
        <v>0</v>
      </c>
      <c r="BN36" s="1">
        <f t="shared" si="12"/>
        <v>0</v>
      </c>
      <c r="BO36" s="1">
        <f t="shared" si="1"/>
        <v>0</v>
      </c>
      <c r="BP36" s="1">
        <f t="shared" si="2"/>
        <v>0</v>
      </c>
      <c r="BQ36" s="238">
        <f t="shared" si="13"/>
        <v>0</v>
      </c>
      <c r="BR36" s="94">
        <f t="shared" si="4"/>
        <v>0</v>
      </c>
      <c r="BS36" s="73">
        <f t="shared" si="5"/>
        <v>0</v>
      </c>
    </row>
    <row r="37" spans="1:72" ht="15.75" x14ac:dyDescent="0.25">
      <c r="B37" s="11">
        <v>28</v>
      </c>
      <c r="C37" s="16"/>
      <c r="D37" s="16"/>
      <c r="E37" s="35"/>
      <c r="F37" s="35"/>
      <c r="G37" s="29" t="e">
        <f>_xlfn.XLOOKUP(F37,#REF!,#REF!)</f>
        <v>#REF!</v>
      </c>
      <c r="H37" s="16"/>
      <c r="I37" s="16"/>
      <c r="J37" s="441"/>
      <c r="K37" s="39"/>
      <c r="L37" s="259"/>
      <c r="M37" s="259"/>
      <c r="N37" s="99"/>
      <c r="O37" s="384">
        <v>0</v>
      </c>
      <c r="P37" s="384">
        <v>0</v>
      </c>
      <c r="Q37" s="384">
        <v>0</v>
      </c>
      <c r="R37" s="384">
        <v>0</v>
      </c>
      <c r="S37" s="384">
        <v>0</v>
      </c>
      <c r="T37" s="384">
        <v>0</v>
      </c>
      <c r="U37" s="384">
        <v>0</v>
      </c>
      <c r="V37" s="384">
        <v>0</v>
      </c>
      <c r="W37" s="384">
        <v>0</v>
      </c>
      <c r="X37" s="384">
        <v>0</v>
      </c>
      <c r="Y37" s="384">
        <v>0</v>
      </c>
      <c r="Z37" s="384">
        <v>0</v>
      </c>
      <c r="AA37" s="384">
        <v>0</v>
      </c>
      <c r="AB37" s="384">
        <v>0</v>
      </c>
      <c r="AC37" s="384">
        <v>0</v>
      </c>
      <c r="AD37" s="384">
        <v>0</v>
      </c>
      <c r="AE37" s="42">
        <f t="shared" si="14"/>
        <v>0</v>
      </c>
      <c r="AF37" s="49">
        <v>0</v>
      </c>
      <c r="AG37" s="190">
        <f t="shared" si="19"/>
        <v>0</v>
      </c>
      <c r="AH37" s="695">
        <v>0</v>
      </c>
      <c r="AI37" s="695">
        <f t="shared" si="15"/>
        <v>0</v>
      </c>
      <c r="AJ37" s="695"/>
      <c r="AK37" s="695"/>
      <c r="AL37" s="239"/>
      <c r="AM37" s="16"/>
      <c r="AN37" s="257"/>
      <c r="AO37" s="29"/>
      <c r="AP37" s="29"/>
      <c r="AQ37" s="29"/>
      <c r="AR37" s="29"/>
      <c r="AS37" s="29"/>
      <c r="AT37" s="29"/>
      <c r="AU37" s="106"/>
      <c r="AV37" s="106"/>
      <c r="AW37" s="99" t="str">
        <f t="shared" si="0"/>
        <v/>
      </c>
      <c r="AX37" s="121"/>
      <c r="AY37" s="16"/>
      <c r="AZ37" s="40"/>
      <c r="BA37" s="16"/>
      <c r="BB37" s="443" t="s">
        <v>349</v>
      </c>
      <c r="BC37" s="443" t="s">
        <v>349</v>
      </c>
      <c r="BD37" s="121"/>
      <c r="BF37" s="8">
        <f t="shared" si="7"/>
        <v>0</v>
      </c>
      <c r="BG37" s="29">
        <f t="shared" si="8"/>
        <v>0</v>
      </c>
      <c r="BH37" s="29">
        <f t="shared" si="9"/>
        <v>0</v>
      </c>
      <c r="BI37" s="29" t="e">
        <f t="shared" si="10"/>
        <v>#REF!</v>
      </c>
      <c r="BJ37" s="29">
        <f t="shared" si="16"/>
        <v>0</v>
      </c>
      <c r="BK37" s="11">
        <f t="shared" si="17"/>
        <v>0</v>
      </c>
      <c r="BL37" s="11">
        <f t="shared" si="18"/>
        <v>0</v>
      </c>
      <c r="BM37" s="11">
        <f t="shared" si="11"/>
        <v>0</v>
      </c>
      <c r="BN37" s="1">
        <f t="shared" si="12"/>
        <v>0</v>
      </c>
      <c r="BO37" s="1">
        <f t="shared" si="1"/>
        <v>0</v>
      </c>
      <c r="BP37" s="1">
        <f t="shared" si="2"/>
        <v>0</v>
      </c>
      <c r="BQ37" s="238">
        <f t="shared" si="13"/>
        <v>0</v>
      </c>
      <c r="BR37" s="94">
        <f t="shared" si="4"/>
        <v>0</v>
      </c>
      <c r="BS37" s="73">
        <f t="shared" si="5"/>
        <v>0</v>
      </c>
    </row>
    <row r="38" spans="1:72" ht="15.75" x14ac:dyDescent="0.25">
      <c r="B38" s="11">
        <v>29</v>
      </c>
      <c r="C38" s="16"/>
      <c r="D38" s="16"/>
      <c r="E38" s="35"/>
      <c r="F38" s="35"/>
      <c r="G38" s="29" t="e">
        <f>_xlfn.XLOOKUP(F38,#REF!,#REF!)</f>
        <v>#REF!</v>
      </c>
      <c r="H38" s="16"/>
      <c r="I38" s="16"/>
      <c r="J38" s="441"/>
      <c r="K38" s="39"/>
      <c r="L38" s="259"/>
      <c r="M38" s="259"/>
      <c r="N38" s="99"/>
      <c r="O38" s="384">
        <v>0</v>
      </c>
      <c r="P38" s="384">
        <v>0</v>
      </c>
      <c r="Q38" s="384">
        <v>0</v>
      </c>
      <c r="R38" s="384">
        <v>0</v>
      </c>
      <c r="S38" s="384">
        <v>0</v>
      </c>
      <c r="T38" s="384">
        <v>0</v>
      </c>
      <c r="U38" s="384">
        <v>0</v>
      </c>
      <c r="V38" s="384">
        <v>0</v>
      </c>
      <c r="W38" s="384">
        <v>0</v>
      </c>
      <c r="X38" s="384">
        <v>0</v>
      </c>
      <c r="Y38" s="384">
        <v>0</v>
      </c>
      <c r="Z38" s="384">
        <v>0</v>
      </c>
      <c r="AA38" s="384">
        <v>0</v>
      </c>
      <c r="AB38" s="384">
        <v>0</v>
      </c>
      <c r="AC38" s="384">
        <v>0</v>
      </c>
      <c r="AD38" s="384">
        <v>0</v>
      </c>
      <c r="AE38" s="42">
        <f t="shared" si="14"/>
        <v>0</v>
      </c>
      <c r="AF38" s="49">
        <v>0</v>
      </c>
      <c r="AG38" s="190">
        <f t="shared" si="19"/>
        <v>0</v>
      </c>
      <c r="AH38" s="695">
        <v>0</v>
      </c>
      <c r="AI38" s="695">
        <f t="shared" si="15"/>
        <v>0</v>
      </c>
      <c r="AJ38" s="695"/>
      <c r="AK38" s="695"/>
      <c r="AL38" s="239"/>
      <c r="AM38" s="16"/>
      <c r="AN38" s="257"/>
      <c r="AO38" s="29"/>
      <c r="AP38" s="29"/>
      <c r="AQ38" s="29"/>
      <c r="AR38" s="29"/>
      <c r="AS38" s="29"/>
      <c r="AT38" s="29"/>
      <c r="AU38" s="106"/>
      <c r="AV38" s="106"/>
      <c r="AW38" s="99" t="str">
        <f t="shared" si="0"/>
        <v/>
      </c>
      <c r="AX38" s="121"/>
      <c r="AY38" s="16"/>
      <c r="AZ38" s="40"/>
      <c r="BA38" s="16"/>
      <c r="BB38" s="443" t="s">
        <v>349</v>
      </c>
      <c r="BC38" s="443" t="s">
        <v>349</v>
      </c>
      <c r="BD38" s="121"/>
      <c r="BF38" s="8">
        <f t="shared" si="7"/>
        <v>0</v>
      </c>
      <c r="BG38" s="29">
        <f t="shared" si="8"/>
        <v>0</v>
      </c>
      <c r="BH38" s="29">
        <f t="shared" si="9"/>
        <v>0</v>
      </c>
      <c r="BI38" s="29" t="e">
        <f t="shared" si="10"/>
        <v>#REF!</v>
      </c>
      <c r="BJ38" s="29">
        <f t="shared" si="16"/>
        <v>0</v>
      </c>
      <c r="BK38" s="11">
        <f t="shared" si="17"/>
        <v>0</v>
      </c>
      <c r="BL38" s="11">
        <f t="shared" si="18"/>
        <v>0</v>
      </c>
      <c r="BM38" s="11">
        <f t="shared" si="11"/>
        <v>0</v>
      </c>
      <c r="BN38" s="1">
        <f t="shared" si="12"/>
        <v>0</v>
      </c>
      <c r="BO38" s="1">
        <f t="shared" si="1"/>
        <v>0</v>
      </c>
      <c r="BP38" s="1">
        <f t="shared" si="2"/>
        <v>0</v>
      </c>
      <c r="BQ38" s="238">
        <f t="shared" si="13"/>
        <v>0</v>
      </c>
      <c r="BR38" s="94">
        <f t="shared" si="4"/>
        <v>0</v>
      </c>
      <c r="BS38" s="73">
        <f t="shared" si="5"/>
        <v>0</v>
      </c>
    </row>
    <row r="39" spans="1:72" ht="15.75" x14ac:dyDescent="0.25">
      <c r="B39" s="11">
        <v>30</v>
      </c>
      <c r="C39" s="16"/>
      <c r="D39" s="16"/>
      <c r="E39" s="35"/>
      <c r="F39" s="35"/>
      <c r="G39" s="29" t="e">
        <f>_xlfn.XLOOKUP(F39,#REF!,#REF!)</f>
        <v>#REF!</v>
      </c>
      <c r="H39" s="16"/>
      <c r="I39" s="16"/>
      <c r="J39" s="441"/>
      <c r="K39" s="39"/>
      <c r="L39" s="259"/>
      <c r="M39" s="259"/>
      <c r="N39" s="99"/>
      <c r="O39" s="42">
        <v>0</v>
      </c>
      <c r="P39" s="42">
        <v>0</v>
      </c>
      <c r="Q39" s="42">
        <v>0</v>
      </c>
      <c r="R39" s="42">
        <v>0</v>
      </c>
      <c r="S39" s="42">
        <v>0</v>
      </c>
      <c r="T39" s="42">
        <v>0</v>
      </c>
      <c r="U39" s="42">
        <v>0</v>
      </c>
      <c r="V39" s="42">
        <v>0</v>
      </c>
      <c r="W39" s="42">
        <v>0</v>
      </c>
      <c r="X39" s="42">
        <v>0</v>
      </c>
      <c r="Y39" s="42">
        <v>0</v>
      </c>
      <c r="Z39" s="42">
        <v>0</v>
      </c>
      <c r="AA39" s="42">
        <v>0</v>
      </c>
      <c r="AB39" s="42">
        <v>0</v>
      </c>
      <c r="AC39" s="42">
        <v>0</v>
      </c>
      <c r="AD39" s="42">
        <v>0</v>
      </c>
      <c r="AE39" s="42">
        <f t="shared" si="14"/>
        <v>0</v>
      </c>
      <c r="AF39" s="49">
        <v>0</v>
      </c>
      <c r="AG39" s="190">
        <f t="shared" si="19"/>
        <v>0</v>
      </c>
      <c r="AH39" s="695">
        <v>0</v>
      </c>
      <c r="AI39" s="695">
        <f t="shared" si="15"/>
        <v>0</v>
      </c>
      <c r="AJ39" s="695"/>
      <c r="AK39" s="695"/>
      <c r="AL39" s="239"/>
      <c r="AM39" s="16"/>
      <c r="AN39" s="257"/>
      <c r="AO39" s="29"/>
      <c r="AP39" s="29"/>
      <c r="AQ39" s="29"/>
      <c r="AR39" s="29"/>
      <c r="AS39" s="29"/>
      <c r="AT39" s="29"/>
      <c r="AU39" s="106"/>
      <c r="AV39" s="106"/>
      <c r="AW39" s="99" t="str">
        <f t="shared" si="0"/>
        <v/>
      </c>
      <c r="AX39" s="121"/>
      <c r="AY39" s="16"/>
      <c r="AZ39" s="40"/>
      <c r="BA39" s="16"/>
      <c r="BB39" s="443" t="s">
        <v>349</v>
      </c>
      <c r="BC39" s="443" t="s">
        <v>349</v>
      </c>
      <c r="BD39" s="121"/>
      <c r="BF39" s="8">
        <f t="shared" si="7"/>
        <v>0</v>
      </c>
      <c r="BG39" s="29">
        <f t="shared" si="8"/>
        <v>0</v>
      </c>
      <c r="BH39" s="29">
        <f t="shared" si="9"/>
        <v>0</v>
      </c>
      <c r="BI39" s="29" t="e">
        <f t="shared" si="10"/>
        <v>#REF!</v>
      </c>
      <c r="BJ39" s="29">
        <f t="shared" si="16"/>
        <v>0</v>
      </c>
      <c r="BK39" s="11">
        <f t="shared" si="17"/>
        <v>0</v>
      </c>
      <c r="BL39" s="11">
        <f t="shared" si="18"/>
        <v>0</v>
      </c>
      <c r="BM39" s="11">
        <f t="shared" si="11"/>
        <v>0</v>
      </c>
      <c r="BN39" s="1">
        <f t="shared" si="12"/>
        <v>0</v>
      </c>
      <c r="BO39" s="1">
        <f t="shared" si="1"/>
        <v>0</v>
      </c>
      <c r="BP39" s="1">
        <f t="shared" si="2"/>
        <v>0</v>
      </c>
      <c r="BQ39" s="238">
        <f t="shared" si="13"/>
        <v>0</v>
      </c>
      <c r="BR39" s="94">
        <f t="shared" si="4"/>
        <v>0</v>
      </c>
      <c r="BS39" s="73">
        <f t="shared" si="5"/>
        <v>0</v>
      </c>
    </row>
    <row r="40" spans="1:72" ht="15.75" x14ac:dyDescent="0.25">
      <c r="B40" s="11"/>
      <c r="C40" s="16"/>
      <c r="D40" s="16"/>
      <c r="E40" s="35"/>
      <c r="F40" s="35"/>
      <c r="G40" s="29"/>
      <c r="H40" s="16"/>
      <c r="I40" s="16"/>
      <c r="J40" s="59"/>
      <c r="K40" s="39"/>
      <c r="L40" s="16"/>
      <c r="M40" s="16"/>
      <c r="N40" s="99"/>
      <c r="O40" s="42">
        <v>0</v>
      </c>
      <c r="P40" s="42">
        <v>0</v>
      </c>
      <c r="Q40" s="42">
        <v>0</v>
      </c>
      <c r="R40" s="42">
        <v>0</v>
      </c>
      <c r="S40" s="42">
        <v>0</v>
      </c>
      <c r="T40" s="42">
        <v>0</v>
      </c>
      <c r="U40" s="42">
        <v>0</v>
      </c>
      <c r="V40" s="42">
        <v>0</v>
      </c>
      <c r="W40" s="42">
        <v>0</v>
      </c>
      <c r="X40" s="42">
        <v>0</v>
      </c>
      <c r="Y40" s="42">
        <v>0</v>
      </c>
      <c r="Z40" s="42"/>
      <c r="AA40" s="42"/>
      <c r="AB40" s="42"/>
      <c r="AC40" s="42"/>
      <c r="AD40" s="42"/>
      <c r="AE40" s="42"/>
      <c r="AF40" s="42"/>
      <c r="AG40" s="190"/>
      <c r="AH40" s="695"/>
      <c r="AI40" s="695">
        <f t="shared" si="15"/>
        <v>0</v>
      </c>
      <c r="AJ40" s="695"/>
      <c r="AK40" s="695"/>
      <c r="AL40" s="239"/>
      <c r="AM40" s="16"/>
      <c r="AN40" s="257"/>
      <c r="AO40" s="29"/>
      <c r="AP40" s="29"/>
      <c r="AQ40" s="29"/>
      <c r="AR40" s="29"/>
      <c r="AS40" s="29"/>
      <c r="AT40" s="29"/>
      <c r="AU40" s="106"/>
      <c r="AV40" s="106"/>
      <c r="AW40" s="99" t="str">
        <f>IF(C40="NO-OOS","N/A",IF(AT40="Driver's License",IF(AU40&gt;$AW$3,"SOS",IF(AV40&gt;=$AW$3,"Valid",IF(AND(AU40&lt;$AW$3,$AW$4&gt;$AW$3,AU40&gt;43831),"Covid","Expired"))),IF(AT40="I9",IF(AU40&gt;=$AW$3,"Valid",IF(AND(AT40&lt;$AW$3,$AW$4&gt;$AW$3,AU40&gt;43831),"Covid","Expired")),IF(AT40="Work Permit",IF(AND(AU40&lt;=$AW$2,(AV40+365)&gt;=$AW$3),"Valid","Expired"),IF(AT40="Missing Residency","Missing",IF(AT40="","","Other"))))))</f>
        <v/>
      </c>
      <c r="AX40" s="121"/>
      <c r="AY40" s="16"/>
      <c r="AZ40" s="40"/>
      <c r="BA40" s="16"/>
      <c r="BB40" s="99"/>
      <c r="BC40" s="29"/>
      <c r="BD40" s="121"/>
      <c r="BF40" s="8">
        <f t="shared" si="7"/>
        <v>0</v>
      </c>
      <c r="BG40" s="29">
        <f t="shared" si="8"/>
        <v>0</v>
      </c>
      <c r="BH40" s="29">
        <f t="shared" si="9"/>
        <v>0</v>
      </c>
      <c r="BI40" s="29">
        <f t="shared" si="10"/>
        <v>0</v>
      </c>
      <c r="BJ40" s="29">
        <f t="shared" si="16"/>
        <v>0</v>
      </c>
      <c r="BK40" s="11">
        <f t="shared" si="17"/>
        <v>0</v>
      </c>
      <c r="BL40" s="11">
        <f t="shared" si="18"/>
        <v>0</v>
      </c>
      <c r="BM40" s="11">
        <f t="shared" si="11"/>
        <v>0</v>
      </c>
      <c r="BN40" s="1">
        <f t="shared" si="12"/>
        <v>0</v>
      </c>
      <c r="BO40" s="1">
        <f t="shared" si="1"/>
        <v>0</v>
      </c>
      <c r="BP40" s="1">
        <f t="shared" si="2"/>
        <v>0</v>
      </c>
      <c r="BQ40" s="238">
        <f t="shared" si="13"/>
        <v>0</v>
      </c>
      <c r="BR40" s="94">
        <f t="shared" si="4"/>
        <v>0</v>
      </c>
      <c r="BS40" s="73">
        <f t="shared" si="5"/>
        <v>0</v>
      </c>
    </row>
    <row r="41" spans="1:72" ht="15.75" x14ac:dyDescent="0.25">
      <c r="A41" s="39"/>
      <c r="B41" s="11"/>
      <c r="C41" s="16"/>
      <c r="D41" s="16"/>
      <c r="E41" s="35"/>
      <c r="F41" s="35"/>
      <c r="G41" s="29"/>
      <c r="H41" s="16"/>
      <c r="I41" s="16"/>
      <c r="J41" s="59"/>
      <c r="K41" s="39"/>
      <c r="L41" s="16"/>
      <c r="M41" s="16"/>
      <c r="N41" s="99"/>
      <c r="O41" s="42">
        <v>0</v>
      </c>
      <c r="P41" s="42">
        <v>0</v>
      </c>
      <c r="Q41" s="42">
        <v>0</v>
      </c>
      <c r="R41" s="42">
        <v>0</v>
      </c>
      <c r="S41" s="42">
        <v>0</v>
      </c>
      <c r="T41" s="42">
        <v>0</v>
      </c>
      <c r="U41" s="42">
        <v>0</v>
      </c>
      <c r="V41" s="42">
        <v>0</v>
      </c>
      <c r="W41" s="42">
        <v>0</v>
      </c>
      <c r="X41" s="42">
        <v>0</v>
      </c>
      <c r="Y41" s="42"/>
      <c r="Z41" s="42"/>
      <c r="AA41" s="42"/>
      <c r="AB41" s="42"/>
      <c r="AC41" s="42"/>
      <c r="AD41" s="42"/>
      <c r="AE41" s="42"/>
      <c r="AF41" s="42"/>
      <c r="AG41" s="190"/>
      <c r="AH41" s="695"/>
      <c r="AI41" s="695">
        <f t="shared" si="15"/>
        <v>0</v>
      </c>
      <c r="AJ41" s="695"/>
      <c r="AK41" s="695"/>
      <c r="AL41" s="239"/>
      <c r="AM41" s="16"/>
      <c r="AN41" s="257"/>
      <c r="AO41" s="29"/>
      <c r="AP41" s="29"/>
      <c r="AQ41" s="29"/>
      <c r="AR41" s="29"/>
      <c r="AS41" s="29"/>
      <c r="AT41" s="29"/>
      <c r="AU41" s="106"/>
      <c r="AV41" s="106"/>
      <c r="AW41" s="99" t="str">
        <f>IF(C41="NO-OOS","N/A",IF(AT41="Driver's License",IF(AU41&gt;$AW$3,"SOS",IF(AV41&gt;=$AW$4,"Valid",IF(AND(AV41&lt;$AW$4,$AW$5&gt;$AW$4,AV41&gt;43831),"Covid","Expired"))),IF(AT41="I9",IF(AV41&gt;=$AW$4,"Valid",IF(AND(AV41&lt;$AW$4,$AW$5&gt;$AW$4,AV41&gt;43831),"Covid","Expired")),IF(AT41="Work Permit",IF(AND(AU41&lt;=$AW$3,(AU41+365)&gt;=$AW$4),"Valid","Expired"),IF(AT41="Missing Residency","Missing",IF(AT41="","","Other"))))))</f>
        <v/>
      </c>
      <c r="AX41" s="121"/>
      <c r="AY41" s="16"/>
      <c r="AZ41" s="40"/>
      <c r="BA41" s="16"/>
      <c r="BB41" s="99"/>
      <c r="BC41" s="29"/>
      <c r="BD41" s="121"/>
      <c r="BE41"/>
      <c r="BF41" s="8">
        <f t="shared" si="7"/>
        <v>0</v>
      </c>
      <c r="BG41" s="29">
        <f t="shared" si="8"/>
        <v>0</v>
      </c>
      <c r="BH41" s="29">
        <f t="shared" si="9"/>
        <v>0</v>
      </c>
      <c r="BI41" s="29">
        <f t="shared" si="10"/>
        <v>0</v>
      </c>
      <c r="BJ41" s="29">
        <f t="shared" si="16"/>
        <v>0</v>
      </c>
      <c r="BK41" s="11">
        <f t="shared" si="17"/>
        <v>0</v>
      </c>
      <c r="BL41" s="11">
        <f t="shared" si="18"/>
        <v>0</v>
      </c>
      <c r="BM41" s="11">
        <f t="shared" si="11"/>
        <v>0</v>
      </c>
      <c r="BN41" s="1">
        <f t="shared" si="12"/>
        <v>0</v>
      </c>
      <c r="BO41" s="1">
        <f t="shared" si="1"/>
        <v>0</v>
      </c>
      <c r="BP41" s="1">
        <f t="shared" si="2"/>
        <v>0</v>
      </c>
      <c r="BQ41" s="238">
        <f t="shared" si="13"/>
        <v>0</v>
      </c>
      <c r="BR41" s="94">
        <f t="shared" si="4"/>
        <v>0</v>
      </c>
      <c r="BS41" s="73">
        <f t="shared" si="5"/>
        <v>0</v>
      </c>
    </row>
    <row r="42" spans="1:72" x14ac:dyDescent="0.25">
      <c r="B42" s="41"/>
      <c r="C42" s="4"/>
      <c r="D42" s="28"/>
      <c r="E42" s="32"/>
      <c r="H42" s="174"/>
      <c r="I42" s="174"/>
      <c r="J42" s="442"/>
      <c r="K42" s="237"/>
      <c r="L42" s="174"/>
      <c r="M42" s="174"/>
      <c r="N42" s="100"/>
      <c r="O42" s="50">
        <f t="shared" ref="O42:P42" si="20">SUBTOTAL(9,O9:O41)</f>
        <v>0</v>
      </c>
      <c r="P42" s="50">
        <f t="shared" si="20"/>
        <v>0</v>
      </c>
      <c r="Q42" s="50">
        <f t="shared" ref="Q42:AE42" si="21">SUBTOTAL(9,Q9:Q41)</f>
        <v>0</v>
      </c>
      <c r="R42" s="50">
        <f t="shared" si="21"/>
        <v>0</v>
      </c>
      <c r="S42" s="50">
        <f t="shared" si="21"/>
        <v>0</v>
      </c>
      <c r="T42" s="50">
        <f>SUBTOTAL(9,T9:T41)</f>
        <v>0</v>
      </c>
      <c r="U42" s="50">
        <f t="shared" si="21"/>
        <v>0</v>
      </c>
      <c r="V42" s="50">
        <f t="shared" si="21"/>
        <v>0</v>
      </c>
      <c r="W42" s="50">
        <f t="shared" si="21"/>
        <v>0</v>
      </c>
      <c r="X42" s="50">
        <f t="shared" si="21"/>
        <v>0</v>
      </c>
      <c r="Y42" s="50">
        <f t="shared" si="21"/>
        <v>0</v>
      </c>
      <c r="Z42" s="50">
        <f t="shared" si="21"/>
        <v>0</v>
      </c>
      <c r="AA42" s="50">
        <f t="shared" si="21"/>
        <v>0</v>
      </c>
      <c r="AB42" s="50">
        <f t="shared" ref="AB42" si="22">SUBTOTAL(9,AB9:AB41)</f>
        <v>0</v>
      </c>
      <c r="AC42" s="50">
        <f t="shared" si="21"/>
        <v>0</v>
      </c>
      <c r="AD42" s="50">
        <f t="shared" ref="AD42" si="23">SUBTOTAL(9,AD9:AD41)</f>
        <v>0</v>
      </c>
      <c r="AE42" s="50">
        <f t="shared" si="21"/>
        <v>0</v>
      </c>
      <c r="AF42" s="50">
        <f t="shared" ref="AF42" si="24">SUBTOTAL(9,AF9:AF41)</f>
        <v>0</v>
      </c>
      <c r="AG42" s="50">
        <f>SUBTOTAL(9,AG9:AG41)</f>
        <v>0</v>
      </c>
      <c r="AH42" s="696"/>
      <c r="AI42" s="696"/>
      <c r="AJ42" s="696"/>
      <c r="AK42" s="696"/>
      <c r="AL42" s="15"/>
      <c r="AM42" s="15"/>
      <c r="AN42" s="15"/>
      <c r="AR42" s="15"/>
      <c r="AS42" s="15"/>
      <c r="AT42" s="15"/>
      <c r="AU42" s="15"/>
      <c r="AV42" s="15"/>
      <c r="AW42" s="15"/>
      <c r="AX42" s="15"/>
      <c r="AY42" s="15"/>
      <c r="AZ42" s="15"/>
      <c r="BA42" s="15"/>
      <c r="BB42"/>
      <c r="BC42"/>
      <c r="BD42"/>
      <c r="BE42"/>
      <c r="BF42"/>
      <c r="BG42"/>
      <c r="BH42"/>
      <c r="BI42"/>
      <c r="BJ42"/>
      <c r="BK42"/>
      <c r="BL42"/>
      <c r="BM42"/>
      <c r="BN42" s="50">
        <f>SUBTOTAL(9,BN9:BN41)</f>
        <v>0</v>
      </c>
      <c r="BO42" s="50">
        <f>SUBTOTAL(9,BO9:BO41)</f>
        <v>0</v>
      </c>
      <c r="BP42" s="50">
        <f>SUBTOTAL(9,BP9:BP41)</f>
        <v>0</v>
      </c>
      <c r="BQ42" s="50">
        <f>SUBTOTAL(9,BQ9:BQ41)</f>
        <v>0</v>
      </c>
      <c r="BR42" s="94">
        <f>SUM(BR9:BR41)</f>
        <v>0</v>
      </c>
      <c r="BS42" s="73">
        <f t="shared" si="5"/>
        <v>0</v>
      </c>
    </row>
    <row r="43" spans="1:72" x14ac:dyDescent="0.25">
      <c r="C43" s="4"/>
      <c r="D43" s="28"/>
      <c r="E43"/>
      <c r="F43"/>
      <c r="H43" s="174"/>
      <c r="I43" s="174"/>
      <c r="J43" s="442"/>
      <c r="L43" s="174"/>
      <c r="M43" s="174"/>
      <c r="O43" s="43"/>
      <c r="P43" s="43"/>
      <c r="Q43" s="43"/>
      <c r="R43" s="43"/>
      <c r="S43" s="43"/>
      <c r="T43" s="43"/>
      <c r="U43" s="43"/>
      <c r="V43" s="43"/>
      <c r="W43" s="43"/>
      <c r="X43" s="43"/>
      <c r="Y43" s="43"/>
      <c r="Z43" s="43"/>
      <c r="AA43" s="43"/>
      <c r="AB43" s="43"/>
      <c r="AC43" s="43"/>
      <c r="AD43" s="43"/>
      <c r="AE43"/>
      <c r="AF43"/>
      <c r="AG43"/>
      <c r="AH43"/>
      <c r="AI43"/>
      <c r="AJ43"/>
      <c r="AK43"/>
      <c r="AL43" s="15"/>
      <c r="AM43" s="15"/>
      <c r="AN43" s="15"/>
      <c r="AO43"/>
      <c r="AR43" s="15"/>
      <c r="AS43" s="15"/>
      <c r="AT43" s="15"/>
      <c r="AU43" s="15"/>
      <c r="AV43" s="15"/>
      <c r="AW43" s="15"/>
      <c r="AX43" s="15"/>
      <c r="AY43" s="15"/>
      <c r="AZ43" s="15"/>
      <c r="BA43" s="15"/>
      <c r="BB43"/>
      <c r="BC43"/>
      <c r="BD43"/>
      <c r="BE43"/>
      <c r="BF43"/>
      <c r="BG43"/>
      <c r="BH43"/>
      <c r="BI43"/>
      <c r="BJ43"/>
      <c r="BK43"/>
      <c r="BL43"/>
      <c r="BM43"/>
      <c r="BN43" s="8"/>
      <c r="BR43" s="94"/>
    </row>
    <row r="44" spans="1:72" x14ac:dyDescent="0.25">
      <c r="C44"/>
      <c r="AG44" s="39"/>
      <c r="AH44" s="39"/>
      <c r="AI44" s="39"/>
      <c r="AJ44" s="39"/>
      <c r="AK44" s="39"/>
      <c r="AL44" s="8"/>
      <c r="AM44" s="8"/>
      <c r="AN44" s="8"/>
      <c r="AZ44" s="8"/>
      <c r="BB44"/>
      <c r="BC44"/>
      <c r="BD44"/>
      <c r="BN44" s="8"/>
    </row>
    <row r="45" spans="1:72" ht="15.75" thickBot="1" x14ac:dyDescent="0.3">
      <c r="A45" s="45"/>
      <c r="O45" s="93">
        <f t="shared" ref="O45:P45" si="25">SUM(O9:O41)</f>
        <v>0</v>
      </c>
      <c r="P45" s="93">
        <f t="shared" si="25"/>
        <v>0</v>
      </c>
      <c r="Q45" s="93">
        <f t="shared" ref="Q45:AE45" si="26">SUM(Q9:Q41)</f>
        <v>0</v>
      </c>
      <c r="R45" s="93">
        <f t="shared" si="26"/>
        <v>0</v>
      </c>
      <c r="S45" s="93">
        <f t="shared" si="26"/>
        <v>0</v>
      </c>
      <c r="T45" s="93">
        <f>SUM(T9:T41)</f>
        <v>0</v>
      </c>
      <c r="U45" s="93">
        <f t="shared" si="26"/>
        <v>0</v>
      </c>
      <c r="V45" s="93">
        <f t="shared" si="26"/>
        <v>0</v>
      </c>
      <c r="W45" s="93">
        <f t="shared" si="26"/>
        <v>0</v>
      </c>
      <c r="X45" s="93">
        <f t="shared" si="26"/>
        <v>0</v>
      </c>
      <c r="Y45" s="93">
        <f t="shared" si="26"/>
        <v>0</v>
      </c>
      <c r="Z45" s="93">
        <f t="shared" si="26"/>
        <v>0</v>
      </c>
      <c r="AA45" s="93">
        <f t="shared" si="26"/>
        <v>0</v>
      </c>
      <c r="AB45" s="93">
        <f t="shared" ref="AB45" si="27">SUM(AB9:AB41)</f>
        <v>0</v>
      </c>
      <c r="AC45" s="93">
        <f t="shared" si="26"/>
        <v>0</v>
      </c>
      <c r="AD45" s="93">
        <f t="shared" ref="AD45" si="28">SUM(AD9:AD41)</f>
        <v>0</v>
      </c>
      <c r="AE45" s="93">
        <f t="shared" si="26"/>
        <v>0</v>
      </c>
      <c r="AF45" s="93">
        <f t="shared" ref="AF45:AG45" si="29">SUM(AF9:AF41)</f>
        <v>0</v>
      </c>
      <c r="AG45" s="93">
        <f t="shared" si="29"/>
        <v>0</v>
      </c>
      <c r="AH45" s="182"/>
      <c r="AI45" s="182"/>
      <c r="AJ45" s="182"/>
      <c r="AK45" s="182"/>
      <c r="AM45" s="27"/>
      <c r="AN45" s="8"/>
      <c r="AQ45" s="173"/>
      <c r="AR45" s="27"/>
      <c r="AS45" s="173"/>
      <c r="AT45"/>
      <c r="AU45"/>
      <c r="AV45"/>
      <c r="AW45"/>
      <c r="AZ45" s="8"/>
      <c r="BB45"/>
      <c r="BC45"/>
      <c r="BD45"/>
      <c r="BN45" s="93">
        <f>SUM(BN9:BN41)</f>
        <v>0</v>
      </c>
      <c r="BO45" s="93">
        <f>SUM(BO9:BO41)</f>
        <v>0</v>
      </c>
      <c r="BP45" s="93">
        <f>SUM(BP9:BP41)</f>
        <v>0</v>
      </c>
      <c r="BQ45" s="93">
        <f>SUM(BQ9:BQ41)</f>
        <v>0</v>
      </c>
      <c r="BR45" s="93">
        <f>SUM(BR9:BR41)</f>
        <v>0</v>
      </c>
    </row>
    <row r="46" spans="1:72" ht="15.75" thickTop="1" x14ac:dyDescent="0.25">
      <c r="AG46" s="39"/>
      <c r="AH46" s="39"/>
      <c r="AI46" s="39"/>
      <c r="AJ46" s="39"/>
      <c r="AK46" s="39"/>
      <c r="AL46" s="8"/>
      <c r="AM46" s="27"/>
      <c r="AN46" s="8"/>
      <c r="AQ46" s="173"/>
      <c r="AR46" s="27"/>
      <c r="AS46" s="173"/>
      <c r="AT46"/>
      <c r="AU46"/>
      <c r="AV46"/>
      <c r="AW46"/>
      <c r="BT46" s="94"/>
    </row>
    <row r="47" spans="1:72" x14ac:dyDescent="0.25">
      <c r="AR47"/>
      <c r="BT47" s="94"/>
    </row>
    <row r="48" spans="1:72" x14ac:dyDescent="0.25">
      <c r="AR48"/>
      <c r="BT48" s="94"/>
    </row>
    <row r="49" spans="15:72" x14ac:dyDescent="0.25">
      <c r="O49" s="43"/>
      <c r="P49" s="43"/>
      <c r="Q49" s="43"/>
      <c r="R49" s="43"/>
      <c r="S49" s="43"/>
      <c r="T49" s="43"/>
      <c r="AR49"/>
      <c r="BT49" s="94"/>
    </row>
    <row r="50" spans="15:72" x14ac:dyDescent="0.25">
      <c r="O50" s="43"/>
      <c r="P50" s="43"/>
      <c r="Q50" s="43"/>
      <c r="R50" s="43"/>
      <c r="S50" s="43"/>
      <c r="T50" s="43"/>
      <c r="AR50"/>
      <c r="BT50" s="94"/>
    </row>
    <row r="51" spans="15:72" x14ac:dyDescent="0.25">
      <c r="R51" s="225" t="s">
        <v>350</v>
      </c>
      <c r="S51" s="8">
        <f>COUNTIFS($C$9:$C$41,"YES-OOS")</f>
        <v>0</v>
      </c>
      <c r="U51" s="221"/>
      <c r="V51" s="221"/>
      <c r="W51" s="221" t="s">
        <v>351</v>
      </c>
      <c r="X51" s="222"/>
      <c r="Y51" s="223"/>
      <c r="Z51" s="43"/>
      <c r="AQ51" s="83"/>
      <c r="AR51" s="94"/>
      <c r="AS51" s="39"/>
      <c r="AT51" s="39"/>
      <c r="AU51" s="39"/>
      <c r="AV51" s="43"/>
      <c r="AW51" s="60"/>
      <c r="BT51" s="94"/>
    </row>
    <row r="52" spans="15:72" x14ac:dyDescent="0.25">
      <c r="S52" s="8"/>
      <c r="U52" s="447" t="s">
        <v>352</v>
      </c>
      <c r="V52" s="16" t="s">
        <v>353</v>
      </c>
      <c r="W52" s="84" t="s">
        <v>354</v>
      </c>
      <c r="X52" s="224" t="s">
        <v>355</v>
      </c>
      <c r="Y52" s="92" t="s">
        <v>356</v>
      </c>
      <c r="Z52" s="43"/>
      <c r="AQ52" s="88"/>
      <c r="AR52" s="94"/>
      <c r="AW52" s="173"/>
      <c r="BB52" s="32"/>
      <c r="BC52" s="32"/>
      <c r="BT52" s="94"/>
    </row>
    <row r="53" spans="15:72" x14ac:dyDescent="0.25">
      <c r="R53" s="183" t="s">
        <v>357</v>
      </c>
      <c r="S53" s="183">
        <f>(Y53)-S57</f>
        <v>0</v>
      </c>
      <c r="U53" s="86">
        <f>SUMIF($C$9:$C$41,U52,$BQ$9:$BQ$41)</f>
        <v>0</v>
      </c>
      <c r="V53" s="86">
        <f>SUMIF($C$9:$C$41,V52,$BQ$9:$BQ$41)</f>
        <v>0</v>
      </c>
      <c r="W53" s="86">
        <f>SUMIF($C$9:$C$41,W52,$BQ$9:$BQ$41)</f>
        <v>0</v>
      </c>
      <c r="X53" s="86">
        <f>SUMIF($C$9:$C$41,X52,$BQ$9:$BQ$41)</f>
        <v>0</v>
      </c>
      <c r="Y53" s="86">
        <f>SUMIF($C$9:$C$41,Y52,$BQ$9:$BQ$41)</f>
        <v>0</v>
      </c>
      <c r="Z53" s="87">
        <f>SUM(U53:Y53)</f>
        <v>0</v>
      </c>
      <c r="AQ53" s="83"/>
      <c r="AR53" s="94"/>
      <c r="AW53" s="173"/>
      <c r="BD53"/>
    </row>
    <row r="54" spans="15:72" x14ac:dyDescent="0.25">
      <c r="R54" s="183" t="s">
        <v>358</v>
      </c>
      <c r="S54" s="183">
        <f>X53</f>
        <v>0</v>
      </c>
      <c r="U54" s="8"/>
      <c r="Z54" s="89">
        <f>Z53-BQ45</f>
        <v>0</v>
      </c>
      <c r="AQ54" s="39"/>
      <c r="AR54" s="94"/>
      <c r="AW54" s="173"/>
      <c r="BD54"/>
    </row>
    <row r="55" spans="15:72" x14ac:dyDescent="0.25">
      <c r="R55" s="183" t="s">
        <v>78</v>
      </c>
      <c r="S55" s="183">
        <f>U53</f>
        <v>0</v>
      </c>
      <c r="U55" s="8"/>
      <c r="AQ55" s="39"/>
      <c r="AR55" s="94"/>
      <c r="AW55" s="173"/>
      <c r="BD55"/>
    </row>
    <row r="56" spans="15:72" x14ac:dyDescent="0.25">
      <c r="R56" s="183" t="s">
        <v>359</v>
      </c>
      <c r="S56" s="183">
        <f>V53+W53+V58+W58+Y58+X58+U58</f>
        <v>0</v>
      </c>
      <c r="U56" s="221"/>
      <c r="V56" s="221"/>
      <c r="W56" s="222" t="s">
        <v>360</v>
      </c>
      <c r="X56" s="222"/>
      <c r="Y56" s="223"/>
      <c r="Z56" s="8"/>
      <c r="AQ56" s="39"/>
      <c r="AR56" s="94"/>
      <c r="AW56" s="173"/>
      <c r="BD56"/>
    </row>
    <row r="57" spans="15:72" ht="15.75" thickBot="1" x14ac:dyDescent="0.3">
      <c r="R57" s="449" t="s">
        <v>361</v>
      </c>
      <c r="S57" s="449">
        <f>SUMIF(AS9:AS41,"Elite CIS",AE9:AE41)</f>
        <v>0</v>
      </c>
      <c r="U57" s="447" t="s">
        <v>352</v>
      </c>
      <c r="V57" s="140" t="s">
        <v>353</v>
      </c>
      <c r="W57" s="84" t="s">
        <v>354</v>
      </c>
      <c r="X57" s="224" t="s">
        <v>355</v>
      </c>
      <c r="Y57" s="85" t="s">
        <v>356</v>
      </c>
      <c r="Z57" s="8"/>
      <c r="AQ57" s="39"/>
      <c r="AR57" s="94"/>
      <c r="AW57" s="173"/>
      <c r="BD57"/>
    </row>
    <row r="58" spans="15:72" x14ac:dyDescent="0.25">
      <c r="R58" s="43" t="s">
        <v>362</v>
      </c>
      <c r="S58" s="43">
        <f>SUM(S53:S57)</f>
        <v>0</v>
      </c>
      <c r="U58" s="86">
        <f>SUMIF($C$9:$C$41,U57,$BR$9:$BR$41)</f>
        <v>0</v>
      </c>
      <c r="V58" s="86">
        <f>SUMIF($C$9:$C$41,V57,$BR$9:$BR$41)</f>
        <v>0</v>
      </c>
      <c r="W58" s="86">
        <f>SUMIF($C$9:$C$41,W57,$BR$9:$BR$41)</f>
        <v>0</v>
      </c>
      <c r="X58" s="86">
        <f>SUMIF($C$9:$C$41,X57,$BR$9:$BR$41)</f>
        <v>0</v>
      </c>
      <c r="Y58" s="86">
        <f>SUMIF($C$9:$C$41,Y57,$BR$9:$BR$41)</f>
        <v>0</v>
      </c>
      <c r="Z58" s="104">
        <f>SUM(U58:Y58)</f>
        <v>0</v>
      </c>
      <c r="AQ58" s="39"/>
      <c r="AR58" s="94"/>
      <c r="AW58" s="173"/>
      <c r="BD58"/>
    </row>
    <row r="59" spans="15:72" x14ac:dyDescent="0.25">
      <c r="R59" s="43"/>
      <c r="S59" s="89">
        <f>S58-AE45</f>
        <v>0</v>
      </c>
      <c r="U59" s="8"/>
      <c r="V59" s="8"/>
      <c r="W59" s="32"/>
      <c r="X59" s="124"/>
      <c r="Y59" s="124"/>
      <c r="Z59" s="89">
        <f>Z58-BR45</f>
        <v>0</v>
      </c>
      <c r="AQ59" s="39"/>
      <c r="AR59"/>
      <c r="AW59" s="173"/>
      <c r="BD59"/>
    </row>
    <row r="60" spans="15:72" x14ac:dyDescent="0.25">
      <c r="U60" s="8"/>
      <c r="V60"/>
      <c r="W60"/>
      <c r="X60" s="43"/>
      <c r="AQ60" s="39"/>
      <c r="AR60"/>
      <c r="AW60" s="173"/>
      <c r="BD60"/>
    </row>
    <row r="61" spans="15:72" x14ac:dyDescent="0.25">
      <c r="U61" s="8"/>
      <c r="V61"/>
      <c r="W61"/>
      <c r="X61" s="43"/>
      <c r="AQ61" s="39"/>
      <c r="AR61"/>
      <c r="AU61" s="177"/>
      <c r="AW61" s="173"/>
      <c r="BT61" s="94"/>
    </row>
    <row r="62" spans="15:72" ht="30" x14ac:dyDescent="0.25">
      <c r="R62" s="169" t="s">
        <v>363</v>
      </c>
      <c r="S62" s="170" t="s">
        <v>364</v>
      </c>
      <c r="T62" s="214" t="s">
        <v>365</v>
      </c>
      <c r="U62" s="451" t="s">
        <v>78</v>
      </c>
      <c r="V62" s="170" t="s">
        <v>366</v>
      </c>
      <c r="W62" s="142" t="s">
        <v>367</v>
      </c>
      <c r="X62" s="142" t="s">
        <v>368</v>
      </c>
      <c r="Y62" s="142" t="s">
        <v>369</v>
      </c>
      <c r="Z62" s="171" t="s">
        <v>370</v>
      </c>
      <c r="AQ62" s="141"/>
      <c r="AW62" s="173"/>
      <c r="BT62" s="94"/>
    </row>
    <row r="63" spans="15:72" x14ac:dyDescent="0.25">
      <c r="R63" s="450">
        <v>1</v>
      </c>
      <c r="S63" s="45">
        <f t="shared" ref="S63:S76" si="30">SUMIF($N$9:$N$41,R63,$AE$9:$AE$41)</f>
        <v>0</v>
      </c>
      <c r="T63" s="175">
        <f t="shared" ref="T63:T76" si="31">SUMIFS($BQ$9:$BQ$41,$N$9:$N$41,R63,$C$9:$C$41,"YES")+SUMIFS($BQ$9:$BQ$41,$N$9:$N$41,R63,$C$9:$C$41,"YES-OOS")</f>
        <v>0</v>
      </c>
      <c r="U63" s="372">
        <f t="shared" ref="U63:U76" si="32">SUMIFS($BQ$9:$BQ$41,$N$9:$N$41,R63,$C$9:$C$41,"PENDING")</f>
        <v>0</v>
      </c>
      <c r="V63" s="165">
        <f>S63-(T63+U63)</f>
        <v>0</v>
      </c>
      <c r="W63" s="166">
        <f t="shared" ref="W63:W73" si="33">SUMIFS($BN$9:$BN$41,$N$9:$N$41,R63,$C$9:$C$41,"YES")+SUMIFS($BN$9:$BN$41,$N$9:$N$41,R63,$C$9:$C$41,"YES-OOS")</f>
        <v>0</v>
      </c>
      <c r="X63" s="189">
        <f t="shared" ref="X63:X73" si="34">SUMIFS($BO$9:$BO$41,$N$9:$N$41,R63,$C$9:$C$41,"YES")+SUMIFS($BO$9:$BO$41,$N$9:$N$41,R63,$C$9:$C$41,"YES-OOS")</f>
        <v>0</v>
      </c>
      <c r="Y63" s="189">
        <f t="shared" ref="Y63:Y76" si="35">SUMIFS($BP$9:$BP$41,$N$9:$N$41,R63,$C$9:$C$41,"YES")+SUMIFS($BP$9:$BP$41,$N$9:$N$41,R63,$C$9:$C$41,"YES-OOS")</f>
        <v>0</v>
      </c>
      <c r="Z63" s="52">
        <f t="shared" ref="Z63:Z76" si="36">SUM(W63:Y63)</f>
        <v>0</v>
      </c>
      <c r="AQ63" s="89">
        <f t="shared" ref="AQ63:AQ77" si="37">Z63-T63</f>
        <v>0</v>
      </c>
      <c r="AW63" s="173"/>
      <c r="BT63" s="94"/>
    </row>
    <row r="64" spans="15:72" x14ac:dyDescent="0.25">
      <c r="R64" s="450">
        <v>2</v>
      </c>
      <c r="S64" s="45">
        <f t="shared" si="30"/>
        <v>0</v>
      </c>
      <c r="T64" s="175">
        <f t="shared" si="31"/>
        <v>0</v>
      </c>
      <c r="U64" s="372">
        <f t="shared" si="32"/>
        <v>0</v>
      </c>
      <c r="V64" s="51">
        <f t="shared" ref="V64:V76" si="38">S64-(T64+U64)</f>
        <v>0</v>
      </c>
      <c r="W64" s="189">
        <f t="shared" si="33"/>
        <v>0</v>
      </c>
      <c r="X64" s="189">
        <f t="shared" si="34"/>
        <v>0</v>
      </c>
      <c r="Y64" s="189">
        <f t="shared" si="35"/>
        <v>0</v>
      </c>
      <c r="Z64" s="39">
        <f t="shared" si="36"/>
        <v>0</v>
      </c>
      <c r="AQ64" s="89">
        <f t="shared" si="37"/>
        <v>0</v>
      </c>
      <c r="AW64" s="173"/>
      <c r="BT64" s="94"/>
    </row>
    <row r="65" spans="18:72" x14ac:dyDescent="0.25">
      <c r="R65" s="450">
        <v>3</v>
      </c>
      <c r="S65" s="45">
        <f t="shared" si="30"/>
        <v>0</v>
      </c>
      <c r="T65" s="175">
        <f t="shared" si="31"/>
        <v>0</v>
      </c>
      <c r="U65" s="372">
        <f t="shared" si="32"/>
        <v>0</v>
      </c>
      <c r="V65" s="51">
        <f t="shared" si="38"/>
        <v>0</v>
      </c>
      <c r="W65" s="189">
        <f t="shared" si="33"/>
        <v>0</v>
      </c>
      <c r="X65" s="189">
        <f t="shared" si="34"/>
        <v>0</v>
      </c>
      <c r="Y65" s="189">
        <f t="shared" si="35"/>
        <v>0</v>
      </c>
      <c r="Z65" s="39">
        <f t="shared" si="36"/>
        <v>0</v>
      </c>
      <c r="AQ65" s="89">
        <f t="shared" si="37"/>
        <v>0</v>
      </c>
      <c r="AW65" s="173"/>
      <c r="BT65" s="94"/>
    </row>
    <row r="66" spans="18:72" x14ac:dyDescent="0.25">
      <c r="R66" s="450">
        <v>4</v>
      </c>
      <c r="S66" s="45">
        <f t="shared" si="30"/>
        <v>0</v>
      </c>
      <c r="T66" s="175">
        <f t="shared" si="31"/>
        <v>0</v>
      </c>
      <c r="U66" s="372">
        <f t="shared" si="32"/>
        <v>0</v>
      </c>
      <c r="V66" s="51">
        <f t="shared" si="38"/>
        <v>0</v>
      </c>
      <c r="W66" s="189">
        <f t="shared" si="33"/>
        <v>0</v>
      </c>
      <c r="X66" s="189">
        <f t="shared" si="34"/>
        <v>0</v>
      </c>
      <c r="Y66" s="189">
        <f t="shared" si="35"/>
        <v>0</v>
      </c>
      <c r="Z66" s="39">
        <f t="shared" si="36"/>
        <v>0</v>
      </c>
      <c r="AQ66" s="89">
        <f t="shared" si="37"/>
        <v>0</v>
      </c>
      <c r="AW66" s="173"/>
      <c r="BT66" s="94"/>
    </row>
    <row r="67" spans="18:72" x14ac:dyDescent="0.25">
      <c r="R67" s="450">
        <v>5</v>
      </c>
      <c r="S67" s="45">
        <f t="shared" si="30"/>
        <v>0</v>
      </c>
      <c r="T67" s="175">
        <f t="shared" si="31"/>
        <v>0</v>
      </c>
      <c r="U67" s="372">
        <f t="shared" si="32"/>
        <v>0</v>
      </c>
      <c r="V67" s="51">
        <f t="shared" si="38"/>
        <v>0</v>
      </c>
      <c r="W67" s="189">
        <f t="shared" si="33"/>
        <v>0</v>
      </c>
      <c r="X67" s="189">
        <f t="shared" si="34"/>
        <v>0</v>
      </c>
      <c r="Y67" s="189">
        <f t="shared" si="35"/>
        <v>0</v>
      </c>
      <c r="Z67" s="39">
        <f t="shared" si="36"/>
        <v>0</v>
      </c>
      <c r="AQ67" s="89">
        <f t="shared" si="37"/>
        <v>0</v>
      </c>
      <c r="AW67" s="173"/>
      <c r="BT67" s="94"/>
    </row>
    <row r="68" spans="18:72" x14ac:dyDescent="0.25">
      <c r="R68" s="8"/>
      <c r="S68" s="45">
        <f t="shared" si="30"/>
        <v>0</v>
      </c>
      <c r="T68" s="175">
        <f t="shared" si="31"/>
        <v>0</v>
      </c>
      <c r="U68" s="372">
        <f t="shared" si="32"/>
        <v>0</v>
      </c>
      <c r="V68" s="51">
        <f t="shared" si="38"/>
        <v>0</v>
      </c>
      <c r="W68" s="189">
        <f t="shared" si="33"/>
        <v>0</v>
      </c>
      <c r="X68" s="189">
        <f t="shared" si="34"/>
        <v>0</v>
      </c>
      <c r="Y68" s="189">
        <f t="shared" si="35"/>
        <v>0</v>
      </c>
      <c r="Z68" s="39">
        <f t="shared" si="36"/>
        <v>0</v>
      </c>
      <c r="AQ68" s="89">
        <f t="shared" si="37"/>
        <v>0</v>
      </c>
      <c r="AW68" s="173"/>
      <c r="BT68" s="94"/>
    </row>
    <row r="69" spans="18:72" x14ac:dyDescent="0.25">
      <c r="R69" s="8"/>
      <c r="S69" s="45">
        <f t="shared" si="30"/>
        <v>0</v>
      </c>
      <c r="T69" s="175">
        <f t="shared" si="31"/>
        <v>0</v>
      </c>
      <c r="U69" s="372">
        <f t="shared" si="32"/>
        <v>0</v>
      </c>
      <c r="V69" s="51">
        <f t="shared" si="38"/>
        <v>0</v>
      </c>
      <c r="W69" s="189">
        <f t="shared" si="33"/>
        <v>0</v>
      </c>
      <c r="X69" s="189">
        <f t="shared" si="34"/>
        <v>0</v>
      </c>
      <c r="Y69" s="189">
        <f t="shared" si="35"/>
        <v>0</v>
      </c>
      <c r="Z69" s="39">
        <f t="shared" si="36"/>
        <v>0</v>
      </c>
      <c r="AQ69" s="89">
        <f t="shared" si="37"/>
        <v>0</v>
      </c>
      <c r="AW69" s="173"/>
      <c r="BT69" s="94"/>
    </row>
    <row r="70" spans="18:72" x14ac:dyDescent="0.25">
      <c r="R70" s="8"/>
      <c r="S70" s="45">
        <f t="shared" si="30"/>
        <v>0</v>
      </c>
      <c r="T70" s="175">
        <f t="shared" si="31"/>
        <v>0</v>
      </c>
      <c r="U70" s="372">
        <f t="shared" si="32"/>
        <v>0</v>
      </c>
      <c r="V70" s="51">
        <f t="shared" si="38"/>
        <v>0</v>
      </c>
      <c r="W70" s="189">
        <f t="shared" si="33"/>
        <v>0</v>
      </c>
      <c r="X70" s="189">
        <f t="shared" si="34"/>
        <v>0</v>
      </c>
      <c r="Y70" s="189">
        <f t="shared" si="35"/>
        <v>0</v>
      </c>
      <c r="Z70" s="39">
        <f t="shared" si="36"/>
        <v>0</v>
      </c>
      <c r="AQ70" s="89">
        <f t="shared" si="37"/>
        <v>0</v>
      </c>
      <c r="AW70" s="173"/>
      <c r="BT70" s="94"/>
    </row>
    <row r="71" spans="18:72" x14ac:dyDescent="0.25">
      <c r="R71" s="8"/>
      <c r="S71" s="45">
        <f t="shared" si="30"/>
        <v>0</v>
      </c>
      <c r="T71" s="175">
        <f t="shared" si="31"/>
        <v>0</v>
      </c>
      <c r="U71" s="372">
        <f t="shared" si="32"/>
        <v>0</v>
      </c>
      <c r="V71" s="51">
        <f t="shared" si="38"/>
        <v>0</v>
      </c>
      <c r="W71" s="189">
        <f t="shared" si="33"/>
        <v>0</v>
      </c>
      <c r="X71" s="189">
        <f t="shared" si="34"/>
        <v>0</v>
      </c>
      <c r="Y71" s="189">
        <f t="shared" si="35"/>
        <v>0</v>
      </c>
      <c r="Z71" s="39">
        <f t="shared" si="36"/>
        <v>0</v>
      </c>
      <c r="AQ71" s="89">
        <f t="shared" si="37"/>
        <v>0</v>
      </c>
      <c r="AW71" s="173"/>
      <c r="BT71" s="94"/>
    </row>
    <row r="72" spans="18:72" x14ac:dyDescent="0.25">
      <c r="R72" s="8"/>
      <c r="S72" s="45">
        <f t="shared" si="30"/>
        <v>0</v>
      </c>
      <c r="T72" s="175">
        <f t="shared" si="31"/>
        <v>0</v>
      </c>
      <c r="U72" s="372">
        <f t="shared" si="32"/>
        <v>0</v>
      </c>
      <c r="V72" s="51">
        <f t="shared" si="38"/>
        <v>0</v>
      </c>
      <c r="W72" s="189">
        <f t="shared" si="33"/>
        <v>0</v>
      </c>
      <c r="X72" s="189">
        <f t="shared" si="34"/>
        <v>0</v>
      </c>
      <c r="Y72" s="189">
        <f t="shared" si="35"/>
        <v>0</v>
      </c>
      <c r="Z72" s="39">
        <f t="shared" si="36"/>
        <v>0</v>
      </c>
      <c r="AQ72" s="89">
        <f t="shared" si="37"/>
        <v>0</v>
      </c>
      <c r="AW72" s="173"/>
      <c r="BT72" s="94"/>
    </row>
    <row r="73" spans="18:72" x14ac:dyDescent="0.25">
      <c r="R73" s="8"/>
      <c r="S73" s="45">
        <f t="shared" si="30"/>
        <v>0</v>
      </c>
      <c r="T73" s="175">
        <f t="shared" si="31"/>
        <v>0</v>
      </c>
      <c r="U73" s="372">
        <f t="shared" si="32"/>
        <v>0</v>
      </c>
      <c r="V73" s="51">
        <f t="shared" si="38"/>
        <v>0</v>
      </c>
      <c r="W73" s="189">
        <f t="shared" si="33"/>
        <v>0</v>
      </c>
      <c r="X73" s="189">
        <f t="shared" si="34"/>
        <v>0</v>
      </c>
      <c r="Y73" s="189">
        <f t="shared" si="35"/>
        <v>0</v>
      </c>
      <c r="Z73" s="39">
        <f t="shared" si="36"/>
        <v>0</v>
      </c>
      <c r="AQ73" s="89">
        <f t="shared" si="37"/>
        <v>0</v>
      </c>
      <c r="AW73" s="173"/>
      <c r="BT73" s="94"/>
    </row>
    <row r="74" spans="18:72" x14ac:dyDescent="0.25">
      <c r="R74" s="8"/>
      <c r="S74" s="45">
        <f t="shared" si="30"/>
        <v>0</v>
      </c>
      <c r="T74" s="175">
        <f t="shared" si="31"/>
        <v>0</v>
      </c>
      <c r="U74" s="372">
        <f t="shared" si="32"/>
        <v>0</v>
      </c>
      <c r="V74" s="51">
        <f t="shared" si="38"/>
        <v>0</v>
      </c>
      <c r="W74" s="189">
        <f>SUMIFS($BN$9:$BN$41,$N$9:$N$41,#REF!,$C$9:$C$41,"YES")+SUMIFS($BN$9:$BN$41,$N$9:$N$41,#REF!,$C$9:$C$41,"YES-OOS")</f>
        <v>0</v>
      </c>
      <c r="X74" s="189">
        <f>SUMIFS($BO$9:$BO$41,$N$9:$N$41,#REF!,$C$9:$C$41,"YES")+SUMIFS($BO$9:$BO$41,$N$9:$N$41,#REF!,$C$9:$C$41,"YES-OOS")</f>
        <v>0</v>
      </c>
      <c r="Y74" s="189">
        <f t="shared" si="35"/>
        <v>0</v>
      </c>
      <c r="Z74" s="39">
        <f t="shared" si="36"/>
        <v>0</v>
      </c>
      <c r="AQ74" s="89">
        <f t="shared" si="37"/>
        <v>0</v>
      </c>
      <c r="AW74" s="173"/>
      <c r="BT74" s="94"/>
    </row>
    <row r="75" spans="18:72" x14ac:dyDescent="0.25">
      <c r="R75" s="8"/>
      <c r="S75" s="45">
        <f t="shared" si="30"/>
        <v>0</v>
      </c>
      <c r="T75" s="175">
        <f t="shared" si="31"/>
        <v>0</v>
      </c>
      <c r="U75" s="372">
        <f t="shared" si="32"/>
        <v>0</v>
      </c>
      <c r="V75" s="51">
        <f t="shared" si="38"/>
        <v>0</v>
      </c>
      <c r="W75" s="189">
        <f>SUMIFS($BN$9:$BN$41,$N$9:$N$41,#REF!,$C$9:$C$41,"YES")+SUMIFS($BN$9:$BN$41,$N$9:$N$41,#REF!,$C$9:$C$41,"YES-OOS")</f>
        <v>0</v>
      </c>
      <c r="X75" s="189">
        <f>SUMIFS($BO$9:$BO$41,$N$9:$N$41,#REF!,$C$9:$C$41,"YES")+SUMIFS($BO$9:$BO$41,$N$9:$N$41,#REF!,$C$9:$C$41,"YES-OOS")</f>
        <v>0</v>
      </c>
      <c r="Y75" s="189">
        <f t="shared" si="35"/>
        <v>0</v>
      </c>
      <c r="Z75" s="39">
        <f t="shared" si="36"/>
        <v>0</v>
      </c>
      <c r="AQ75" s="89">
        <f t="shared" si="37"/>
        <v>0</v>
      </c>
      <c r="AW75" s="173"/>
      <c r="BT75" s="94"/>
    </row>
    <row r="76" spans="18:72" ht="15.75" thickBot="1" x14ac:dyDescent="0.3">
      <c r="R76" s="167" t="s">
        <v>371</v>
      </c>
      <c r="S76" s="110">
        <f t="shared" si="30"/>
        <v>0</v>
      </c>
      <c r="T76" s="176">
        <f t="shared" si="31"/>
        <v>0</v>
      </c>
      <c r="U76" s="452">
        <f t="shared" si="32"/>
        <v>0</v>
      </c>
      <c r="V76" s="145">
        <f t="shared" si="38"/>
        <v>0</v>
      </c>
      <c r="W76" s="144">
        <f>SUMIFS($BN$9:$BN$41,$N$9:$N$41,R76,$C$9:$C$41,"YES")+SUMIFS($BN$9:$BN$41,$N$9:$N$41,R76,$C$9:$C$41,"YES-OOS")</f>
        <v>0</v>
      </c>
      <c r="X76" s="144">
        <f>SUMIFS($BO$9:$BO$41,$N$9:$N$41,R76,$C$9:$C$41,"YES")+SUMIFS($BO$9:$BO$41,$N$9:$N$41,R76,$C$9:$C$41,"YES-OOS")</f>
        <v>0</v>
      </c>
      <c r="Y76" s="144">
        <f t="shared" si="35"/>
        <v>0</v>
      </c>
      <c r="Z76" s="127">
        <f t="shared" si="36"/>
        <v>0</v>
      </c>
      <c r="AQ76" s="89">
        <f t="shared" si="37"/>
        <v>0</v>
      </c>
      <c r="AW76" s="173"/>
      <c r="BT76" s="94"/>
    </row>
    <row r="77" spans="18:72" ht="15.75" thickTop="1" x14ac:dyDescent="0.25">
      <c r="R77" s="96" t="s">
        <v>372</v>
      </c>
      <c r="S77" s="39">
        <f>SUM(S63:S76)</f>
        <v>0</v>
      </c>
      <c r="T77" s="168">
        <f t="shared" ref="T77" si="39">SUM(T63:T76)</f>
        <v>0</v>
      </c>
      <c r="U77" s="453">
        <f t="shared" ref="U77:Z77" si="40">SUM(U63:U76)</f>
        <v>0</v>
      </c>
      <c r="V77" s="51">
        <f t="shared" si="40"/>
        <v>0</v>
      </c>
      <c r="W77" s="168">
        <f t="shared" si="40"/>
        <v>0</v>
      </c>
      <c r="X77" s="168">
        <f t="shared" si="40"/>
        <v>0</v>
      </c>
      <c r="Y77" s="168">
        <f t="shared" si="40"/>
        <v>0</v>
      </c>
      <c r="Z77" s="39">
        <f t="shared" si="40"/>
        <v>0</v>
      </c>
      <c r="AQ77" s="89">
        <f t="shared" si="37"/>
        <v>0</v>
      </c>
      <c r="AW77" s="173"/>
      <c r="BT77" s="94"/>
    </row>
    <row r="78" spans="18:72" x14ac:dyDescent="0.25">
      <c r="R78" s="8"/>
      <c r="S78" s="73">
        <f>S77-AE45</f>
        <v>0</v>
      </c>
      <c r="T78" s="73">
        <f>T77-(S53+S54)</f>
        <v>0</v>
      </c>
      <c r="U78" s="73">
        <f>U77-U53</f>
        <v>0</v>
      </c>
      <c r="V78" s="89">
        <f>V77-S56</f>
        <v>0</v>
      </c>
      <c r="W78" s="8"/>
      <c r="X78" s="8"/>
      <c r="Y78"/>
      <c r="Z78" s="8"/>
      <c r="AV78"/>
      <c r="AW78" s="173"/>
      <c r="BT78" s="94"/>
    </row>
    <row r="79" spans="18:72" x14ac:dyDescent="0.25">
      <c r="R79" s="96"/>
      <c r="S79" s="173"/>
      <c r="T79" s="173"/>
      <c r="U79" s="27"/>
      <c r="V79" s="8"/>
      <c r="W79" s="8"/>
      <c r="X79"/>
      <c r="Y79" s="8"/>
      <c r="Z79" s="8"/>
      <c r="AV79"/>
      <c r="AW79" s="173"/>
      <c r="BT79" s="94"/>
    </row>
    <row r="80" spans="18:72" x14ac:dyDescent="0.25">
      <c r="R80" s="96" t="s">
        <v>373</v>
      </c>
      <c r="S80" s="39">
        <v>0</v>
      </c>
      <c r="T80" s="39">
        <v>0</v>
      </c>
      <c r="U80" s="39">
        <v>0</v>
      </c>
      <c r="V80" s="8"/>
      <c r="W80" s="8"/>
      <c r="X80"/>
      <c r="Y80" s="8"/>
      <c r="Z80" s="8"/>
      <c r="AV80"/>
      <c r="AW80" s="173"/>
      <c r="BT80" s="94"/>
    </row>
    <row r="81" spans="38:72" x14ac:dyDescent="0.25">
      <c r="BT81" s="94"/>
    </row>
    <row r="82" spans="38:72" x14ac:dyDescent="0.25">
      <c r="BT82" s="94"/>
    </row>
    <row r="83" spans="38:72" x14ac:dyDescent="0.25">
      <c r="BN83" s="8"/>
      <c r="BO83" s="8"/>
      <c r="BP83" s="8"/>
      <c r="BQ83" s="8"/>
      <c r="BT83" s="94"/>
    </row>
    <row r="84" spans="38:72" x14ac:dyDescent="0.25">
      <c r="AV84" s="173"/>
      <c r="AW84"/>
      <c r="BN84" s="8"/>
      <c r="BO84" s="8"/>
      <c r="BP84" s="8"/>
      <c r="BQ84" s="8"/>
      <c r="BT84" s="94"/>
    </row>
    <row r="85" spans="38:72" x14ac:dyDescent="0.25">
      <c r="AL85" s="8"/>
      <c r="AM85" s="27"/>
      <c r="AN85" s="8"/>
      <c r="AQ85" s="173"/>
      <c r="AR85" s="27"/>
      <c r="AT85" s="177"/>
      <c r="AV85" s="173"/>
      <c r="AW85"/>
      <c r="BN85" s="27"/>
      <c r="BO85" s="8"/>
      <c r="BP85" s="8"/>
      <c r="BQ85" s="8"/>
      <c r="BT85" s="94"/>
    </row>
    <row r="86" spans="38:72" x14ac:dyDescent="0.25">
      <c r="AL86" s="8"/>
      <c r="AM86" s="27"/>
      <c r="AN86" s="8"/>
      <c r="AQ86" s="173"/>
      <c r="AR86" s="27"/>
      <c r="AT86" s="177"/>
      <c r="AV86" s="173"/>
      <c r="AW86"/>
      <c r="BN86" s="27"/>
      <c r="BO86" s="8"/>
      <c r="BP86" s="8"/>
      <c r="BQ86" s="8"/>
      <c r="BT86" s="94"/>
    </row>
    <row r="87" spans="38:72" x14ac:dyDescent="0.25">
      <c r="AL87" s="8"/>
      <c r="AM87" s="27"/>
      <c r="AN87" s="8"/>
      <c r="AQ87" s="173"/>
      <c r="AR87" s="27"/>
      <c r="AT87" s="177"/>
      <c r="AV87" s="173"/>
      <c r="AW87"/>
      <c r="BN87" s="27"/>
      <c r="BO87" s="8"/>
      <c r="BP87" s="8"/>
      <c r="BQ87" s="8"/>
      <c r="BT87" s="94"/>
    </row>
    <row r="88" spans="38:72" x14ac:dyDescent="0.25">
      <c r="AL88" s="8"/>
      <c r="AM88" s="27"/>
      <c r="AN88" s="8"/>
      <c r="AQ88" s="173"/>
      <c r="AR88" s="27"/>
      <c r="AT88" s="177"/>
      <c r="AV88" s="173"/>
      <c r="AW88"/>
      <c r="BN88" s="27"/>
      <c r="BO88" s="8"/>
      <c r="BP88" s="8"/>
      <c r="BQ88" s="8"/>
      <c r="BT88" s="94"/>
    </row>
    <row r="89" spans="38:72" x14ac:dyDescent="0.25">
      <c r="AL89" s="8"/>
      <c r="AM89" s="27"/>
      <c r="AN89" s="8"/>
      <c r="AQ89" s="173"/>
      <c r="AR89" s="27"/>
      <c r="AT89" s="177"/>
      <c r="AV89" s="173"/>
      <c r="AW89"/>
      <c r="BN89" s="27"/>
      <c r="BO89" s="8"/>
      <c r="BP89" s="8"/>
      <c r="BQ89" s="8"/>
      <c r="BT89" s="94"/>
    </row>
    <row r="90" spans="38:72" x14ac:dyDescent="0.25">
      <c r="AL90" s="8"/>
      <c r="AM90" s="27"/>
      <c r="AN90" s="8"/>
      <c r="AQ90" s="173"/>
      <c r="AR90" s="27"/>
      <c r="AT90" s="177"/>
      <c r="AV90" s="173"/>
      <c r="AW90"/>
      <c r="BN90" s="27"/>
      <c r="BO90" s="8"/>
      <c r="BP90" s="8"/>
      <c r="BQ90" s="8"/>
      <c r="BT90" s="94"/>
    </row>
    <row r="91" spans="38:72" x14ac:dyDescent="0.25">
      <c r="AL91" s="8"/>
      <c r="AM91" s="27"/>
      <c r="AN91" s="8"/>
      <c r="AQ91" s="173"/>
      <c r="AR91" s="27"/>
      <c r="AT91" s="177"/>
      <c r="AV91" s="173"/>
      <c r="AW91"/>
      <c r="BN91" s="27"/>
      <c r="BO91" s="8"/>
      <c r="BP91" s="8"/>
      <c r="BQ91" s="8"/>
      <c r="BT91" s="94"/>
    </row>
    <row r="92" spans="38:72" x14ac:dyDescent="0.25">
      <c r="AL92" s="8"/>
      <c r="AM92" s="27"/>
      <c r="AN92" s="8"/>
      <c r="AQ92" s="173"/>
      <c r="AR92" s="27"/>
      <c r="AT92" s="177"/>
      <c r="AV92" s="173"/>
      <c r="AW92"/>
      <c r="BN92" s="27"/>
      <c r="BO92" s="8"/>
      <c r="BP92" s="8"/>
      <c r="BQ92" s="8"/>
      <c r="BT92" s="94"/>
    </row>
    <row r="93" spans="38:72" x14ac:dyDescent="0.25">
      <c r="AL93" s="8"/>
      <c r="AM93" s="27"/>
      <c r="AN93" s="8"/>
      <c r="AQ93" s="173"/>
      <c r="AR93" s="27"/>
      <c r="AT93" s="177"/>
      <c r="AV93" s="173"/>
      <c r="AW93"/>
      <c r="BN93" s="27"/>
      <c r="BO93" s="8"/>
      <c r="BP93" s="8"/>
      <c r="BQ93" s="8"/>
      <c r="BT93" s="94"/>
    </row>
    <row r="94" spans="38:72" x14ac:dyDescent="0.25">
      <c r="AL94" s="8"/>
      <c r="AM94" s="27"/>
      <c r="AN94" s="8"/>
      <c r="AQ94" s="173"/>
      <c r="AR94" s="27"/>
      <c r="AT94" s="177"/>
      <c r="AV94" s="173"/>
      <c r="AW94"/>
      <c r="BN94" s="27"/>
      <c r="BO94" s="8"/>
      <c r="BP94" s="8"/>
      <c r="BQ94" s="8"/>
      <c r="BT94" s="94"/>
    </row>
    <row r="95" spans="38:72" x14ac:dyDescent="0.25">
      <c r="AL95" s="8"/>
      <c r="AM95" s="27"/>
      <c r="AN95" s="8"/>
      <c r="AQ95" s="173"/>
      <c r="AR95" s="27"/>
      <c r="AT95" s="177"/>
      <c r="AV95" s="173"/>
      <c r="AW95"/>
      <c r="BN95" s="27"/>
      <c r="BO95" s="8"/>
      <c r="BP95" s="8"/>
      <c r="BQ95" s="8"/>
      <c r="BT95" s="94"/>
    </row>
    <row r="96" spans="38:72" x14ac:dyDescent="0.25">
      <c r="AL96" s="8"/>
      <c r="AM96" s="27"/>
      <c r="AN96" s="8"/>
      <c r="AQ96" s="173"/>
      <c r="AR96" s="27"/>
      <c r="AT96" s="177"/>
      <c r="AV96" s="173"/>
      <c r="AW96"/>
      <c r="BN96" s="27"/>
      <c r="BO96" s="8"/>
      <c r="BP96" s="8"/>
      <c r="BQ96" s="8"/>
      <c r="BT96" s="94"/>
    </row>
    <row r="97" spans="11:72" x14ac:dyDescent="0.25">
      <c r="AL97" s="8"/>
      <c r="AM97" s="27"/>
      <c r="AN97" s="8"/>
      <c r="AQ97" s="173"/>
      <c r="AR97" s="27"/>
      <c r="AT97" s="177"/>
      <c r="AV97" s="173"/>
      <c r="AW97"/>
      <c r="BN97" s="27"/>
      <c r="BO97" s="8"/>
      <c r="BP97" s="8"/>
      <c r="BQ97" s="8"/>
      <c r="BT97" s="94"/>
    </row>
    <row r="98" spans="11:72" x14ac:dyDescent="0.25">
      <c r="AL98" s="8"/>
      <c r="AM98" s="27"/>
      <c r="AN98" s="8"/>
      <c r="AQ98" s="173"/>
      <c r="AR98" s="27"/>
      <c r="AT98" s="177"/>
      <c r="AV98" s="173"/>
      <c r="AW98"/>
      <c r="BN98" s="27"/>
      <c r="BO98" s="8"/>
      <c r="BP98" s="8"/>
      <c r="BQ98" s="8"/>
      <c r="BT98" s="94"/>
    </row>
    <row r="99" spans="11:72" x14ac:dyDescent="0.25">
      <c r="AL99" s="8"/>
      <c r="AM99" s="27"/>
      <c r="AN99" s="8"/>
      <c r="AQ99" s="173"/>
      <c r="AR99" s="27"/>
      <c r="AT99" s="177"/>
      <c r="AV99" s="173"/>
      <c r="AW99"/>
      <c r="BN99" s="27"/>
      <c r="BO99" s="8"/>
      <c r="BP99" s="8"/>
      <c r="BQ99" s="8"/>
      <c r="BT99" s="94"/>
    </row>
    <row r="100" spans="11:72" x14ac:dyDescent="0.25">
      <c r="AL100" s="8"/>
      <c r="AM100" s="27"/>
      <c r="AN100" s="8"/>
      <c r="AQ100" s="173"/>
      <c r="AR100" s="27"/>
      <c r="AT100" s="177"/>
      <c r="AV100" s="173"/>
      <c r="AW100"/>
      <c r="BN100" s="27"/>
      <c r="BO100" s="8"/>
      <c r="BP100" s="8"/>
      <c r="BQ100" s="8"/>
      <c r="BT100" s="94"/>
    </row>
    <row r="101" spans="11:72" x14ac:dyDescent="0.25">
      <c r="AL101" s="8"/>
      <c r="AM101" s="27"/>
      <c r="AN101" s="8"/>
      <c r="AQ101" s="173"/>
      <c r="AR101" s="27"/>
      <c r="AT101" s="177"/>
      <c r="AV101" s="173"/>
      <c r="AW101"/>
      <c r="BN101" s="27"/>
      <c r="BO101" s="8"/>
      <c r="BP101" s="8"/>
      <c r="BQ101" s="8"/>
      <c r="BT101" s="94"/>
    </row>
    <row r="102" spans="11:72" x14ac:dyDescent="0.25">
      <c r="AL102" s="8"/>
      <c r="AM102" s="27"/>
      <c r="AN102" s="8"/>
      <c r="AQ102" s="173"/>
      <c r="AR102" s="27"/>
      <c r="AT102" s="177"/>
      <c r="AV102" s="173"/>
      <c r="AW102"/>
      <c r="BN102" s="27"/>
      <c r="BO102" s="8"/>
      <c r="BP102" s="8"/>
      <c r="BQ102" s="8"/>
      <c r="BT102" s="94"/>
    </row>
    <row r="103" spans="11:72" x14ac:dyDescent="0.25">
      <c r="K103" s="8"/>
      <c r="AL103" s="177"/>
      <c r="AM103" s="8"/>
      <c r="AN103" s="173"/>
      <c r="AO103"/>
      <c r="BN103" s="27"/>
      <c r="BO103" s="8"/>
      <c r="BP103" s="8"/>
      <c r="BQ103" s="8"/>
      <c r="BT103" s="94"/>
    </row>
    <row r="104" spans="11:72" x14ac:dyDescent="0.25">
      <c r="K104" s="8"/>
      <c r="AL104" s="177"/>
      <c r="AM104" s="8"/>
      <c r="AN104" s="173"/>
      <c r="AO104"/>
      <c r="BN104" s="27"/>
      <c r="BO104" s="8"/>
      <c r="BP104" s="8"/>
      <c r="BQ104" s="8"/>
      <c r="BT104" s="94"/>
    </row>
    <row r="105" spans="11:72" x14ac:dyDescent="0.25">
      <c r="K105" s="8"/>
      <c r="AL105" s="177"/>
      <c r="AM105" s="8"/>
      <c r="AN105" s="173"/>
      <c r="AO105"/>
      <c r="BN105" s="27"/>
      <c r="BO105" s="8"/>
      <c r="BP105" s="8"/>
      <c r="BQ105" s="8"/>
      <c r="BT105" s="94"/>
    </row>
    <row r="106" spans="11:72" x14ac:dyDescent="0.25">
      <c r="AL106" s="177"/>
      <c r="AO106"/>
      <c r="BQ106" s="177"/>
      <c r="BT106" s="94"/>
    </row>
    <row r="107" spans="11:72" x14ac:dyDescent="0.25">
      <c r="AL107" s="177"/>
      <c r="AO107"/>
      <c r="BQ107" s="177"/>
      <c r="BT107" s="94"/>
    </row>
    <row r="108" spans="11:72" x14ac:dyDescent="0.25">
      <c r="AL108" s="177"/>
      <c r="AO108"/>
      <c r="BQ108" s="177"/>
      <c r="BT108" s="94"/>
    </row>
    <row r="109" spans="11:72" x14ac:dyDescent="0.25">
      <c r="AL109" s="177"/>
      <c r="AO109"/>
      <c r="BQ109" s="177"/>
      <c r="BT109" s="94"/>
    </row>
    <row r="110" spans="11:72" x14ac:dyDescent="0.25">
      <c r="AL110" s="177"/>
      <c r="AO110"/>
      <c r="BQ110" s="177"/>
      <c r="BT110" s="94"/>
    </row>
    <row r="111" spans="11:72" x14ac:dyDescent="0.25">
      <c r="AL111" s="177"/>
      <c r="AO111"/>
      <c r="BQ111" s="177"/>
      <c r="BT111" s="94"/>
    </row>
    <row r="112" spans="11:72" x14ac:dyDescent="0.25">
      <c r="AL112" s="177"/>
      <c r="AO112"/>
      <c r="BQ112" s="177"/>
      <c r="BT112" s="94"/>
    </row>
    <row r="113" spans="11:72" x14ac:dyDescent="0.25">
      <c r="AL113" s="177"/>
      <c r="AO113"/>
      <c r="BQ113" s="177"/>
      <c r="BT113" s="94"/>
    </row>
    <row r="114" spans="11:72" x14ac:dyDescent="0.25">
      <c r="K114" s="177"/>
      <c r="BQ114" s="177"/>
      <c r="BT114" s="94"/>
    </row>
    <row r="115" spans="11:72" x14ac:dyDescent="0.25">
      <c r="K115" s="8"/>
      <c r="BA115" s="177"/>
      <c r="BQ115" s="8"/>
      <c r="BT115" s="94"/>
    </row>
    <row r="116" spans="11:72" x14ac:dyDescent="0.25">
      <c r="K116" s="8"/>
      <c r="BA116" s="177"/>
      <c r="BQ116" s="8"/>
      <c r="BT116" s="94"/>
    </row>
    <row r="117" spans="11:72" x14ac:dyDescent="0.25">
      <c r="K117" s="8"/>
      <c r="BA117" s="177"/>
      <c r="BQ117" s="8"/>
      <c r="BT117" s="94"/>
    </row>
    <row r="118" spans="11:72" x14ac:dyDescent="0.25">
      <c r="K118" s="8"/>
      <c r="BA118" s="177"/>
      <c r="BQ118" s="8"/>
      <c r="BT118" s="94"/>
    </row>
    <row r="119" spans="11:72" x14ac:dyDescent="0.25">
      <c r="K119" s="8"/>
      <c r="BA119" s="177"/>
      <c r="BQ119" s="8"/>
      <c r="BT119" s="94"/>
    </row>
    <row r="120" spans="11:72" x14ac:dyDescent="0.25">
      <c r="K120" s="8"/>
      <c r="BA120" s="177"/>
      <c r="BQ120" s="8"/>
      <c r="BT120" s="94"/>
    </row>
    <row r="121" spans="11:72" x14ac:dyDescent="0.25">
      <c r="K121" s="8"/>
      <c r="BA121" s="177"/>
      <c r="BQ121" s="8"/>
      <c r="BT121" s="94"/>
    </row>
    <row r="122" spans="11:72" x14ac:dyDescent="0.25">
      <c r="K122" s="8"/>
      <c r="BA122" s="177"/>
      <c r="BQ122" s="8"/>
      <c r="BT122" s="94"/>
    </row>
    <row r="123" spans="11:72" x14ac:dyDescent="0.25">
      <c r="K123" s="8"/>
      <c r="BA123" s="177"/>
      <c r="BQ123" s="8"/>
      <c r="BT123" s="94"/>
    </row>
    <row r="124" spans="11:72" x14ac:dyDescent="0.25">
      <c r="K124" s="8"/>
      <c r="BA124" s="177"/>
      <c r="BQ124" s="8"/>
      <c r="BT124" s="94"/>
    </row>
    <row r="125" spans="11:72" x14ac:dyDescent="0.25">
      <c r="K125" s="8"/>
      <c r="BA125" s="177"/>
      <c r="BQ125" s="8"/>
      <c r="BT125" s="94"/>
    </row>
    <row r="126" spans="11:72" x14ac:dyDescent="0.25">
      <c r="K126" s="8"/>
      <c r="BA126" s="177"/>
      <c r="BQ126" s="8"/>
      <c r="BT126" s="94"/>
    </row>
    <row r="127" spans="11:72" x14ac:dyDescent="0.25">
      <c r="K127" s="8"/>
      <c r="BA127" s="177"/>
      <c r="BQ127" s="8"/>
      <c r="BT127" s="94"/>
    </row>
    <row r="128" spans="11:72" x14ac:dyDescent="0.25">
      <c r="K128" s="8"/>
      <c r="BA128" s="177"/>
      <c r="BQ128" s="8"/>
      <c r="BT128" s="94"/>
    </row>
    <row r="129" spans="11:72" x14ac:dyDescent="0.25">
      <c r="K129" s="8"/>
      <c r="BA129" s="177"/>
      <c r="BQ129" s="8"/>
      <c r="BT129" s="94"/>
    </row>
    <row r="130" spans="11:72" x14ac:dyDescent="0.25">
      <c r="K130" s="8"/>
      <c r="BA130" s="177"/>
      <c r="BQ130" s="8"/>
      <c r="BT130" s="94"/>
    </row>
    <row r="131" spans="11:72" x14ac:dyDescent="0.25">
      <c r="K131" s="8"/>
      <c r="BA131" s="177"/>
      <c r="BQ131" s="8"/>
      <c r="BT131" s="94"/>
    </row>
    <row r="132" spans="11:72" x14ac:dyDescent="0.25">
      <c r="K132" s="8"/>
      <c r="BA132" s="177"/>
      <c r="BQ132" s="8"/>
      <c r="BT132" s="94"/>
    </row>
    <row r="133" spans="11:72" x14ac:dyDescent="0.25">
      <c r="K133" s="8"/>
      <c r="BA133" s="177"/>
      <c r="BQ133" s="8"/>
      <c r="BT133" s="94"/>
    </row>
    <row r="134" spans="11:72" x14ac:dyDescent="0.25">
      <c r="BT134" s="94"/>
    </row>
    <row r="135" spans="11:72" x14ac:dyDescent="0.25">
      <c r="BT135" s="94"/>
    </row>
    <row r="136" spans="11:72" x14ac:dyDescent="0.25">
      <c r="BT136" s="94"/>
    </row>
    <row r="137" spans="11:72" x14ac:dyDescent="0.25">
      <c r="BT137" s="94"/>
    </row>
    <row r="138" spans="11:72" x14ac:dyDescent="0.25">
      <c r="BT138" s="94"/>
    </row>
    <row r="139" spans="11:72" x14ac:dyDescent="0.25">
      <c r="BT139" s="94"/>
    </row>
    <row r="140" spans="11:72" x14ac:dyDescent="0.25">
      <c r="BT140" s="94"/>
    </row>
    <row r="141" spans="11:72" x14ac:dyDescent="0.25">
      <c r="BT141" s="94"/>
    </row>
    <row r="142" spans="11:72" x14ac:dyDescent="0.25">
      <c r="BT142" s="94"/>
    </row>
    <row r="143" spans="11:72" x14ac:dyDescent="0.25">
      <c r="BT143" s="94"/>
    </row>
    <row r="144" spans="11:72" x14ac:dyDescent="0.25">
      <c r="BT144" s="94"/>
    </row>
    <row r="145" spans="72:72" x14ac:dyDescent="0.25">
      <c r="BT145" s="94"/>
    </row>
    <row r="146" spans="72:72" x14ac:dyDescent="0.25">
      <c r="BT146" s="94"/>
    </row>
    <row r="147" spans="72:72" x14ac:dyDescent="0.25">
      <c r="BT147" s="94"/>
    </row>
    <row r="148" spans="72:72" x14ac:dyDescent="0.25">
      <c r="BT148" s="94"/>
    </row>
    <row r="149" spans="72:72" x14ac:dyDescent="0.25">
      <c r="BT149" s="94"/>
    </row>
    <row r="150" spans="72:72" x14ac:dyDescent="0.25">
      <c r="BT150" s="94"/>
    </row>
    <row r="151" spans="72:72" x14ac:dyDescent="0.25">
      <c r="BT151" s="94"/>
    </row>
    <row r="152" spans="72:72" x14ac:dyDescent="0.25">
      <c r="BT152" s="94"/>
    </row>
    <row r="153" spans="72:72" x14ac:dyDescent="0.25">
      <c r="BT153" s="94"/>
    </row>
    <row r="154" spans="72:72" x14ac:dyDescent="0.25">
      <c r="BT154" s="94"/>
    </row>
    <row r="155" spans="72:72" x14ac:dyDescent="0.25">
      <c r="BT155" s="94"/>
    </row>
    <row r="156" spans="72:72" x14ac:dyDescent="0.25">
      <c r="BT156" s="94"/>
    </row>
    <row r="157" spans="72:72" x14ac:dyDescent="0.25">
      <c r="BT157" s="94"/>
    </row>
    <row r="158" spans="72:72" x14ac:dyDescent="0.25">
      <c r="BT158" s="94"/>
    </row>
    <row r="159" spans="72:72" x14ac:dyDescent="0.25">
      <c r="BT159" s="94"/>
    </row>
    <row r="160" spans="72:72" x14ac:dyDescent="0.25">
      <c r="BT160" s="94"/>
    </row>
    <row r="161" spans="72:72" x14ac:dyDescent="0.25">
      <c r="BT161" s="94"/>
    </row>
    <row r="162" spans="72:72" x14ac:dyDescent="0.25">
      <c r="BT162" s="94"/>
    </row>
    <row r="163" spans="72:72" x14ac:dyDescent="0.25">
      <c r="BT163" s="94"/>
    </row>
    <row r="164" spans="72:72" x14ac:dyDescent="0.25">
      <c r="BT164" s="94"/>
    </row>
    <row r="165" spans="72:72" x14ac:dyDescent="0.25">
      <c r="BT165" s="94"/>
    </row>
    <row r="166" spans="72:72" x14ac:dyDescent="0.25">
      <c r="BT166" s="94"/>
    </row>
    <row r="167" spans="72:72" x14ac:dyDescent="0.25">
      <c r="BT167" s="94"/>
    </row>
    <row r="168" spans="72:72" x14ac:dyDescent="0.25">
      <c r="BT168" s="94"/>
    </row>
    <row r="169" spans="72:72" x14ac:dyDescent="0.25">
      <c r="BT169" s="94"/>
    </row>
    <row r="170" spans="72:72" x14ac:dyDescent="0.25">
      <c r="BT170" s="94"/>
    </row>
    <row r="171" spans="72:72" x14ac:dyDescent="0.25">
      <c r="BT171" s="94"/>
    </row>
    <row r="172" spans="72:72" x14ac:dyDescent="0.25">
      <c r="BT172" s="94"/>
    </row>
    <row r="173" spans="72:72" x14ac:dyDescent="0.25">
      <c r="BT173" s="94"/>
    </row>
    <row r="174" spans="72:72" x14ac:dyDescent="0.25">
      <c r="BT174" s="94"/>
    </row>
    <row r="175" spans="72:72" x14ac:dyDescent="0.25">
      <c r="BT175" s="94"/>
    </row>
    <row r="176" spans="72:72" x14ac:dyDescent="0.25">
      <c r="BT176" s="94"/>
    </row>
    <row r="177" spans="72:72" x14ac:dyDescent="0.25">
      <c r="BT177" s="94"/>
    </row>
    <row r="178" spans="72:72" x14ac:dyDescent="0.25">
      <c r="BT178" s="94"/>
    </row>
    <row r="179" spans="72:72" x14ac:dyDescent="0.25">
      <c r="BT179" s="94"/>
    </row>
    <row r="180" spans="72:72" x14ac:dyDescent="0.25">
      <c r="BT180" s="94"/>
    </row>
    <row r="181" spans="72:72" x14ac:dyDescent="0.25">
      <c r="BT181" s="94"/>
    </row>
    <row r="182" spans="72:72" x14ac:dyDescent="0.25">
      <c r="BT182" s="94"/>
    </row>
    <row r="183" spans="72:72" x14ac:dyDescent="0.25">
      <c r="BT183" s="94"/>
    </row>
    <row r="184" spans="72:72" x14ac:dyDescent="0.25">
      <c r="BT184" s="94"/>
    </row>
    <row r="185" spans="72:72" x14ac:dyDescent="0.25">
      <c r="BT185" s="94"/>
    </row>
    <row r="186" spans="72:72" x14ac:dyDescent="0.25">
      <c r="BT186" s="94"/>
    </row>
    <row r="187" spans="72:72" x14ac:dyDescent="0.25">
      <c r="BT187" s="94"/>
    </row>
    <row r="188" spans="72:72" x14ac:dyDescent="0.25">
      <c r="BT188" s="94"/>
    </row>
    <row r="189" spans="72:72" x14ac:dyDescent="0.25">
      <c r="BT189" s="94"/>
    </row>
    <row r="190" spans="72:72" x14ac:dyDescent="0.25">
      <c r="BT190" s="94"/>
    </row>
    <row r="191" spans="72:72" x14ac:dyDescent="0.25">
      <c r="BT191" s="94"/>
    </row>
    <row r="192" spans="72:72" x14ac:dyDescent="0.25">
      <c r="BT192" s="94"/>
    </row>
    <row r="193" spans="72:72" x14ac:dyDescent="0.25">
      <c r="BT193" s="94"/>
    </row>
    <row r="194" spans="72:72" x14ac:dyDescent="0.25">
      <c r="BT194" s="94"/>
    </row>
    <row r="195" spans="72:72" x14ac:dyDescent="0.25">
      <c r="BT195" s="94"/>
    </row>
    <row r="196" spans="72:72" x14ac:dyDescent="0.25">
      <c r="BT196" s="94"/>
    </row>
    <row r="197" spans="72:72" x14ac:dyDescent="0.25">
      <c r="BT197" s="94"/>
    </row>
    <row r="198" spans="72:72" x14ac:dyDescent="0.25">
      <c r="BT198" s="94"/>
    </row>
    <row r="199" spans="72:72" x14ac:dyDescent="0.25">
      <c r="BT199" s="94"/>
    </row>
    <row r="200" spans="72:72" x14ac:dyDescent="0.25">
      <c r="BT200" s="94"/>
    </row>
    <row r="201" spans="72:72" x14ac:dyDescent="0.25">
      <c r="BT201" s="94"/>
    </row>
    <row r="202" spans="72:72" x14ac:dyDescent="0.25">
      <c r="BT202" s="94"/>
    </row>
    <row r="203" spans="72:72" x14ac:dyDescent="0.25">
      <c r="BT203" s="94"/>
    </row>
    <row r="204" spans="72:72" x14ac:dyDescent="0.25">
      <c r="BT204" s="94"/>
    </row>
    <row r="205" spans="72:72" x14ac:dyDescent="0.25">
      <c r="BT205" s="94"/>
    </row>
    <row r="206" spans="72:72" x14ac:dyDescent="0.25">
      <c r="BT206" s="94"/>
    </row>
    <row r="207" spans="72:72" x14ac:dyDescent="0.25">
      <c r="BT207" s="94"/>
    </row>
    <row r="208" spans="72:72" x14ac:dyDescent="0.25">
      <c r="BT208" s="94"/>
    </row>
    <row r="209" spans="72:72" x14ac:dyDescent="0.25">
      <c r="BT209" s="94"/>
    </row>
    <row r="210" spans="72:72" x14ac:dyDescent="0.25">
      <c r="BT210" s="94"/>
    </row>
    <row r="211" spans="72:72" x14ac:dyDescent="0.25">
      <c r="BT211" s="94"/>
    </row>
    <row r="212" spans="72:72" x14ac:dyDescent="0.25">
      <c r="BT212" s="94"/>
    </row>
    <row r="213" spans="72:72" x14ac:dyDescent="0.25">
      <c r="BT213" s="94"/>
    </row>
    <row r="214" spans="72:72" x14ac:dyDescent="0.25">
      <c r="BT214" s="94"/>
    </row>
    <row r="215" spans="72:72" x14ac:dyDescent="0.25">
      <c r="BT215" s="94"/>
    </row>
    <row r="216" spans="72:72" x14ac:dyDescent="0.25">
      <c r="BT216" s="94"/>
    </row>
    <row r="217" spans="72:72" x14ac:dyDescent="0.25">
      <c r="BT217" s="94"/>
    </row>
    <row r="218" spans="72:72" x14ac:dyDescent="0.25">
      <c r="BT218" s="94"/>
    </row>
    <row r="219" spans="72:72" x14ac:dyDescent="0.25">
      <c r="BT219" s="94"/>
    </row>
    <row r="220" spans="72:72" x14ac:dyDescent="0.25">
      <c r="BT220" s="94"/>
    </row>
    <row r="221" spans="72:72" x14ac:dyDescent="0.25">
      <c r="BT221" s="94"/>
    </row>
    <row r="222" spans="72:72" x14ac:dyDescent="0.25">
      <c r="BT222" s="94"/>
    </row>
    <row r="223" spans="72:72" x14ac:dyDescent="0.25">
      <c r="BT223" s="94"/>
    </row>
    <row r="224" spans="72:72" x14ac:dyDescent="0.25">
      <c r="BT224" s="94"/>
    </row>
    <row r="225" spans="72:72" x14ac:dyDescent="0.25">
      <c r="BT225" s="94"/>
    </row>
    <row r="226" spans="72:72" x14ac:dyDescent="0.25">
      <c r="BT226" s="94"/>
    </row>
    <row r="227" spans="72:72" x14ac:dyDescent="0.25">
      <c r="BT227" s="94"/>
    </row>
    <row r="228" spans="72:72" x14ac:dyDescent="0.25">
      <c r="BT228" s="94"/>
    </row>
    <row r="229" spans="72:72" x14ac:dyDescent="0.25">
      <c r="BT229" s="94"/>
    </row>
    <row r="230" spans="72:72" x14ac:dyDescent="0.25">
      <c r="BT230" s="94"/>
    </row>
    <row r="231" spans="72:72" x14ac:dyDescent="0.25">
      <c r="BT231" s="94"/>
    </row>
    <row r="232" spans="72:72" x14ac:dyDescent="0.25">
      <c r="BT232" s="94"/>
    </row>
    <row r="233" spans="72:72" x14ac:dyDescent="0.25">
      <c r="BT233" s="94"/>
    </row>
    <row r="234" spans="72:72" x14ac:dyDescent="0.25">
      <c r="BT234" s="94"/>
    </row>
    <row r="235" spans="72:72" x14ac:dyDescent="0.25">
      <c r="BT235" s="94"/>
    </row>
    <row r="236" spans="72:72" x14ac:dyDescent="0.25">
      <c r="BT236" s="94"/>
    </row>
    <row r="237" spans="72:72" x14ac:dyDescent="0.25">
      <c r="BT237" s="94"/>
    </row>
    <row r="238" spans="72:72" x14ac:dyDescent="0.25">
      <c r="BT238" s="94"/>
    </row>
    <row r="239" spans="72:72" x14ac:dyDescent="0.25">
      <c r="BT239" s="94"/>
    </row>
    <row r="240" spans="72:72" x14ac:dyDescent="0.25">
      <c r="BT240" s="94"/>
    </row>
    <row r="241" spans="72:72" x14ac:dyDescent="0.25">
      <c r="BT241" s="94"/>
    </row>
    <row r="242" spans="72:72" x14ac:dyDescent="0.25">
      <c r="BT242" s="94"/>
    </row>
    <row r="243" spans="72:72" x14ac:dyDescent="0.25">
      <c r="BT243" s="94"/>
    </row>
    <row r="244" spans="72:72" x14ac:dyDescent="0.25">
      <c r="BT244" s="94"/>
    </row>
    <row r="245" spans="72:72" x14ac:dyDescent="0.25">
      <c r="BT245" s="94"/>
    </row>
    <row r="246" spans="72:72" x14ac:dyDescent="0.25">
      <c r="BT246" s="94"/>
    </row>
    <row r="247" spans="72:72" x14ac:dyDescent="0.25">
      <c r="BT247" s="94"/>
    </row>
    <row r="248" spans="72:72" x14ac:dyDescent="0.25">
      <c r="BT248" s="94"/>
    </row>
    <row r="249" spans="72:72" x14ac:dyDescent="0.25">
      <c r="BT249" s="94"/>
    </row>
    <row r="250" spans="72:72" x14ac:dyDescent="0.25">
      <c r="BT250" s="94"/>
    </row>
    <row r="251" spans="72:72" x14ac:dyDescent="0.25">
      <c r="BT251" s="94"/>
    </row>
    <row r="252" spans="72:72" x14ac:dyDescent="0.25">
      <c r="BT252" s="94"/>
    </row>
    <row r="253" spans="72:72" x14ac:dyDescent="0.25">
      <c r="BT253" s="94"/>
    </row>
    <row r="254" spans="72:72" x14ac:dyDescent="0.25">
      <c r="BT254" s="94"/>
    </row>
    <row r="255" spans="72:72" x14ac:dyDescent="0.25">
      <c r="BT255" s="94"/>
    </row>
    <row r="256" spans="72:72" x14ac:dyDescent="0.25">
      <c r="BT256" s="94"/>
    </row>
    <row r="257" spans="72:72" x14ac:dyDescent="0.25">
      <c r="BT257" s="94"/>
    </row>
    <row r="258" spans="72:72" x14ac:dyDescent="0.25">
      <c r="BT258" s="94"/>
    </row>
    <row r="259" spans="72:72" x14ac:dyDescent="0.25">
      <c r="BT259" s="94"/>
    </row>
    <row r="260" spans="72:72" x14ac:dyDescent="0.25">
      <c r="BT260" s="94"/>
    </row>
    <row r="261" spans="72:72" x14ac:dyDescent="0.25">
      <c r="BT261" s="94"/>
    </row>
    <row r="262" spans="72:72" x14ac:dyDescent="0.25">
      <c r="BT262" s="94"/>
    </row>
    <row r="263" spans="72:72" x14ac:dyDescent="0.25">
      <c r="BT263" s="94"/>
    </row>
    <row r="264" spans="72:72" x14ac:dyDescent="0.25">
      <c r="BT264" s="94"/>
    </row>
    <row r="265" spans="72:72" x14ac:dyDescent="0.25">
      <c r="BT265" s="94"/>
    </row>
    <row r="266" spans="72:72" x14ac:dyDescent="0.25">
      <c r="BT266" s="94"/>
    </row>
    <row r="267" spans="72:72" x14ac:dyDescent="0.25">
      <c r="BT267" s="94"/>
    </row>
    <row r="268" spans="72:72" x14ac:dyDescent="0.25">
      <c r="BT268" s="94"/>
    </row>
    <row r="269" spans="72:72" x14ac:dyDescent="0.25">
      <c r="BT269" s="94"/>
    </row>
    <row r="270" spans="72:72" x14ac:dyDescent="0.25">
      <c r="BT270" s="94"/>
    </row>
    <row r="271" spans="72:72" x14ac:dyDescent="0.25">
      <c r="BT271" s="94"/>
    </row>
    <row r="272" spans="72:72" x14ac:dyDescent="0.25">
      <c r="BT272" s="94"/>
    </row>
    <row r="273" spans="72:72" x14ac:dyDescent="0.25">
      <c r="BT273" s="94"/>
    </row>
    <row r="274" spans="72:72" x14ac:dyDescent="0.25">
      <c r="BT274" s="94"/>
    </row>
    <row r="275" spans="72:72" x14ac:dyDescent="0.25">
      <c r="BT275" s="94"/>
    </row>
    <row r="276" spans="72:72" x14ac:dyDescent="0.25">
      <c r="BT276" s="94"/>
    </row>
    <row r="277" spans="72:72" x14ac:dyDescent="0.25">
      <c r="BT277" s="94"/>
    </row>
    <row r="278" spans="72:72" x14ac:dyDescent="0.25">
      <c r="BT278" s="94"/>
    </row>
    <row r="279" spans="72:72" x14ac:dyDescent="0.25">
      <c r="BT279" s="94"/>
    </row>
    <row r="280" spans="72:72" x14ac:dyDescent="0.25">
      <c r="BT280" s="94"/>
    </row>
    <row r="281" spans="72:72" x14ac:dyDescent="0.25">
      <c r="BT281" s="94"/>
    </row>
    <row r="282" spans="72:72" x14ac:dyDescent="0.25">
      <c r="BT282" s="94"/>
    </row>
    <row r="283" spans="72:72" x14ac:dyDescent="0.25">
      <c r="BT283" s="94"/>
    </row>
    <row r="284" spans="72:72" x14ac:dyDescent="0.25">
      <c r="BT284" s="94"/>
    </row>
    <row r="285" spans="72:72" x14ac:dyDescent="0.25">
      <c r="BT285" s="94"/>
    </row>
    <row r="286" spans="72:72" x14ac:dyDescent="0.25">
      <c r="BT286" s="94"/>
    </row>
    <row r="287" spans="72:72" x14ac:dyDescent="0.25">
      <c r="BT287" s="94"/>
    </row>
    <row r="288" spans="72:72" x14ac:dyDescent="0.25">
      <c r="BT288" s="94"/>
    </row>
    <row r="289" spans="72:72" x14ac:dyDescent="0.25">
      <c r="BT289" s="94"/>
    </row>
    <row r="290" spans="72:72" x14ac:dyDescent="0.25">
      <c r="BT290" s="94"/>
    </row>
    <row r="291" spans="72:72" x14ac:dyDescent="0.25">
      <c r="BT291" s="94"/>
    </row>
    <row r="292" spans="72:72" x14ac:dyDescent="0.25">
      <c r="BT292" s="94"/>
    </row>
    <row r="293" spans="72:72" x14ac:dyDescent="0.25">
      <c r="BT293" s="94"/>
    </row>
    <row r="294" spans="72:72" x14ac:dyDescent="0.25">
      <c r="BT294" s="94"/>
    </row>
    <row r="295" spans="72:72" x14ac:dyDescent="0.25">
      <c r="BT295" s="94"/>
    </row>
    <row r="296" spans="72:72" x14ac:dyDescent="0.25">
      <c r="BT296" s="94"/>
    </row>
    <row r="297" spans="72:72" x14ac:dyDescent="0.25">
      <c r="BT297" s="94"/>
    </row>
    <row r="298" spans="72:72" x14ac:dyDescent="0.25">
      <c r="BT298" s="94"/>
    </row>
    <row r="299" spans="72:72" x14ac:dyDescent="0.25">
      <c r="BT299" s="94"/>
    </row>
    <row r="300" spans="72:72" x14ac:dyDescent="0.25">
      <c r="BT300" s="94"/>
    </row>
    <row r="301" spans="72:72" x14ac:dyDescent="0.25">
      <c r="BT301" s="94"/>
    </row>
    <row r="302" spans="72:72" x14ac:dyDescent="0.25">
      <c r="BT302" s="94"/>
    </row>
    <row r="303" spans="72:72" x14ac:dyDescent="0.25">
      <c r="BT303" s="94"/>
    </row>
    <row r="304" spans="72:72" x14ac:dyDescent="0.25">
      <c r="BT304" s="94"/>
    </row>
    <row r="305" spans="72:72" x14ac:dyDescent="0.25">
      <c r="BT305" s="94"/>
    </row>
    <row r="306" spans="72:72" x14ac:dyDescent="0.25">
      <c r="BT306" s="94"/>
    </row>
    <row r="307" spans="72:72" x14ac:dyDescent="0.25">
      <c r="BT307" s="94"/>
    </row>
    <row r="308" spans="72:72" x14ac:dyDescent="0.25">
      <c r="BT308" s="94"/>
    </row>
    <row r="309" spans="72:72" x14ac:dyDescent="0.25">
      <c r="BT309" s="94"/>
    </row>
    <row r="310" spans="72:72" x14ac:dyDescent="0.25">
      <c r="BT310" s="94"/>
    </row>
    <row r="311" spans="72:72" x14ac:dyDescent="0.25">
      <c r="BT311" s="94"/>
    </row>
    <row r="312" spans="72:72" x14ac:dyDescent="0.25">
      <c r="BT312" s="94"/>
    </row>
    <row r="313" spans="72:72" x14ac:dyDescent="0.25">
      <c r="BT313" s="94"/>
    </row>
    <row r="314" spans="72:72" x14ac:dyDescent="0.25">
      <c r="BT314" s="94"/>
    </row>
    <row r="315" spans="72:72" x14ac:dyDescent="0.25">
      <c r="BT315" s="94"/>
    </row>
    <row r="316" spans="72:72" x14ac:dyDescent="0.25">
      <c r="BT316" s="39"/>
    </row>
    <row r="317" spans="72:72" x14ac:dyDescent="0.25">
      <c r="BT317" s="95"/>
    </row>
  </sheetData>
  <autoFilter ref="B8:BQ41" xr:uid="{00000000-0001-0000-0500-000000000000}"/>
  <dataConsolidate/>
  <mergeCells count="3">
    <mergeCell ref="AL7:AO7"/>
    <mergeCell ref="AP7:AS7"/>
    <mergeCell ref="AT7:BA7"/>
  </mergeCells>
  <conditionalFormatting sqref="C9:C41 AO9:AS41 BN9:BR41 K9:AM41">
    <cfRule type="cellIs" dxfId="161" priority="22" operator="equal">
      <formula>"YES-OOS"</formula>
    </cfRule>
  </conditionalFormatting>
  <conditionalFormatting sqref="C9:C42 J9:J42 AL9:AM42 AO9:AO42 AR9:AR42">
    <cfRule type="cellIs" dxfId="160" priority="5" operator="equal">
      <formula>"PENDING"</formula>
    </cfRule>
  </conditionalFormatting>
  <conditionalFormatting sqref="AO9:AS41 C9:C41 BN9:BR41 K9:AM41">
    <cfRule type="cellIs" dxfId="159" priority="66" operator="equal">
      <formula>"NO-OOS"</formula>
    </cfRule>
    <cfRule type="cellIs" dxfId="158" priority="67" operator="equal">
      <formula>"NO-IL"</formula>
    </cfRule>
  </conditionalFormatting>
  <conditionalFormatting sqref="L9:N9 AW9:BC9 AW9:AW11 AL9:AM41 AO9:AS41 L10:M18 AW10:BA39 L19:N41 AW40:BC41">
    <cfRule type="containsText" dxfId="157" priority="46" operator="containsText" text="Missing">
      <formula>NOT(ISERROR(SEARCH("Missing",L9)))</formula>
    </cfRule>
    <cfRule type="containsText" dxfId="156" priority="47" operator="containsText" text="Valid">
      <formula>NOT(ISERROR(SEARCH("Valid",L9)))</formula>
    </cfRule>
    <cfRule type="containsText" dxfId="155" priority="48" operator="containsText" text="Expired">
      <formula>NOT(ISERROR(SEARCH("Expired",L9)))</formula>
    </cfRule>
    <cfRule type="containsText" dxfId="154" priority="49" operator="containsText" text="Covid">
      <formula>NOT(ISERROR(SEARCH("Covid",L9)))</formula>
    </cfRule>
  </conditionalFormatting>
  <conditionalFormatting sqref="L9:N9 BB9:BC9 AL9:AM41 AO9:AS41 L10:M18 L19:N41 BB40:BC41">
    <cfRule type="containsText" dxfId="153" priority="25" operator="containsText" text="Sig">
      <formula>NOT(ISERROR(SEARCH("Sig",L9)))</formula>
    </cfRule>
    <cfRule type="containsText" dxfId="152" priority="26" operator="containsText" text="WNR">
      <formula>NOT(ISERROR(SEARCH("WNR",L9)))</formula>
    </cfRule>
    <cfRule type="containsText" dxfId="151" priority="27" operator="containsText" text="Missing">
      <formula>NOT(ISERROR(SEARCH("Missing",L9)))</formula>
    </cfRule>
    <cfRule type="containsText" dxfId="150" priority="28" operator="containsText" text="Expired">
      <formula>NOT(ISERROR(SEARCH("Expired",L9)))</formula>
    </cfRule>
    <cfRule type="containsText" dxfId="149" priority="29" operator="containsText" text="sent">
      <formula>NOT(ISERROR(SEARCH("sent",L9)))</formula>
    </cfRule>
  </conditionalFormatting>
  <conditionalFormatting sqref="R54:S54">
    <cfRule type="expression" dxfId="148" priority="21">
      <formula>$S$51&gt;2</formula>
    </cfRule>
  </conditionalFormatting>
  <conditionalFormatting sqref="S51">
    <cfRule type="expression" dxfId="147" priority="23">
      <formula>$S$51&gt;2</formula>
    </cfRule>
  </conditionalFormatting>
  <conditionalFormatting sqref="U52:V52">
    <cfRule type="cellIs" dxfId="146" priority="79" operator="equal">
      <formula>"NO-OOS"</formula>
    </cfRule>
    <cfRule type="cellIs" dxfId="145" priority="80" operator="equal">
      <formula>"NO-CO"</formula>
    </cfRule>
    <cfRule type="cellIs" dxfId="144" priority="81" operator="equal">
      <formula>"YES"</formula>
    </cfRule>
    <cfRule type="cellIs" dxfId="143" priority="82" operator="equal">
      <formula>"NO"</formula>
    </cfRule>
  </conditionalFormatting>
  <conditionalFormatting sqref="U57:V57">
    <cfRule type="cellIs" dxfId="142" priority="1" operator="equal">
      <formula>"NO-OOS"</formula>
    </cfRule>
    <cfRule type="cellIs" dxfId="141" priority="2" operator="equal">
      <formula>"NO-CO"</formula>
    </cfRule>
    <cfRule type="cellIs" dxfId="140" priority="3" operator="equal">
      <formula>"YES"</formula>
    </cfRule>
    <cfRule type="cellIs" dxfId="139" priority="4" operator="equal">
      <formula>"NO"</formula>
    </cfRule>
  </conditionalFormatting>
  <conditionalFormatting sqref="AO9:AS41 L9:N9 AW9:BC9 AW9:AW11 AL9:AM41 L10:M18 AW10:BA39 L19:N41 AW40:BC41">
    <cfRule type="containsText" dxfId="138" priority="45" operator="containsText" text="SOS">
      <formula>NOT(ISERROR(SEARCH("SOS",L9)))</formula>
    </cfRule>
  </conditionalFormatting>
  <conditionalFormatting sqref="AO9:AS41">
    <cfRule type="containsText" dxfId="137" priority="41" operator="containsText" text="Invalid">
      <formula>NOT(ISERROR(SEARCH("Invalid",AO9)))</formula>
    </cfRule>
    <cfRule type="containsText" dxfId="136" priority="42" operator="containsText" text="Valid">
      <formula>NOT(ISERROR(SEARCH("Valid",AO9)))</formula>
    </cfRule>
    <cfRule type="containsText" dxfId="135" priority="43" operator="containsText" text="Missing">
      <formula>NOT(ISERROR(SEARCH("Missing",AO9)))</formula>
    </cfRule>
    <cfRule type="containsText" dxfId="134" priority="44" operator="containsText" text="N/A">
      <formula>NOT(ISERROR(SEARCH("N/A",AO9)))</formula>
    </cfRule>
  </conditionalFormatting>
  <conditionalFormatting sqref="AO9:BC9 AO10:BA39 AO40:BC41 H9:AM41">
    <cfRule type="cellIs" dxfId="133" priority="36" operator="equal">
      <formula>"NO"</formula>
    </cfRule>
  </conditionalFormatting>
  <conditionalFormatting sqref="AO9:BD9 AO10:BA39 AO40:BD41 AW9:AW11 BN9:BR41 C9:C42 H9:AM41">
    <cfRule type="cellIs" dxfId="132" priority="37" operator="equal">
      <formula>"YES"</formula>
    </cfRule>
  </conditionalFormatting>
  <conditionalFormatting sqref="AR9:AR41">
    <cfRule type="cellIs" dxfId="131" priority="50" operator="equal">
      <formula>"N/A - (OOS)"</formula>
    </cfRule>
  </conditionalFormatting>
  <conditionalFormatting sqref="AW9:BA11 AO9:AS41 BN9:BR41 C9:C42 AX12:AY12 AZ12:BA18 AY13:AY18 AY19:BA41 AX27 B42:C42 N42">
    <cfRule type="cellIs" dxfId="130" priority="15" operator="equal">
      <formula>"NO"</formula>
    </cfRule>
  </conditionalFormatting>
  <conditionalFormatting sqref="AX14:AX19 AZ19">
    <cfRule type="cellIs" dxfId="129" priority="88" operator="equal">
      <formula>"NO"</formula>
    </cfRule>
    <cfRule type="cellIs" dxfId="128" priority="89" operator="equal">
      <formula>"YES"</formula>
    </cfRule>
  </conditionalFormatting>
  <conditionalFormatting sqref="AX24 AZ24">
    <cfRule type="cellIs" dxfId="127" priority="112" operator="equal">
      <formula>"NO"</formula>
    </cfRule>
    <cfRule type="cellIs" dxfId="126" priority="113" operator="equal">
      <formula>"YES"</formula>
    </cfRule>
  </conditionalFormatting>
  <conditionalFormatting sqref="AX26 AZ26">
    <cfRule type="cellIs" dxfId="125" priority="110" operator="equal">
      <formula>"NO"</formula>
    </cfRule>
  </conditionalFormatting>
  <conditionalFormatting sqref="AX29 AZ29">
    <cfRule type="cellIs" dxfId="124" priority="116" operator="equal">
      <formula>"NO"</formula>
    </cfRule>
    <cfRule type="cellIs" dxfId="123" priority="117" operator="equal">
      <formula>"YES"</formula>
    </cfRule>
  </conditionalFormatting>
  <conditionalFormatting sqref="AX35:AX41 AZ35:AZ41">
    <cfRule type="cellIs" dxfId="122" priority="84" operator="equal">
      <formula>"NO"</formula>
    </cfRule>
    <cfRule type="cellIs" dxfId="121" priority="85" operator="equal">
      <formula>"YES"</formula>
    </cfRule>
  </conditionalFormatting>
  <conditionalFormatting sqref="AX9:BA11 AO9:AS41 AX12:AY12 AZ12:BA18 AY13:AY18 AY19:BA41 B42:C42 N42">
    <cfRule type="cellIs" dxfId="120" priority="118" operator="equal">
      <formula>"YES"</formula>
    </cfRule>
  </conditionalFormatting>
  <conditionalFormatting sqref="AZ26 AX26:AX27">
    <cfRule type="cellIs" dxfId="119" priority="111" operator="equal">
      <formula>"YES"</formula>
    </cfRule>
  </conditionalFormatting>
  <conditionalFormatting sqref="BB1:BC1048576">
    <cfRule type="containsText" dxfId="118" priority="6" operator="containsText" text="Check Masterlist">
      <formula>NOT(ISERROR(SEARCH("Check Masterlist",BB1)))</formula>
    </cfRule>
  </conditionalFormatting>
  <conditionalFormatting sqref="BB9:BC9 BB40:BC41 AO9:AS41 AL9:AM41 L9:N9 L10:M18 L19:N41">
    <cfRule type="containsText" dxfId="117" priority="24" operator="containsText" text="Covid">
      <formula>NOT(ISERROR(SEARCH("Covid",L9)))</formula>
    </cfRule>
  </conditionalFormatting>
  <conditionalFormatting sqref="BB9:BC9 BB40:BC41">
    <cfRule type="cellIs" dxfId="116" priority="19" operator="equal">
      <formula>"NO"</formula>
    </cfRule>
    <cfRule type="cellIs" dxfId="115" priority="20" operator="equal">
      <formula>"YES"</formula>
    </cfRule>
  </conditionalFormatting>
  <conditionalFormatting sqref="BB9:BD9 BD10:BD39 BB40:BD41">
    <cfRule type="cellIs" dxfId="114" priority="16" operator="equal">
      <formula>"YES-OOS"</formula>
    </cfRule>
    <cfRule type="cellIs" dxfId="113" priority="17" operator="equal">
      <formula>"NO-OOS"</formula>
    </cfRule>
    <cfRule type="cellIs" dxfId="112" priority="18" operator="equal">
      <formula>"NO-IL"</formula>
    </cfRule>
  </conditionalFormatting>
  <conditionalFormatting sqref="BD9:BD41">
    <cfRule type="cellIs" dxfId="111" priority="7" operator="equal">
      <formula>"NO"</formula>
    </cfRule>
    <cfRule type="containsText" dxfId="110" priority="8" operator="containsText" text="SOS">
      <formula>NOT(ISERROR(SEARCH("SOS",BD9)))</formula>
    </cfRule>
    <cfRule type="containsText" dxfId="109" priority="9" operator="containsText" text="Missing">
      <formula>NOT(ISERROR(SEARCH("Missing",BD9)))</formula>
    </cfRule>
    <cfRule type="containsText" dxfId="108" priority="10" operator="containsText" text="Valid">
      <formula>NOT(ISERROR(SEARCH("Valid",BD9)))</formula>
    </cfRule>
    <cfRule type="containsText" dxfId="107" priority="11" operator="containsText" text="Expired">
      <formula>NOT(ISERROR(SEARCH("Expired",BD9)))</formula>
    </cfRule>
    <cfRule type="containsText" dxfId="106" priority="12" operator="containsText" text="Covid">
      <formula>NOT(ISERROR(SEARCH("Covid",BD9)))</formula>
    </cfRule>
  </conditionalFormatting>
  <conditionalFormatting sqref="BD9:BD42">
    <cfRule type="cellIs" dxfId="105" priority="13" operator="equal">
      <formula>"NO"</formula>
    </cfRule>
    <cfRule type="cellIs" dxfId="104" priority="14" operator="equal">
      <formula>"YES"</formula>
    </cfRule>
  </conditionalFormatting>
  <dataValidations count="3">
    <dataValidation type="list" allowBlank="1" showInputMessage="1" showErrorMessage="1" sqref="V56:V58 W59:Z59 L52:M52 BD42:BD45 V54:W54 BN42:BR45 BN84:BR84 BP83:BR83 AW73:AW77 AL114:AS1048576 BA51 AM103:AT113 AS45:AW45 R71 Y56:Z57 L73:M73 AQ70:AQ80 U58 AV78:AW80 AU85:AW102 AV84:AW84 Z79:Z80 Z70:Z77 F9:F38 C9:C44 J9:J41 Y41 BR9:BR41 BN9:BQ9 BO41:BQ41 AL9:AM41 AO9:AP41 BP6 W56:W59 BB9:BC9 AL40:AL45 AR9:AT41 BB40:BC41 BA73:BC73 BA52:BC52 AJ40:AK41 L42:AS44 Z40:AH41" xr:uid="{00000000-0002-0000-0500-000001000000}">
      <formula1>#REF!</formula1>
    </dataValidation>
    <dataValidation type="list" allowBlank="1" showInputMessage="1" showErrorMessage="1" error="Please select a valid option from the 3 below" promptTitle="Payment Method" prompt="Select a payment method" sqref="AP9:AP41" xr:uid="{095408B9-F77C-452A-9BB5-35CA29AC68ED}">
      <formula1>#REF!</formula1>
    </dataValidation>
    <dataValidation type="list" allowBlank="1" showInputMessage="1" showErrorMessage="1" sqref="V52 V57 AX2 AX6" xr:uid="{00000000-0002-0000-0500-000002000000}"/>
  </dataValidations>
  <hyperlinks>
    <hyperlink ref="BB6" r:id="rId1" display="Automated: in case data is not reflected add it to out masterfile" xr:uid="{D11FE859-6ED8-4B6E-AD2C-73E9E6FB1529}"/>
  </hyperlinks>
  <pageMargins left="0.7" right="0.7" top="0.75" bottom="0.75" header="0.3" footer="0.3"/>
  <pageSetup scale="17" orientation="portrait"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9622-906E-4179-987D-6E7EB583E78A}">
  <sheetPr>
    <tabColor rgb="FFFF99FF"/>
    <pageSetUpPr fitToPage="1"/>
  </sheetPr>
  <dimension ref="A1:BM147"/>
  <sheetViews>
    <sheetView zoomScale="85" zoomScaleNormal="85" zoomScaleSheetLayoutView="86" workbookViewId="0">
      <pane xSplit="7" ySplit="8" topLeftCell="N9" activePane="bottomRight" state="frozen"/>
      <selection pane="topRight" activeCell="J29" sqref="J29"/>
      <selection pane="bottomLeft" activeCell="J29" sqref="J29"/>
      <selection pane="bottomRight" activeCell="S8" sqref="S8"/>
    </sheetView>
  </sheetViews>
  <sheetFormatPr defaultColWidth="9.140625" defaultRowHeight="15" x14ac:dyDescent="0.25"/>
  <cols>
    <col min="1" max="1" width="3.140625" customWidth="1"/>
    <col min="2" max="2" width="12.42578125" customWidth="1"/>
    <col min="3" max="3" width="15.140625" style="57" customWidth="1"/>
    <col min="4" max="4" width="18.85546875" customWidth="1"/>
    <col min="5" max="5" width="20.7109375" customWidth="1"/>
    <col min="6" max="6" width="20.7109375" style="8" customWidth="1"/>
    <col min="7" max="7" width="26.140625" style="39" customWidth="1"/>
    <col min="8" max="8" width="17.42578125" bestFit="1" customWidth="1"/>
    <col min="9" max="9" width="12.42578125" customWidth="1"/>
    <col min="10" max="10" width="14.42578125" style="303" customWidth="1"/>
    <col min="11" max="11" width="15.85546875" style="9" bestFit="1" customWidth="1"/>
    <col min="12" max="12" width="18" style="96" customWidth="1"/>
    <col min="13" max="13" width="19.140625" style="27" customWidth="1"/>
    <col min="14" max="14" width="15.42578125" style="39" customWidth="1"/>
    <col min="15" max="16" width="19.140625" style="39" customWidth="1"/>
    <col min="17" max="17" width="21.85546875" style="39" customWidth="1"/>
    <col min="18" max="20" width="19.140625" style="39" customWidth="1"/>
    <col min="21" max="21" width="14.85546875" customWidth="1"/>
    <col min="22" max="22" width="17.140625" style="57" customWidth="1"/>
    <col min="23" max="23" width="16.140625" style="8" customWidth="1"/>
    <col min="24" max="24" width="19.140625" style="8" customWidth="1"/>
    <col min="25" max="25" width="15.140625" style="8" customWidth="1"/>
    <col min="26" max="26" width="17.42578125" style="8" customWidth="1"/>
    <col min="27" max="32" width="15.140625" style="8" customWidth="1"/>
    <col min="33" max="34" width="21.85546875" style="8" customWidth="1"/>
    <col min="35" max="35" width="4.5703125" customWidth="1"/>
    <col min="36" max="36" width="9.140625" customWidth="1"/>
    <col min="37" max="37" width="30.140625" style="8" customWidth="1"/>
    <col min="38" max="38" width="18.85546875" customWidth="1"/>
    <col min="39" max="42" width="20.5703125" customWidth="1"/>
    <col min="43" max="43" width="37.140625" customWidth="1"/>
    <col min="44" max="44" width="28.85546875" customWidth="1"/>
    <col min="45" max="45" width="16" customWidth="1"/>
    <col min="46" max="46" width="18.140625" customWidth="1"/>
    <col min="47" max="47" width="12.85546875" customWidth="1"/>
    <col min="48" max="48" width="15.85546875" customWidth="1"/>
    <col min="49" max="49" width="10.5703125" customWidth="1"/>
    <col min="50" max="53" width="28.85546875" customWidth="1"/>
    <col min="54" max="54" width="9.140625" customWidth="1"/>
    <col min="55" max="56" width="28.85546875" customWidth="1"/>
    <col min="57" max="57" width="12.85546875" customWidth="1"/>
    <col min="58" max="58" width="16.85546875" customWidth="1"/>
    <col min="59" max="59" width="14.85546875" customWidth="1"/>
    <col min="60" max="60" width="15" bestFit="1" customWidth="1"/>
  </cols>
  <sheetData>
    <row r="1" spans="2:60" ht="38.85" customHeight="1" x14ac:dyDescent="0.25">
      <c r="B1" s="312" t="s">
        <v>374</v>
      </c>
      <c r="C1" s="312"/>
      <c r="D1" s="312"/>
      <c r="E1" s="312"/>
      <c r="F1" s="312"/>
      <c r="G1" s="312"/>
      <c r="H1" s="312"/>
      <c r="I1" s="312"/>
      <c r="J1" s="363"/>
      <c r="K1" s="364"/>
      <c r="L1" s="364"/>
      <c r="M1" s="364"/>
      <c r="N1" s="31"/>
      <c r="O1" s="31"/>
      <c r="P1" s="31"/>
      <c r="Q1" s="31"/>
      <c r="R1" s="31"/>
      <c r="S1" s="31"/>
      <c r="T1" s="31"/>
      <c r="V1" s="31"/>
      <c r="W1" s="31"/>
      <c r="X1" s="31"/>
      <c r="Y1" s="31"/>
      <c r="Z1" s="31"/>
      <c r="AA1" s="31"/>
      <c r="AB1" s="31"/>
      <c r="AC1" s="31"/>
      <c r="AD1" s="31"/>
      <c r="AE1" s="31"/>
      <c r="AF1" s="31"/>
      <c r="AG1" s="31"/>
      <c r="AH1" s="31"/>
      <c r="AK1" s="31"/>
      <c r="AL1" s="31"/>
      <c r="AM1" s="31"/>
      <c r="AN1" s="103"/>
      <c r="AO1" s="103"/>
      <c r="AP1" s="103"/>
      <c r="AQ1" s="103"/>
      <c r="AR1" s="103"/>
      <c r="AS1" s="103"/>
      <c r="AT1" s="103"/>
      <c r="AU1" s="103"/>
      <c r="AV1" s="103"/>
      <c r="AW1" s="103"/>
      <c r="AX1" s="103"/>
      <c r="AY1" s="103"/>
      <c r="AZ1" s="103"/>
      <c r="BA1" s="103"/>
      <c r="BB1" s="103"/>
      <c r="BC1" s="103"/>
      <c r="BD1" s="103"/>
    </row>
    <row r="2" spans="2:60" ht="11.1" customHeight="1" thickBot="1" x14ac:dyDescent="0.3">
      <c r="B2" s="281"/>
      <c r="C2" s="281"/>
      <c r="D2" s="281"/>
      <c r="E2" s="281"/>
      <c r="F2" s="281"/>
      <c r="G2" s="281"/>
      <c r="H2" s="281"/>
      <c r="I2" s="281"/>
      <c r="K2" s="31"/>
      <c r="L2" s="31"/>
      <c r="M2" s="31"/>
      <c r="N2" s="31"/>
      <c r="O2" s="31"/>
      <c r="P2" s="31"/>
      <c r="Q2" s="31"/>
      <c r="R2" s="31"/>
      <c r="S2" s="31"/>
      <c r="T2" s="31"/>
      <c r="V2" s="31"/>
      <c r="W2" s="31"/>
      <c r="X2" s="31"/>
      <c r="Y2" s="31"/>
      <c r="Z2" s="31"/>
      <c r="AA2" s="31"/>
      <c r="AB2" s="31"/>
      <c r="AC2" s="31"/>
      <c r="AD2" s="31"/>
      <c r="AE2" s="31"/>
      <c r="AF2" s="31"/>
      <c r="AG2" s="31"/>
      <c r="AH2" s="31"/>
      <c r="AK2" s="31"/>
      <c r="AL2" s="31"/>
      <c r="AM2" s="31"/>
      <c r="AN2" s="103"/>
      <c r="AO2" s="103"/>
      <c r="AP2" s="103"/>
      <c r="AQ2" s="103"/>
      <c r="AR2" s="103"/>
      <c r="AS2" s="103"/>
      <c r="AT2" s="103"/>
      <c r="AU2" s="103"/>
      <c r="AV2" s="103"/>
      <c r="AW2" s="103"/>
      <c r="AX2" s="103"/>
      <c r="AY2" s="103"/>
      <c r="AZ2" s="103"/>
      <c r="BA2" s="103"/>
      <c r="BB2" s="103"/>
      <c r="BC2" s="103"/>
      <c r="BD2" s="103"/>
    </row>
    <row r="3" spans="2:60" ht="16.5" thickBot="1" x14ac:dyDescent="0.3">
      <c r="B3" s="103"/>
      <c r="C3" s="31"/>
      <c r="D3" s="31"/>
      <c r="E3" s="31"/>
      <c r="F3" s="103"/>
      <c r="G3" s="103"/>
      <c r="H3" s="103"/>
      <c r="I3" s="103"/>
      <c r="K3" s="103"/>
      <c r="L3" s="103"/>
      <c r="M3" s="25"/>
      <c r="N3" s="103"/>
      <c r="O3" s="103"/>
      <c r="P3" s="103"/>
      <c r="Q3" s="103"/>
      <c r="R3" s="103"/>
      <c r="S3" s="103"/>
      <c r="T3" s="103"/>
      <c r="V3" s="103"/>
      <c r="W3" s="103"/>
      <c r="X3" s="103"/>
      <c r="Y3" s="103"/>
      <c r="Z3" s="103"/>
      <c r="AA3" s="208" t="s">
        <v>273</v>
      </c>
      <c r="AB3" s="209">
        <v>44597</v>
      </c>
      <c r="AC3" s="264"/>
      <c r="AD3" s="264"/>
      <c r="AE3" s="264"/>
      <c r="AF3" s="264"/>
      <c r="AG3" s="31"/>
      <c r="AH3" s="31"/>
      <c r="AK3" s="31"/>
      <c r="AL3" s="31"/>
      <c r="AM3" s="31"/>
      <c r="AN3" s="31"/>
      <c r="AO3" s="31"/>
      <c r="AP3" s="31"/>
      <c r="AQ3" s="31"/>
      <c r="AR3" s="31"/>
      <c r="AS3" s="31"/>
      <c r="AT3" s="31"/>
      <c r="AU3" s="31"/>
      <c r="AV3" s="31"/>
      <c r="AW3" s="31"/>
      <c r="AX3" s="31"/>
      <c r="AY3" s="31"/>
      <c r="AZ3" s="31"/>
      <c r="BA3" s="31"/>
      <c r="BB3" s="31"/>
      <c r="BC3" s="31"/>
      <c r="BD3" s="31"/>
    </row>
    <row r="4" spans="2:60" ht="15.75" thickBot="1" x14ac:dyDescent="0.3">
      <c r="B4" s="5" t="s">
        <v>68</v>
      </c>
      <c r="C4" s="5" t="e">
        <f>#REF!</f>
        <v>#REF!</v>
      </c>
      <c r="D4" s="32"/>
      <c r="E4" s="32"/>
      <c r="G4"/>
      <c r="H4" s="8"/>
      <c r="I4" s="9"/>
      <c r="M4" s="39"/>
      <c r="N4"/>
      <c r="O4"/>
      <c r="P4"/>
      <c r="Q4"/>
      <c r="R4"/>
      <c r="S4"/>
      <c r="T4"/>
      <c r="V4"/>
      <c r="AA4" s="208" t="s">
        <v>275</v>
      </c>
      <c r="AB4" s="209">
        <v>44600</v>
      </c>
      <c r="AC4" s="264"/>
      <c r="AD4" s="264"/>
      <c r="AE4" s="264"/>
      <c r="AF4" s="264"/>
      <c r="AG4" s="32"/>
      <c r="AH4" s="32"/>
      <c r="AK4" s="32"/>
      <c r="AL4" s="32"/>
      <c r="AM4" s="32"/>
      <c r="AN4" s="32"/>
      <c r="AO4" s="32"/>
      <c r="AP4" s="32"/>
      <c r="AQ4" s="32"/>
      <c r="AR4" s="32"/>
      <c r="AS4" s="32"/>
      <c r="AT4" s="32"/>
      <c r="AU4" s="32"/>
      <c r="AV4" s="32"/>
      <c r="AW4" s="32"/>
      <c r="AX4" s="32"/>
      <c r="AY4" s="32"/>
      <c r="AZ4" s="32"/>
      <c r="BA4" s="32"/>
      <c r="BB4" s="32"/>
      <c r="BC4" s="32"/>
      <c r="BD4" s="32"/>
    </row>
    <row r="5" spans="2:60" ht="19.5" thickBot="1" x14ac:dyDescent="0.35">
      <c r="B5" s="5" t="s">
        <v>74</v>
      </c>
      <c r="C5" s="202" t="e">
        <f>#REF!</f>
        <v>#REF!</v>
      </c>
      <c r="D5" s="5"/>
      <c r="E5" s="5"/>
      <c r="F5" s="102"/>
      <c r="G5" s="424" t="s">
        <v>375</v>
      </c>
      <c r="H5" s="425"/>
      <c r="I5" s="425"/>
      <c r="J5" s="425"/>
      <c r="K5" s="426"/>
      <c r="L5" s="426"/>
      <c r="M5" s="426"/>
      <c r="N5"/>
      <c r="O5"/>
      <c r="P5"/>
      <c r="Q5"/>
      <c r="R5"/>
      <c r="S5"/>
      <c r="T5"/>
      <c r="U5" s="5"/>
      <c r="V5" s="5"/>
      <c r="W5" s="128"/>
      <c r="X5" s="128"/>
      <c r="AA5" s="208" t="s">
        <v>277</v>
      </c>
      <c r="AB5" s="209">
        <v>44896</v>
      </c>
      <c r="AC5" s="264"/>
      <c r="AD5" s="264"/>
      <c r="AE5" s="264"/>
      <c r="AF5" s="264"/>
      <c r="AG5" s="5"/>
      <c r="AH5" s="5"/>
      <c r="AK5" s="5"/>
      <c r="AL5" s="5"/>
      <c r="AM5" s="5"/>
      <c r="AN5" s="5"/>
      <c r="AO5" s="5"/>
      <c r="AP5" s="5"/>
      <c r="AQ5" s="5"/>
      <c r="AR5" s="5"/>
      <c r="AS5" s="5"/>
      <c r="AT5" s="5"/>
      <c r="AU5" s="5"/>
      <c r="AV5" s="5"/>
      <c r="AW5" s="5"/>
      <c r="AX5" s="5"/>
      <c r="AY5" s="5"/>
      <c r="AZ5" s="5"/>
      <c r="BA5" s="5"/>
      <c r="BB5" s="5"/>
      <c r="BC5" s="5"/>
      <c r="BD5" s="5"/>
    </row>
    <row r="6" spans="2:60" ht="19.5" thickBot="1" x14ac:dyDescent="0.35">
      <c r="B6" s="5" t="s">
        <v>278</v>
      </c>
      <c r="C6" s="203" t="e">
        <f>#REF!</f>
        <v>#REF!</v>
      </c>
      <c r="D6" s="5"/>
      <c r="E6" s="5"/>
      <c r="F6" s="102"/>
      <c r="G6" s="5"/>
      <c r="H6" s="102"/>
      <c r="I6" s="9"/>
      <c r="J6" s="304"/>
      <c r="M6" s="39"/>
      <c r="N6"/>
      <c r="O6"/>
      <c r="P6"/>
      <c r="Q6"/>
      <c r="R6"/>
      <c r="S6"/>
      <c r="T6"/>
      <c r="U6" s="5"/>
      <c r="V6" s="5"/>
      <c r="W6" s="128"/>
      <c r="X6" s="128"/>
      <c r="AG6" s="5"/>
      <c r="AH6" s="5"/>
      <c r="AK6" s="5"/>
      <c r="AL6" s="5"/>
      <c r="AM6" s="5"/>
      <c r="AN6" s="5"/>
      <c r="AO6" s="5"/>
      <c r="AP6" s="5"/>
      <c r="AQ6" s="5"/>
      <c r="AR6" s="314" t="s">
        <v>280</v>
      </c>
      <c r="AS6" s="339"/>
      <c r="AT6" s="5"/>
      <c r="AU6" s="5"/>
      <c r="AV6" s="5"/>
      <c r="AW6" s="5"/>
      <c r="AX6" s="5"/>
      <c r="AY6" s="5"/>
      <c r="AZ6" s="5"/>
      <c r="BA6" s="5"/>
      <c r="BB6" s="5"/>
      <c r="BC6" s="5"/>
      <c r="BD6" s="5"/>
      <c r="BG6" t="s">
        <v>376</v>
      </c>
    </row>
    <row r="7" spans="2:60" ht="15.75" thickBot="1" x14ac:dyDescent="0.3">
      <c r="B7" s="9"/>
      <c r="C7"/>
      <c r="G7"/>
      <c r="H7" s="8"/>
      <c r="I7" s="9"/>
      <c r="J7" s="305"/>
      <c r="K7" s="21"/>
      <c r="L7" s="27"/>
      <c r="M7" s="39"/>
      <c r="U7" s="292"/>
      <c r="V7" s="699" t="s">
        <v>377</v>
      </c>
      <c r="W7" s="700"/>
      <c r="X7" s="700"/>
      <c r="Y7" s="701"/>
      <c r="Z7" s="699" t="s">
        <v>287</v>
      </c>
      <c r="AA7" s="700"/>
      <c r="AB7" s="700"/>
      <c r="AC7" s="700"/>
      <c r="AD7" s="700"/>
      <c r="AE7" s="700"/>
      <c r="AF7" s="700"/>
      <c r="AG7" s="700"/>
      <c r="AH7" s="701"/>
      <c r="AK7"/>
      <c r="BB7" s="5"/>
      <c r="BG7" s="91" t="s">
        <v>378</v>
      </c>
    </row>
    <row r="8" spans="2:60" s="248" customFormat="1" ht="30" x14ac:dyDescent="0.25">
      <c r="B8" s="287" t="s">
        <v>379</v>
      </c>
      <c r="C8" s="47" t="s">
        <v>380</v>
      </c>
      <c r="D8" s="290" t="s">
        <v>381</v>
      </c>
      <c r="E8" s="290" t="s">
        <v>382</v>
      </c>
      <c r="F8" s="47" t="s">
        <v>383</v>
      </c>
      <c r="G8" s="47" t="s">
        <v>384</v>
      </c>
      <c r="H8" s="47" t="s">
        <v>385</v>
      </c>
      <c r="I8" s="290" t="s">
        <v>386</v>
      </c>
      <c r="J8" s="47" t="s">
        <v>295</v>
      </c>
      <c r="K8" s="47" t="s">
        <v>237</v>
      </c>
      <c r="L8" s="247" t="s">
        <v>236</v>
      </c>
      <c r="M8" s="254" t="s">
        <v>387</v>
      </c>
      <c r="N8" s="289" t="s">
        <v>388</v>
      </c>
      <c r="O8" s="254" t="s">
        <v>389</v>
      </c>
      <c r="P8" s="254" t="s">
        <v>390</v>
      </c>
      <c r="Q8" s="254" t="s">
        <v>391</v>
      </c>
      <c r="R8" s="254" t="s">
        <v>392</v>
      </c>
      <c r="S8" s="254" t="s">
        <v>8283</v>
      </c>
      <c r="T8" s="254" t="s">
        <v>372</v>
      </c>
      <c r="U8" s="460" t="s">
        <v>393</v>
      </c>
      <c r="V8" s="299" t="s">
        <v>319</v>
      </c>
      <c r="W8" s="299" t="s">
        <v>394</v>
      </c>
      <c r="X8" s="299" t="s">
        <v>395</v>
      </c>
      <c r="Y8" s="299" t="s">
        <v>396</v>
      </c>
      <c r="Z8" s="299" t="s">
        <v>397</v>
      </c>
      <c r="AA8" s="299" t="s">
        <v>398</v>
      </c>
      <c r="AB8" s="299" t="s">
        <v>399</v>
      </c>
      <c r="AC8" s="299" t="s">
        <v>400</v>
      </c>
      <c r="AD8" s="299" t="s">
        <v>332</v>
      </c>
      <c r="AE8" s="299" t="s">
        <v>233</v>
      </c>
      <c r="AF8" s="299" t="s">
        <v>241</v>
      </c>
      <c r="AG8" s="299" t="s">
        <v>401</v>
      </c>
      <c r="AH8" s="299" t="s">
        <v>246</v>
      </c>
      <c r="AK8" s="291" t="s">
        <v>402</v>
      </c>
      <c r="AL8" s="47" t="s">
        <v>403</v>
      </c>
      <c r="AM8" s="47" t="s">
        <v>404</v>
      </c>
      <c r="AN8" s="47" t="s">
        <v>405</v>
      </c>
      <c r="AO8" s="47" t="s">
        <v>406</v>
      </c>
      <c r="AP8" s="47" t="s">
        <v>407</v>
      </c>
      <c r="AR8" s="246" t="s">
        <v>384</v>
      </c>
      <c r="AS8" s="246" t="s">
        <v>385</v>
      </c>
      <c r="AT8" s="246" t="s">
        <v>400</v>
      </c>
      <c r="AU8" s="246" t="s">
        <v>332</v>
      </c>
      <c r="AV8" s="246" t="s">
        <v>241</v>
      </c>
      <c r="AW8" s="288" t="s">
        <v>386</v>
      </c>
      <c r="AX8" s="341" t="s">
        <v>408</v>
      </c>
      <c r="AY8" s="341" t="s">
        <v>409</v>
      </c>
      <c r="AZ8" s="341" t="s">
        <v>410</v>
      </c>
      <c r="BA8" s="293" t="s">
        <v>411</v>
      </c>
      <c r="BB8" s="5"/>
      <c r="BC8" s="246" t="s">
        <v>237</v>
      </c>
      <c r="BD8" s="532" t="s">
        <v>295</v>
      </c>
    </row>
    <row r="9" spans="2:60" ht="15" customHeight="1" x14ac:dyDescent="0.25">
      <c r="B9" s="11"/>
      <c r="C9" s="200"/>
      <c r="D9" s="147"/>
      <c r="E9" s="211"/>
      <c r="F9" s="29"/>
      <c r="G9" s="35"/>
      <c r="H9" s="29"/>
      <c r="I9" s="11"/>
      <c r="J9" s="306"/>
      <c r="K9" s="295"/>
      <c r="L9" s="106"/>
      <c r="M9" s="42"/>
      <c r="N9" s="42"/>
      <c r="O9" s="42"/>
      <c r="P9" s="42"/>
      <c r="Q9" s="42"/>
      <c r="R9" s="42"/>
      <c r="S9" s="42"/>
      <c r="T9" s="42"/>
      <c r="U9" s="220"/>
      <c r="V9" s="200"/>
      <c r="W9" s="29"/>
      <c r="X9" s="29"/>
      <c r="Y9" s="29"/>
      <c r="Z9" s="29"/>
      <c r="AA9" s="106"/>
      <c r="AB9" s="106"/>
      <c r="AC9" s="129"/>
      <c r="AD9" s="129"/>
      <c r="AE9" s="129"/>
      <c r="AF9" s="129"/>
      <c r="AG9" s="300"/>
      <c r="AH9" s="300"/>
      <c r="AK9" s="213"/>
      <c r="AL9" s="147"/>
      <c r="AM9" s="147"/>
      <c r="AN9" s="147"/>
      <c r="AO9" s="147"/>
      <c r="AP9" s="147"/>
      <c r="AR9" s="2"/>
      <c r="AS9" s="2"/>
      <c r="AT9" s="2"/>
      <c r="AU9" s="2"/>
      <c r="AV9" s="2"/>
      <c r="AW9" s="2"/>
      <c r="AX9" s="1">
        <f t="shared" ref="AX9:AX40" si="0">M9+N9</f>
        <v>0</v>
      </c>
      <c r="AY9" s="1">
        <f t="shared" ref="AY9:AY40" si="1">O9</f>
        <v>0</v>
      </c>
      <c r="AZ9" s="1">
        <f t="shared" ref="AZ9:AZ40" si="2">R9</f>
        <v>0</v>
      </c>
      <c r="BA9" s="238">
        <f t="shared" ref="BA9:BA40" si="3">SUM(AX9:AZ9)</f>
        <v>0</v>
      </c>
      <c r="BB9" s="5"/>
      <c r="BC9" s="2"/>
      <c r="BD9" s="2"/>
      <c r="BE9" s="73"/>
      <c r="BG9" s="39">
        <f t="shared" ref="BG9:BG40" si="4">T9-BA9</f>
        <v>0</v>
      </c>
      <c r="BH9" s="73">
        <f t="shared" ref="BH9:BH40" si="5">BG9-Q9-P9</f>
        <v>0</v>
      </c>
    </row>
    <row r="10" spans="2:60" ht="15" customHeight="1" x14ac:dyDescent="0.25">
      <c r="B10" s="11">
        <v>1</v>
      </c>
      <c r="C10" s="201"/>
      <c r="D10" s="147"/>
      <c r="E10" s="211"/>
      <c r="F10" s="29"/>
      <c r="G10" s="35"/>
      <c r="H10" s="29"/>
      <c r="I10" s="11"/>
      <c r="J10" s="306"/>
      <c r="K10" s="471"/>
      <c r="L10" s="106"/>
      <c r="M10" s="42">
        <v>0</v>
      </c>
      <c r="N10" s="42">
        <v>0</v>
      </c>
      <c r="O10" s="42">
        <v>0</v>
      </c>
      <c r="P10" s="42">
        <v>0</v>
      </c>
      <c r="Q10" s="42">
        <v>0</v>
      </c>
      <c r="R10" s="42">
        <v>0</v>
      </c>
      <c r="S10" s="42">
        <v>0</v>
      </c>
      <c r="T10" s="42">
        <f>SUM(M10:S10)</f>
        <v>0</v>
      </c>
      <c r="U10" s="220">
        <f t="shared" ref="U10:U41" si="6">E10-T10</f>
        <v>0</v>
      </c>
      <c r="V10" s="200"/>
      <c r="W10" s="29"/>
      <c r="X10" s="29"/>
      <c r="Y10" s="29"/>
      <c r="Z10" s="29"/>
      <c r="AA10" s="106"/>
      <c r="AB10" s="106"/>
      <c r="AC10" s="129"/>
      <c r="AD10" s="129"/>
      <c r="AE10" s="129"/>
      <c r="AF10" s="129"/>
      <c r="AG10" s="300"/>
      <c r="AH10" s="300"/>
      <c r="AK10" s="213"/>
      <c r="AL10" s="147"/>
      <c r="AM10" s="147"/>
      <c r="AN10" s="147"/>
      <c r="AO10" s="147"/>
      <c r="AP10" s="147"/>
      <c r="AR10" s="2">
        <f t="shared" ref="AR10:AR41" si="7">G10</f>
        <v>0</v>
      </c>
      <c r="AS10" s="2">
        <f t="shared" ref="AS10:AS41" si="8">H10</f>
        <v>0</v>
      </c>
      <c r="AT10" s="318">
        <f t="shared" ref="AT10:AT41" si="9">I10</f>
        <v>0</v>
      </c>
      <c r="AU10" s="2">
        <f t="shared" ref="AU10:AU41" si="10">AD10</f>
        <v>0</v>
      </c>
      <c r="AV10" s="2">
        <f t="shared" ref="AV10:AV41" si="11">AF10</f>
        <v>0</v>
      </c>
      <c r="AW10" s="318">
        <f t="shared" ref="AW10:AW41" si="12">I10</f>
        <v>0</v>
      </c>
      <c r="AX10" s="1">
        <f t="shared" si="0"/>
        <v>0</v>
      </c>
      <c r="AY10" s="1">
        <f t="shared" si="1"/>
        <v>0</v>
      </c>
      <c r="AZ10" s="1">
        <f t="shared" si="2"/>
        <v>0</v>
      </c>
      <c r="BA10" s="238">
        <f t="shared" si="3"/>
        <v>0</v>
      </c>
      <c r="BB10" s="5"/>
      <c r="BC10" s="2">
        <f t="shared" ref="BC10:BC41" si="13">K10</f>
        <v>0</v>
      </c>
      <c r="BD10" s="107">
        <f t="shared" ref="BD10:BD41" si="14">J10</f>
        <v>0</v>
      </c>
      <c r="BE10" s="73">
        <f t="shared" ref="BE10:BE41" si="15">BA10-T10+Q10+P10</f>
        <v>0</v>
      </c>
      <c r="BG10" s="39">
        <f t="shared" si="4"/>
        <v>0</v>
      </c>
      <c r="BH10" s="73">
        <f t="shared" si="5"/>
        <v>0</v>
      </c>
    </row>
    <row r="11" spans="2:60" ht="15" customHeight="1" x14ac:dyDescent="0.25">
      <c r="B11" s="11">
        <v>2</v>
      </c>
      <c r="C11" s="201"/>
      <c r="D11" s="147"/>
      <c r="E11" s="211"/>
      <c r="F11" s="29"/>
      <c r="G11" s="35"/>
      <c r="H11" s="29"/>
      <c r="I11" s="11"/>
      <c r="J11" s="306"/>
      <c r="K11" s="472"/>
      <c r="L11" s="106"/>
      <c r="M11" s="42">
        <v>0</v>
      </c>
      <c r="N11" s="42">
        <v>0</v>
      </c>
      <c r="O11" s="42">
        <v>0</v>
      </c>
      <c r="P11" s="42">
        <v>0</v>
      </c>
      <c r="Q11" s="42">
        <v>0</v>
      </c>
      <c r="R11" s="42">
        <v>0</v>
      </c>
      <c r="S11" s="42">
        <v>0</v>
      </c>
      <c r="T11" s="42">
        <f t="shared" ref="T11:T58" si="16">SUM(M11:S11)</f>
        <v>0</v>
      </c>
      <c r="U11" s="220">
        <f t="shared" si="6"/>
        <v>0</v>
      </c>
      <c r="V11" s="200"/>
      <c r="W11" s="29"/>
      <c r="X11" s="29"/>
      <c r="Y11" s="29"/>
      <c r="Z11" s="29"/>
      <c r="AA11" s="106"/>
      <c r="AB11" s="106"/>
      <c r="AC11" s="129"/>
      <c r="AD11" s="129"/>
      <c r="AE11" s="129"/>
      <c r="AF11" s="129"/>
      <c r="AG11" s="300"/>
      <c r="AH11" s="300"/>
      <c r="AK11" s="213"/>
      <c r="AL11" s="147"/>
      <c r="AM11" s="147"/>
      <c r="AN11" s="147"/>
      <c r="AO11" s="147"/>
      <c r="AP11" s="147"/>
      <c r="AR11" s="2">
        <f t="shared" si="7"/>
        <v>0</v>
      </c>
      <c r="AS11" s="2">
        <f t="shared" si="8"/>
        <v>0</v>
      </c>
      <c r="AT11" s="318">
        <f t="shared" si="9"/>
        <v>0</v>
      </c>
      <c r="AU11" s="2">
        <f t="shared" si="10"/>
        <v>0</v>
      </c>
      <c r="AV11" s="2">
        <f t="shared" si="11"/>
        <v>0</v>
      </c>
      <c r="AW11" s="318">
        <f t="shared" si="12"/>
        <v>0</v>
      </c>
      <c r="AX11" s="1">
        <f t="shared" si="0"/>
        <v>0</v>
      </c>
      <c r="AY11" s="1">
        <f t="shared" si="1"/>
        <v>0</v>
      </c>
      <c r="AZ11" s="1">
        <f t="shared" si="2"/>
        <v>0</v>
      </c>
      <c r="BA11" s="238">
        <f t="shared" si="3"/>
        <v>0</v>
      </c>
      <c r="BC11" s="2">
        <f t="shared" si="13"/>
        <v>0</v>
      </c>
      <c r="BD11" s="107">
        <f t="shared" si="14"/>
        <v>0</v>
      </c>
      <c r="BE11" s="73">
        <f t="shared" si="15"/>
        <v>0</v>
      </c>
      <c r="BG11" s="39">
        <f t="shared" si="4"/>
        <v>0</v>
      </c>
      <c r="BH11" s="73">
        <f t="shared" si="5"/>
        <v>0</v>
      </c>
    </row>
    <row r="12" spans="2:60" ht="15" customHeight="1" x14ac:dyDescent="0.25">
      <c r="B12" s="11">
        <v>3</v>
      </c>
      <c r="C12" s="201"/>
      <c r="D12" s="147"/>
      <c r="E12" s="211"/>
      <c r="F12" s="29"/>
      <c r="G12" s="35"/>
      <c r="H12" s="29"/>
      <c r="I12" s="11"/>
      <c r="J12" s="306"/>
      <c r="K12" s="472"/>
      <c r="L12" s="106"/>
      <c r="M12" s="42">
        <v>0</v>
      </c>
      <c r="N12" s="42">
        <v>0</v>
      </c>
      <c r="O12" s="42">
        <v>0</v>
      </c>
      <c r="P12" s="42">
        <v>0</v>
      </c>
      <c r="Q12" s="42">
        <v>0</v>
      </c>
      <c r="R12" s="42">
        <v>0</v>
      </c>
      <c r="S12" s="42">
        <v>0</v>
      </c>
      <c r="T12" s="42">
        <f t="shared" si="16"/>
        <v>0</v>
      </c>
      <c r="U12" s="220">
        <f t="shared" si="6"/>
        <v>0</v>
      </c>
      <c r="V12" s="200"/>
      <c r="W12" s="29"/>
      <c r="X12" s="29"/>
      <c r="Y12" s="29"/>
      <c r="Z12" s="29"/>
      <c r="AA12" s="106"/>
      <c r="AB12" s="106"/>
      <c r="AC12" s="129"/>
      <c r="AD12" s="129"/>
      <c r="AE12" s="129"/>
      <c r="AF12" s="129"/>
      <c r="AG12" s="300"/>
      <c r="AH12" s="300"/>
      <c r="AK12" s="213"/>
      <c r="AL12" s="147"/>
      <c r="AM12" s="147"/>
      <c r="AN12" s="147"/>
      <c r="AO12" s="147"/>
      <c r="AP12" s="147"/>
      <c r="AR12" s="2">
        <f t="shared" si="7"/>
        <v>0</v>
      </c>
      <c r="AS12" s="2">
        <f t="shared" si="8"/>
        <v>0</v>
      </c>
      <c r="AT12" s="318">
        <f t="shared" si="9"/>
        <v>0</v>
      </c>
      <c r="AU12" s="2">
        <f t="shared" si="10"/>
        <v>0</v>
      </c>
      <c r="AV12" s="2">
        <f t="shared" si="11"/>
        <v>0</v>
      </c>
      <c r="AW12" s="318">
        <f t="shared" si="12"/>
        <v>0</v>
      </c>
      <c r="AX12" s="1">
        <f t="shared" si="0"/>
        <v>0</v>
      </c>
      <c r="AY12" s="1">
        <f t="shared" si="1"/>
        <v>0</v>
      </c>
      <c r="AZ12" s="1">
        <f t="shared" si="2"/>
        <v>0</v>
      </c>
      <c r="BA12" s="238">
        <f t="shared" si="3"/>
        <v>0</v>
      </c>
      <c r="BC12" s="2">
        <f t="shared" si="13"/>
        <v>0</v>
      </c>
      <c r="BD12" s="107">
        <f t="shared" si="14"/>
        <v>0</v>
      </c>
      <c r="BE12" s="73">
        <f t="shared" si="15"/>
        <v>0</v>
      </c>
      <c r="BG12" s="39">
        <f t="shared" si="4"/>
        <v>0</v>
      </c>
      <c r="BH12" s="73">
        <f t="shared" si="5"/>
        <v>0</v>
      </c>
    </row>
    <row r="13" spans="2:60" ht="15" customHeight="1" x14ac:dyDescent="0.25">
      <c r="B13" s="11">
        <v>4</v>
      </c>
      <c r="C13" s="201"/>
      <c r="D13" s="147"/>
      <c r="E13" s="211"/>
      <c r="F13" s="29"/>
      <c r="G13" s="35"/>
      <c r="H13" s="29"/>
      <c r="I13" s="11"/>
      <c r="J13" s="306"/>
      <c r="K13" s="472"/>
      <c r="L13" s="106"/>
      <c r="M13" s="42">
        <v>0</v>
      </c>
      <c r="N13" s="42">
        <v>0</v>
      </c>
      <c r="O13" s="42">
        <v>0</v>
      </c>
      <c r="P13" s="42">
        <v>0</v>
      </c>
      <c r="Q13" s="42">
        <v>0</v>
      </c>
      <c r="R13" s="42">
        <v>0</v>
      </c>
      <c r="S13" s="42">
        <v>0</v>
      </c>
      <c r="T13" s="42">
        <f t="shared" si="16"/>
        <v>0</v>
      </c>
      <c r="U13" s="220">
        <f t="shared" si="6"/>
        <v>0</v>
      </c>
      <c r="V13" s="200"/>
      <c r="W13" s="29"/>
      <c r="X13" s="29"/>
      <c r="Y13" s="29"/>
      <c r="Z13" s="29"/>
      <c r="AA13" s="106"/>
      <c r="AB13" s="106"/>
      <c r="AC13" s="129"/>
      <c r="AD13" s="129"/>
      <c r="AE13" s="129"/>
      <c r="AF13" s="129"/>
      <c r="AG13" s="300"/>
      <c r="AH13" s="300"/>
      <c r="AK13" s="213"/>
      <c r="AL13" s="147"/>
      <c r="AM13" s="147"/>
      <c r="AN13" s="147"/>
      <c r="AO13" s="147"/>
      <c r="AP13" s="147"/>
      <c r="AR13" s="2">
        <f t="shared" si="7"/>
        <v>0</v>
      </c>
      <c r="AS13" s="2">
        <f t="shared" si="8"/>
        <v>0</v>
      </c>
      <c r="AT13" s="318">
        <f t="shared" si="9"/>
        <v>0</v>
      </c>
      <c r="AU13" s="2">
        <f t="shared" si="10"/>
        <v>0</v>
      </c>
      <c r="AV13" s="2">
        <f t="shared" si="11"/>
        <v>0</v>
      </c>
      <c r="AW13" s="318">
        <f t="shared" si="12"/>
        <v>0</v>
      </c>
      <c r="AX13" s="1">
        <f t="shared" si="0"/>
        <v>0</v>
      </c>
      <c r="AY13" s="1">
        <f t="shared" si="1"/>
        <v>0</v>
      </c>
      <c r="AZ13" s="1">
        <f t="shared" si="2"/>
        <v>0</v>
      </c>
      <c r="BA13" s="238">
        <f t="shared" si="3"/>
        <v>0</v>
      </c>
      <c r="BC13" s="2">
        <f t="shared" si="13"/>
        <v>0</v>
      </c>
      <c r="BD13" s="107">
        <f t="shared" si="14"/>
        <v>0</v>
      </c>
      <c r="BE13" s="73">
        <f t="shared" si="15"/>
        <v>0</v>
      </c>
      <c r="BG13" s="39">
        <f t="shared" si="4"/>
        <v>0</v>
      </c>
      <c r="BH13" s="73">
        <f t="shared" si="5"/>
        <v>0</v>
      </c>
    </row>
    <row r="14" spans="2:60" ht="15" customHeight="1" x14ac:dyDescent="0.25">
      <c r="B14" s="11">
        <v>5</v>
      </c>
      <c r="C14" s="129"/>
      <c r="D14" s="147"/>
      <c r="E14" s="211"/>
      <c r="F14" s="29"/>
      <c r="G14" s="35"/>
      <c r="H14" s="29"/>
      <c r="I14" s="11"/>
      <c r="J14" s="306"/>
      <c r="K14" s="472"/>
      <c r="L14" s="106"/>
      <c r="M14" s="42">
        <v>0</v>
      </c>
      <c r="N14" s="42">
        <v>0</v>
      </c>
      <c r="O14" s="42">
        <v>0</v>
      </c>
      <c r="P14" s="42">
        <v>0</v>
      </c>
      <c r="Q14" s="42">
        <v>0</v>
      </c>
      <c r="R14" s="42">
        <v>0</v>
      </c>
      <c r="S14" s="42">
        <v>0</v>
      </c>
      <c r="T14" s="42">
        <f t="shared" si="16"/>
        <v>0</v>
      </c>
      <c r="U14" s="220">
        <f t="shared" si="6"/>
        <v>0</v>
      </c>
      <c r="V14" s="200"/>
      <c r="W14" s="29"/>
      <c r="X14" s="29"/>
      <c r="Y14" s="29"/>
      <c r="Z14" s="29"/>
      <c r="AA14" s="106"/>
      <c r="AB14" s="106"/>
      <c r="AC14" s="129"/>
      <c r="AD14" s="129"/>
      <c r="AE14" s="129"/>
      <c r="AF14" s="129"/>
      <c r="AG14" s="300"/>
      <c r="AH14" s="300"/>
      <c r="AK14" s="213"/>
      <c r="AL14" s="147"/>
      <c r="AM14" s="147"/>
      <c r="AN14" s="147"/>
      <c r="AO14" s="147"/>
      <c r="AP14" s="147"/>
      <c r="AR14" s="2">
        <f t="shared" si="7"/>
        <v>0</v>
      </c>
      <c r="AS14" s="2">
        <f t="shared" si="8"/>
        <v>0</v>
      </c>
      <c r="AT14" s="318">
        <f t="shared" si="9"/>
        <v>0</v>
      </c>
      <c r="AU14" s="2">
        <f t="shared" si="10"/>
        <v>0</v>
      </c>
      <c r="AV14" s="2">
        <f t="shared" si="11"/>
        <v>0</v>
      </c>
      <c r="AW14" s="318">
        <f t="shared" si="12"/>
        <v>0</v>
      </c>
      <c r="AX14" s="1">
        <f t="shared" si="0"/>
        <v>0</v>
      </c>
      <c r="AY14" s="1">
        <f t="shared" si="1"/>
        <v>0</v>
      </c>
      <c r="AZ14" s="1">
        <f t="shared" si="2"/>
        <v>0</v>
      </c>
      <c r="BA14" s="238">
        <f t="shared" si="3"/>
        <v>0</v>
      </c>
      <c r="BC14" s="2">
        <f t="shared" si="13"/>
        <v>0</v>
      </c>
      <c r="BD14" s="107">
        <f t="shared" si="14"/>
        <v>0</v>
      </c>
      <c r="BE14" s="73">
        <f t="shared" si="15"/>
        <v>0</v>
      </c>
      <c r="BG14" s="39">
        <f t="shared" si="4"/>
        <v>0</v>
      </c>
      <c r="BH14" s="73">
        <f t="shared" si="5"/>
        <v>0</v>
      </c>
    </row>
    <row r="15" spans="2:60" ht="15" customHeight="1" x14ac:dyDescent="0.25">
      <c r="B15" s="11">
        <v>6</v>
      </c>
      <c r="C15" s="201"/>
      <c r="D15" s="147"/>
      <c r="E15" s="211"/>
      <c r="F15" s="29"/>
      <c r="G15" s="35"/>
      <c r="H15" s="29"/>
      <c r="I15" s="11"/>
      <c r="J15" s="306"/>
      <c r="K15" s="472"/>
      <c r="L15" s="106"/>
      <c r="M15" s="42">
        <v>0</v>
      </c>
      <c r="N15" s="42">
        <v>0</v>
      </c>
      <c r="O15" s="42">
        <v>0</v>
      </c>
      <c r="P15" s="42">
        <v>0</v>
      </c>
      <c r="Q15" s="42">
        <v>0</v>
      </c>
      <c r="R15" s="42">
        <v>0</v>
      </c>
      <c r="S15" s="42">
        <v>0</v>
      </c>
      <c r="T15" s="42">
        <f t="shared" si="16"/>
        <v>0</v>
      </c>
      <c r="U15" s="220">
        <f t="shared" si="6"/>
        <v>0</v>
      </c>
      <c r="V15" s="200"/>
      <c r="W15" s="29"/>
      <c r="X15" s="29"/>
      <c r="Y15" s="29"/>
      <c r="AA15" s="106"/>
      <c r="AB15" s="106"/>
      <c r="AC15" s="129"/>
      <c r="AD15" s="129"/>
      <c r="AE15" s="129"/>
      <c r="AF15" s="129"/>
      <c r="AG15" s="300"/>
      <c r="AH15" s="300"/>
      <c r="AK15" s="213"/>
      <c r="AL15" s="147"/>
      <c r="AM15" s="147"/>
      <c r="AN15" s="147"/>
      <c r="AO15" s="147"/>
      <c r="AP15" s="147"/>
      <c r="AR15" s="2">
        <f t="shared" si="7"/>
        <v>0</v>
      </c>
      <c r="AS15" s="2">
        <f t="shared" si="8"/>
        <v>0</v>
      </c>
      <c r="AT15" s="318">
        <f t="shared" si="9"/>
        <v>0</v>
      </c>
      <c r="AU15" s="2">
        <f t="shared" si="10"/>
        <v>0</v>
      </c>
      <c r="AV15" s="2">
        <f t="shared" si="11"/>
        <v>0</v>
      </c>
      <c r="AW15" s="318">
        <f t="shared" si="12"/>
        <v>0</v>
      </c>
      <c r="AX15" s="1">
        <f t="shared" si="0"/>
        <v>0</v>
      </c>
      <c r="AY15" s="1">
        <f t="shared" si="1"/>
        <v>0</v>
      </c>
      <c r="AZ15" s="1">
        <f t="shared" si="2"/>
        <v>0</v>
      </c>
      <c r="BA15" s="238">
        <f t="shared" si="3"/>
        <v>0</v>
      </c>
      <c r="BC15" s="2">
        <f t="shared" si="13"/>
        <v>0</v>
      </c>
      <c r="BD15" s="107">
        <f t="shared" si="14"/>
        <v>0</v>
      </c>
      <c r="BE15" s="73">
        <f t="shared" si="15"/>
        <v>0</v>
      </c>
      <c r="BG15" s="39">
        <f t="shared" si="4"/>
        <v>0</v>
      </c>
      <c r="BH15" s="73">
        <f t="shared" si="5"/>
        <v>0</v>
      </c>
    </row>
    <row r="16" spans="2:60" ht="15" customHeight="1" x14ac:dyDescent="0.25">
      <c r="B16" s="11">
        <v>7</v>
      </c>
      <c r="C16" s="201"/>
      <c r="D16" s="147"/>
      <c r="E16" s="211"/>
      <c r="F16" s="29"/>
      <c r="G16" s="35"/>
      <c r="H16" s="29"/>
      <c r="I16" s="11"/>
      <c r="J16" s="306"/>
      <c r="K16" s="472"/>
      <c r="L16" s="106"/>
      <c r="M16" s="42">
        <v>0</v>
      </c>
      <c r="N16" s="42">
        <v>0</v>
      </c>
      <c r="O16" s="42">
        <v>0</v>
      </c>
      <c r="P16" s="42">
        <v>0</v>
      </c>
      <c r="Q16" s="42">
        <v>0</v>
      </c>
      <c r="R16" s="42">
        <v>0</v>
      </c>
      <c r="S16" s="42">
        <v>0</v>
      </c>
      <c r="T16" s="42">
        <f t="shared" si="16"/>
        <v>0</v>
      </c>
      <c r="U16" s="220">
        <f t="shared" si="6"/>
        <v>0</v>
      </c>
      <c r="V16" s="200"/>
      <c r="W16" s="29"/>
      <c r="X16" s="29"/>
      <c r="Y16" s="29"/>
      <c r="Z16" s="29"/>
      <c r="AA16" s="106"/>
      <c r="AB16" s="106"/>
      <c r="AC16" s="129"/>
      <c r="AD16" s="129"/>
      <c r="AE16" s="129"/>
      <c r="AF16" s="129"/>
      <c r="AG16" s="300"/>
      <c r="AH16" s="300"/>
      <c r="AK16" s="213"/>
      <c r="AL16" s="147"/>
      <c r="AM16" s="147"/>
      <c r="AN16" s="147"/>
      <c r="AO16" s="147"/>
      <c r="AP16" s="147"/>
      <c r="AR16" s="2">
        <f t="shared" si="7"/>
        <v>0</v>
      </c>
      <c r="AS16" s="2">
        <f t="shared" si="8"/>
        <v>0</v>
      </c>
      <c r="AT16" s="318">
        <f t="shared" si="9"/>
        <v>0</v>
      </c>
      <c r="AU16" s="2">
        <f t="shared" si="10"/>
        <v>0</v>
      </c>
      <c r="AV16" s="2">
        <f t="shared" si="11"/>
        <v>0</v>
      </c>
      <c r="AW16" s="318">
        <f t="shared" si="12"/>
        <v>0</v>
      </c>
      <c r="AX16" s="1">
        <f t="shared" si="0"/>
        <v>0</v>
      </c>
      <c r="AY16" s="1">
        <f t="shared" si="1"/>
        <v>0</v>
      </c>
      <c r="AZ16" s="1">
        <f t="shared" si="2"/>
        <v>0</v>
      </c>
      <c r="BA16" s="238">
        <f t="shared" si="3"/>
        <v>0</v>
      </c>
      <c r="BC16" s="2">
        <f t="shared" si="13"/>
        <v>0</v>
      </c>
      <c r="BD16" s="107">
        <f t="shared" si="14"/>
        <v>0</v>
      </c>
      <c r="BE16" s="73">
        <f t="shared" si="15"/>
        <v>0</v>
      </c>
      <c r="BG16" s="39">
        <f t="shared" si="4"/>
        <v>0</v>
      </c>
      <c r="BH16" s="73">
        <f t="shared" si="5"/>
        <v>0</v>
      </c>
    </row>
    <row r="17" spans="2:60" ht="15" customHeight="1" x14ac:dyDescent="0.25">
      <c r="B17" s="11">
        <v>8</v>
      </c>
      <c r="C17" s="201"/>
      <c r="D17" s="147"/>
      <c r="E17" s="211"/>
      <c r="F17" s="29"/>
      <c r="G17" s="35"/>
      <c r="H17" s="29"/>
      <c r="I17" s="11"/>
      <c r="J17" s="306"/>
      <c r="K17" s="472"/>
      <c r="L17" s="106"/>
      <c r="M17" s="42">
        <v>0</v>
      </c>
      <c r="N17" s="42">
        <v>0</v>
      </c>
      <c r="O17" s="42">
        <v>0</v>
      </c>
      <c r="P17" s="42">
        <v>0</v>
      </c>
      <c r="Q17" s="42">
        <v>0</v>
      </c>
      <c r="R17" s="42">
        <v>0</v>
      </c>
      <c r="S17" s="42">
        <v>0</v>
      </c>
      <c r="T17" s="42">
        <f t="shared" si="16"/>
        <v>0</v>
      </c>
      <c r="U17" s="220">
        <f t="shared" si="6"/>
        <v>0</v>
      </c>
      <c r="V17" s="200"/>
      <c r="W17" s="29"/>
      <c r="X17" s="29"/>
      <c r="Y17" s="29"/>
      <c r="Z17" s="29"/>
      <c r="AA17" s="106"/>
      <c r="AB17" s="106"/>
      <c r="AC17" s="129"/>
      <c r="AD17" s="129"/>
      <c r="AE17" s="129"/>
      <c r="AF17" s="129"/>
      <c r="AG17" s="300"/>
      <c r="AH17" s="300"/>
      <c r="AK17" s="213"/>
      <c r="AL17" s="147"/>
      <c r="AM17" s="147"/>
      <c r="AN17" s="147"/>
      <c r="AO17" s="147"/>
      <c r="AP17" s="147"/>
      <c r="AR17" s="2">
        <f t="shared" si="7"/>
        <v>0</v>
      </c>
      <c r="AS17" s="2">
        <f t="shared" si="8"/>
        <v>0</v>
      </c>
      <c r="AT17" s="318">
        <f t="shared" si="9"/>
        <v>0</v>
      </c>
      <c r="AU17" s="2">
        <f t="shared" si="10"/>
        <v>0</v>
      </c>
      <c r="AV17" s="2">
        <f t="shared" si="11"/>
        <v>0</v>
      </c>
      <c r="AW17" s="318">
        <f t="shared" si="12"/>
        <v>0</v>
      </c>
      <c r="AX17" s="1">
        <f t="shared" si="0"/>
        <v>0</v>
      </c>
      <c r="AY17" s="1">
        <f t="shared" si="1"/>
        <v>0</v>
      </c>
      <c r="AZ17" s="1">
        <f t="shared" si="2"/>
        <v>0</v>
      </c>
      <c r="BA17" s="238">
        <f t="shared" si="3"/>
        <v>0</v>
      </c>
      <c r="BC17" s="2">
        <f t="shared" si="13"/>
        <v>0</v>
      </c>
      <c r="BD17" s="107">
        <f t="shared" si="14"/>
        <v>0</v>
      </c>
      <c r="BE17" s="73">
        <f t="shared" si="15"/>
        <v>0</v>
      </c>
      <c r="BG17" s="39">
        <f t="shared" si="4"/>
        <v>0</v>
      </c>
      <c r="BH17" s="73">
        <f t="shared" si="5"/>
        <v>0</v>
      </c>
    </row>
    <row r="18" spans="2:60" ht="15" customHeight="1" x14ac:dyDescent="0.25">
      <c r="B18" s="11">
        <v>9</v>
      </c>
      <c r="C18" s="201"/>
      <c r="D18" s="78"/>
      <c r="E18" s="211"/>
      <c r="F18" s="29"/>
      <c r="G18" s="35"/>
      <c r="H18" s="29"/>
      <c r="I18" s="11"/>
      <c r="J18" s="306"/>
      <c r="K18" s="472"/>
      <c r="L18" s="106"/>
      <c r="M18" s="42">
        <v>0</v>
      </c>
      <c r="N18" s="42">
        <v>0</v>
      </c>
      <c r="O18" s="42">
        <v>0</v>
      </c>
      <c r="P18" s="42">
        <v>0</v>
      </c>
      <c r="Q18" s="42">
        <v>0</v>
      </c>
      <c r="R18" s="42">
        <v>0</v>
      </c>
      <c r="S18" s="42">
        <v>0</v>
      </c>
      <c r="T18" s="42">
        <f t="shared" si="16"/>
        <v>0</v>
      </c>
      <c r="U18" s="220">
        <f t="shared" si="6"/>
        <v>0</v>
      </c>
      <c r="V18" s="200"/>
      <c r="W18" s="29"/>
      <c r="X18" s="29"/>
      <c r="Y18" s="29"/>
      <c r="Z18" s="29"/>
      <c r="AA18" s="106"/>
      <c r="AB18" s="106"/>
      <c r="AC18" s="129"/>
      <c r="AD18" s="129"/>
      <c r="AE18" s="129"/>
      <c r="AF18" s="129"/>
      <c r="AG18" s="300"/>
      <c r="AH18" s="300"/>
      <c r="AK18" s="35"/>
      <c r="AL18" s="147"/>
      <c r="AM18" s="147"/>
      <c r="AN18" s="78"/>
      <c r="AO18" s="78"/>
      <c r="AP18" s="147"/>
      <c r="AR18" s="2">
        <f t="shared" si="7"/>
        <v>0</v>
      </c>
      <c r="AS18" s="2">
        <f t="shared" si="8"/>
        <v>0</v>
      </c>
      <c r="AT18" s="318">
        <f t="shared" si="9"/>
        <v>0</v>
      </c>
      <c r="AU18" s="2">
        <f t="shared" si="10"/>
        <v>0</v>
      </c>
      <c r="AV18" s="2">
        <f t="shared" si="11"/>
        <v>0</v>
      </c>
      <c r="AW18" s="318">
        <f t="shared" si="12"/>
        <v>0</v>
      </c>
      <c r="AX18" s="1">
        <f t="shared" si="0"/>
        <v>0</v>
      </c>
      <c r="AY18" s="1">
        <f t="shared" si="1"/>
        <v>0</v>
      </c>
      <c r="AZ18" s="1">
        <f t="shared" si="2"/>
        <v>0</v>
      </c>
      <c r="BA18" s="238">
        <f t="shared" si="3"/>
        <v>0</v>
      </c>
      <c r="BC18" s="2">
        <f t="shared" si="13"/>
        <v>0</v>
      </c>
      <c r="BD18" s="107">
        <f t="shared" si="14"/>
        <v>0</v>
      </c>
      <c r="BE18" s="73">
        <f t="shared" si="15"/>
        <v>0</v>
      </c>
      <c r="BG18" s="39">
        <f t="shared" si="4"/>
        <v>0</v>
      </c>
      <c r="BH18" s="73">
        <f t="shared" si="5"/>
        <v>0</v>
      </c>
    </row>
    <row r="19" spans="2:60" x14ac:dyDescent="0.25">
      <c r="B19" s="11">
        <v>10</v>
      </c>
      <c r="C19" s="201"/>
      <c r="D19" s="147"/>
      <c r="E19" s="211"/>
      <c r="F19" s="29"/>
      <c r="G19" s="35"/>
      <c r="H19" s="29"/>
      <c r="I19" s="11"/>
      <c r="J19" s="306"/>
      <c r="K19" s="472"/>
      <c r="L19" s="106"/>
      <c r="M19" s="42">
        <v>0</v>
      </c>
      <c r="N19" s="42">
        <v>0</v>
      </c>
      <c r="O19" s="42">
        <v>0</v>
      </c>
      <c r="P19" s="42">
        <v>0</v>
      </c>
      <c r="Q19" s="42">
        <v>0</v>
      </c>
      <c r="R19" s="42">
        <v>0</v>
      </c>
      <c r="S19" s="42">
        <v>0</v>
      </c>
      <c r="T19" s="42">
        <f t="shared" si="16"/>
        <v>0</v>
      </c>
      <c r="U19" s="220">
        <f t="shared" si="6"/>
        <v>0</v>
      </c>
      <c r="V19" s="200"/>
      <c r="W19" s="29"/>
      <c r="X19" s="29"/>
      <c r="Y19" s="29"/>
      <c r="Z19" s="29"/>
      <c r="AA19" s="29"/>
      <c r="AB19" s="29"/>
      <c r="AC19" s="129"/>
      <c r="AD19" s="129"/>
      <c r="AE19" s="129"/>
      <c r="AF19" s="129"/>
      <c r="AG19" s="300"/>
      <c r="AH19" s="300"/>
      <c r="AK19" s="213"/>
      <c r="AL19" s="147"/>
      <c r="AM19" s="147"/>
      <c r="AN19" s="147"/>
      <c r="AO19" s="147"/>
      <c r="AP19" s="147"/>
      <c r="AR19" s="2">
        <f t="shared" si="7"/>
        <v>0</v>
      </c>
      <c r="AS19" s="2">
        <f t="shared" si="8"/>
        <v>0</v>
      </c>
      <c r="AT19" s="318">
        <f t="shared" si="9"/>
        <v>0</v>
      </c>
      <c r="AU19" s="2">
        <f t="shared" si="10"/>
        <v>0</v>
      </c>
      <c r="AV19" s="2">
        <f t="shared" si="11"/>
        <v>0</v>
      </c>
      <c r="AW19" s="318">
        <f t="shared" si="12"/>
        <v>0</v>
      </c>
      <c r="AX19" s="1">
        <f t="shared" si="0"/>
        <v>0</v>
      </c>
      <c r="AY19" s="1">
        <f t="shared" si="1"/>
        <v>0</v>
      </c>
      <c r="AZ19" s="1">
        <f t="shared" si="2"/>
        <v>0</v>
      </c>
      <c r="BA19" s="238">
        <f t="shared" si="3"/>
        <v>0</v>
      </c>
      <c r="BC19" s="2">
        <f t="shared" si="13"/>
        <v>0</v>
      </c>
      <c r="BD19" s="107">
        <f t="shared" si="14"/>
        <v>0</v>
      </c>
      <c r="BE19" s="73">
        <f t="shared" si="15"/>
        <v>0</v>
      </c>
      <c r="BG19" s="39">
        <f t="shared" si="4"/>
        <v>0</v>
      </c>
      <c r="BH19" s="73">
        <f t="shared" si="5"/>
        <v>0</v>
      </c>
    </row>
    <row r="20" spans="2:60" ht="15" customHeight="1" x14ac:dyDescent="0.25">
      <c r="B20" s="11">
        <v>11</v>
      </c>
      <c r="C20" s="129"/>
      <c r="D20" s="147"/>
      <c r="E20" s="211"/>
      <c r="F20" s="29"/>
      <c r="G20" s="35"/>
      <c r="H20" s="29"/>
      <c r="I20" s="11"/>
      <c r="J20" s="306"/>
      <c r="K20" s="75"/>
      <c r="L20" s="106"/>
      <c r="M20" s="42">
        <v>0</v>
      </c>
      <c r="N20" s="42">
        <v>0</v>
      </c>
      <c r="O20" s="42">
        <v>0</v>
      </c>
      <c r="P20" s="42">
        <v>0</v>
      </c>
      <c r="Q20" s="42">
        <v>0</v>
      </c>
      <c r="R20" s="42">
        <v>0</v>
      </c>
      <c r="S20" s="42">
        <v>0</v>
      </c>
      <c r="T20" s="42">
        <f t="shared" si="16"/>
        <v>0</v>
      </c>
      <c r="U20" s="220">
        <f t="shared" si="6"/>
        <v>0</v>
      </c>
      <c r="V20" s="200"/>
      <c r="W20" s="29"/>
      <c r="X20" s="29"/>
      <c r="Y20" s="29"/>
      <c r="Z20" s="29"/>
      <c r="AA20" s="29"/>
      <c r="AB20" s="29"/>
      <c r="AC20" s="129"/>
      <c r="AD20" s="129"/>
      <c r="AE20" s="129"/>
      <c r="AF20" s="129"/>
      <c r="AG20" s="300"/>
      <c r="AH20" s="300"/>
      <c r="AK20" s="213"/>
      <c r="AL20" s="147"/>
      <c r="AM20" s="147"/>
      <c r="AN20" s="147"/>
      <c r="AO20" s="147"/>
      <c r="AP20" s="147"/>
      <c r="AR20" s="2">
        <f t="shared" si="7"/>
        <v>0</v>
      </c>
      <c r="AS20" s="2">
        <f t="shared" si="8"/>
        <v>0</v>
      </c>
      <c r="AT20" s="318">
        <f t="shared" si="9"/>
        <v>0</v>
      </c>
      <c r="AU20" s="2">
        <f t="shared" si="10"/>
        <v>0</v>
      </c>
      <c r="AV20" s="2">
        <f t="shared" si="11"/>
        <v>0</v>
      </c>
      <c r="AW20" s="318">
        <f t="shared" si="12"/>
        <v>0</v>
      </c>
      <c r="AX20" s="1">
        <f t="shared" si="0"/>
        <v>0</v>
      </c>
      <c r="AY20" s="1">
        <f t="shared" si="1"/>
        <v>0</v>
      </c>
      <c r="AZ20" s="1">
        <f t="shared" si="2"/>
        <v>0</v>
      </c>
      <c r="BA20" s="238">
        <f t="shared" si="3"/>
        <v>0</v>
      </c>
      <c r="BC20" s="2">
        <f t="shared" si="13"/>
        <v>0</v>
      </c>
      <c r="BD20" s="107">
        <f t="shared" si="14"/>
        <v>0</v>
      </c>
      <c r="BE20" s="73">
        <f t="shared" si="15"/>
        <v>0</v>
      </c>
      <c r="BG20" s="39">
        <f t="shared" si="4"/>
        <v>0</v>
      </c>
      <c r="BH20" s="73">
        <f t="shared" si="5"/>
        <v>0</v>
      </c>
    </row>
    <row r="21" spans="2:60" ht="15" customHeight="1" x14ac:dyDescent="0.25">
      <c r="B21" s="11">
        <v>12</v>
      </c>
      <c r="C21" s="201"/>
      <c r="D21" s="147"/>
      <c r="E21" s="211"/>
      <c r="F21" s="29"/>
      <c r="G21" s="35"/>
      <c r="H21" s="29"/>
      <c r="I21" s="11"/>
      <c r="J21" s="306"/>
      <c r="K21" s="75"/>
      <c r="L21" s="106"/>
      <c r="M21" s="42">
        <v>0</v>
      </c>
      <c r="N21" s="42">
        <v>0</v>
      </c>
      <c r="O21" s="42">
        <v>0</v>
      </c>
      <c r="P21" s="42">
        <v>0</v>
      </c>
      <c r="Q21" s="42">
        <v>0</v>
      </c>
      <c r="R21" s="42">
        <v>0</v>
      </c>
      <c r="S21" s="42">
        <v>0</v>
      </c>
      <c r="T21" s="42">
        <f t="shared" si="16"/>
        <v>0</v>
      </c>
      <c r="U21" s="220">
        <f t="shared" si="6"/>
        <v>0</v>
      </c>
      <c r="V21" s="200"/>
      <c r="W21" s="29"/>
      <c r="X21" s="29"/>
      <c r="Y21" s="29"/>
      <c r="Z21" s="29"/>
      <c r="AA21" s="29"/>
      <c r="AB21" s="29"/>
      <c r="AC21" s="129"/>
      <c r="AD21" s="129"/>
      <c r="AE21" s="129"/>
      <c r="AF21" s="129"/>
      <c r="AG21" s="300"/>
      <c r="AH21" s="300"/>
      <c r="AK21" s="213"/>
      <c r="AL21" s="147"/>
      <c r="AM21" s="147"/>
      <c r="AN21" s="147"/>
      <c r="AO21" s="147"/>
      <c r="AP21" s="147"/>
      <c r="AR21" s="2">
        <f t="shared" si="7"/>
        <v>0</v>
      </c>
      <c r="AS21" s="2">
        <f t="shared" si="8"/>
        <v>0</v>
      </c>
      <c r="AT21" s="318">
        <f t="shared" si="9"/>
        <v>0</v>
      </c>
      <c r="AU21" s="2">
        <f t="shared" si="10"/>
        <v>0</v>
      </c>
      <c r="AV21" s="2">
        <f t="shared" si="11"/>
        <v>0</v>
      </c>
      <c r="AW21" s="318">
        <f t="shared" si="12"/>
        <v>0</v>
      </c>
      <c r="AX21" s="1">
        <f t="shared" si="0"/>
        <v>0</v>
      </c>
      <c r="AY21" s="1">
        <f t="shared" si="1"/>
        <v>0</v>
      </c>
      <c r="AZ21" s="1">
        <f t="shared" si="2"/>
        <v>0</v>
      </c>
      <c r="BA21" s="238">
        <f t="shared" si="3"/>
        <v>0</v>
      </c>
      <c r="BC21" s="2">
        <f t="shared" si="13"/>
        <v>0</v>
      </c>
      <c r="BD21" s="107">
        <f t="shared" si="14"/>
        <v>0</v>
      </c>
      <c r="BE21" s="73">
        <f t="shared" si="15"/>
        <v>0</v>
      </c>
      <c r="BG21" s="39">
        <f t="shared" si="4"/>
        <v>0</v>
      </c>
      <c r="BH21" s="73">
        <f t="shared" si="5"/>
        <v>0</v>
      </c>
    </row>
    <row r="22" spans="2:60" ht="15" customHeight="1" x14ac:dyDescent="0.25">
      <c r="B22" s="11">
        <v>13</v>
      </c>
      <c r="C22" s="201"/>
      <c r="D22" s="147"/>
      <c r="E22" s="211"/>
      <c r="F22" s="29"/>
      <c r="G22" s="35"/>
      <c r="H22" s="29"/>
      <c r="I22" s="11"/>
      <c r="J22" s="306"/>
      <c r="K22" s="75"/>
      <c r="L22" s="106"/>
      <c r="M22" s="42">
        <v>0</v>
      </c>
      <c r="N22" s="42">
        <v>0</v>
      </c>
      <c r="O22" s="42">
        <v>0</v>
      </c>
      <c r="P22" s="42">
        <v>0</v>
      </c>
      <c r="Q22" s="42">
        <v>0</v>
      </c>
      <c r="R22" s="42">
        <v>0</v>
      </c>
      <c r="S22" s="42">
        <v>0</v>
      </c>
      <c r="T22" s="42">
        <f t="shared" si="16"/>
        <v>0</v>
      </c>
      <c r="U22" s="220">
        <f t="shared" si="6"/>
        <v>0</v>
      </c>
      <c r="V22" s="200"/>
      <c r="W22" s="29"/>
      <c r="X22" s="29"/>
      <c r="Y22" s="29"/>
      <c r="Z22" s="29"/>
      <c r="AA22" s="29"/>
      <c r="AB22" s="29"/>
      <c r="AC22" s="129"/>
      <c r="AD22" s="129"/>
      <c r="AE22" s="129"/>
      <c r="AF22" s="129"/>
      <c r="AG22" s="300"/>
      <c r="AH22" s="300"/>
      <c r="AK22" s="213"/>
      <c r="AL22" s="147"/>
      <c r="AM22" s="147"/>
      <c r="AN22" s="147"/>
      <c r="AO22" s="147"/>
      <c r="AP22" s="147"/>
      <c r="AR22" s="2">
        <f t="shared" si="7"/>
        <v>0</v>
      </c>
      <c r="AS22" s="2">
        <f t="shared" si="8"/>
        <v>0</v>
      </c>
      <c r="AT22" s="318">
        <f t="shared" si="9"/>
        <v>0</v>
      </c>
      <c r="AU22" s="2">
        <f t="shared" si="10"/>
        <v>0</v>
      </c>
      <c r="AV22" s="2">
        <f t="shared" si="11"/>
        <v>0</v>
      </c>
      <c r="AW22" s="318">
        <f t="shared" si="12"/>
        <v>0</v>
      </c>
      <c r="AX22" s="1">
        <f t="shared" si="0"/>
        <v>0</v>
      </c>
      <c r="AY22" s="1">
        <f t="shared" si="1"/>
        <v>0</v>
      </c>
      <c r="AZ22" s="1">
        <f t="shared" si="2"/>
        <v>0</v>
      </c>
      <c r="BA22" s="238">
        <f t="shared" si="3"/>
        <v>0</v>
      </c>
      <c r="BC22" s="2">
        <f t="shared" si="13"/>
        <v>0</v>
      </c>
      <c r="BD22" s="107">
        <f t="shared" si="14"/>
        <v>0</v>
      </c>
      <c r="BE22" s="73">
        <f t="shared" si="15"/>
        <v>0</v>
      </c>
      <c r="BG22" s="39">
        <f t="shared" si="4"/>
        <v>0</v>
      </c>
      <c r="BH22" s="73">
        <f t="shared" si="5"/>
        <v>0</v>
      </c>
    </row>
    <row r="23" spans="2:60" ht="15" customHeight="1" x14ac:dyDescent="0.25">
      <c r="B23" s="11">
        <v>14</v>
      </c>
      <c r="C23" s="129"/>
      <c r="D23" s="147"/>
      <c r="E23" s="211"/>
      <c r="F23" s="29"/>
      <c r="G23" s="35"/>
      <c r="H23" s="29"/>
      <c r="I23" s="11"/>
      <c r="J23" s="306"/>
      <c r="K23" s="75"/>
      <c r="L23" s="106"/>
      <c r="M23" s="42">
        <v>0</v>
      </c>
      <c r="N23" s="42">
        <v>0</v>
      </c>
      <c r="O23" s="42">
        <v>0</v>
      </c>
      <c r="P23" s="42">
        <v>0</v>
      </c>
      <c r="Q23" s="42">
        <v>0</v>
      </c>
      <c r="R23" s="42">
        <v>0</v>
      </c>
      <c r="S23" s="42">
        <v>0</v>
      </c>
      <c r="T23" s="42">
        <f t="shared" si="16"/>
        <v>0</v>
      </c>
      <c r="U23" s="220">
        <f t="shared" si="6"/>
        <v>0</v>
      </c>
      <c r="V23" s="200"/>
      <c r="W23" s="29"/>
      <c r="X23" s="29"/>
      <c r="Y23" s="29"/>
      <c r="Z23" s="29"/>
      <c r="AA23" s="29"/>
      <c r="AB23" s="29"/>
      <c r="AC23" s="129"/>
      <c r="AD23" s="129"/>
      <c r="AE23" s="129"/>
      <c r="AF23" s="129"/>
      <c r="AG23" s="300"/>
      <c r="AH23" s="300"/>
      <c r="AK23" s="213"/>
      <c r="AL23" s="147"/>
      <c r="AM23" s="147"/>
      <c r="AN23" s="147"/>
      <c r="AO23" s="147"/>
      <c r="AP23" s="147"/>
      <c r="AR23" s="2">
        <f t="shared" si="7"/>
        <v>0</v>
      </c>
      <c r="AS23" s="2">
        <f t="shared" si="8"/>
        <v>0</v>
      </c>
      <c r="AT23" s="318">
        <f t="shared" si="9"/>
        <v>0</v>
      </c>
      <c r="AU23" s="2">
        <f t="shared" si="10"/>
        <v>0</v>
      </c>
      <c r="AV23" s="2">
        <f t="shared" si="11"/>
        <v>0</v>
      </c>
      <c r="AW23" s="318">
        <f t="shared" si="12"/>
        <v>0</v>
      </c>
      <c r="AX23" s="1">
        <f t="shared" si="0"/>
        <v>0</v>
      </c>
      <c r="AY23" s="1">
        <f t="shared" si="1"/>
        <v>0</v>
      </c>
      <c r="AZ23" s="1">
        <f t="shared" si="2"/>
        <v>0</v>
      </c>
      <c r="BA23" s="238">
        <f t="shared" si="3"/>
        <v>0</v>
      </c>
      <c r="BC23" s="2">
        <f t="shared" si="13"/>
        <v>0</v>
      </c>
      <c r="BD23" s="107">
        <f t="shared" si="14"/>
        <v>0</v>
      </c>
      <c r="BE23" s="73">
        <f t="shared" si="15"/>
        <v>0</v>
      </c>
      <c r="BG23" s="39">
        <f t="shared" si="4"/>
        <v>0</v>
      </c>
      <c r="BH23" s="73">
        <f t="shared" si="5"/>
        <v>0</v>
      </c>
    </row>
    <row r="24" spans="2:60" ht="15" customHeight="1" x14ac:dyDescent="0.25">
      <c r="B24" s="11">
        <v>15</v>
      </c>
      <c r="C24" s="201"/>
      <c r="D24" s="147"/>
      <c r="E24" s="211"/>
      <c r="F24" s="29"/>
      <c r="G24" s="35"/>
      <c r="H24" s="29"/>
      <c r="I24" s="11"/>
      <c r="J24" s="306"/>
      <c r="K24" s="75"/>
      <c r="L24" s="106"/>
      <c r="M24" s="42">
        <v>0</v>
      </c>
      <c r="N24" s="42">
        <v>0</v>
      </c>
      <c r="O24" s="42">
        <v>0</v>
      </c>
      <c r="P24" s="42">
        <v>0</v>
      </c>
      <c r="Q24" s="42">
        <v>0</v>
      </c>
      <c r="R24" s="42">
        <v>0</v>
      </c>
      <c r="S24" s="42">
        <v>0</v>
      </c>
      <c r="T24" s="42">
        <f t="shared" si="16"/>
        <v>0</v>
      </c>
      <c r="U24" s="220">
        <f t="shared" si="6"/>
        <v>0</v>
      </c>
      <c r="V24" s="200"/>
      <c r="W24" s="29"/>
      <c r="X24" s="29"/>
      <c r="Y24" s="29"/>
      <c r="Z24" s="29"/>
      <c r="AA24" s="29"/>
      <c r="AB24" s="29"/>
      <c r="AC24" s="129"/>
      <c r="AD24" s="129"/>
      <c r="AE24" s="129"/>
      <c r="AF24" s="129"/>
      <c r="AG24" s="300"/>
      <c r="AH24" s="300"/>
      <c r="AK24" s="213"/>
      <c r="AL24" s="147"/>
      <c r="AM24" s="147"/>
      <c r="AN24" s="147"/>
      <c r="AO24" s="147"/>
      <c r="AP24" s="147"/>
      <c r="AR24" s="2">
        <f t="shared" si="7"/>
        <v>0</v>
      </c>
      <c r="AS24" s="2">
        <f t="shared" si="8"/>
        <v>0</v>
      </c>
      <c r="AT24" s="318">
        <f t="shared" si="9"/>
        <v>0</v>
      </c>
      <c r="AU24" s="2">
        <f t="shared" si="10"/>
        <v>0</v>
      </c>
      <c r="AV24" s="2">
        <f t="shared" si="11"/>
        <v>0</v>
      </c>
      <c r="AW24" s="318">
        <f t="shared" si="12"/>
        <v>0</v>
      </c>
      <c r="AX24" s="1">
        <f t="shared" si="0"/>
        <v>0</v>
      </c>
      <c r="AY24" s="1">
        <f t="shared" si="1"/>
        <v>0</v>
      </c>
      <c r="AZ24" s="1">
        <f t="shared" si="2"/>
        <v>0</v>
      </c>
      <c r="BA24" s="238">
        <f t="shared" si="3"/>
        <v>0</v>
      </c>
      <c r="BC24" s="2">
        <f t="shared" si="13"/>
        <v>0</v>
      </c>
      <c r="BD24" s="107">
        <f t="shared" si="14"/>
        <v>0</v>
      </c>
      <c r="BE24" s="73">
        <f t="shared" si="15"/>
        <v>0</v>
      </c>
      <c r="BG24" s="39">
        <f t="shared" si="4"/>
        <v>0</v>
      </c>
      <c r="BH24" s="73">
        <f t="shared" si="5"/>
        <v>0</v>
      </c>
    </row>
    <row r="25" spans="2:60" ht="15" customHeight="1" x14ac:dyDescent="0.25">
      <c r="B25" s="11">
        <v>16</v>
      </c>
      <c r="C25" s="201"/>
      <c r="D25" s="147"/>
      <c r="E25" s="211"/>
      <c r="F25" s="29"/>
      <c r="G25" s="35"/>
      <c r="H25" s="29"/>
      <c r="I25" s="11"/>
      <c r="J25" s="306"/>
      <c r="K25" s="75"/>
      <c r="L25" s="106"/>
      <c r="M25" s="42">
        <v>0</v>
      </c>
      <c r="N25" s="42">
        <v>0</v>
      </c>
      <c r="O25" s="42">
        <v>0</v>
      </c>
      <c r="P25" s="42">
        <v>0</v>
      </c>
      <c r="Q25" s="42">
        <v>0</v>
      </c>
      <c r="R25" s="42">
        <v>0</v>
      </c>
      <c r="S25" s="42">
        <v>0</v>
      </c>
      <c r="T25" s="42">
        <f t="shared" si="16"/>
        <v>0</v>
      </c>
      <c r="U25" s="220">
        <f t="shared" si="6"/>
        <v>0</v>
      </c>
      <c r="V25" s="200"/>
      <c r="W25" s="29"/>
      <c r="X25" s="29"/>
      <c r="Y25" s="29"/>
      <c r="Z25" s="29"/>
      <c r="AA25" s="29"/>
      <c r="AB25" s="29"/>
      <c r="AC25" s="129"/>
      <c r="AD25" s="129"/>
      <c r="AE25" s="129"/>
      <c r="AF25" s="129"/>
      <c r="AG25" s="300"/>
      <c r="AH25" s="300"/>
      <c r="AK25" s="213"/>
      <c r="AL25" s="147"/>
      <c r="AM25" s="147"/>
      <c r="AN25" s="147"/>
      <c r="AO25" s="147"/>
      <c r="AP25" s="147"/>
      <c r="AR25" s="2">
        <f t="shared" si="7"/>
        <v>0</v>
      </c>
      <c r="AS25" s="2">
        <f t="shared" si="8"/>
        <v>0</v>
      </c>
      <c r="AT25" s="318">
        <f t="shared" si="9"/>
        <v>0</v>
      </c>
      <c r="AU25" s="2">
        <f t="shared" si="10"/>
        <v>0</v>
      </c>
      <c r="AV25" s="2">
        <f t="shared" si="11"/>
        <v>0</v>
      </c>
      <c r="AW25" s="318">
        <f t="shared" si="12"/>
        <v>0</v>
      </c>
      <c r="AX25" s="1">
        <f t="shared" si="0"/>
        <v>0</v>
      </c>
      <c r="AY25" s="1">
        <f t="shared" si="1"/>
        <v>0</v>
      </c>
      <c r="AZ25" s="1">
        <f t="shared" si="2"/>
        <v>0</v>
      </c>
      <c r="BA25" s="238">
        <f t="shared" si="3"/>
        <v>0</v>
      </c>
      <c r="BC25" s="2">
        <f t="shared" si="13"/>
        <v>0</v>
      </c>
      <c r="BD25" s="107">
        <f t="shared" si="14"/>
        <v>0</v>
      </c>
      <c r="BE25" s="73">
        <f t="shared" si="15"/>
        <v>0</v>
      </c>
      <c r="BG25" s="39">
        <f t="shared" si="4"/>
        <v>0</v>
      </c>
      <c r="BH25" s="73">
        <f t="shared" si="5"/>
        <v>0</v>
      </c>
    </row>
    <row r="26" spans="2:60" ht="15" customHeight="1" x14ac:dyDescent="0.25">
      <c r="B26" s="11">
        <v>17</v>
      </c>
      <c r="C26" s="129"/>
      <c r="D26" s="147"/>
      <c r="E26" s="211"/>
      <c r="F26" s="29"/>
      <c r="G26" s="35"/>
      <c r="H26" s="29"/>
      <c r="I26" s="11"/>
      <c r="J26" s="306"/>
      <c r="K26" s="75"/>
      <c r="L26" s="106"/>
      <c r="M26" s="42">
        <v>0</v>
      </c>
      <c r="N26" s="42">
        <v>0</v>
      </c>
      <c r="O26" s="42">
        <v>0</v>
      </c>
      <c r="P26" s="42">
        <v>0</v>
      </c>
      <c r="Q26" s="42">
        <v>0</v>
      </c>
      <c r="R26" s="42">
        <v>0</v>
      </c>
      <c r="S26" s="42">
        <v>0</v>
      </c>
      <c r="T26" s="42">
        <f t="shared" si="16"/>
        <v>0</v>
      </c>
      <c r="U26" s="220">
        <f t="shared" si="6"/>
        <v>0</v>
      </c>
      <c r="V26" s="200"/>
      <c r="W26" s="29"/>
      <c r="X26" s="29"/>
      <c r="Y26" s="29"/>
      <c r="Z26" s="29"/>
      <c r="AA26" s="29"/>
      <c r="AB26" s="29"/>
      <c r="AC26" s="129"/>
      <c r="AD26" s="129"/>
      <c r="AE26" s="129"/>
      <c r="AF26" s="129"/>
      <c r="AG26" s="300"/>
      <c r="AH26" s="300"/>
      <c r="AK26" s="213"/>
      <c r="AL26" s="147"/>
      <c r="AM26" s="147"/>
      <c r="AN26" s="147"/>
      <c r="AO26" s="147"/>
      <c r="AP26" s="147"/>
      <c r="AR26" s="2">
        <f t="shared" si="7"/>
        <v>0</v>
      </c>
      <c r="AS26" s="2">
        <f t="shared" si="8"/>
        <v>0</v>
      </c>
      <c r="AT26" s="318">
        <f t="shared" si="9"/>
        <v>0</v>
      </c>
      <c r="AU26" s="2">
        <f t="shared" si="10"/>
        <v>0</v>
      </c>
      <c r="AV26" s="2">
        <f t="shared" si="11"/>
        <v>0</v>
      </c>
      <c r="AW26" s="318">
        <f t="shared" si="12"/>
        <v>0</v>
      </c>
      <c r="AX26" s="1">
        <f t="shared" si="0"/>
        <v>0</v>
      </c>
      <c r="AY26" s="1">
        <f t="shared" si="1"/>
        <v>0</v>
      </c>
      <c r="AZ26" s="1">
        <f t="shared" si="2"/>
        <v>0</v>
      </c>
      <c r="BA26" s="238">
        <f t="shared" si="3"/>
        <v>0</v>
      </c>
      <c r="BC26" s="2">
        <f t="shared" si="13"/>
        <v>0</v>
      </c>
      <c r="BD26" s="107">
        <f t="shared" si="14"/>
        <v>0</v>
      </c>
      <c r="BE26" s="73">
        <f t="shared" si="15"/>
        <v>0</v>
      </c>
      <c r="BG26" s="39">
        <f t="shared" si="4"/>
        <v>0</v>
      </c>
      <c r="BH26" s="73">
        <f t="shared" si="5"/>
        <v>0</v>
      </c>
    </row>
    <row r="27" spans="2:60" ht="15" customHeight="1" x14ac:dyDescent="0.25">
      <c r="B27" s="11">
        <v>18</v>
      </c>
      <c r="C27" s="201"/>
      <c r="D27" s="147"/>
      <c r="E27" s="211"/>
      <c r="F27" s="29"/>
      <c r="G27" s="35"/>
      <c r="H27" s="29"/>
      <c r="I27" s="11"/>
      <c r="J27" s="306"/>
      <c r="K27" s="75"/>
      <c r="L27" s="106"/>
      <c r="M27" s="42">
        <v>0</v>
      </c>
      <c r="N27" s="42">
        <v>0</v>
      </c>
      <c r="O27" s="42">
        <v>0</v>
      </c>
      <c r="P27" s="42">
        <v>0</v>
      </c>
      <c r="Q27" s="42">
        <v>0</v>
      </c>
      <c r="R27" s="42">
        <v>0</v>
      </c>
      <c r="S27" s="42">
        <v>0</v>
      </c>
      <c r="T27" s="42">
        <f t="shared" si="16"/>
        <v>0</v>
      </c>
      <c r="U27" s="220">
        <f t="shared" si="6"/>
        <v>0</v>
      </c>
      <c r="V27" s="200"/>
      <c r="W27" s="29"/>
      <c r="X27" s="29"/>
      <c r="Y27" s="29"/>
      <c r="Z27" s="29"/>
      <c r="AA27" s="29"/>
      <c r="AB27" s="29"/>
      <c r="AC27" s="129"/>
      <c r="AD27" s="129"/>
      <c r="AE27" s="129"/>
      <c r="AF27" s="129"/>
      <c r="AG27" s="300"/>
      <c r="AH27" s="300"/>
      <c r="AK27" s="213"/>
      <c r="AL27" s="147"/>
      <c r="AM27" s="147"/>
      <c r="AN27" s="147"/>
      <c r="AO27" s="147"/>
      <c r="AP27" s="147"/>
      <c r="AR27" s="2">
        <f t="shared" si="7"/>
        <v>0</v>
      </c>
      <c r="AS27" s="2">
        <f t="shared" si="8"/>
        <v>0</v>
      </c>
      <c r="AT27" s="318">
        <f t="shared" si="9"/>
        <v>0</v>
      </c>
      <c r="AU27" s="2">
        <f t="shared" si="10"/>
        <v>0</v>
      </c>
      <c r="AV27" s="2">
        <f t="shared" si="11"/>
        <v>0</v>
      </c>
      <c r="AW27" s="318">
        <f t="shared" si="12"/>
        <v>0</v>
      </c>
      <c r="AX27" s="1">
        <f t="shared" si="0"/>
        <v>0</v>
      </c>
      <c r="AY27" s="1">
        <f t="shared" si="1"/>
        <v>0</v>
      </c>
      <c r="AZ27" s="1">
        <f t="shared" si="2"/>
        <v>0</v>
      </c>
      <c r="BA27" s="238">
        <f t="shared" si="3"/>
        <v>0</v>
      </c>
      <c r="BC27" s="2">
        <f t="shared" si="13"/>
        <v>0</v>
      </c>
      <c r="BD27" s="107">
        <f t="shared" si="14"/>
        <v>0</v>
      </c>
      <c r="BE27" s="73">
        <f t="shared" si="15"/>
        <v>0</v>
      </c>
      <c r="BG27" s="39">
        <f t="shared" si="4"/>
        <v>0</v>
      </c>
      <c r="BH27" s="73">
        <f t="shared" si="5"/>
        <v>0</v>
      </c>
    </row>
    <row r="28" spans="2:60" ht="15" customHeight="1" x14ac:dyDescent="0.25">
      <c r="B28" s="11">
        <v>19</v>
      </c>
      <c r="C28" s="201"/>
      <c r="D28" s="147"/>
      <c r="E28" s="211"/>
      <c r="F28" s="29"/>
      <c r="G28" s="35"/>
      <c r="H28" s="29"/>
      <c r="I28" s="11"/>
      <c r="J28" s="306"/>
      <c r="K28" s="75"/>
      <c r="L28" s="106"/>
      <c r="M28" s="42">
        <v>0</v>
      </c>
      <c r="N28" s="42">
        <v>0</v>
      </c>
      <c r="O28" s="42">
        <v>0</v>
      </c>
      <c r="P28" s="42">
        <v>0</v>
      </c>
      <c r="Q28" s="42">
        <v>0</v>
      </c>
      <c r="R28" s="42">
        <v>0</v>
      </c>
      <c r="S28" s="42">
        <v>0</v>
      </c>
      <c r="T28" s="42">
        <f t="shared" si="16"/>
        <v>0</v>
      </c>
      <c r="U28" s="220">
        <f t="shared" si="6"/>
        <v>0</v>
      </c>
      <c r="V28" s="200"/>
      <c r="W28" s="29"/>
      <c r="X28" s="29"/>
      <c r="Y28" s="29"/>
      <c r="Z28" s="29"/>
      <c r="AA28" s="29"/>
      <c r="AB28" s="29"/>
      <c r="AC28" s="129"/>
      <c r="AD28" s="129"/>
      <c r="AE28" s="129"/>
      <c r="AF28" s="129"/>
      <c r="AG28" s="300"/>
      <c r="AH28" s="300"/>
      <c r="AK28" s="213"/>
      <c r="AL28" s="147"/>
      <c r="AM28" s="147"/>
      <c r="AN28" s="147"/>
      <c r="AO28" s="147"/>
      <c r="AP28" s="147"/>
      <c r="AR28" s="2">
        <f t="shared" si="7"/>
        <v>0</v>
      </c>
      <c r="AS28" s="2">
        <f t="shared" si="8"/>
        <v>0</v>
      </c>
      <c r="AT28" s="318">
        <f t="shared" si="9"/>
        <v>0</v>
      </c>
      <c r="AU28" s="2">
        <f t="shared" si="10"/>
        <v>0</v>
      </c>
      <c r="AV28" s="2">
        <f t="shared" si="11"/>
        <v>0</v>
      </c>
      <c r="AW28" s="318">
        <f t="shared" si="12"/>
        <v>0</v>
      </c>
      <c r="AX28" s="1">
        <f t="shared" si="0"/>
        <v>0</v>
      </c>
      <c r="AY28" s="1">
        <f t="shared" si="1"/>
        <v>0</v>
      </c>
      <c r="AZ28" s="1">
        <f t="shared" si="2"/>
        <v>0</v>
      </c>
      <c r="BA28" s="238">
        <f t="shared" si="3"/>
        <v>0</v>
      </c>
      <c r="BC28" s="2">
        <f t="shared" si="13"/>
        <v>0</v>
      </c>
      <c r="BD28" s="107">
        <f t="shared" si="14"/>
        <v>0</v>
      </c>
      <c r="BE28" s="73">
        <f t="shared" si="15"/>
        <v>0</v>
      </c>
      <c r="BG28" s="39">
        <f t="shared" si="4"/>
        <v>0</v>
      </c>
      <c r="BH28" s="73">
        <f t="shared" si="5"/>
        <v>0</v>
      </c>
    </row>
    <row r="29" spans="2:60" ht="15" customHeight="1" x14ac:dyDescent="0.25">
      <c r="B29" s="11">
        <v>20</v>
      </c>
      <c r="C29" s="129"/>
      <c r="D29" s="78"/>
      <c r="E29" s="211"/>
      <c r="F29" s="29"/>
      <c r="G29" s="35"/>
      <c r="H29" s="29"/>
      <c r="I29" s="11"/>
      <c r="J29" s="306"/>
      <c r="K29" s="75"/>
      <c r="L29" s="106"/>
      <c r="M29" s="42">
        <v>0</v>
      </c>
      <c r="N29" s="42">
        <v>0</v>
      </c>
      <c r="O29" s="42">
        <v>0</v>
      </c>
      <c r="P29" s="42">
        <v>0</v>
      </c>
      <c r="Q29" s="42">
        <v>0</v>
      </c>
      <c r="R29" s="42">
        <v>0</v>
      </c>
      <c r="S29" s="42">
        <v>0</v>
      </c>
      <c r="T29" s="42">
        <f t="shared" si="16"/>
        <v>0</v>
      </c>
      <c r="U29" s="220">
        <f t="shared" si="6"/>
        <v>0</v>
      </c>
      <c r="V29" s="200"/>
      <c r="W29" s="29"/>
      <c r="X29" s="29"/>
      <c r="Y29" s="29"/>
      <c r="Z29" s="29"/>
      <c r="AA29" s="29"/>
      <c r="AB29" s="29"/>
      <c r="AC29" s="129"/>
      <c r="AD29" s="129"/>
      <c r="AE29" s="129"/>
      <c r="AF29" s="129"/>
      <c r="AG29" s="300"/>
      <c r="AH29" s="300"/>
      <c r="AK29" s="35"/>
      <c r="AL29" s="78"/>
      <c r="AM29" s="78"/>
      <c r="AN29" s="78"/>
      <c r="AO29" s="78"/>
      <c r="AP29" s="78"/>
      <c r="AR29" s="2">
        <f t="shared" si="7"/>
        <v>0</v>
      </c>
      <c r="AS29" s="2">
        <f t="shared" si="8"/>
        <v>0</v>
      </c>
      <c r="AT29" s="318">
        <f t="shared" si="9"/>
        <v>0</v>
      </c>
      <c r="AU29" s="2">
        <f t="shared" si="10"/>
        <v>0</v>
      </c>
      <c r="AV29" s="2">
        <f t="shared" si="11"/>
        <v>0</v>
      </c>
      <c r="AW29" s="318">
        <f t="shared" si="12"/>
        <v>0</v>
      </c>
      <c r="AX29" s="1">
        <f t="shared" si="0"/>
        <v>0</v>
      </c>
      <c r="AY29" s="1">
        <f t="shared" si="1"/>
        <v>0</v>
      </c>
      <c r="AZ29" s="1">
        <f t="shared" si="2"/>
        <v>0</v>
      </c>
      <c r="BA29" s="238">
        <f t="shared" si="3"/>
        <v>0</v>
      </c>
      <c r="BC29" s="2">
        <f t="shared" si="13"/>
        <v>0</v>
      </c>
      <c r="BD29" s="107">
        <f t="shared" si="14"/>
        <v>0</v>
      </c>
      <c r="BE29" s="73">
        <f t="shared" si="15"/>
        <v>0</v>
      </c>
      <c r="BG29" s="39">
        <f t="shared" si="4"/>
        <v>0</v>
      </c>
      <c r="BH29" s="73">
        <f t="shared" si="5"/>
        <v>0</v>
      </c>
    </row>
    <row r="30" spans="2:60" ht="15" customHeight="1" x14ac:dyDescent="0.25">
      <c r="B30" s="11">
        <v>21</v>
      </c>
      <c r="C30" s="129"/>
      <c r="D30" s="147"/>
      <c r="E30" s="211"/>
      <c r="F30" s="29"/>
      <c r="G30" s="35"/>
      <c r="H30" s="29"/>
      <c r="I30" s="11"/>
      <c r="J30" s="306"/>
      <c r="K30" s="75"/>
      <c r="L30" s="106"/>
      <c r="M30" s="42">
        <v>0</v>
      </c>
      <c r="N30" s="42">
        <v>0</v>
      </c>
      <c r="O30" s="42">
        <v>0</v>
      </c>
      <c r="P30" s="42">
        <v>0</v>
      </c>
      <c r="Q30" s="42">
        <v>0</v>
      </c>
      <c r="R30" s="42">
        <v>0</v>
      </c>
      <c r="S30" s="42">
        <v>0</v>
      </c>
      <c r="T30" s="42">
        <f t="shared" si="16"/>
        <v>0</v>
      </c>
      <c r="U30" s="220">
        <f t="shared" si="6"/>
        <v>0</v>
      </c>
      <c r="V30" s="200"/>
      <c r="W30" s="29"/>
      <c r="X30" s="29"/>
      <c r="Y30" s="29"/>
      <c r="Z30" s="29"/>
      <c r="AA30" s="29"/>
      <c r="AB30" s="29"/>
      <c r="AC30" s="129"/>
      <c r="AD30" s="129"/>
      <c r="AE30" s="129"/>
      <c r="AF30" s="129"/>
      <c r="AG30" s="300"/>
      <c r="AH30" s="300"/>
      <c r="AK30" s="213"/>
      <c r="AL30" s="147"/>
      <c r="AM30" s="147"/>
      <c r="AN30" s="147"/>
      <c r="AO30" s="147"/>
      <c r="AP30" s="147"/>
      <c r="AR30" s="2">
        <f t="shared" si="7"/>
        <v>0</v>
      </c>
      <c r="AS30" s="2">
        <f t="shared" si="8"/>
        <v>0</v>
      </c>
      <c r="AT30" s="318">
        <f t="shared" si="9"/>
        <v>0</v>
      </c>
      <c r="AU30" s="2">
        <f t="shared" si="10"/>
        <v>0</v>
      </c>
      <c r="AV30" s="2">
        <f t="shared" si="11"/>
        <v>0</v>
      </c>
      <c r="AW30" s="318">
        <f t="shared" si="12"/>
        <v>0</v>
      </c>
      <c r="AX30" s="1">
        <f t="shared" si="0"/>
        <v>0</v>
      </c>
      <c r="AY30" s="1">
        <f t="shared" si="1"/>
        <v>0</v>
      </c>
      <c r="AZ30" s="1">
        <f t="shared" si="2"/>
        <v>0</v>
      </c>
      <c r="BA30" s="238">
        <f t="shared" si="3"/>
        <v>0</v>
      </c>
      <c r="BC30" s="2">
        <f t="shared" si="13"/>
        <v>0</v>
      </c>
      <c r="BD30" s="107">
        <f t="shared" si="14"/>
        <v>0</v>
      </c>
      <c r="BE30" s="73">
        <f t="shared" si="15"/>
        <v>0</v>
      </c>
      <c r="BG30" s="39">
        <f t="shared" si="4"/>
        <v>0</v>
      </c>
      <c r="BH30" s="73">
        <f t="shared" si="5"/>
        <v>0</v>
      </c>
    </row>
    <row r="31" spans="2:60" ht="15" customHeight="1" x14ac:dyDescent="0.25">
      <c r="B31" s="11">
        <v>22</v>
      </c>
      <c r="C31" s="129"/>
      <c r="D31" s="78"/>
      <c r="E31" s="211"/>
      <c r="F31" s="29"/>
      <c r="G31" s="35"/>
      <c r="H31" s="29"/>
      <c r="I31" s="11"/>
      <c r="J31" s="306"/>
      <c r="K31" s="75"/>
      <c r="L31" s="106"/>
      <c r="M31" s="42">
        <v>0</v>
      </c>
      <c r="N31" s="42">
        <v>0</v>
      </c>
      <c r="O31" s="42">
        <v>0</v>
      </c>
      <c r="P31" s="42">
        <v>0</v>
      </c>
      <c r="Q31" s="42">
        <v>0</v>
      </c>
      <c r="R31" s="42">
        <v>0</v>
      </c>
      <c r="S31" s="42">
        <v>0</v>
      </c>
      <c r="T31" s="42">
        <f t="shared" si="16"/>
        <v>0</v>
      </c>
      <c r="U31" s="220">
        <f t="shared" si="6"/>
        <v>0</v>
      </c>
      <c r="V31" s="200"/>
      <c r="W31" s="29"/>
      <c r="X31" s="29"/>
      <c r="Y31" s="29"/>
      <c r="Z31" s="29"/>
      <c r="AA31" s="29"/>
      <c r="AB31" s="29"/>
      <c r="AC31" s="129"/>
      <c r="AD31" s="129"/>
      <c r="AE31" s="129"/>
      <c r="AF31" s="129"/>
      <c r="AG31" s="300"/>
      <c r="AH31" s="300"/>
      <c r="AK31" s="35"/>
      <c r="AL31" s="78"/>
      <c r="AM31" s="78"/>
      <c r="AN31" s="78"/>
      <c r="AO31" s="78"/>
      <c r="AP31" s="78"/>
      <c r="AR31" s="2">
        <f t="shared" si="7"/>
        <v>0</v>
      </c>
      <c r="AS31" s="2">
        <f t="shared" si="8"/>
        <v>0</v>
      </c>
      <c r="AT31" s="318">
        <f t="shared" si="9"/>
        <v>0</v>
      </c>
      <c r="AU31" s="2">
        <f t="shared" si="10"/>
        <v>0</v>
      </c>
      <c r="AV31" s="2">
        <f t="shared" si="11"/>
        <v>0</v>
      </c>
      <c r="AW31" s="318">
        <f t="shared" si="12"/>
        <v>0</v>
      </c>
      <c r="AX31" s="1">
        <f t="shared" si="0"/>
        <v>0</v>
      </c>
      <c r="AY31" s="1">
        <f t="shared" si="1"/>
        <v>0</v>
      </c>
      <c r="AZ31" s="1">
        <f t="shared" si="2"/>
        <v>0</v>
      </c>
      <c r="BA31" s="238">
        <f t="shared" si="3"/>
        <v>0</v>
      </c>
      <c r="BC31" s="2">
        <f t="shared" si="13"/>
        <v>0</v>
      </c>
      <c r="BD31" s="107">
        <f t="shared" si="14"/>
        <v>0</v>
      </c>
      <c r="BE31" s="73">
        <f t="shared" si="15"/>
        <v>0</v>
      </c>
      <c r="BG31" s="39">
        <f t="shared" si="4"/>
        <v>0</v>
      </c>
      <c r="BH31" s="73">
        <f t="shared" si="5"/>
        <v>0</v>
      </c>
    </row>
    <row r="32" spans="2:60" ht="15" customHeight="1" x14ac:dyDescent="0.25">
      <c r="B32" s="11">
        <v>23</v>
      </c>
      <c r="C32" s="129"/>
      <c r="D32" s="147"/>
      <c r="E32" s="211"/>
      <c r="F32" s="29"/>
      <c r="G32" s="35"/>
      <c r="H32" s="29"/>
      <c r="I32" s="11"/>
      <c r="J32" s="306"/>
      <c r="K32" s="75"/>
      <c r="L32" s="106"/>
      <c r="M32" s="42">
        <v>0</v>
      </c>
      <c r="N32" s="42">
        <v>0</v>
      </c>
      <c r="O32" s="42">
        <v>0</v>
      </c>
      <c r="P32" s="42">
        <v>0</v>
      </c>
      <c r="Q32" s="42">
        <v>0</v>
      </c>
      <c r="R32" s="42">
        <v>0</v>
      </c>
      <c r="S32" s="42">
        <v>0</v>
      </c>
      <c r="T32" s="42">
        <f t="shared" si="16"/>
        <v>0</v>
      </c>
      <c r="U32" s="220">
        <f t="shared" si="6"/>
        <v>0</v>
      </c>
      <c r="V32" s="200"/>
      <c r="W32" s="29"/>
      <c r="X32" s="29"/>
      <c r="Y32" s="29"/>
      <c r="Z32" s="29"/>
      <c r="AA32" s="29"/>
      <c r="AB32" s="29"/>
      <c r="AC32" s="129"/>
      <c r="AD32" s="129"/>
      <c r="AE32" s="129"/>
      <c r="AF32" s="129"/>
      <c r="AG32" s="300"/>
      <c r="AH32" s="300"/>
      <c r="AK32" s="213"/>
      <c r="AL32" s="147"/>
      <c r="AM32" s="147"/>
      <c r="AN32" s="147"/>
      <c r="AO32" s="147"/>
      <c r="AP32" s="147"/>
      <c r="AR32" s="2">
        <f t="shared" si="7"/>
        <v>0</v>
      </c>
      <c r="AS32" s="2">
        <f t="shared" si="8"/>
        <v>0</v>
      </c>
      <c r="AT32" s="318">
        <f t="shared" si="9"/>
        <v>0</v>
      </c>
      <c r="AU32" s="2">
        <f t="shared" si="10"/>
        <v>0</v>
      </c>
      <c r="AV32" s="2">
        <f t="shared" si="11"/>
        <v>0</v>
      </c>
      <c r="AW32" s="318">
        <f t="shared" si="12"/>
        <v>0</v>
      </c>
      <c r="AX32" s="1">
        <f t="shared" si="0"/>
        <v>0</v>
      </c>
      <c r="AY32" s="1">
        <f t="shared" si="1"/>
        <v>0</v>
      </c>
      <c r="AZ32" s="1">
        <f t="shared" si="2"/>
        <v>0</v>
      </c>
      <c r="BA32" s="238">
        <f t="shared" si="3"/>
        <v>0</v>
      </c>
      <c r="BC32" s="2">
        <f t="shared" si="13"/>
        <v>0</v>
      </c>
      <c r="BD32" s="107">
        <f t="shared" si="14"/>
        <v>0</v>
      </c>
      <c r="BE32" s="73">
        <f t="shared" si="15"/>
        <v>0</v>
      </c>
      <c r="BG32" s="39">
        <f t="shared" si="4"/>
        <v>0</v>
      </c>
      <c r="BH32" s="73">
        <f t="shared" si="5"/>
        <v>0</v>
      </c>
    </row>
    <row r="33" spans="1:60" ht="15.75" customHeight="1" x14ac:dyDescent="0.25">
      <c r="A33" s="7"/>
      <c r="B33" s="11">
        <v>24</v>
      </c>
      <c r="C33" s="129"/>
      <c r="D33" s="147"/>
      <c r="E33" s="211"/>
      <c r="F33" s="29"/>
      <c r="G33" s="35"/>
      <c r="H33" s="29"/>
      <c r="I33" s="11"/>
      <c r="J33" s="306"/>
      <c r="K33" s="75"/>
      <c r="L33" s="106"/>
      <c r="M33" s="42">
        <v>0</v>
      </c>
      <c r="N33" s="42">
        <v>0</v>
      </c>
      <c r="O33" s="42">
        <v>0</v>
      </c>
      <c r="P33" s="42">
        <v>0</v>
      </c>
      <c r="Q33" s="42">
        <v>0</v>
      </c>
      <c r="R33" s="42">
        <v>0</v>
      </c>
      <c r="S33" s="42">
        <v>0</v>
      </c>
      <c r="T33" s="42">
        <f t="shared" si="16"/>
        <v>0</v>
      </c>
      <c r="U33" s="220">
        <f t="shared" si="6"/>
        <v>0</v>
      </c>
      <c r="V33" s="200"/>
      <c r="W33" s="29"/>
      <c r="X33" s="29"/>
      <c r="Y33" s="29"/>
      <c r="Z33" s="29"/>
      <c r="AA33" s="29"/>
      <c r="AB33" s="29"/>
      <c r="AC33" s="129"/>
      <c r="AD33" s="129"/>
      <c r="AE33" s="129"/>
      <c r="AF33" s="129"/>
      <c r="AG33" s="300"/>
      <c r="AH33" s="300"/>
      <c r="AK33" s="213"/>
      <c r="AL33" s="147"/>
      <c r="AM33" s="147"/>
      <c r="AN33" s="147"/>
      <c r="AO33" s="147"/>
      <c r="AP33" s="147"/>
      <c r="AR33" s="2">
        <f t="shared" si="7"/>
        <v>0</v>
      </c>
      <c r="AS33" s="2">
        <f t="shared" si="8"/>
        <v>0</v>
      </c>
      <c r="AT33" s="318">
        <f t="shared" si="9"/>
        <v>0</v>
      </c>
      <c r="AU33" s="2">
        <f t="shared" si="10"/>
        <v>0</v>
      </c>
      <c r="AV33" s="2">
        <f t="shared" si="11"/>
        <v>0</v>
      </c>
      <c r="AW33" s="318">
        <f t="shared" si="12"/>
        <v>0</v>
      </c>
      <c r="AX33" s="1">
        <f t="shared" si="0"/>
        <v>0</v>
      </c>
      <c r="AY33" s="1">
        <f t="shared" si="1"/>
        <v>0</v>
      </c>
      <c r="AZ33" s="1">
        <f t="shared" si="2"/>
        <v>0</v>
      </c>
      <c r="BA33" s="238">
        <f t="shared" si="3"/>
        <v>0</v>
      </c>
      <c r="BC33" s="2">
        <f t="shared" si="13"/>
        <v>0</v>
      </c>
      <c r="BD33" s="107">
        <f t="shared" si="14"/>
        <v>0</v>
      </c>
      <c r="BE33" s="73">
        <f t="shared" si="15"/>
        <v>0</v>
      </c>
      <c r="BG33" s="39">
        <f t="shared" si="4"/>
        <v>0</v>
      </c>
      <c r="BH33" s="73">
        <f t="shared" si="5"/>
        <v>0</v>
      </c>
    </row>
    <row r="34" spans="1:60" ht="15" customHeight="1" x14ac:dyDescent="0.25">
      <c r="B34" s="11">
        <v>25</v>
      </c>
      <c r="C34" s="129"/>
      <c r="D34" s="147"/>
      <c r="E34" s="211"/>
      <c r="F34" s="29"/>
      <c r="G34" s="35"/>
      <c r="H34" s="29"/>
      <c r="I34" s="11"/>
      <c r="J34" s="306"/>
      <c r="K34" s="75"/>
      <c r="L34" s="106"/>
      <c r="M34" s="42">
        <v>0</v>
      </c>
      <c r="N34" s="42">
        <v>0</v>
      </c>
      <c r="O34" s="42">
        <v>0</v>
      </c>
      <c r="P34" s="42">
        <v>0</v>
      </c>
      <c r="Q34" s="42">
        <v>0</v>
      </c>
      <c r="R34" s="42">
        <v>0</v>
      </c>
      <c r="S34" s="42">
        <v>0</v>
      </c>
      <c r="T34" s="42">
        <f t="shared" si="16"/>
        <v>0</v>
      </c>
      <c r="U34" s="220">
        <f t="shared" si="6"/>
        <v>0</v>
      </c>
      <c r="V34" s="200"/>
      <c r="W34" s="29"/>
      <c r="X34" s="29"/>
      <c r="Y34" s="29"/>
      <c r="Z34" s="29"/>
      <c r="AA34" s="29"/>
      <c r="AB34" s="29"/>
      <c r="AC34" s="129"/>
      <c r="AD34" s="129"/>
      <c r="AE34" s="129"/>
      <c r="AF34" s="129"/>
      <c r="AG34" s="300"/>
      <c r="AH34" s="300"/>
      <c r="AK34" s="213"/>
      <c r="AL34" s="147"/>
      <c r="AM34" s="147"/>
      <c r="AN34" s="147"/>
      <c r="AO34" s="147"/>
      <c r="AP34" s="147"/>
      <c r="AR34" s="2">
        <f t="shared" si="7"/>
        <v>0</v>
      </c>
      <c r="AS34" s="2">
        <f t="shared" si="8"/>
        <v>0</v>
      </c>
      <c r="AT34" s="318">
        <f t="shared" si="9"/>
        <v>0</v>
      </c>
      <c r="AU34" s="2">
        <f t="shared" si="10"/>
        <v>0</v>
      </c>
      <c r="AV34" s="2">
        <f t="shared" si="11"/>
        <v>0</v>
      </c>
      <c r="AW34" s="318">
        <f t="shared" si="12"/>
        <v>0</v>
      </c>
      <c r="AX34" s="1">
        <f t="shared" si="0"/>
        <v>0</v>
      </c>
      <c r="AY34" s="1">
        <f t="shared" si="1"/>
        <v>0</v>
      </c>
      <c r="AZ34" s="1">
        <f t="shared" si="2"/>
        <v>0</v>
      </c>
      <c r="BA34" s="238">
        <f t="shared" si="3"/>
        <v>0</v>
      </c>
      <c r="BC34" s="2">
        <f t="shared" si="13"/>
        <v>0</v>
      </c>
      <c r="BD34" s="107">
        <f t="shared" si="14"/>
        <v>0</v>
      </c>
      <c r="BE34" s="73">
        <f t="shared" si="15"/>
        <v>0</v>
      </c>
      <c r="BG34" s="39">
        <f t="shared" si="4"/>
        <v>0</v>
      </c>
      <c r="BH34" s="73">
        <f t="shared" si="5"/>
        <v>0</v>
      </c>
    </row>
    <row r="35" spans="1:60" ht="15" customHeight="1" x14ac:dyDescent="0.25">
      <c r="B35" s="11">
        <v>26</v>
      </c>
      <c r="C35" s="129"/>
      <c r="D35" s="78"/>
      <c r="E35" s="211"/>
      <c r="F35" s="29"/>
      <c r="G35" s="35"/>
      <c r="H35" s="29"/>
      <c r="I35" s="11"/>
      <c r="J35" s="306"/>
      <c r="K35" s="75"/>
      <c r="L35" s="106"/>
      <c r="M35" s="42">
        <v>0</v>
      </c>
      <c r="N35" s="42">
        <v>0</v>
      </c>
      <c r="O35" s="42">
        <v>0</v>
      </c>
      <c r="P35" s="42">
        <v>0</v>
      </c>
      <c r="Q35" s="42">
        <v>0</v>
      </c>
      <c r="R35" s="42">
        <v>0</v>
      </c>
      <c r="S35" s="42">
        <v>0</v>
      </c>
      <c r="T35" s="42">
        <f t="shared" si="16"/>
        <v>0</v>
      </c>
      <c r="U35" s="220">
        <f t="shared" si="6"/>
        <v>0</v>
      </c>
      <c r="V35" s="200"/>
      <c r="W35" s="29"/>
      <c r="X35" s="29"/>
      <c r="Y35" s="29"/>
      <c r="Z35" s="29"/>
      <c r="AA35" s="29"/>
      <c r="AB35" s="29"/>
      <c r="AC35" s="129"/>
      <c r="AD35" s="129"/>
      <c r="AE35" s="129"/>
      <c r="AF35" s="129"/>
      <c r="AG35" s="300"/>
      <c r="AH35" s="300"/>
      <c r="AK35" s="35"/>
      <c r="AL35" s="78"/>
      <c r="AM35" s="78"/>
      <c r="AN35" s="78"/>
      <c r="AO35" s="78"/>
      <c r="AP35" s="78"/>
      <c r="AR35" s="2">
        <f t="shared" si="7"/>
        <v>0</v>
      </c>
      <c r="AS35" s="2">
        <f t="shared" si="8"/>
        <v>0</v>
      </c>
      <c r="AT35" s="318">
        <f t="shared" si="9"/>
        <v>0</v>
      </c>
      <c r="AU35" s="2">
        <f t="shared" si="10"/>
        <v>0</v>
      </c>
      <c r="AV35" s="2">
        <f t="shared" si="11"/>
        <v>0</v>
      </c>
      <c r="AW35" s="318">
        <f t="shared" si="12"/>
        <v>0</v>
      </c>
      <c r="AX35" s="1">
        <f t="shared" si="0"/>
        <v>0</v>
      </c>
      <c r="AY35" s="1">
        <f t="shared" si="1"/>
        <v>0</v>
      </c>
      <c r="AZ35" s="1">
        <f t="shared" si="2"/>
        <v>0</v>
      </c>
      <c r="BA35" s="238">
        <f t="shared" si="3"/>
        <v>0</v>
      </c>
      <c r="BC35" s="2">
        <f t="shared" si="13"/>
        <v>0</v>
      </c>
      <c r="BD35" s="107">
        <f t="shared" si="14"/>
        <v>0</v>
      </c>
      <c r="BE35" s="73">
        <f t="shared" si="15"/>
        <v>0</v>
      </c>
      <c r="BG35" s="39">
        <f t="shared" si="4"/>
        <v>0</v>
      </c>
      <c r="BH35" s="73">
        <f t="shared" si="5"/>
        <v>0</v>
      </c>
    </row>
    <row r="36" spans="1:60" ht="15" customHeight="1" x14ac:dyDescent="0.25">
      <c r="B36" s="11">
        <v>27</v>
      </c>
      <c r="C36" s="201"/>
      <c r="D36" s="147"/>
      <c r="E36" s="211"/>
      <c r="F36" s="29"/>
      <c r="G36" s="35"/>
      <c r="H36" s="29"/>
      <c r="I36" s="11"/>
      <c r="J36" s="306"/>
      <c r="K36" s="75"/>
      <c r="L36" s="106"/>
      <c r="M36" s="42">
        <v>0</v>
      </c>
      <c r="N36" s="42">
        <v>0</v>
      </c>
      <c r="O36" s="42">
        <v>0</v>
      </c>
      <c r="P36" s="42">
        <v>0</v>
      </c>
      <c r="Q36" s="42">
        <v>0</v>
      </c>
      <c r="R36" s="42">
        <v>0</v>
      </c>
      <c r="S36" s="42">
        <v>0</v>
      </c>
      <c r="T36" s="42">
        <f t="shared" si="16"/>
        <v>0</v>
      </c>
      <c r="U36" s="220">
        <f t="shared" si="6"/>
        <v>0</v>
      </c>
      <c r="V36" s="200"/>
      <c r="W36" s="29"/>
      <c r="X36" s="29"/>
      <c r="Y36" s="29"/>
      <c r="Z36" s="29"/>
      <c r="AA36" s="29"/>
      <c r="AB36" s="29"/>
      <c r="AC36" s="129"/>
      <c r="AD36" s="129"/>
      <c r="AE36" s="129"/>
      <c r="AF36" s="129"/>
      <c r="AG36" s="300"/>
      <c r="AH36" s="300"/>
      <c r="AK36" s="213"/>
      <c r="AL36" s="147"/>
      <c r="AM36" s="147"/>
      <c r="AN36" s="147"/>
      <c r="AO36" s="147"/>
      <c r="AP36" s="147"/>
      <c r="AR36" s="2">
        <f t="shared" si="7"/>
        <v>0</v>
      </c>
      <c r="AS36" s="2">
        <f t="shared" si="8"/>
        <v>0</v>
      </c>
      <c r="AT36" s="318">
        <f t="shared" si="9"/>
        <v>0</v>
      </c>
      <c r="AU36" s="2">
        <f t="shared" si="10"/>
        <v>0</v>
      </c>
      <c r="AV36" s="2">
        <f t="shared" si="11"/>
        <v>0</v>
      </c>
      <c r="AW36" s="318">
        <f t="shared" si="12"/>
        <v>0</v>
      </c>
      <c r="AX36" s="1">
        <f t="shared" si="0"/>
        <v>0</v>
      </c>
      <c r="AY36" s="1">
        <f t="shared" si="1"/>
        <v>0</v>
      </c>
      <c r="AZ36" s="1">
        <f t="shared" si="2"/>
        <v>0</v>
      </c>
      <c r="BA36" s="238">
        <f t="shared" si="3"/>
        <v>0</v>
      </c>
      <c r="BC36" s="2">
        <f t="shared" si="13"/>
        <v>0</v>
      </c>
      <c r="BD36" s="107">
        <f t="shared" si="14"/>
        <v>0</v>
      </c>
      <c r="BE36" s="73">
        <f t="shared" si="15"/>
        <v>0</v>
      </c>
      <c r="BG36" s="39">
        <f t="shared" si="4"/>
        <v>0</v>
      </c>
      <c r="BH36" s="73">
        <f t="shared" si="5"/>
        <v>0</v>
      </c>
    </row>
    <row r="37" spans="1:60" ht="15" customHeight="1" x14ac:dyDescent="0.25">
      <c r="B37" s="11">
        <v>28</v>
      </c>
      <c r="C37" s="129"/>
      <c r="D37" s="147"/>
      <c r="E37" s="211"/>
      <c r="F37" s="29"/>
      <c r="G37" s="35"/>
      <c r="H37" s="29"/>
      <c r="I37" s="11"/>
      <c r="J37" s="306"/>
      <c r="K37" s="75"/>
      <c r="L37" s="106"/>
      <c r="M37" s="42">
        <v>0</v>
      </c>
      <c r="N37" s="42">
        <v>0</v>
      </c>
      <c r="O37" s="42">
        <v>0</v>
      </c>
      <c r="P37" s="42">
        <v>0</v>
      </c>
      <c r="Q37" s="42">
        <v>0</v>
      </c>
      <c r="R37" s="42">
        <v>0</v>
      </c>
      <c r="S37" s="42">
        <v>0</v>
      </c>
      <c r="T37" s="42">
        <f t="shared" si="16"/>
        <v>0</v>
      </c>
      <c r="U37" s="220">
        <f t="shared" si="6"/>
        <v>0</v>
      </c>
      <c r="V37" s="200"/>
      <c r="W37" s="29"/>
      <c r="X37" s="29"/>
      <c r="Y37" s="29"/>
      <c r="Z37" s="29"/>
      <c r="AA37" s="29"/>
      <c r="AB37" s="29"/>
      <c r="AC37" s="129"/>
      <c r="AD37" s="129"/>
      <c r="AE37" s="129"/>
      <c r="AF37" s="129"/>
      <c r="AG37" s="300"/>
      <c r="AH37" s="300"/>
      <c r="AK37" s="213"/>
      <c r="AL37" s="147"/>
      <c r="AM37" s="147"/>
      <c r="AN37" s="147"/>
      <c r="AO37" s="147"/>
      <c r="AP37" s="147"/>
      <c r="AR37" s="2">
        <f t="shared" si="7"/>
        <v>0</v>
      </c>
      <c r="AS37" s="2">
        <f t="shared" si="8"/>
        <v>0</v>
      </c>
      <c r="AT37" s="318">
        <f t="shared" si="9"/>
        <v>0</v>
      </c>
      <c r="AU37" s="2">
        <f t="shared" si="10"/>
        <v>0</v>
      </c>
      <c r="AV37" s="2">
        <f t="shared" si="11"/>
        <v>0</v>
      </c>
      <c r="AW37" s="318">
        <f t="shared" si="12"/>
        <v>0</v>
      </c>
      <c r="AX37" s="1">
        <f t="shared" si="0"/>
        <v>0</v>
      </c>
      <c r="AY37" s="1">
        <f t="shared" si="1"/>
        <v>0</v>
      </c>
      <c r="AZ37" s="1">
        <f t="shared" si="2"/>
        <v>0</v>
      </c>
      <c r="BA37" s="238">
        <f t="shared" si="3"/>
        <v>0</v>
      </c>
      <c r="BC37" s="2">
        <f t="shared" si="13"/>
        <v>0</v>
      </c>
      <c r="BD37" s="107">
        <f t="shared" si="14"/>
        <v>0</v>
      </c>
      <c r="BE37" s="73">
        <f t="shared" si="15"/>
        <v>0</v>
      </c>
      <c r="BG37" s="39">
        <f t="shared" si="4"/>
        <v>0</v>
      </c>
      <c r="BH37" s="73">
        <f t="shared" si="5"/>
        <v>0</v>
      </c>
    </row>
    <row r="38" spans="1:60" ht="15" customHeight="1" x14ac:dyDescent="0.25">
      <c r="B38" s="11">
        <v>29</v>
      </c>
      <c r="C38" s="129"/>
      <c r="D38" s="147"/>
      <c r="E38" s="211"/>
      <c r="F38" s="29"/>
      <c r="G38" s="35"/>
      <c r="H38" s="29"/>
      <c r="I38" s="11"/>
      <c r="J38" s="306"/>
      <c r="K38" s="75"/>
      <c r="L38" s="106"/>
      <c r="M38" s="42">
        <v>0</v>
      </c>
      <c r="N38" s="42">
        <v>0</v>
      </c>
      <c r="O38" s="42">
        <v>0</v>
      </c>
      <c r="P38" s="42">
        <v>0</v>
      </c>
      <c r="Q38" s="42">
        <v>0</v>
      </c>
      <c r="R38" s="42">
        <v>0</v>
      </c>
      <c r="S38" s="42">
        <v>0</v>
      </c>
      <c r="T38" s="42">
        <f t="shared" si="16"/>
        <v>0</v>
      </c>
      <c r="U38" s="220">
        <f t="shared" si="6"/>
        <v>0</v>
      </c>
      <c r="V38" s="200"/>
      <c r="W38" s="29"/>
      <c r="X38" s="29"/>
      <c r="Y38" s="29"/>
      <c r="Z38" s="29"/>
      <c r="AA38" s="29"/>
      <c r="AB38" s="29"/>
      <c r="AC38" s="129"/>
      <c r="AD38" s="129"/>
      <c r="AE38" s="129"/>
      <c r="AF38" s="129"/>
      <c r="AG38" s="300"/>
      <c r="AH38" s="300"/>
      <c r="AK38" s="213"/>
      <c r="AL38" s="147"/>
      <c r="AM38" s="147"/>
      <c r="AN38" s="147"/>
      <c r="AO38" s="147"/>
      <c r="AP38" s="147"/>
      <c r="AR38" s="2">
        <f t="shared" si="7"/>
        <v>0</v>
      </c>
      <c r="AS38" s="2">
        <f t="shared" si="8"/>
        <v>0</v>
      </c>
      <c r="AT38" s="318">
        <f t="shared" si="9"/>
        <v>0</v>
      </c>
      <c r="AU38" s="2">
        <f t="shared" si="10"/>
        <v>0</v>
      </c>
      <c r="AV38" s="2">
        <f t="shared" si="11"/>
        <v>0</v>
      </c>
      <c r="AW38" s="318">
        <f t="shared" si="12"/>
        <v>0</v>
      </c>
      <c r="AX38" s="1">
        <f t="shared" si="0"/>
        <v>0</v>
      </c>
      <c r="AY38" s="1">
        <f t="shared" si="1"/>
        <v>0</v>
      </c>
      <c r="AZ38" s="1">
        <f t="shared" si="2"/>
        <v>0</v>
      </c>
      <c r="BA38" s="238">
        <f t="shared" si="3"/>
        <v>0</v>
      </c>
      <c r="BC38" s="2">
        <f t="shared" si="13"/>
        <v>0</v>
      </c>
      <c r="BD38" s="107">
        <f t="shared" si="14"/>
        <v>0</v>
      </c>
      <c r="BE38" s="73">
        <f t="shared" si="15"/>
        <v>0</v>
      </c>
      <c r="BG38" s="39">
        <f t="shared" si="4"/>
        <v>0</v>
      </c>
      <c r="BH38" s="73">
        <f t="shared" si="5"/>
        <v>0</v>
      </c>
    </row>
    <row r="39" spans="1:60" ht="15" customHeight="1" x14ac:dyDescent="0.25">
      <c r="B39" s="11">
        <v>30</v>
      </c>
      <c r="C39" s="201"/>
      <c r="D39" s="147"/>
      <c r="E39" s="211"/>
      <c r="F39" s="29"/>
      <c r="G39" s="35"/>
      <c r="H39" s="29"/>
      <c r="I39" s="11"/>
      <c r="J39" s="306"/>
      <c r="K39" s="75"/>
      <c r="L39" s="106"/>
      <c r="M39" s="42">
        <v>0</v>
      </c>
      <c r="N39" s="42">
        <v>0</v>
      </c>
      <c r="O39" s="42">
        <v>0</v>
      </c>
      <c r="P39" s="42">
        <v>0</v>
      </c>
      <c r="Q39" s="42">
        <v>0</v>
      </c>
      <c r="R39" s="42">
        <v>0</v>
      </c>
      <c r="S39" s="42">
        <v>0</v>
      </c>
      <c r="T39" s="42">
        <f t="shared" si="16"/>
        <v>0</v>
      </c>
      <c r="U39" s="220">
        <f t="shared" si="6"/>
        <v>0</v>
      </c>
      <c r="V39" s="200"/>
      <c r="W39" s="29"/>
      <c r="X39" s="29"/>
      <c r="Y39" s="29"/>
      <c r="Z39" s="29"/>
      <c r="AA39" s="29"/>
      <c r="AB39" s="29"/>
      <c r="AC39" s="129"/>
      <c r="AD39" s="129"/>
      <c r="AE39" s="129"/>
      <c r="AF39" s="129"/>
      <c r="AG39" s="300"/>
      <c r="AH39" s="300"/>
      <c r="AK39" s="213"/>
      <c r="AL39" s="147"/>
      <c r="AM39" s="147"/>
      <c r="AN39" s="147"/>
      <c r="AO39" s="147"/>
      <c r="AP39" s="147"/>
      <c r="AR39" s="2">
        <f t="shared" si="7"/>
        <v>0</v>
      </c>
      <c r="AS39" s="2">
        <f t="shared" si="8"/>
        <v>0</v>
      </c>
      <c r="AT39" s="318">
        <f t="shared" si="9"/>
        <v>0</v>
      </c>
      <c r="AU39" s="2">
        <f t="shared" si="10"/>
        <v>0</v>
      </c>
      <c r="AV39" s="2">
        <f t="shared" si="11"/>
        <v>0</v>
      </c>
      <c r="AW39" s="318">
        <f t="shared" si="12"/>
        <v>0</v>
      </c>
      <c r="AX39" s="1">
        <f t="shared" si="0"/>
        <v>0</v>
      </c>
      <c r="AY39" s="1">
        <f t="shared" si="1"/>
        <v>0</v>
      </c>
      <c r="AZ39" s="1">
        <f t="shared" si="2"/>
        <v>0</v>
      </c>
      <c r="BA39" s="238">
        <f t="shared" si="3"/>
        <v>0</v>
      </c>
      <c r="BC39" s="2">
        <f t="shared" si="13"/>
        <v>0</v>
      </c>
      <c r="BD39" s="107">
        <f t="shared" si="14"/>
        <v>0</v>
      </c>
      <c r="BE39" s="73">
        <f t="shared" si="15"/>
        <v>0</v>
      </c>
      <c r="BG39" s="39">
        <f t="shared" si="4"/>
        <v>0</v>
      </c>
      <c r="BH39" s="73">
        <f t="shared" si="5"/>
        <v>0</v>
      </c>
    </row>
    <row r="40" spans="1:60" ht="15" customHeight="1" x14ac:dyDescent="0.25">
      <c r="B40" s="11">
        <v>31</v>
      </c>
      <c r="C40" s="129"/>
      <c r="D40" s="147"/>
      <c r="E40" s="211"/>
      <c r="F40" s="29"/>
      <c r="G40" s="35"/>
      <c r="H40" s="29"/>
      <c r="I40" s="11"/>
      <c r="J40" s="306"/>
      <c r="K40" s="75"/>
      <c r="L40" s="106"/>
      <c r="M40" s="42">
        <v>0</v>
      </c>
      <c r="N40" s="42">
        <v>0</v>
      </c>
      <c r="O40" s="42">
        <v>0</v>
      </c>
      <c r="P40" s="42">
        <v>0</v>
      </c>
      <c r="Q40" s="42">
        <v>0</v>
      </c>
      <c r="R40" s="42">
        <v>0</v>
      </c>
      <c r="S40" s="42">
        <v>0</v>
      </c>
      <c r="T40" s="42">
        <f t="shared" si="16"/>
        <v>0</v>
      </c>
      <c r="U40" s="220">
        <f t="shared" si="6"/>
        <v>0</v>
      </c>
      <c r="V40" s="200"/>
      <c r="W40" s="29"/>
      <c r="X40" s="29"/>
      <c r="Y40" s="29"/>
      <c r="Z40" s="29"/>
      <c r="AA40" s="29"/>
      <c r="AB40" s="29"/>
      <c r="AC40" s="129"/>
      <c r="AD40" s="129"/>
      <c r="AE40" s="129"/>
      <c r="AF40" s="129"/>
      <c r="AG40" s="300"/>
      <c r="AH40" s="300"/>
      <c r="AK40" s="213"/>
      <c r="AL40" s="147"/>
      <c r="AM40" s="147"/>
      <c r="AN40" s="147"/>
      <c r="AO40" s="147"/>
      <c r="AP40" s="147"/>
      <c r="AR40" s="2">
        <f t="shared" si="7"/>
        <v>0</v>
      </c>
      <c r="AS40" s="2">
        <f t="shared" si="8"/>
        <v>0</v>
      </c>
      <c r="AT40" s="318">
        <f t="shared" si="9"/>
        <v>0</v>
      </c>
      <c r="AU40" s="2">
        <f t="shared" si="10"/>
        <v>0</v>
      </c>
      <c r="AV40" s="2">
        <f t="shared" si="11"/>
        <v>0</v>
      </c>
      <c r="AW40" s="318">
        <f t="shared" si="12"/>
        <v>0</v>
      </c>
      <c r="AX40" s="1">
        <f t="shared" si="0"/>
        <v>0</v>
      </c>
      <c r="AY40" s="1">
        <f t="shared" si="1"/>
        <v>0</v>
      </c>
      <c r="AZ40" s="1">
        <f t="shared" si="2"/>
        <v>0</v>
      </c>
      <c r="BA40" s="238">
        <f t="shared" si="3"/>
        <v>0</v>
      </c>
      <c r="BC40" s="2">
        <f t="shared" si="13"/>
        <v>0</v>
      </c>
      <c r="BD40" s="107">
        <f t="shared" si="14"/>
        <v>0</v>
      </c>
      <c r="BE40" s="73">
        <f t="shared" si="15"/>
        <v>0</v>
      </c>
      <c r="BG40" s="39">
        <f t="shared" si="4"/>
        <v>0</v>
      </c>
      <c r="BH40" s="73">
        <f t="shared" si="5"/>
        <v>0</v>
      </c>
    </row>
    <row r="41" spans="1:60" ht="15" customHeight="1" x14ac:dyDescent="0.25">
      <c r="B41" s="11">
        <v>32</v>
      </c>
      <c r="C41" s="129"/>
      <c r="D41" s="78"/>
      <c r="E41" s="211"/>
      <c r="F41" s="29"/>
      <c r="G41" s="35"/>
      <c r="H41" s="29"/>
      <c r="I41" s="11"/>
      <c r="J41" s="306"/>
      <c r="K41" s="75"/>
      <c r="L41" s="106"/>
      <c r="M41" s="42">
        <v>0</v>
      </c>
      <c r="N41" s="42">
        <v>0</v>
      </c>
      <c r="O41" s="42">
        <v>0</v>
      </c>
      <c r="P41" s="42">
        <v>0</v>
      </c>
      <c r="Q41" s="42">
        <v>0</v>
      </c>
      <c r="R41" s="42">
        <v>0</v>
      </c>
      <c r="S41" s="42">
        <v>0</v>
      </c>
      <c r="T41" s="42">
        <f t="shared" si="16"/>
        <v>0</v>
      </c>
      <c r="U41" s="220">
        <f t="shared" si="6"/>
        <v>0</v>
      </c>
      <c r="V41" s="200"/>
      <c r="W41" s="29"/>
      <c r="X41" s="29"/>
      <c r="Y41" s="29"/>
      <c r="Z41" s="29"/>
      <c r="AA41" s="29"/>
      <c r="AB41" s="29"/>
      <c r="AC41" s="129"/>
      <c r="AD41" s="129"/>
      <c r="AE41" s="129"/>
      <c r="AF41" s="129"/>
      <c r="AG41" s="300"/>
      <c r="AH41" s="300"/>
      <c r="AK41" s="35"/>
      <c r="AL41" s="78"/>
      <c r="AM41" s="78"/>
      <c r="AN41" s="78"/>
      <c r="AO41" s="78"/>
      <c r="AP41" s="78"/>
      <c r="AR41" s="2">
        <f t="shared" si="7"/>
        <v>0</v>
      </c>
      <c r="AS41" s="2">
        <f t="shared" si="8"/>
        <v>0</v>
      </c>
      <c r="AT41" s="318">
        <f t="shared" si="9"/>
        <v>0</v>
      </c>
      <c r="AU41" s="2">
        <f t="shared" si="10"/>
        <v>0</v>
      </c>
      <c r="AV41" s="2">
        <f t="shared" si="11"/>
        <v>0</v>
      </c>
      <c r="AW41" s="318">
        <f t="shared" si="12"/>
        <v>0</v>
      </c>
      <c r="AX41" s="1">
        <f t="shared" ref="AX41:AX59" si="17">M41+N41</f>
        <v>0</v>
      </c>
      <c r="AY41" s="1">
        <f t="shared" ref="AY41:AY59" si="18">O41</f>
        <v>0</v>
      </c>
      <c r="AZ41" s="1">
        <f t="shared" ref="AZ41:AZ59" si="19">R41</f>
        <v>0</v>
      </c>
      <c r="BA41" s="238">
        <f t="shared" ref="BA41:BA59" si="20">SUM(AX41:AZ41)</f>
        <v>0</v>
      </c>
      <c r="BC41" s="2">
        <f t="shared" si="13"/>
        <v>0</v>
      </c>
      <c r="BD41" s="107">
        <f t="shared" si="14"/>
        <v>0</v>
      </c>
      <c r="BE41" s="73">
        <f t="shared" si="15"/>
        <v>0</v>
      </c>
      <c r="BG41" s="39">
        <f t="shared" ref="BG41:BG59" si="21">T41-BA41</f>
        <v>0</v>
      </c>
      <c r="BH41" s="73">
        <f t="shared" ref="BH41:BH60" si="22">BG41-Q41-P41</f>
        <v>0</v>
      </c>
    </row>
    <row r="42" spans="1:60" ht="15" customHeight="1" x14ac:dyDescent="0.25">
      <c r="B42" s="11">
        <v>33</v>
      </c>
      <c r="C42" s="201"/>
      <c r="D42" s="147"/>
      <c r="E42" s="211"/>
      <c r="F42" s="29"/>
      <c r="G42" s="35"/>
      <c r="H42" s="29"/>
      <c r="I42" s="11"/>
      <c r="J42" s="306"/>
      <c r="K42" s="75"/>
      <c r="L42" s="106"/>
      <c r="M42" s="42">
        <v>0</v>
      </c>
      <c r="N42" s="42">
        <v>0</v>
      </c>
      <c r="O42" s="42">
        <v>0</v>
      </c>
      <c r="P42" s="42">
        <v>0</v>
      </c>
      <c r="Q42" s="42">
        <v>0</v>
      </c>
      <c r="R42" s="42">
        <v>0</v>
      </c>
      <c r="S42" s="42">
        <v>0</v>
      </c>
      <c r="T42" s="42">
        <f t="shared" si="16"/>
        <v>0</v>
      </c>
      <c r="U42" s="220">
        <f t="shared" ref="U42:U58" si="23">E42-T42</f>
        <v>0</v>
      </c>
      <c r="V42" s="200"/>
      <c r="W42" s="29"/>
      <c r="X42" s="29"/>
      <c r="Y42" s="29"/>
      <c r="Z42" s="29"/>
      <c r="AA42" s="29"/>
      <c r="AB42" s="29"/>
      <c r="AC42" s="129"/>
      <c r="AD42" s="129"/>
      <c r="AE42" s="129"/>
      <c r="AF42" s="129"/>
      <c r="AG42" s="300"/>
      <c r="AH42" s="300"/>
      <c r="AK42" s="213"/>
      <c r="AL42" s="147"/>
      <c r="AM42" s="147"/>
      <c r="AN42" s="147"/>
      <c r="AO42" s="147"/>
      <c r="AP42" s="147"/>
      <c r="AR42" s="2">
        <f t="shared" ref="AR42:AR59" si="24">G42</f>
        <v>0</v>
      </c>
      <c r="AS42" s="2">
        <f t="shared" ref="AS42:AS59" si="25">H42</f>
        <v>0</v>
      </c>
      <c r="AT42" s="318">
        <f t="shared" ref="AT42:AT59" si="26">I42</f>
        <v>0</v>
      </c>
      <c r="AU42" s="2">
        <f t="shared" ref="AU42:AU59" si="27">AD42</f>
        <v>0</v>
      </c>
      <c r="AV42" s="2">
        <f t="shared" ref="AV42:AV59" si="28">AF42</f>
        <v>0</v>
      </c>
      <c r="AW42" s="318">
        <f t="shared" ref="AW42:AW59" si="29">I42</f>
        <v>0</v>
      </c>
      <c r="AX42" s="1">
        <f t="shared" si="17"/>
        <v>0</v>
      </c>
      <c r="AY42" s="1">
        <f t="shared" si="18"/>
        <v>0</v>
      </c>
      <c r="AZ42" s="1">
        <f t="shared" si="19"/>
        <v>0</v>
      </c>
      <c r="BA42" s="238">
        <f t="shared" si="20"/>
        <v>0</v>
      </c>
      <c r="BC42" s="2">
        <f t="shared" ref="BC42:BC58" si="30">K42</f>
        <v>0</v>
      </c>
      <c r="BD42" s="107">
        <f t="shared" ref="BD42:BD58" si="31">J42</f>
        <v>0</v>
      </c>
      <c r="BE42" s="73">
        <f t="shared" ref="BE42:BE60" si="32">BA42-T42+Q42+P42</f>
        <v>0</v>
      </c>
      <c r="BG42" s="39">
        <f t="shared" si="21"/>
        <v>0</v>
      </c>
      <c r="BH42" s="73">
        <f t="shared" si="22"/>
        <v>0</v>
      </c>
    </row>
    <row r="43" spans="1:60" ht="15" customHeight="1" x14ac:dyDescent="0.25">
      <c r="B43" s="11">
        <v>34</v>
      </c>
      <c r="C43" s="129"/>
      <c r="D43" s="78"/>
      <c r="E43" s="211"/>
      <c r="F43" s="29"/>
      <c r="G43" s="35"/>
      <c r="H43" s="29"/>
      <c r="I43" s="11"/>
      <c r="J43" s="306"/>
      <c r="K43" s="75"/>
      <c r="L43" s="106"/>
      <c r="M43" s="42">
        <v>0</v>
      </c>
      <c r="N43" s="42">
        <v>0</v>
      </c>
      <c r="O43" s="42">
        <v>0</v>
      </c>
      <c r="P43" s="42">
        <v>0</v>
      </c>
      <c r="Q43" s="42">
        <v>0</v>
      </c>
      <c r="R43" s="42">
        <v>0</v>
      </c>
      <c r="S43" s="42">
        <v>0</v>
      </c>
      <c r="T43" s="42">
        <f t="shared" si="16"/>
        <v>0</v>
      </c>
      <c r="U43" s="220">
        <f t="shared" si="23"/>
        <v>0</v>
      </c>
      <c r="V43" s="200"/>
      <c r="W43" s="29"/>
      <c r="X43" s="29"/>
      <c r="Y43" s="29"/>
      <c r="Z43" s="29"/>
      <c r="AA43" s="29"/>
      <c r="AB43" s="29"/>
      <c r="AC43" s="129"/>
      <c r="AD43" s="129"/>
      <c r="AE43" s="129"/>
      <c r="AF43" s="129"/>
      <c r="AG43" s="300"/>
      <c r="AH43" s="300"/>
      <c r="AK43" s="35"/>
      <c r="AL43" s="78"/>
      <c r="AM43" s="78"/>
      <c r="AN43" s="78"/>
      <c r="AO43" s="78"/>
      <c r="AP43" s="78"/>
      <c r="AR43" s="2">
        <f t="shared" si="24"/>
        <v>0</v>
      </c>
      <c r="AS43" s="2">
        <f t="shared" si="25"/>
        <v>0</v>
      </c>
      <c r="AT43" s="318">
        <f t="shared" si="26"/>
        <v>0</v>
      </c>
      <c r="AU43" s="2">
        <f t="shared" si="27"/>
        <v>0</v>
      </c>
      <c r="AV43" s="2">
        <f t="shared" si="28"/>
        <v>0</v>
      </c>
      <c r="AW43" s="318">
        <f t="shared" si="29"/>
        <v>0</v>
      </c>
      <c r="AX43" s="1">
        <f t="shared" si="17"/>
        <v>0</v>
      </c>
      <c r="AY43" s="1">
        <f t="shared" si="18"/>
        <v>0</v>
      </c>
      <c r="AZ43" s="1">
        <f t="shared" si="19"/>
        <v>0</v>
      </c>
      <c r="BA43" s="238">
        <f t="shared" si="20"/>
        <v>0</v>
      </c>
      <c r="BC43" s="2">
        <f t="shared" si="30"/>
        <v>0</v>
      </c>
      <c r="BD43" s="107">
        <f t="shared" si="31"/>
        <v>0</v>
      </c>
      <c r="BE43" s="73">
        <f t="shared" si="32"/>
        <v>0</v>
      </c>
      <c r="BG43" s="39">
        <f t="shared" si="21"/>
        <v>0</v>
      </c>
      <c r="BH43" s="73">
        <f t="shared" si="22"/>
        <v>0</v>
      </c>
    </row>
    <row r="44" spans="1:60" ht="15" customHeight="1" x14ac:dyDescent="0.25">
      <c r="B44" s="11">
        <v>35</v>
      </c>
      <c r="C44" s="129"/>
      <c r="D44" s="147"/>
      <c r="E44" s="211"/>
      <c r="F44" s="29"/>
      <c r="G44" s="35"/>
      <c r="H44" s="29"/>
      <c r="I44" s="11"/>
      <c r="J44" s="306"/>
      <c r="K44" s="75"/>
      <c r="L44" s="106"/>
      <c r="M44" s="42">
        <v>0</v>
      </c>
      <c r="N44" s="42">
        <v>0</v>
      </c>
      <c r="O44" s="42">
        <v>0</v>
      </c>
      <c r="P44" s="42">
        <v>0</v>
      </c>
      <c r="Q44" s="42">
        <v>0</v>
      </c>
      <c r="R44" s="42">
        <v>0</v>
      </c>
      <c r="S44" s="42">
        <v>0</v>
      </c>
      <c r="T44" s="42">
        <f t="shared" si="16"/>
        <v>0</v>
      </c>
      <c r="U44" s="220">
        <f t="shared" si="23"/>
        <v>0</v>
      </c>
      <c r="V44" s="200"/>
      <c r="W44" s="29"/>
      <c r="X44" s="29"/>
      <c r="Y44" s="29"/>
      <c r="Z44" s="29"/>
      <c r="AA44" s="29"/>
      <c r="AB44" s="29"/>
      <c r="AC44" s="129"/>
      <c r="AD44" s="129"/>
      <c r="AE44" s="129"/>
      <c r="AF44" s="129"/>
      <c r="AG44" s="300"/>
      <c r="AH44" s="300"/>
      <c r="AK44" s="213"/>
      <c r="AL44" s="147"/>
      <c r="AM44" s="147"/>
      <c r="AN44" s="147"/>
      <c r="AO44" s="147"/>
      <c r="AP44" s="147"/>
      <c r="AR44" s="2">
        <f t="shared" si="24"/>
        <v>0</v>
      </c>
      <c r="AS44" s="2">
        <f t="shared" si="25"/>
        <v>0</v>
      </c>
      <c r="AT44" s="318">
        <f t="shared" si="26"/>
        <v>0</v>
      </c>
      <c r="AU44" s="2">
        <f t="shared" si="27"/>
        <v>0</v>
      </c>
      <c r="AV44" s="2">
        <f t="shared" si="28"/>
        <v>0</v>
      </c>
      <c r="AW44" s="318">
        <f t="shared" si="29"/>
        <v>0</v>
      </c>
      <c r="AX44" s="1">
        <f t="shared" si="17"/>
        <v>0</v>
      </c>
      <c r="AY44" s="1">
        <f t="shared" si="18"/>
        <v>0</v>
      </c>
      <c r="AZ44" s="1">
        <f t="shared" si="19"/>
        <v>0</v>
      </c>
      <c r="BA44" s="238">
        <f t="shared" si="20"/>
        <v>0</v>
      </c>
      <c r="BC44" s="2">
        <f t="shared" si="30"/>
        <v>0</v>
      </c>
      <c r="BD44" s="107">
        <f t="shared" si="31"/>
        <v>0</v>
      </c>
      <c r="BE44" s="73">
        <f t="shared" si="32"/>
        <v>0</v>
      </c>
      <c r="BG44" s="39">
        <f t="shared" si="21"/>
        <v>0</v>
      </c>
      <c r="BH44" s="73">
        <f t="shared" si="22"/>
        <v>0</v>
      </c>
    </row>
    <row r="45" spans="1:60" ht="15" customHeight="1" x14ac:dyDescent="0.25">
      <c r="B45" s="11">
        <v>36</v>
      </c>
      <c r="C45" s="201"/>
      <c r="D45" s="147"/>
      <c r="E45" s="211"/>
      <c r="F45" s="29"/>
      <c r="G45" s="35"/>
      <c r="H45" s="29"/>
      <c r="I45" s="11"/>
      <c r="J45" s="306"/>
      <c r="K45" s="75"/>
      <c r="L45" s="106"/>
      <c r="M45" s="42">
        <v>0</v>
      </c>
      <c r="N45" s="42">
        <v>0</v>
      </c>
      <c r="O45" s="42">
        <v>0</v>
      </c>
      <c r="P45" s="42">
        <v>0</v>
      </c>
      <c r="Q45" s="42">
        <v>0</v>
      </c>
      <c r="R45" s="42">
        <v>0</v>
      </c>
      <c r="S45" s="42">
        <v>0</v>
      </c>
      <c r="T45" s="42">
        <f t="shared" si="16"/>
        <v>0</v>
      </c>
      <c r="U45" s="220">
        <f t="shared" si="23"/>
        <v>0</v>
      </c>
      <c r="V45" s="200"/>
      <c r="W45" s="29"/>
      <c r="X45" s="29"/>
      <c r="Y45" s="29"/>
      <c r="Z45" s="29"/>
      <c r="AA45" s="29"/>
      <c r="AB45" s="29"/>
      <c r="AC45" s="129"/>
      <c r="AD45" s="129"/>
      <c r="AE45" s="129"/>
      <c r="AF45" s="129"/>
      <c r="AG45" s="300"/>
      <c r="AH45" s="300"/>
      <c r="AK45" s="213"/>
      <c r="AL45" s="147"/>
      <c r="AM45" s="147"/>
      <c r="AN45" s="147"/>
      <c r="AO45" s="147"/>
      <c r="AP45" s="147"/>
      <c r="AR45" s="2">
        <f t="shared" si="24"/>
        <v>0</v>
      </c>
      <c r="AS45" s="2">
        <f t="shared" si="25"/>
        <v>0</v>
      </c>
      <c r="AT45" s="318">
        <f t="shared" si="26"/>
        <v>0</v>
      </c>
      <c r="AU45" s="2">
        <f t="shared" si="27"/>
        <v>0</v>
      </c>
      <c r="AV45" s="2">
        <f t="shared" si="28"/>
        <v>0</v>
      </c>
      <c r="AW45" s="318">
        <f t="shared" si="29"/>
        <v>0</v>
      </c>
      <c r="AX45" s="1">
        <f t="shared" si="17"/>
        <v>0</v>
      </c>
      <c r="AY45" s="1">
        <f t="shared" si="18"/>
        <v>0</v>
      </c>
      <c r="AZ45" s="1">
        <f t="shared" si="19"/>
        <v>0</v>
      </c>
      <c r="BA45" s="238">
        <f t="shared" si="20"/>
        <v>0</v>
      </c>
      <c r="BC45" s="2">
        <f t="shared" si="30"/>
        <v>0</v>
      </c>
      <c r="BD45" s="107">
        <f t="shared" si="31"/>
        <v>0</v>
      </c>
      <c r="BE45" s="73">
        <f t="shared" si="32"/>
        <v>0</v>
      </c>
      <c r="BG45" s="39">
        <f t="shared" si="21"/>
        <v>0</v>
      </c>
      <c r="BH45" s="73">
        <f t="shared" si="22"/>
        <v>0</v>
      </c>
    </row>
    <row r="46" spans="1:60" ht="15" customHeight="1" x14ac:dyDescent="0.25">
      <c r="B46" s="11">
        <v>37</v>
      </c>
      <c r="C46" s="129"/>
      <c r="D46" s="147"/>
      <c r="E46" s="211"/>
      <c r="F46" s="29"/>
      <c r="G46" s="35"/>
      <c r="H46" s="29"/>
      <c r="I46" s="11"/>
      <c r="J46" s="306"/>
      <c r="K46" s="75"/>
      <c r="L46" s="106"/>
      <c r="M46" s="42">
        <v>0</v>
      </c>
      <c r="N46" s="42">
        <v>0</v>
      </c>
      <c r="O46" s="42">
        <v>0</v>
      </c>
      <c r="P46" s="42">
        <v>0</v>
      </c>
      <c r="Q46" s="42">
        <v>0</v>
      </c>
      <c r="R46" s="42">
        <v>0</v>
      </c>
      <c r="S46" s="42">
        <v>0</v>
      </c>
      <c r="T46" s="42">
        <f t="shared" si="16"/>
        <v>0</v>
      </c>
      <c r="U46" s="220">
        <f t="shared" si="23"/>
        <v>0</v>
      </c>
      <c r="V46" s="200"/>
      <c r="W46" s="29"/>
      <c r="X46" s="29"/>
      <c r="Y46" s="29"/>
      <c r="Z46" s="29"/>
      <c r="AA46" s="29"/>
      <c r="AB46" s="29"/>
      <c r="AC46" s="129"/>
      <c r="AD46" s="129"/>
      <c r="AE46" s="129"/>
      <c r="AF46" s="129"/>
      <c r="AG46" s="300"/>
      <c r="AH46" s="300"/>
      <c r="AK46" s="213"/>
      <c r="AL46" s="147"/>
      <c r="AM46" s="147"/>
      <c r="AN46" s="147"/>
      <c r="AO46" s="147"/>
      <c r="AP46" s="147"/>
      <c r="AR46" s="2">
        <f t="shared" si="24"/>
        <v>0</v>
      </c>
      <c r="AS46" s="2">
        <f t="shared" si="25"/>
        <v>0</v>
      </c>
      <c r="AT46" s="318">
        <f t="shared" si="26"/>
        <v>0</v>
      </c>
      <c r="AU46" s="2">
        <f t="shared" si="27"/>
        <v>0</v>
      </c>
      <c r="AV46" s="2">
        <f t="shared" si="28"/>
        <v>0</v>
      </c>
      <c r="AW46" s="318">
        <f t="shared" si="29"/>
        <v>0</v>
      </c>
      <c r="AX46" s="1">
        <f t="shared" si="17"/>
        <v>0</v>
      </c>
      <c r="AY46" s="1">
        <f t="shared" si="18"/>
        <v>0</v>
      </c>
      <c r="AZ46" s="1">
        <f t="shared" si="19"/>
        <v>0</v>
      </c>
      <c r="BA46" s="238">
        <f t="shared" si="20"/>
        <v>0</v>
      </c>
      <c r="BC46" s="2">
        <f t="shared" si="30"/>
        <v>0</v>
      </c>
      <c r="BD46" s="107">
        <f t="shared" si="31"/>
        <v>0</v>
      </c>
      <c r="BE46" s="73">
        <f t="shared" si="32"/>
        <v>0</v>
      </c>
      <c r="BG46" s="39">
        <f t="shared" si="21"/>
        <v>0</v>
      </c>
      <c r="BH46" s="73">
        <f t="shared" si="22"/>
        <v>0</v>
      </c>
    </row>
    <row r="47" spans="1:60" ht="15" customHeight="1" x14ac:dyDescent="0.25">
      <c r="B47" s="11">
        <v>38</v>
      </c>
      <c r="C47" s="129"/>
      <c r="D47" s="147"/>
      <c r="E47" s="211"/>
      <c r="F47" s="29"/>
      <c r="G47" s="35"/>
      <c r="H47" s="29"/>
      <c r="I47" s="11"/>
      <c r="J47" s="306"/>
      <c r="K47" s="75"/>
      <c r="L47" s="106"/>
      <c r="M47" s="42">
        <v>0</v>
      </c>
      <c r="N47" s="42">
        <v>0</v>
      </c>
      <c r="O47" s="42">
        <v>0</v>
      </c>
      <c r="P47" s="42">
        <v>0</v>
      </c>
      <c r="Q47" s="42">
        <v>0</v>
      </c>
      <c r="R47" s="42">
        <v>0</v>
      </c>
      <c r="S47" s="42">
        <v>0</v>
      </c>
      <c r="T47" s="42">
        <f t="shared" si="16"/>
        <v>0</v>
      </c>
      <c r="U47" s="220">
        <f t="shared" si="23"/>
        <v>0</v>
      </c>
      <c r="V47" s="200"/>
      <c r="W47" s="29"/>
      <c r="X47" s="29"/>
      <c r="Y47" s="29"/>
      <c r="Z47" s="29"/>
      <c r="AA47" s="29"/>
      <c r="AB47" s="29"/>
      <c r="AC47" s="129"/>
      <c r="AD47" s="129"/>
      <c r="AE47" s="129"/>
      <c r="AF47" s="129"/>
      <c r="AG47" s="300"/>
      <c r="AH47" s="300"/>
      <c r="AK47" s="213"/>
      <c r="AL47" s="147"/>
      <c r="AM47" s="147"/>
      <c r="AN47" s="147"/>
      <c r="AO47" s="147"/>
      <c r="AP47" s="147"/>
      <c r="AR47" s="2">
        <f t="shared" si="24"/>
        <v>0</v>
      </c>
      <c r="AS47" s="2">
        <f t="shared" si="25"/>
        <v>0</v>
      </c>
      <c r="AT47" s="318">
        <f t="shared" si="26"/>
        <v>0</v>
      </c>
      <c r="AU47" s="2">
        <f t="shared" si="27"/>
        <v>0</v>
      </c>
      <c r="AV47" s="2">
        <f t="shared" si="28"/>
        <v>0</v>
      </c>
      <c r="AW47" s="318">
        <f t="shared" si="29"/>
        <v>0</v>
      </c>
      <c r="AX47" s="1">
        <f t="shared" si="17"/>
        <v>0</v>
      </c>
      <c r="AY47" s="1">
        <f t="shared" si="18"/>
        <v>0</v>
      </c>
      <c r="AZ47" s="1">
        <f t="shared" si="19"/>
        <v>0</v>
      </c>
      <c r="BA47" s="238">
        <f t="shared" si="20"/>
        <v>0</v>
      </c>
      <c r="BC47" s="2">
        <f t="shared" si="30"/>
        <v>0</v>
      </c>
      <c r="BD47" s="107">
        <f t="shared" si="31"/>
        <v>0</v>
      </c>
      <c r="BE47" s="73">
        <f t="shared" si="32"/>
        <v>0</v>
      </c>
      <c r="BG47" s="39">
        <f t="shared" si="21"/>
        <v>0</v>
      </c>
      <c r="BH47" s="73">
        <f t="shared" si="22"/>
        <v>0</v>
      </c>
    </row>
    <row r="48" spans="1:60" ht="15" customHeight="1" x14ac:dyDescent="0.25">
      <c r="B48" s="11">
        <v>39</v>
      </c>
      <c r="C48" s="201"/>
      <c r="D48" s="147"/>
      <c r="E48" s="211"/>
      <c r="F48" s="29"/>
      <c r="G48" s="35"/>
      <c r="H48" s="29"/>
      <c r="I48" s="11"/>
      <c r="J48" s="306"/>
      <c r="K48" s="75"/>
      <c r="L48" s="106"/>
      <c r="M48" s="42">
        <v>0</v>
      </c>
      <c r="N48" s="42">
        <v>0</v>
      </c>
      <c r="O48" s="42">
        <v>0</v>
      </c>
      <c r="P48" s="42">
        <v>0</v>
      </c>
      <c r="Q48" s="42">
        <v>0</v>
      </c>
      <c r="R48" s="42">
        <v>0</v>
      </c>
      <c r="S48" s="42">
        <v>0</v>
      </c>
      <c r="T48" s="42">
        <f t="shared" si="16"/>
        <v>0</v>
      </c>
      <c r="U48" s="220">
        <f t="shared" si="23"/>
        <v>0</v>
      </c>
      <c r="V48" s="200"/>
      <c r="W48" s="29"/>
      <c r="X48" s="29"/>
      <c r="Y48" s="29"/>
      <c r="Z48" s="29"/>
      <c r="AA48" s="29"/>
      <c r="AB48" s="29"/>
      <c r="AC48" s="129"/>
      <c r="AD48" s="129"/>
      <c r="AE48" s="129"/>
      <c r="AF48" s="129"/>
      <c r="AG48" s="300"/>
      <c r="AH48" s="300"/>
      <c r="AK48" s="213"/>
      <c r="AL48" s="147"/>
      <c r="AM48" s="147"/>
      <c r="AN48" s="147"/>
      <c r="AO48" s="147"/>
      <c r="AP48" s="147"/>
      <c r="AR48" s="2">
        <f t="shared" si="24"/>
        <v>0</v>
      </c>
      <c r="AS48" s="2">
        <f t="shared" si="25"/>
        <v>0</v>
      </c>
      <c r="AT48" s="318">
        <f t="shared" si="26"/>
        <v>0</v>
      </c>
      <c r="AU48" s="2">
        <f t="shared" si="27"/>
        <v>0</v>
      </c>
      <c r="AV48" s="2">
        <f t="shared" si="28"/>
        <v>0</v>
      </c>
      <c r="AW48" s="318">
        <f t="shared" si="29"/>
        <v>0</v>
      </c>
      <c r="AX48" s="1">
        <f t="shared" si="17"/>
        <v>0</v>
      </c>
      <c r="AY48" s="1">
        <f t="shared" si="18"/>
        <v>0</v>
      </c>
      <c r="AZ48" s="1">
        <f t="shared" si="19"/>
        <v>0</v>
      </c>
      <c r="BA48" s="238">
        <f t="shared" si="20"/>
        <v>0</v>
      </c>
      <c r="BC48" s="2">
        <f t="shared" si="30"/>
        <v>0</v>
      </c>
      <c r="BD48" s="107">
        <f t="shared" si="31"/>
        <v>0</v>
      </c>
      <c r="BE48" s="73">
        <f t="shared" si="32"/>
        <v>0</v>
      </c>
      <c r="BG48" s="39">
        <f t="shared" si="21"/>
        <v>0</v>
      </c>
      <c r="BH48" s="73">
        <f t="shared" si="22"/>
        <v>0</v>
      </c>
    </row>
    <row r="49" spans="2:62" ht="15" customHeight="1" x14ac:dyDescent="0.25">
      <c r="B49" s="11">
        <v>40</v>
      </c>
      <c r="C49" s="129"/>
      <c r="D49" s="147"/>
      <c r="E49" s="211"/>
      <c r="F49" s="29"/>
      <c r="G49" s="35"/>
      <c r="H49" s="29"/>
      <c r="I49" s="11"/>
      <c r="J49" s="306"/>
      <c r="K49" s="75"/>
      <c r="L49" s="106"/>
      <c r="M49" s="42">
        <v>0</v>
      </c>
      <c r="N49" s="42">
        <v>0</v>
      </c>
      <c r="O49" s="42">
        <v>0</v>
      </c>
      <c r="P49" s="42">
        <v>0</v>
      </c>
      <c r="Q49" s="42">
        <v>0</v>
      </c>
      <c r="R49" s="42">
        <v>0</v>
      </c>
      <c r="S49" s="42">
        <v>0</v>
      </c>
      <c r="T49" s="42">
        <f t="shared" si="16"/>
        <v>0</v>
      </c>
      <c r="U49" s="220">
        <f t="shared" si="23"/>
        <v>0</v>
      </c>
      <c r="V49" s="200"/>
      <c r="W49" s="29"/>
      <c r="X49" s="29"/>
      <c r="Y49" s="29"/>
      <c r="Z49" s="29"/>
      <c r="AA49" s="29"/>
      <c r="AB49" s="29"/>
      <c r="AC49" s="129"/>
      <c r="AD49" s="129"/>
      <c r="AE49" s="129"/>
      <c r="AF49" s="129"/>
      <c r="AG49" s="300"/>
      <c r="AH49" s="300"/>
      <c r="AK49" s="213"/>
      <c r="AL49" s="147"/>
      <c r="AM49" s="147"/>
      <c r="AN49" s="147"/>
      <c r="AO49" s="147"/>
      <c r="AP49" s="147"/>
      <c r="AR49" s="2">
        <f t="shared" si="24"/>
        <v>0</v>
      </c>
      <c r="AS49" s="2">
        <f t="shared" si="25"/>
        <v>0</v>
      </c>
      <c r="AT49" s="318">
        <f t="shared" si="26"/>
        <v>0</v>
      </c>
      <c r="AU49" s="2">
        <f t="shared" si="27"/>
        <v>0</v>
      </c>
      <c r="AV49" s="2">
        <f t="shared" si="28"/>
        <v>0</v>
      </c>
      <c r="AW49" s="318">
        <f t="shared" si="29"/>
        <v>0</v>
      </c>
      <c r="AX49" s="1">
        <f t="shared" si="17"/>
        <v>0</v>
      </c>
      <c r="AY49" s="1">
        <f t="shared" si="18"/>
        <v>0</v>
      </c>
      <c r="AZ49" s="1">
        <f t="shared" si="19"/>
        <v>0</v>
      </c>
      <c r="BA49" s="238">
        <f t="shared" si="20"/>
        <v>0</v>
      </c>
      <c r="BC49" s="2">
        <f t="shared" si="30"/>
        <v>0</v>
      </c>
      <c r="BD49" s="107">
        <f t="shared" si="31"/>
        <v>0</v>
      </c>
      <c r="BE49" s="73">
        <f t="shared" si="32"/>
        <v>0</v>
      </c>
      <c r="BG49" s="39">
        <f t="shared" si="21"/>
        <v>0</v>
      </c>
      <c r="BH49" s="73">
        <f t="shared" si="22"/>
        <v>0</v>
      </c>
    </row>
    <row r="50" spans="2:62" ht="15" customHeight="1" x14ac:dyDescent="0.25">
      <c r="B50" s="11">
        <v>41</v>
      </c>
      <c r="C50" s="129"/>
      <c r="D50" s="147"/>
      <c r="E50" s="211"/>
      <c r="F50" s="29"/>
      <c r="G50" s="35"/>
      <c r="H50" s="29"/>
      <c r="I50" s="11"/>
      <c r="J50" s="306"/>
      <c r="K50" s="75"/>
      <c r="L50" s="106"/>
      <c r="M50" s="42">
        <v>0</v>
      </c>
      <c r="N50" s="42">
        <v>0</v>
      </c>
      <c r="O50" s="42">
        <v>0</v>
      </c>
      <c r="P50" s="42">
        <v>0</v>
      </c>
      <c r="Q50" s="42">
        <v>0</v>
      </c>
      <c r="R50" s="42">
        <v>0</v>
      </c>
      <c r="S50" s="42">
        <v>0</v>
      </c>
      <c r="T50" s="42">
        <f t="shared" si="16"/>
        <v>0</v>
      </c>
      <c r="U50" s="220">
        <f t="shared" si="23"/>
        <v>0</v>
      </c>
      <c r="V50" s="200"/>
      <c r="W50" s="29"/>
      <c r="X50" s="29"/>
      <c r="Y50" s="29"/>
      <c r="Z50" s="29"/>
      <c r="AA50" s="29"/>
      <c r="AB50" s="29"/>
      <c r="AC50" s="129"/>
      <c r="AD50" s="129"/>
      <c r="AE50" s="129"/>
      <c r="AF50" s="129"/>
      <c r="AG50" s="300"/>
      <c r="AH50" s="300"/>
      <c r="AK50" s="213"/>
      <c r="AL50" s="147"/>
      <c r="AM50" s="147"/>
      <c r="AN50" s="147"/>
      <c r="AO50" s="147"/>
      <c r="AP50" s="147"/>
      <c r="AR50" s="2">
        <f t="shared" si="24"/>
        <v>0</v>
      </c>
      <c r="AS50" s="2">
        <f t="shared" si="25"/>
        <v>0</v>
      </c>
      <c r="AT50" s="318">
        <f t="shared" si="26"/>
        <v>0</v>
      </c>
      <c r="AU50" s="2">
        <f t="shared" si="27"/>
        <v>0</v>
      </c>
      <c r="AV50" s="2">
        <f t="shared" si="28"/>
        <v>0</v>
      </c>
      <c r="AW50" s="318">
        <f t="shared" si="29"/>
        <v>0</v>
      </c>
      <c r="AX50" s="1">
        <f t="shared" si="17"/>
        <v>0</v>
      </c>
      <c r="AY50" s="1">
        <f t="shared" si="18"/>
        <v>0</v>
      </c>
      <c r="AZ50" s="1">
        <f t="shared" si="19"/>
        <v>0</v>
      </c>
      <c r="BA50" s="238">
        <f t="shared" si="20"/>
        <v>0</v>
      </c>
      <c r="BC50" s="2">
        <f t="shared" si="30"/>
        <v>0</v>
      </c>
      <c r="BD50" s="107">
        <f t="shared" si="31"/>
        <v>0</v>
      </c>
      <c r="BE50" s="73">
        <f t="shared" si="32"/>
        <v>0</v>
      </c>
      <c r="BG50" s="39">
        <f t="shared" si="21"/>
        <v>0</v>
      </c>
      <c r="BH50" s="73">
        <f t="shared" si="22"/>
        <v>0</v>
      </c>
    </row>
    <row r="51" spans="2:62" ht="15" customHeight="1" x14ac:dyDescent="0.25">
      <c r="B51" s="11">
        <v>42</v>
      </c>
      <c r="C51" s="201"/>
      <c r="D51" s="147"/>
      <c r="E51" s="211"/>
      <c r="F51" s="29"/>
      <c r="G51" s="35"/>
      <c r="H51" s="29"/>
      <c r="I51" s="11"/>
      <c r="J51" s="306"/>
      <c r="K51" s="75"/>
      <c r="L51" s="106"/>
      <c r="M51" s="42">
        <v>0</v>
      </c>
      <c r="N51" s="42">
        <v>0</v>
      </c>
      <c r="O51" s="42">
        <v>0</v>
      </c>
      <c r="P51" s="42">
        <v>0</v>
      </c>
      <c r="Q51" s="42">
        <v>0</v>
      </c>
      <c r="R51" s="42">
        <v>0</v>
      </c>
      <c r="S51" s="42">
        <v>0</v>
      </c>
      <c r="T51" s="42">
        <f t="shared" si="16"/>
        <v>0</v>
      </c>
      <c r="U51" s="220">
        <f t="shared" si="23"/>
        <v>0</v>
      </c>
      <c r="V51" s="200"/>
      <c r="W51" s="29"/>
      <c r="X51" s="29"/>
      <c r="Y51" s="29"/>
      <c r="Z51" s="29"/>
      <c r="AA51" s="29"/>
      <c r="AB51" s="29"/>
      <c r="AC51" s="129"/>
      <c r="AD51" s="129"/>
      <c r="AE51" s="129"/>
      <c r="AF51" s="129"/>
      <c r="AG51" s="300"/>
      <c r="AH51" s="300"/>
      <c r="AK51" s="213"/>
      <c r="AL51" s="147"/>
      <c r="AM51" s="147"/>
      <c r="AN51" s="147"/>
      <c r="AO51" s="147"/>
      <c r="AP51" s="147"/>
      <c r="AR51" s="2">
        <f t="shared" si="24"/>
        <v>0</v>
      </c>
      <c r="AS51" s="2">
        <f t="shared" si="25"/>
        <v>0</v>
      </c>
      <c r="AT51" s="318">
        <f t="shared" si="26"/>
        <v>0</v>
      </c>
      <c r="AU51" s="2">
        <f t="shared" si="27"/>
        <v>0</v>
      </c>
      <c r="AV51" s="2">
        <f t="shared" si="28"/>
        <v>0</v>
      </c>
      <c r="AW51" s="318">
        <f t="shared" si="29"/>
        <v>0</v>
      </c>
      <c r="AX51" s="1">
        <f t="shared" si="17"/>
        <v>0</v>
      </c>
      <c r="AY51" s="1">
        <f t="shared" si="18"/>
        <v>0</v>
      </c>
      <c r="AZ51" s="1">
        <f t="shared" si="19"/>
        <v>0</v>
      </c>
      <c r="BA51" s="238">
        <f t="shared" si="20"/>
        <v>0</v>
      </c>
      <c r="BC51" s="2">
        <f t="shared" si="30"/>
        <v>0</v>
      </c>
      <c r="BD51" s="107">
        <f t="shared" si="31"/>
        <v>0</v>
      </c>
      <c r="BE51" s="73">
        <f t="shared" si="32"/>
        <v>0</v>
      </c>
      <c r="BG51" s="39">
        <f t="shared" si="21"/>
        <v>0</v>
      </c>
      <c r="BH51" s="73">
        <f t="shared" si="22"/>
        <v>0</v>
      </c>
    </row>
    <row r="52" spans="2:62" ht="15" customHeight="1" x14ac:dyDescent="0.25">
      <c r="B52" s="11">
        <v>43</v>
      </c>
      <c r="C52" s="129"/>
      <c r="D52" s="147"/>
      <c r="E52" s="211"/>
      <c r="F52" s="29"/>
      <c r="G52" s="35"/>
      <c r="H52" s="29"/>
      <c r="I52" s="11"/>
      <c r="J52" s="306"/>
      <c r="K52" s="75"/>
      <c r="L52" s="106"/>
      <c r="M52" s="42">
        <v>0</v>
      </c>
      <c r="N52" s="42">
        <v>0</v>
      </c>
      <c r="O52" s="42">
        <v>0</v>
      </c>
      <c r="P52" s="42">
        <v>0</v>
      </c>
      <c r="Q52" s="42">
        <v>0</v>
      </c>
      <c r="R52" s="42">
        <v>0</v>
      </c>
      <c r="S52" s="42">
        <v>0</v>
      </c>
      <c r="T52" s="42">
        <f t="shared" si="16"/>
        <v>0</v>
      </c>
      <c r="U52" s="220">
        <f t="shared" si="23"/>
        <v>0</v>
      </c>
      <c r="V52" s="200"/>
      <c r="W52" s="29"/>
      <c r="X52" s="29"/>
      <c r="Y52" s="29"/>
      <c r="Z52" s="29"/>
      <c r="AA52" s="29"/>
      <c r="AB52" s="29"/>
      <c r="AC52" s="129"/>
      <c r="AD52" s="129"/>
      <c r="AE52" s="129"/>
      <c r="AF52" s="129"/>
      <c r="AG52" s="300"/>
      <c r="AH52" s="300"/>
      <c r="AK52" s="213"/>
      <c r="AL52" s="147"/>
      <c r="AM52" s="147"/>
      <c r="AN52" s="147"/>
      <c r="AO52" s="147"/>
      <c r="AP52" s="147"/>
      <c r="AR52" s="2">
        <f t="shared" si="24"/>
        <v>0</v>
      </c>
      <c r="AS52" s="2">
        <f t="shared" si="25"/>
        <v>0</v>
      </c>
      <c r="AT52" s="318">
        <f t="shared" si="26"/>
        <v>0</v>
      </c>
      <c r="AU52" s="2">
        <f t="shared" si="27"/>
        <v>0</v>
      </c>
      <c r="AV52" s="2">
        <f t="shared" si="28"/>
        <v>0</v>
      </c>
      <c r="AW52" s="318">
        <f t="shared" si="29"/>
        <v>0</v>
      </c>
      <c r="AX52" s="1">
        <f t="shared" si="17"/>
        <v>0</v>
      </c>
      <c r="AY52" s="1">
        <f t="shared" si="18"/>
        <v>0</v>
      </c>
      <c r="AZ52" s="1">
        <f t="shared" si="19"/>
        <v>0</v>
      </c>
      <c r="BA52" s="238">
        <f t="shared" si="20"/>
        <v>0</v>
      </c>
      <c r="BC52" s="2">
        <f t="shared" si="30"/>
        <v>0</v>
      </c>
      <c r="BD52" s="107">
        <f t="shared" si="31"/>
        <v>0</v>
      </c>
      <c r="BE52" s="73">
        <f t="shared" si="32"/>
        <v>0</v>
      </c>
      <c r="BG52" s="39">
        <f t="shared" si="21"/>
        <v>0</v>
      </c>
      <c r="BH52" s="73">
        <f t="shared" si="22"/>
        <v>0</v>
      </c>
    </row>
    <row r="53" spans="2:62" ht="15" customHeight="1" x14ac:dyDescent="0.25">
      <c r="B53" s="11">
        <v>44</v>
      </c>
      <c r="C53" s="129"/>
      <c r="D53" s="147"/>
      <c r="E53" s="211"/>
      <c r="F53" s="29"/>
      <c r="G53" s="35"/>
      <c r="H53" s="29"/>
      <c r="I53" s="11"/>
      <c r="J53" s="306"/>
      <c r="K53" s="295"/>
      <c r="L53" s="106"/>
      <c r="M53" s="42">
        <v>0</v>
      </c>
      <c r="N53" s="42">
        <v>0</v>
      </c>
      <c r="O53" s="42">
        <v>0</v>
      </c>
      <c r="P53" s="42">
        <v>0</v>
      </c>
      <c r="Q53" s="42">
        <v>0</v>
      </c>
      <c r="R53" s="42">
        <v>0</v>
      </c>
      <c r="S53" s="42">
        <v>0</v>
      </c>
      <c r="T53" s="42">
        <f t="shared" si="16"/>
        <v>0</v>
      </c>
      <c r="U53" s="220">
        <f t="shared" si="23"/>
        <v>0</v>
      </c>
      <c r="V53" s="200"/>
      <c r="W53" s="29"/>
      <c r="X53" s="29"/>
      <c r="Y53" s="29"/>
      <c r="Z53" s="29"/>
      <c r="AA53" s="29"/>
      <c r="AB53" s="29"/>
      <c r="AC53" s="129"/>
      <c r="AD53" s="129"/>
      <c r="AE53" s="129"/>
      <c r="AF53" s="129"/>
      <c r="AG53" s="300"/>
      <c r="AH53" s="300"/>
      <c r="AK53" s="213"/>
      <c r="AL53" s="147"/>
      <c r="AM53" s="147"/>
      <c r="AN53" s="147"/>
      <c r="AO53" s="147"/>
      <c r="AP53" s="147"/>
      <c r="AR53" s="2">
        <f t="shared" si="24"/>
        <v>0</v>
      </c>
      <c r="AS53" s="2">
        <f t="shared" si="25"/>
        <v>0</v>
      </c>
      <c r="AT53" s="318">
        <f t="shared" si="26"/>
        <v>0</v>
      </c>
      <c r="AU53" s="2">
        <f t="shared" si="27"/>
        <v>0</v>
      </c>
      <c r="AV53" s="2">
        <f t="shared" si="28"/>
        <v>0</v>
      </c>
      <c r="AW53" s="318">
        <f t="shared" si="29"/>
        <v>0</v>
      </c>
      <c r="AX53" s="1">
        <f t="shared" si="17"/>
        <v>0</v>
      </c>
      <c r="AY53" s="1">
        <f t="shared" si="18"/>
        <v>0</v>
      </c>
      <c r="AZ53" s="1">
        <f t="shared" si="19"/>
        <v>0</v>
      </c>
      <c r="BA53" s="238">
        <f t="shared" si="20"/>
        <v>0</v>
      </c>
      <c r="BC53" s="2">
        <f t="shared" si="30"/>
        <v>0</v>
      </c>
      <c r="BD53" s="107">
        <f t="shared" si="31"/>
        <v>0</v>
      </c>
      <c r="BE53" s="73">
        <f t="shared" si="32"/>
        <v>0</v>
      </c>
      <c r="BG53" s="39">
        <f t="shared" si="21"/>
        <v>0</v>
      </c>
      <c r="BH53" s="73">
        <f t="shared" si="22"/>
        <v>0</v>
      </c>
    </row>
    <row r="54" spans="2:62" ht="15" customHeight="1" x14ac:dyDescent="0.25">
      <c r="B54" s="11">
        <v>45</v>
      </c>
      <c r="C54" s="129"/>
      <c r="D54" s="147"/>
      <c r="E54" s="211"/>
      <c r="F54" s="29"/>
      <c r="G54" s="35"/>
      <c r="H54" s="29"/>
      <c r="I54" s="11"/>
      <c r="J54" s="306"/>
      <c r="K54" s="75"/>
      <c r="L54" s="106"/>
      <c r="M54" s="42">
        <v>0</v>
      </c>
      <c r="N54" s="42">
        <v>0</v>
      </c>
      <c r="O54" s="42">
        <v>0</v>
      </c>
      <c r="P54" s="42">
        <v>0</v>
      </c>
      <c r="Q54" s="42">
        <v>0</v>
      </c>
      <c r="R54" s="42">
        <v>0</v>
      </c>
      <c r="S54" s="42">
        <v>0</v>
      </c>
      <c r="T54" s="42">
        <f t="shared" si="16"/>
        <v>0</v>
      </c>
      <c r="U54" s="220">
        <f t="shared" si="23"/>
        <v>0</v>
      </c>
      <c r="V54" s="200"/>
      <c r="W54" s="29"/>
      <c r="X54" s="29"/>
      <c r="Y54" s="29"/>
      <c r="Z54" s="29"/>
      <c r="AA54" s="29"/>
      <c r="AB54" s="29"/>
      <c r="AC54" s="129"/>
      <c r="AD54" s="129"/>
      <c r="AE54" s="129"/>
      <c r="AF54" s="129"/>
      <c r="AG54" s="300"/>
      <c r="AH54" s="300"/>
      <c r="AK54" s="213"/>
      <c r="AL54" s="147"/>
      <c r="AM54" s="147"/>
      <c r="AN54" s="147"/>
      <c r="AO54" s="147"/>
      <c r="AP54" s="147"/>
      <c r="AR54" s="2">
        <f t="shared" si="24"/>
        <v>0</v>
      </c>
      <c r="AS54" s="2">
        <f t="shared" si="25"/>
        <v>0</v>
      </c>
      <c r="AT54" s="318">
        <f t="shared" si="26"/>
        <v>0</v>
      </c>
      <c r="AU54" s="2">
        <f t="shared" si="27"/>
        <v>0</v>
      </c>
      <c r="AV54" s="2">
        <f t="shared" si="28"/>
        <v>0</v>
      </c>
      <c r="AW54" s="318">
        <f t="shared" si="29"/>
        <v>0</v>
      </c>
      <c r="AX54" s="1">
        <f t="shared" si="17"/>
        <v>0</v>
      </c>
      <c r="AY54" s="1">
        <f t="shared" si="18"/>
        <v>0</v>
      </c>
      <c r="AZ54" s="1">
        <f t="shared" si="19"/>
        <v>0</v>
      </c>
      <c r="BA54" s="238">
        <f t="shared" si="20"/>
        <v>0</v>
      </c>
      <c r="BC54" s="2">
        <f t="shared" si="30"/>
        <v>0</v>
      </c>
      <c r="BD54" s="107">
        <f t="shared" si="31"/>
        <v>0</v>
      </c>
      <c r="BE54" s="73">
        <f t="shared" si="32"/>
        <v>0</v>
      </c>
      <c r="BG54" s="39">
        <f t="shared" si="21"/>
        <v>0</v>
      </c>
      <c r="BH54" s="73">
        <f t="shared" si="22"/>
        <v>0</v>
      </c>
    </row>
    <row r="55" spans="2:62" ht="15" customHeight="1" x14ac:dyDescent="0.25">
      <c r="B55" s="11">
        <v>46</v>
      </c>
      <c r="C55" s="129"/>
      <c r="D55" s="147"/>
      <c r="E55" s="211"/>
      <c r="F55" s="29"/>
      <c r="G55" s="35"/>
      <c r="H55" s="29"/>
      <c r="I55" s="11"/>
      <c r="J55" s="306"/>
      <c r="K55" s="75"/>
      <c r="L55" s="106"/>
      <c r="M55" s="42">
        <v>0</v>
      </c>
      <c r="N55" s="42">
        <v>0</v>
      </c>
      <c r="O55" s="42">
        <v>0</v>
      </c>
      <c r="P55" s="42">
        <v>0</v>
      </c>
      <c r="Q55" s="42">
        <v>0</v>
      </c>
      <c r="R55" s="42">
        <v>0</v>
      </c>
      <c r="S55" s="42">
        <v>0</v>
      </c>
      <c r="T55" s="42">
        <f t="shared" si="16"/>
        <v>0</v>
      </c>
      <c r="U55" s="220">
        <f t="shared" si="23"/>
        <v>0</v>
      </c>
      <c r="V55" s="200"/>
      <c r="W55" s="29"/>
      <c r="X55" s="29"/>
      <c r="Y55" s="29"/>
      <c r="Z55" s="29"/>
      <c r="AA55" s="29"/>
      <c r="AB55" s="29"/>
      <c r="AC55" s="129"/>
      <c r="AD55" s="129"/>
      <c r="AE55" s="129"/>
      <c r="AF55" s="129"/>
      <c r="AG55" s="300"/>
      <c r="AH55" s="300"/>
      <c r="AK55" s="213"/>
      <c r="AL55" s="147"/>
      <c r="AM55" s="147"/>
      <c r="AN55" s="147"/>
      <c r="AO55" s="147"/>
      <c r="AP55" s="147"/>
      <c r="AR55" s="2">
        <f t="shared" si="24"/>
        <v>0</v>
      </c>
      <c r="AS55" s="2">
        <f t="shared" si="25"/>
        <v>0</v>
      </c>
      <c r="AT55" s="318">
        <f t="shared" si="26"/>
        <v>0</v>
      </c>
      <c r="AU55" s="2">
        <f t="shared" si="27"/>
        <v>0</v>
      </c>
      <c r="AV55" s="2">
        <f t="shared" si="28"/>
        <v>0</v>
      </c>
      <c r="AW55" s="318">
        <f t="shared" si="29"/>
        <v>0</v>
      </c>
      <c r="AX55" s="1">
        <f t="shared" si="17"/>
        <v>0</v>
      </c>
      <c r="AY55" s="1">
        <f t="shared" si="18"/>
        <v>0</v>
      </c>
      <c r="AZ55" s="1">
        <f t="shared" si="19"/>
        <v>0</v>
      </c>
      <c r="BA55" s="238">
        <f t="shared" si="20"/>
        <v>0</v>
      </c>
      <c r="BC55" s="2">
        <f t="shared" si="30"/>
        <v>0</v>
      </c>
      <c r="BD55" s="107">
        <f t="shared" si="31"/>
        <v>0</v>
      </c>
      <c r="BE55" s="73">
        <f t="shared" si="32"/>
        <v>0</v>
      </c>
      <c r="BG55" s="39">
        <f t="shared" si="21"/>
        <v>0</v>
      </c>
      <c r="BH55" s="73">
        <f t="shared" si="22"/>
        <v>0</v>
      </c>
    </row>
    <row r="56" spans="2:62" ht="15" customHeight="1" x14ac:dyDescent="0.25">
      <c r="B56" s="11">
        <v>47</v>
      </c>
      <c r="C56" s="201"/>
      <c r="D56" s="147"/>
      <c r="E56" s="211"/>
      <c r="F56" s="29"/>
      <c r="G56" s="35"/>
      <c r="H56" s="29"/>
      <c r="I56" s="11"/>
      <c r="J56" s="306"/>
      <c r="K56" s="75"/>
      <c r="L56" s="106"/>
      <c r="M56" s="42">
        <v>0</v>
      </c>
      <c r="N56" s="42">
        <v>0</v>
      </c>
      <c r="O56" s="42">
        <v>0</v>
      </c>
      <c r="P56" s="42">
        <v>0</v>
      </c>
      <c r="Q56" s="42">
        <v>0</v>
      </c>
      <c r="R56" s="42">
        <v>0</v>
      </c>
      <c r="S56" s="42">
        <v>0</v>
      </c>
      <c r="T56" s="42">
        <f t="shared" si="16"/>
        <v>0</v>
      </c>
      <c r="U56" s="220">
        <f t="shared" si="23"/>
        <v>0</v>
      </c>
      <c r="V56" s="200"/>
      <c r="W56" s="29"/>
      <c r="X56" s="29"/>
      <c r="Y56" s="29"/>
      <c r="Z56" s="29"/>
      <c r="AA56" s="29"/>
      <c r="AB56" s="29"/>
      <c r="AC56" s="129"/>
      <c r="AD56" s="129"/>
      <c r="AE56" s="129"/>
      <c r="AF56" s="129"/>
      <c r="AG56" s="300"/>
      <c r="AH56" s="300"/>
      <c r="AK56" s="213"/>
      <c r="AL56" s="147"/>
      <c r="AM56" s="147"/>
      <c r="AN56" s="147"/>
      <c r="AO56" s="147"/>
      <c r="AP56" s="147"/>
      <c r="AR56" s="2">
        <f t="shared" si="24"/>
        <v>0</v>
      </c>
      <c r="AS56" s="2">
        <f t="shared" si="25"/>
        <v>0</v>
      </c>
      <c r="AT56" s="318">
        <f t="shared" si="26"/>
        <v>0</v>
      </c>
      <c r="AU56" s="2">
        <f t="shared" si="27"/>
        <v>0</v>
      </c>
      <c r="AV56" s="2">
        <f t="shared" si="28"/>
        <v>0</v>
      </c>
      <c r="AW56" s="318">
        <f t="shared" si="29"/>
        <v>0</v>
      </c>
      <c r="AX56" s="1">
        <f t="shared" si="17"/>
        <v>0</v>
      </c>
      <c r="AY56" s="1">
        <f t="shared" si="18"/>
        <v>0</v>
      </c>
      <c r="AZ56" s="1">
        <f t="shared" si="19"/>
        <v>0</v>
      </c>
      <c r="BA56" s="238">
        <f t="shared" si="20"/>
        <v>0</v>
      </c>
      <c r="BC56" s="2">
        <f t="shared" si="30"/>
        <v>0</v>
      </c>
      <c r="BD56" s="107">
        <f t="shared" si="31"/>
        <v>0</v>
      </c>
      <c r="BE56" s="73">
        <f t="shared" si="32"/>
        <v>0</v>
      </c>
      <c r="BG56" s="39">
        <f t="shared" si="21"/>
        <v>0</v>
      </c>
      <c r="BH56" s="73">
        <f t="shared" si="22"/>
        <v>0</v>
      </c>
    </row>
    <row r="57" spans="2:62" ht="15" customHeight="1" x14ac:dyDescent="0.25">
      <c r="B57" s="11">
        <v>48</v>
      </c>
      <c r="C57" s="129"/>
      <c r="D57" s="147"/>
      <c r="E57" s="211"/>
      <c r="F57" s="29"/>
      <c r="G57" s="35"/>
      <c r="H57" s="29"/>
      <c r="I57" s="11"/>
      <c r="J57" s="306"/>
      <c r="K57" s="75"/>
      <c r="L57" s="106"/>
      <c r="M57" s="42">
        <v>0</v>
      </c>
      <c r="N57" s="42">
        <v>0</v>
      </c>
      <c r="O57" s="42">
        <v>0</v>
      </c>
      <c r="P57" s="42">
        <v>0</v>
      </c>
      <c r="Q57" s="42">
        <v>0</v>
      </c>
      <c r="R57" s="42">
        <v>0</v>
      </c>
      <c r="S57" s="42">
        <v>0</v>
      </c>
      <c r="T57" s="42">
        <f t="shared" si="16"/>
        <v>0</v>
      </c>
      <c r="U57" s="220">
        <f t="shared" si="23"/>
        <v>0</v>
      </c>
      <c r="V57" s="200"/>
      <c r="W57" s="29"/>
      <c r="X57" s="29"/>
      <c r="Y57" s="29"/>
      <c r="Z57" s="29"/>
      <c r="AA57" s="29"/>
      <c r="AB57" s="29"/>
      <c r="AC57" s="129"/>
      <c r="AD57" s="129"/>
      <c r="AE57" s="129"/>
      <c r="AF57" s="129"/>
      <c r="AG57" s="300"/>
      <c r="AH57" s="300"/>
      <c r="AK57" s="213"/>
      <c r="AL57" s="147"/>
      <c r="AM57" s="147"/>
      <c r="AN57" s="147"/>
      <c r="AO57" s="147"/>
      <c r="AP57" s="147"/>
      <c r="AR57" s="2">
        <f t="shared" si="24"/>
        <v>0</v>
      </c>
      <c r="AS57" s="2">
        <f t="shared" si="25"/>
        <v>0</v>
      </c>
      <c r="AT57" s="318">
        <f t="shared" si="26"/>
        <v>0</v>
      </c>
      <c r="AU57" s="2">
        <f t="shared" si="27"/>
        <v>0</v>
      </c>
      <c r="AV57" s="2">
        <f t="shared" si="28"/>
        <v>0</v>
      </c>
      <c r="AW57" s="318">
        <f t="shared" si="29"/>
        <v>0</v>
      </c>
      <c r="AX57" s="1">
        <f t="shared" si="17"/>
        <v>0</v>
      </c>
      <c r="AY57" s="1">
        <f t="shared" si="18"/>
        <v>0</v>
      </c>
      <c r="AZ57" s="1">
        <f t="shared" si="19"/>
        <v>0</v>
      </c>
      <c r="BA57" s="238">
        <f t="shared" si="20"/>
        <v>0</v>
      </c>
      <c r="BC57" s="2">
        <f t="shared" si="30"/>
        <v>0</v>
      </c>
      <c r="BD57" s="107">
        <f t="shared" si="31"/>
        <v>0</v>
      </c>
      <c r="BE57" s="73">
        <f t="shared" si="32"/>
        <v>0</v>
      </c>
      <c r="BG57" s="39">
        <f t="shared" si="21"/>
        <v>0</v>
      </c>
      <c r="BH57" s="73">
        <f t="shared" si="22"/>
        <v>0</v>
      </c>
    </row>
    <row r="58" spans="2:62" ht="15" customHeight="1" x14ac:dyDescent="0.25">
      <c r="B58" s="11">
        <v>49</v>
      </c>
      <c r="C58" s="129"/>
      <c r="D58" s="147"/>
      <c r="E58" s="211"/>
      <c r="F58" s="29"/>
      <c r="G58" s="35"/>
      <c r="H58" s="29"/>
      <c r="I58" s="11"/>
      <c r="J58" s="306"/>
      <c r="K58" s="295"/>
      <c r="L58" s="106"/>
      <c r="M58" s="42">
        <v>0</v>
      </c>
      <c r="N58" s="42">
        <v>0</v>
      </c>
      <c r="O58" s="42">
        <v>0</v>
      </c>
      <c r="P58" s="42">
        <v>0</v>
      </c>
      <c r="Q58" s="42">
        <v>0</v>
      </c>
      <c r="R58" s="42">
        <v>0</v>
      </c>
      <c r="S58" s="42">
        <v>0</v>
      </c>
      <c r="T58" s="42">
        <f t="shared" si="16"/>
        <v>0</v>
      </c>
      <c r="U58" s="220">
        <f t="shared" si="23"/>
        <v>0</v>
      </c>
      <c r="V58" s="200"/>
      <c r="W58" s="29"/>
      <c r="X58" s="29"/>
      <c r="Y58" s="29"/>
      <c r="Z58" s="29"/>
      <c r="AA58" s="29"/>
      <c r="AB58" s="29"/>
      <c r="AC58" s="129"/>
      <c r="AD58" s="129"/>
      <c r="AE58" s="129"/>
      <c r="AF58" s="129"/>
      <c r="AG58" s="300"/>
      <c r="AH58" s="300"/>
      <c r="AK58" s="213"/>
      <c r="AL58" s="147"/>
      <c r="AM58" s="147"/>
      <c r="AN58" s="147"/>
      <c r="AO58" s="147"/>
      <c r="AP58" s="147"/>
      <c r="AR58" s="2">
        <f t="shared" si="24"/>
        <v>0</v>
      </c>
      <c r="AS58" s="2">
        <f t="shared" si="25"/>
        <v>0</v>
      </c>
      <c r="AT58" s="318">
        <f t="shared" si="26"/>
        <v>0</v>
      </c>
      <c r="AU58" s="2">
        <f t="shared" si="27"/>
        <v>0</v>
      </c>
      <c r="AV58" s="2">
        <f t="shared" si="28"/>
        <v>0</v>
      </c>
      <c r="AW58" s="318">
        <f t="shared" si="29"/>
        <v>0</v>
      </c>
      <c r="AX58" s="1">
        <f t="shared" si="17"/>
        <v>0</v>
      </c>
      <c r="AY58" s="1">
        <f t="shared" si="18"/>
        <v>0</v>
      </c>
      <c r="AZ58" s="1">
        <f t="shared" si="19"/>
        <v>0</v>
      </c>
      <c r="BA58" s="238">
        <f t="shared" si="20"/>
        <v>0</v>
      </c>
      <c r="BC58" s="2">
        <f t="shared" si="30"/>
        <v>0</v>
      </c>
      <c r="BD58" s="107">
        <f t="shared" si="31"/>
        <v>0</v>
      </c>
      <c r="BE58" s="73">
        <f t="shared" si="32"/>
        <v>0</v>
      </c>
      <c r="BG58" s="39">
        <f t="shared" si="21"/>
        <v>0</v>
      </c>
      <c r="BH58" s="73">
        <f t="shared" si="22"/>
        <v>0</v>
      </c>
    </row>
    <row r="59" spans="2:62" x14ac:dyDescent="0.25">
      <c r="B59" s="11"/>
      <c r="C59" s="129"/>
      <c r="D59" s="78"/>
      <c r="E59" s="211"/>
      <c r="F59" s="29"/>
      <c r="G59" s="35"/>
      <c r="H59" s="29"/>
      <c r="I59" s="11"/>
      <c r="J59" s="306"/>
      <c r="K59" s="295"/>
      <c r="L59" s="106"/>
      <c r="M59" s="42"/>
      <c r="N59" s="42"/>
      <c r="O59" s="42"/>
      <c r="P59" s="42"/>
      <c r="Q59" s="42"/>
      <c r="R59" s="42"/>
      <c r="S59" s="42"/>
      <c r="T59" s="42"/>
      <c r="U59" s="220"/>
      <c r="V59" s="200"/>
      <c r="W59" s="29"/>
      <c r="X59" s="29"/>
      <c r="Y59" s="29"/>
      <c r="Z59" s="29"/>
      <c r="AA59" s="29"/>
      <c r="AB59" s="29"/>
      <c r="AC59" s="129"/>
      <c r="AD59" s="129"/>
      <c r="AE59" s="129"/>
      <c r="AF59" s="129"/>
      <c r="AG59" s="296"/>
      <c r="AH59" s="296"/>
      <c r="AK59" s="35"/>
      <c r="AL59" s="78"/>
      <c r="AM59" s="78"/>
      <c r="AN59" s="78"/>
      <c r="AO59" s="78"/>
      <c r="AP59" s="78"/>
      <c r="AR59" s="2">
        <f t="shared" si="24"/>
        <v>0</v>
      </c>
      <c r="AS59" s="2">
        <f t="shared" si="25"/>
        <v>0</v>
      </c>
      <c r="AT59" s="318">
        <f t="shared" si="26"/>
        <v>0</v>
      </c>
      <c r="AU59" s="2">
        <f t="shared" si="27"/>
        <v>0</v>
      </c>
      <c r="AV59" s="2">
        <f t="shared" si="28"/>
        <v>0</v>
      </c>
      <c r="AW59" s="318">
        <f t="shared" si="29"/>
        <v>0</v>
      </c>
      <c r="AX59" s="1">
        <f t="shared" si="17"/>
        <v>0</v>
      </c>
      <c r="AY59" s="1">
        <f t="shared" si="18"/>
        <v>0</v>
      </c>
      <c r="AZ59" s="1">
        <f t="shared" si="19"/>
        <v>0</v>
      </c>
      <c r="BA59" s="238">
        <f t="shared" si="20"/>
        <v>0</v>
      </c>
      <c r="BC59" s="2"/>
      <c r="BD59" s="2"/>
      <c r="BE59" s="73">
        <f t="shared" si="32"/>
        <v>0</v>
      </c>
      <c r="BG59" s="39">
        <f t="shared" si="21"/>
        <v>0</v>
      </c>
      <c r="BH59" s="73">
        <f t="shared" si="22"/>
        <v>0</v>
      </c>
    </row>
    <row r="60" spans="2:62" x14ac:dyDescent="0.25">
      <c r="B60" s="55"/>
      <c r="C60" s="19" t="s">
        <v>21</v>
      </c>
      <c r="D60" s="19" t="s">
        <v>21</v>
      </c>
      <c r="E60" s="19" t="s">
        <v>21</v>
      </c>
      <c r="F60" s="19"/>
      <c r="G60" s="53"/>
      <c r="H60" s="19"/>
      <c r="I60" s="55"/>
      <c r="J60" s="307"/>
      <c r="K60" s="97"/>
      <c r="L60" s="130"/>
      <c r="M60" s="3">
        <f t="shared" ref="M60:T60" si="33">SUBTOTAL(9,M9:M59)</f>
        <v>0</v>
      </c>
      <c r="N60" s="3">
        <f t="shared" si="33"/>
        <v>0</v>
      </c>
      <c r="O60" s="3">
        <f t="shared" si="33"/>
        <v>0</v>
      </c>
      <c r="P60" s="3">
        <f t="shared" si="33"/>
        <v>0</v>
      </c>
      <c r="Q60" s="3">
        <f t="shared" si="33"/>
        <v>0</v>
      </c>
      <c r="R60" s="3">
        <f t="shared" si="33"/>
        <v>0</v>
      </c>
      <c r="S60" s="3">
        <f t="shared" ref="S60" si="34">SUBTOTAL(9,S9:S59)</f>
        <v>0</v>
      </c>
      <c r="T60" s="3">
        <f t="shared" si="33"/>
        <v>0</v>
      </c>
      <c r="U60" s="220"/>
      <c r="V60" s="19" t="s">
        <v>21</v>
      </c>
      <c r="W60" s="19" t="s">
        <v>21</v>
      </c>
      <c r="X60" s="19" t="s">
        <v>21</v>
      </c>
      <c r="Y60" s="19" t="s">
        <v>21</v>
      </c>
      <c r="Z60" s="19" t="s">
        <v>21</v>
      </c>
      <c r="AA60" s="19" t="s">
        <v>21</v>
      </c>
      <c r="AB60" s="19" t="s">
        <v>21</v>
      </c>
      <c r="AC60" s="19" t="s">
        <v>21</v>
      </c>
      <c r="AD60" s="19" t="s">
        <v>21</v>
      </c>
      <c r="AE60" s="19" t="s">
        <v>21</v>
      </c>
      <c r="AF60" s="19" t="s">
        <v>21</v>
      </c>
      <c r="AG60" s="19" t="s">
        <v>21</v>
      </c>
      <c r="AH60" s="109"/>
      <c r="AK60" s="19" t="s">
        <v>21</v>
      </c>
      <c r="AL60" s="19" t="s">
        <v>21</v>
      </c>
      <c r="AM60" s="19" t="s">
        <v>21</v>
      </c>
      <c r="AN60" s="19" t="s">
        <v>21</v>
      </c>
      <c r="AO60" s="19" t="s">
        <v>21</v>
      </c>
      <c r="AP60" s="109"/>
      <c r="AX60" s="294">
        <f t="shared" ref="AX60:AZ60" si="35">SUBTOTAL(9,AX9:AX59)</f>
        <v>0</v>
      </c>
      <c r="AY60" s="294">
        <f t="shared" si="35"/>
        <v>0</v>
      </c>
      <c r="AZ60" s="294">
        <f t="shared" si="35"/>
        <v>0</v>
      </c>
      <c r="BA60" s="294">
        <f>SUBTOTAL(9,BA9:BA59)</f>
        <v>0</v>
      </c>
      <c r="BC60" s="2"/>
      <c r="BD60" s="2"/>
      <c r="BE60" s="73">
        <f t="shared" si="32"/>
        <v>0</v>
      </c>
      <c r="BG60" s="39">
        <f>SUM(BG9:BG59)</f>
        <v>0</v>
      </c>
      <c r="BH60" s="73">
        <f t="shared" si="22"/>
        <v>0</v>
      </c>
    </row>
    <row r="61" spans="2:62" x14ac:dyDescent="0.25">
      <c r="B61" s="9"/>
      <c r="C61" s="37"/>
      <c r="F61" s="108"/>
      <c r="G61" s="43"/>
      <c r="H61" s="108"/>
      <c r="I61" s="9"/>
      <c r="K61" s="96"/>
      <c r="L61" s="28"/>
      <c r="M61" s="52"/>
      <c r="R61" s="43"/>
      <c r="S61" s="43"/>
      <c r="T61" s="43"/>
      <c r="V61" s="72"/>
      <c r="W61" s="43"/>
      <c r="AC61" s="109"/>
      <c r="AD61" s="109"/>
      <c r="AE61" s="109"/>
      <c r="AF61" s="109"/>
      <c r="AG61"/>
      <c r="AH61"/>
      <c r="AK61"/>
    </row>
    <row r="62" spans="2:62" x14ac:dyDescent="0.25">
      <c r="B62" s="9"/>
      <c r="D62" s="8"/>
      <c r="F62"/>
      <c r="H62" s="39"/>
      <c r="I62" s="9"/>
      <c r="K62" s="96"/>
      <c r="L62" s="27"/>
      <c r="M62" s="39"/>
      <c r="AG62" s="57"/>
      <c r="AH62" s="57"/>
    </row>
    <row r="63" spans="2:62" ht="15.75" thickBot="1" x14ac:dyDescent="0.3">
      <c r="B63" s="9"/>
      <c r="D63" s="8"/>
      <c r="F63" s="4"/>
      <c r="G63" s="270"/>
      <c r="H63" s="270"/>
      <c r="I63" s="9"/>
      <c r="J63" s="308"/>
      <c r="K63" s="98"/>
      <c r="L63" s="27"/>
      <c r="M63" s="24">
        <f t="shared" ref="M63:T63" si="36">SUM(M9:M59)</f>
        <v>0</v>
      </c>
      <c r="N63" s="24">
        <f t="shared" si="36"/>
        <v>0</v>
      </c>
      <c r="O63" s="24">
        <f t="shared" si="36"/>
        <v>0</v>
      </c>
      <c r="P63" s="24">
        <f t="shared" si="36"/>
        <v>0</v>
      </c>
      <c r="Q63" s="24">
        <f t="shared" si="36"/>
        <v>0</v>
      </c>
      <c r="R63" s="24">
        <f t="shared" si="36"/>
        <v>0</v>
      </c>
      <c r="S63" s="24">
        <f t="shared" ref="S63" si="37">SUM(S9:S59)</f>
        <v>0</v>
      </c>
      <c r="T63" s="24">
        <f t="shared" si="36"/>
        <v>0</v>
      </c>
      <c r="U63" s="182"/>
      <c r="W63" s="15"/>
      <c r="X63" s="15"/>
      <c r="Y63" s="15"/>
      <c r="Z63" s="15"/>
      <c r="AA63" s="15"/>
      <c r="AB63" s="15"/>
      <c r="AC63" s="15"/>
      <c r="AD63" s="15"/>
      <c r="AE63" s="15"/>
      <c r="AF63" s="15"/>
      <c r="AG63" s="57"/>
      <c r="AH63" s="57"/>
      <c r="AZ63" s="93">
        <f>SUM(AX9:AX59)</f>
        <v>0</v>
      </c>
      <c r="BA63" s="93">
        <f>SUM(AY9:AY59)</f>
        <v>0</v>
      </c>
      <c r="BE63" s="93">
        <f>SUM(AZ9:AZ59)</f>
        <v>0</v>
      </c>
      <c r="BF63" s="93">
        <f>SUM(BA9:BA59)</f>
        <v>0</v>
      </c>
      <c r="BG63" s="73">
        <f>BF63-T63+Q63+P63</f>
        <v>0</v>
      </c>
      <c r="BI63" s="93">
        <f>SUM(BG9:BG59)</f>
        <v>0</v>
      </c>
      <c r="BJ63" s="73">
        <f>BI63-Q63-P63</f>
        <v>0</v>
      </c>
    </row>
    <row r="64" spans="2:62" ht="15.75" thickTop="1" x14ac:dyDescent="0.25">
      <c r="C64" s="71"/>
      <c r="D64" s="15"/>
      <c r="E64" s="15"/>
      <c r="F64" s="43"/>
      <c r="G64" s="43"/>
      <c r="H64" s="43"/>
      <c r="M64" s="28"/>
      <c r="T64" s="43"/>
      <c r="V64" s="8"/>
      <c r="W64"/>
      <c r="AG64" s="71"/>
      <c r="AH64" s="71"/>
      <c r="AK64" s="15"/>
    </row>
    <row r="65" spans="2:42" x14ac:dyDescent="0.25">
      <c r="D65" s="8"/>
      <c r="E65" s="8"/>
      <c r="F65" s="39"/>
      <c r="H65" s="39"/>
      <c r="W65"/>
      <c r="AG65" s="57"/>
      <c r="AH65" s="57"/>
      <c r="AK65" s="57"/>
      <c r="AL65" s="8"/>
      <c r="AN65" s="8"/>
    </row>
    <row r="66" spans="2:42" x14ac:dyDescent="0.25">
      <c r="D66" s="8"/>
      <c r="E66" s="8"/>
      <c r="F66" s="39"/>
      <c r="H66" s="39"/>
      <c r="AG66" s="57"/>
      <c r="AH66" s="57"/>
      <c r="AK66" s="57"/>
      <c r="AL66" s="8"/>
      <c r="AN66" s="8"/>
    </row>
    <row r="67" spans="2:42" x14ac:dyDescent="0.25">
      <c r="D67" s="8"/>
      <c r="E67" s="8"/>
      <c r="G67" s="8"/>
      <c r="H67" s="27"/>
      <c r="I67" s="43"/>
      <c r="J67" s="43"/>
      <c r="K67" s="39"/>
      <c r="M67" s="463" t="s">
        <v>351</v>
      </c>
      <c r="N67" s="455"/>
      <c r="O67" s="455"/>
      <c r="P67" s="455"/>
      <c r="Q67" s="455"/>
      <c r="R67" s="456"/>
      <c r="S67" s="697"/>
      <c r="T67" s="8"/>
    </row>
    <row r="68" spans="2:42" ht="15.75" thickBot="1" x14ac:dyDescent="0.3">
      <c r="B68" s="467" t="s">
        <v>407</v>
      </c>
      <c r="C68" s="468" t="s">
        <v>372</v>
      </c>
      <c r="D68" s="468" t="s">
        <v>356</v>
      </c>
      <c r="E68" s="468" t="s">
        <v>355</v>
      </c>
      <c r="F68" s="468" t="s">
        <v>412</v>
      </c>
      <c r="G68" s="468" t="s">
        <v>78</v>
      </c>
      <c r="H68" s="468" t="s">
        <v>79</v>
      </c>
      <c r="M68" s="457" t="s">
        <v>352</v>
      </c>
      <c r="N68" s="139" t="s">
        <v>412</v>
      </c>
      <c r="O68" s="16" t="s">
        <v>353</v>
      </c>
      <c r="P68" s="84" t="s">
        <v>354</v>
      </c>
      <c r="Q68" s="92" t="s">
        <v>356</v>
      </c>
      <c r="R68" s="224" t="s">
        <v>355</v>
      </c>
      <c r="S68" s="698"/>
      <c r="T68" s="43"/>
    </row>
    <row r="69" spans="2:42" x14ac:dyDescent="0.25">
      <c r="B69" s="8" t="s">
        <v>41</v>
      </c>
      <c r="C69" s="51">
        <f>SUMIFS($T$9:$T$59,$AP$9:$AP$59,$B69)</f>
        <v>0</v>
      </c>
      <c r="D69" s="479">
        <f>SUMIFS($BA$9:$BA$59,$AP$9:$AP$59,$B69,$C$9:$C$59,D$68)</f>
        <v>0</v>
      </c>
      <c r="E69" s="479">
        <f>SUMIFS($BA$9:$BA$59,$AP$9:$AP$59,$B69,$C$9:$C$59,E$68)</f>
        <v>0</v>
      </c>
      <c r="F69" s="39">
        <f>SUMIFS($BA$9:$BA$59,$AP$9:$AP$59,$B69,$C$9:$C$59,F$68)</f>
        <v>0</v>
      </c>
      <c r="G69" s="39">
        <f>SUMIFS($BA$9:$BA$59,$AP$9:$AP$59,$B69,$C$9:$C$59,G$68)</f>
        <v>0</v>
      </c>
      <c r="H69" s="39">
        <f>C69-(D69+E69+F69+G69)</f>
        <v>0</v>
      </c>
      <c r="M69" s="123">
        <f t="shared" ref="M69:R69" si="38">SUMIF($C$9:$C$59,M68,$BA$9:$BA$59)</f>
        <v>0</v>
      </c>
      <c r="N69" s="123">
        <f t="shared" si="38"/>
        <v>0</v>
      </c>
      <c r="O69" s="123">
        <f t="shared" si="38"/>
        <v>0</v>
      </c>
      <c r="P69" s="123">
        <f t="shared" si="38"/>
        <v>0</v>
      </c>
      <c r="Q69" s="123">
        <f t="shared" si="38"/>
        <v>0</v>
      </c>
      <c r="R69" s="123">
        <f t="shared" si="38"/>
        <v>0</v>
      </c>
      <c r="S69" s="302"/>
      <c r="T69" s="87">
        <f>SUM(M69:R69)</f>
        <v>0</v>
      </c>
    </row>
    <row r="70" spans="2:42" x14ac:dyDescent="0.25">
      <c r="B70" s="8" t="s">
        <v>413</v>
      </c>
      <c r="C70" s="51">
        <f>SUMIFS($T$9:$T$59,$AP$9:$AP$59,$B70)</f>
        <v>0</v>
      </c>
      <c r="D70" s="479">
        <f t="shared" ref="D70:D71" si="39">SUMIFS($BA$9:$BA$59,$AP$9:$AP$59,$B70,$C$9:$C$59,D$68)</f>
        <v>0</v>
      </c>
      <c r="E70" s="479">
        <f t="shared" ref="E70:G71" si="40">SUMIFS($BA$9:$BA$59,$AP$9:$AP$59,$B70,$C$9:$C$59,E$68)</f>
        <v>0</v>
      </c>
      <c r="F70" s="39">
        <f t="shared" si="40"/>
        <v>0</v>
      </c>
      <c r="G70" s="39">
        <f t="shared" si="40"/>
        <v>0</v>
      </c>
      <c r="H70" s="39">
        <f t="shared" ref="H70:H72" si="41">C70-(D70+E70+F70+G70)</f>
        <v>0</v>
      </c>
      <c r="N70" s="27"/>
      <c r="O70" s="8"/>
      <c r="P70"/>
      <c r="Q70"/>
      <c r="T70" s="89">
        <f>T69-BF63</f>
        <v>0</v>
      </c>
    </row>
    <row r="71" spans="2:42" ht="15.75" thickBot="1" x14ac:dyDescent="0.3">
      <c r="B71" s="469" t="s">
        <v>414</v>
      </c>
      <c r="C71" s="470">
        <f>SUMIFS($T$9:$T$59,$AP$9:$AP$59,$B71)</f>
        <v>0</v>
      </c>
      <c r="D71" s="470">
        <f t="shared" si="39"/>
        <v>0</v>
      </c>
      <c r="E71" s="470">
        <f t="shared" si="40"/>
        <v>0</v>
      </c>
      <c r="F71" s="478">
        <f t="shared" si="40"/>
        <v>0</v>
      </c>
      <c r="G71" s="470">
        <f t="shared" si="40"/>
        <v>0</v>
      </c>
      <c r="H71" s="470">
        <f t="shared" si="41"/>
        <v>0</v>
      </c>
      <c r="N71" s="27"/>
      <c r="O71" s="8"/>
      <c r="P71"/>
      <c r="Q71"/>
      <c r="R71" s="89"/>
      <c r="S71" s="89"/>
      <c r="AK71" s="57"/>
      <c r="AL71" s="298"/>
      <c r="AM71" s="298"/>
      <c r="AN71" s="298"/>
      <c r="AO71" s="298"/>
      <c r="AP71" s="89"/>
    </row>
    <row r="72" spans="2:42" x14ac:dyDescent="0.25">
      <c r="B72" s="27"/>
      <c r="C72" s="43">
        <f>SUBTOTAL(9,C69:C71)</f>
        <v>0</v>
      </c>
      <c r="D72" s="43">
        <f>SUBTOTAL(9,D69:D71)</f>
        <v>0</v>
      </c>
      <c r="E72" s="43">
        <f>SUM(E69:E71)</f>
        <v>0</v>
      </c>
      <c r="F72" s="43">
        <f t="shared" ref="F72:G72" si="42">SUM(F69:F71)</f>
        <v>0</v>
      </c>
      <c r="G72" s="43">
        <f t="shared" si="42"/>
        <v>0</v>
      </c>
      <c r="H72" s="43">
        <f t="shared" si="41"/>
        <v>0</v>
      </c>
      <c r="I72" s="94">
        <f>C72-SUM(D72:H72)</f>
        <v>0</v>
      </c>
      <c r="M72" s="464" t="s">
        <v>360</v>
      </c>
      <c r="N72" s="466"/>
      <c r="O72" s="458"/>
      <c r="P72" s="458"/>
      <c r="Q72" s="458"/>
      <c r="R72" s="459"/>
      <c r="S72" s="465"/>
      <c r="T72" s="465"/>
      <c r="U72" s="8"/>
      <c r="V72"/>
      <c r="AJ72" s="298"/>
      <c r="AK72" s="57"/>
      <c r="AL72" s="298"/>
      <c r="AM72" s="298"/>
      <c r="AN72" s="298"/>
      <c r="AO72" s="298"/>
      <c r="AP72" s="89"/>
    </row>
    <row r="73" spans="2:42" x14ac:dyDescent="0.25">
      <c r="B73" s="57"/>
      <c r="C73" s="124">
        <f>C72-T63</f>
        <v>0</v>
      </c>
      <c r="D73" s="124">
        <f>D72-Q69</f>
        <v>0</v>
      </c>
      <c r="E73" s="124">
        <f>E72-R69</f>
        <v>0</v>
      </c>
      <c r="F73" s="124">
        <f>F72-N69</f>
        <v>0</v>
      </c>
      <c r="G73" s="94">
        <f>G72-M69</f>
        <v>0</v>
      </c>
      <c r="H73" s="124">
        <f>H72-(T74+P69+O69)</f>
        <v>0</v>
      </c>
      <c r="I73" s="73"/>
      <c r="J73" s="39"/>
      <c r="M73" s="457" t="s">
        <v>352</v>
      </c>
      <c r="N73" s="139" t="s">
        <v>412</v>
      </c>
      <c r="O73" s="16" t="s">
        <v>353</v>
      </c>
      <c r="P73" s="84" t="s">
        <v>354</v>
      </c>
      <c r="Q73" s="92" t="s">
        <v>356</v>
      </c>
      <c r="R73" s="454" t="s">
        <v>355</v>
      </c>
      <c r="S73" s="698"/>
      <c r="U73" s="8"/>
      <c r="V73"/>
      <c r="AK73" s="57"/>
      <c r="AL73" s="8"/>
      <c r="AM73" s="8"/>
      <c r="AN73" s="8"/>
      <c r="AO73" s="8"/>
      <c r="AP73" s="8"/>
    </row>
    <row r="74" spans="2:42" x14ac:dyDescent="0.25">
      <c r="D74" s="8"/>
      <c r="E74" s="8"/>
      <c r="G74" s="60"/>
      <c r="H74" s="60"/>
      <c r="M74" s="123">
        <f t="shared" ref="M74:R74" si="43">SUMIF($C$9:$C$59,M$73,$BG$9:$BG$59)</f>
        <v>0</v>
      </c>
      <c r="N74" s="123">
        <f t="shared" si="43"/>
        <v>0</v>
      </c>
      <c r="O74" s="123">
        <f t="shared" si="43"/>
        <v>0</v>
      </c>
      <c r="P74" s="123">
        <f t="shared" si="43"/>
        <v>0</v>
      </c>
      <c r="Q74" s="123">
        <f t="shared" si="43"/>
        <v>0</v>
      </c>
      <c r="R74" s="123">
        <f t="shared" si="43"/>
        <v>0</v>
      </c>
      <c r="S74" s="302"/>
      <c r="T74" s="104">
        <f>SUM(M74:R74)</f>
        <v>0</v>
      </c>
      <c r="V74"/>
      <c r="AK74" s="57"/>
      <c r="AL74" s="8"/>
      <c r="AM74" s="8"/>
      <c r="AN74" s="8"/>
      <c r="AO74" s="8"/>
      <c r="AP74" s="8"/>
    </row>
    <row r="75" spans="2:42" x14ac:dyDescent="0.25">
      <c r="D75" s="8"/>
      <c r="E75" s="8"/>
      <c r="G75" s="60"/>
      <c r="H75" s="60"/>
      <c r="M75" s="212">
        <f t="shared" ref="M75:R75" si="44">SUMIF($C$9:$C$59,M$73,$Q$9:$Q$59)</f>
        <v>0</v>
      </c>
      <c r="N75" s="212">
        <f t="shared" si="44"/>
        <v>0</v>
      </c>
      <c r="O75" s="212">
        <f t="shared" si="44"/>
        <v>0</v>
      </c>
      <c r="P75" s="212">
        <f t="shared" si="44"/>
        <v>0</v>
      </c>
      <c r="Q75" s="212">
        <f t="shared" si="44"/>
        <v>0</v>
      </c>
      <c r="R75" s="212">
        <f t="shared" si="44"/>
        <v>0</v>
      </c>
      <c r="S75" s="298"/>
      <c r="T75" s="461">
        <f>SUM(M75:R75)</f>
        <v>0</v>
      </c>
      <c r="V75" s="462">
        <f>T75-Q60</f>
        <v>0</v>
      </c>
      <c r="AK75" s="57"/>
      <c r="AL75" s="8"/>
      <c r="AM75" s="8"/>
      <c r="AN75" s="8"/>
      <c r="AO75" s="8"/>
      <c r="AP75" s="8"/>
    </row>
    <row r="76" spans="2:42" x14ac:dyDescent="0.25">
      <c r="D76" s="8"/>
      <c r="E76" s="8"/>
      <c r="G76" s="43"/>
      <c r="H76" s="43"/>
      <c r="N76" s="27"/>
      <c r="AK76" s="57"/>
      <c r="AL76" s="8"/>
      <c r="AM76" s="8"/>
      <c r="AN76" s="8"/>
      <c r="AO76" s="8"/>
      <c r="AP76" s="8"/>
    </row>
    <row r="77" spans="2:42" x14ac:dyDescent="0.25">
      <c r="C77" s="8"/>
      <c r="D77" s="8"/>
      <c r="E77" s="8"/>
      <c r="G77" s="43"/>
      <c r="H77" s="43"/>
      <c r="M77" s="96"/>
      <c r="N77" s="96"/>
      <c r="O77" s="96"/>
      <c r="P77" s="96"/>
      <c r="Q77" s="96"/>
      <c r="R77" s="96"/>
      <c r="S77" s="96"/>
      <c r="AK77" s="57"/>
      <c r="AL77" s="108"/>
      <c r="AM77" s="108"/>
      <c r="AN77" s="8"/>
      <c r="AO77" s="8"/>
      <c r="AP77" s="8"/>
    </row>
    <row r="78" spans="2:42" x14ac:dyDescent="0.25">
      <c r="D78" s="8"/>
      <c r="E78" s="8"/>
      <c r="G78" s="57"/>
      <c r="H78" s="57"/>
      <c r="I78" s="57"/>
      <c r="M78" s="43"/>
      <c r="N78" s="60"/>
      <c r="O78" s="51" t="s">
        <v>415</v>
      </c>
      <c r="P78" s="8"/>
      <c r="Q78" s="8"/>
      <c r="R78" s="8"/>
      <c r="S78" s="8"/>
      <c r="AK78" s="57"/>
      <c r="AL78" s="108"/>
      <c r="AM78" s="108"/>
      <c r="AN78" s="8"/>
      <c r="AO78" s="8"/>
      <c r="AP78" s="8"/>
    </row>
    <row r="79" spans="2:42" x14ac:dyDescent="0.25">
      <c r="D79" s="8"/>
      <c r="E79" s="8"/>
      <c r="G79" s="57"/>
      <c r="H79" s="57"/>
      <c r="I79" s="57"/>
      <c r="M79" s="43"/>
      <c r="N79" s="60"/>
      <c r="O79"/>
      <c r="P79" s="8"/>
      <c r="Q79" s="8"/>
      <c r="R79" s="8"/>
      <c r="S79" s="8"/>
      <c r="AK79" s="57"/>
    </row>
    <row r="80" spans="2:42" x14ac:dyDescent="0.25">
      <c r="D80" s="8"/>
      <c r="E80" s="8"/>
      <c r="G80" s="57"/>
      <c r="H80" s="57"/>
      <c r="I80" s="57"/>
      <c r="M80" s="43"/>
      <c r="N80" s="60" t="s">
        <v>372</v>
      </c>
      <c r="O80" s="8" t="s">
        <v>416</v>
      </c>
      <c r="P80" s="8" t="s">
        <v>378</v>
      </c>
      <c r="Q80" s="8"/>
      <c r="R80" s="8"/>
      <c r="S80" s="8"/>
      <c r="AK80" s="57"/>
    </row>
    <row r="81" spans="3:65" x14ac:dyDescent="0.25">
      <c r="D81" s="8"/>
      <c r="E81" s="8"/>
      <c r="G81" s="57"/>
      <c r="H81" s="57"/>
      <c r="I81" s="57"/>
      <c r="M81" s="43" t="s">
        <v>357</v>
      </c>
      <c r="N81" s="43">
        <f>Q69+R69</f>
        <v>0</v>
      </c>
      <c r="O81" s="43"/>
      <c r="P81" s="43"/>
      <c r="Q81" s="8"/>
      <c r="R81" s="8"/>
      <c r="S81" s="8"/>
      <c r="AK81" s="57"/>
    </row>
    <row r="82" spans="3:65" x14ac:dyDescent="0.25">
      <c r="D82" s="8"/>
      <c r="E82" s="8"/>
      <c r="G82" s="57"/>
      <c r="H82" s="57"/>
      <c r="I82" s="57"/>
      <c r="M82" s="43" t="s">
        <v>417</v>
      </c>
      <c r="N82" s="43">
        <f>M69</f>
        <v>0</v>
      </c>
      <c r="O82" s="43"/>
      <c r="P82" s="43"/>
      <c r="Q82" s="8"/>
      <c r="R82" s="8"/>
      <c r="S82" s="8"/>
      <c r="AK82" s="57"/>
    </row>
    <row r="83" spans="3:65" x14ac:dyDescent="0.25">
      <c r="D83" s="8"/>
      <c r="E83" s="8"/>
      <c r="G83" s="57"/>
      <c r="H83" s="57"/>
      <c r="I83" s="57"/>
      <c r="M83" s="43" t="s">
        <v>359</v>
      </c>
      <c r="N83" s="43">
        <f>O69+P69+O74+P74+Q74+R74+N74+M74-N85</f>
        <v>0</v>
      </c>
      <c r="O83" s="43"/>
      <c r="P83" s="43"/>
      <c r="Q83" s="8"/>
      <c r="R83" s="8"/>
      <c r="S83" s="8"/>
      <c r="AK83" s="57"/>
    </row>
    <row r="84" spans="3:65" x14ac:dyDescent="0.25">
      <c r="C84" s="8"/>
      <c r="D84" s="8"/>
      <c r="E84" s="8"/>
      <c r="G84" s="57"/>
      <c r="H84" s="57"/>
      <c r="I84" s="57"/>
      <c r="M84" s="39" t="s">
        <v>418</v>
      </c>
      <c r="N84" s="39">
        <f>N69</f>
        <v>0</v>
      </c>
      <c r="O84" s="39">
        <f>F72</f>
        <v>0</v>
      </c>
      <c r="P84" s="39">
        <f>N84-O84</f>
        <v>0</v>
      </c>
      <c r="Q84" s="8"/>
      <c r="R84" t="s">
        <v>419</v>
      </c>
      <c r="S84"/>
      <c r="U84" s="39"/>
      <c r="V84" s="39"/>
      <c r="W84" s="39"/>
      <c r="X84" s="39"/>
      <c r="Y84" s="73">
        <f>N86-T63</f>
        <v>0</v>
      </c>
      <c r="Z84"/>
      <c r="AA84" s="57"/>
      <c r="AK84" s="57"/>
    </row>
    <row r="85" spans="3:65" ht="15.75" thickBot="1" x14ac:dyDescent="0.3">
      <c r="C85" s="8"/>
      <c r="D85" s="8"/>
      <c r="E85" s="8"/>
      <c r="G85" s="57"/>
      <c r="H85" s="57"/>
      <c r="I85" s="57"/>
      <c r="M85" s="127" t="s">
        <v>420</v>
      </c>
      <c r="N85" s="127">
        <f>Q63</f>
        <v>0</v>
      </c>
      <c r="O85" s="127">
        <f>AF108</f>
        <v>0</v>
      </c>
      <c r="P85" s="127">
        <f>AG108</f>
        <v>0</v>
      </c>
      <c r="Q85" s="8"/>
      <c r="R85" s="8"/>
      <c r="S85" s="8"/>
      <c r="U85" s="39"/>
      <c r="V85" s="39"/>
      <c r="W85" s="39"/>
      <c r="X85" s="39"/>
      <c r="Y85" s="39"/>
      <c r="Z85"/>
      <c r="AA85" s="57"/>
      <c r="AK85" s="57"/>
    </row>
    <row r="86" spans="3:65" s="57" customFormat="1" ht="15.75" thickTop="1" x14ac:dyDescent="0.25">
      <c r="C86" s="8"/>
      <c r="D86" s="8"/>
      <c r="E86" s="8"/>
      <c r="M86" s="43" t="s">
        <v>362</v>
      </c>
      <c r="N86" s="43">
        <f>SUM(N81:N85)</f>
        <v>0</v>
      </c>
      <c r="O86" s="43"/>
      <c r="P86" s="43"/>
      <c r="Q86" s="27"/>
      <c r="R86" s="27"/>
      <c r="S86" s="27"/>
      <c r="T86" s="39"/>
      <c r="U86" s="39"/>
      <c r="V86" s="39"/>
      <c r="W86" s="141"/>
      <c r="X86" s="39"/>
      <c r="Y86" s="141"/>
      <c r="Z86"/>
      <c r="AB86" s="8"/>
      <c r="AC86" s="8"/>
      <c r="AD86" s="8"/>
      <c r="AE86" s="8"/>
      <c r="AF86" s="8"/>
      <c r="AG86" s="8"/>
      <c r="AQ86"/>
      <c r="AR86"/>
      <c r="AS86"/>
      <c r="AT86"/>
      <c r="AU86"/>
      <c r="AV86"/>
      <c r="AW86"/>
      <c r="AX86"/>
      <c r="AY86"/>
      <c r="AZ86"/>
      <c r="BA86"/>
      <c r="BB86"/>
      <c r="BC86"/>
      <c r="BD86"/>
      <c r="BE86"/>
      <c r="BF86"/>
      <c r="BG86"/>
      <c r="BH86"/>
      <c r="BI86"/>
      <c r="BJ86"/>
      <c r="BK86"/>
      <c r="BL86"/>
      <c r="BM86"/>
    </row>
    <row r="87" spans="3:65" s="57" customFormat="1" x14ac:dyDescent="0.25">
      <c r="C87" s="8"/>
      <c r="D87" s="8"/>
      <c r="E87" s="8"/>
      <c r="M87" s="303"/>
      <c r="N87" s="432">
        <f>N86-T63</f>
        <v>0</v>
      </c>
      <c r="AQ87"/>
      <c r="AR87"/>
      <c r="AS87"/>
      <c r="AT87"/>
      <c r="AU87"/>
      <c r="AV87"/>
      <c r="AW87"/>
      <c r="AX87"/>
      <c r="AY87"/>
      <c r="AZ87"/>
      <c r="BA87"/>
      <c r="BB87"/>
      <c r="BC87"/>
      <c r="BD87"/>
      <c r="BE87"/>
      <c r="BF87"/>
      <c r="BG87"/>
      <c r="BH87"/>
      <c r="BI87"/>
      <c r="BJ87"/>
      <c r="BK87"/>
      <c r="BL87"/>
      <c r="BM87"/>
    </row>
    <row r="88" spans="3:65" s="57" customFormat="1" x14ac:dyDescent="0.25">
      <c r="C88" s="8"/>
      <c r="D88" s="8"/>
      <c r="E88" s="8"/>
      <c r="M88" s="303"/>
      <c r="AK88" s="474" t="s">
        <v>224</v>
      </c>
      <c r="AL88" s="474"/>
      <c r="AM88" s="474"/>
      <c r="AN88" s="474"/>
      <c r="AO88" s="474"/>
      <c r="AQ88"/>
      <c r="AR88"/>
      <c r="AS88"/>
      <c r="AT88"/>
      <c r="AU88"/>
      <c r="AV88"/>
      <c r="AW88"/>
      <c r="AX88"/>
      <c r="AY88"/>
      <c r="AZ88"/>
      <c r="BA88"/>
      <c r="BB88"/>
      <c r="BC88"/>
      <c r="BD88"/>
      <c r="BE88"/>
      <c r="BF88"/>
      <c r="BG88"/>
      <c r="BH88"/>
      <c r="BI88"/>
      <c r="BJ88"/>
      <c r="BK88"/>
      <c r="BL88"/>
      <c r="BM88"/>
    </row>
    <row r="89" spans="3:65" s="57" customFormat="1" ht="30" x14ac:dyDescent="0.25">
      <c r="C89" s="8"/>
      <c r="D89" s="8"/>
      <c r="E89" s="8"/>
      <c r="M89" s="309"/>
      <c r="N89" s="132" t="s">
        <v>403</v>
      </c>
      <c r="O89" s="132" t="s">
        <v>404</v>
      </c>
      <c r="P89" s="132" t="s">
        <v>335</v>
      </c>
      <c r="Q89" s="170" t="s">
        <v>421</v>
      </c>
      <c r="R89" s="214" t="s">
        <v>422</v>
      </c>
      <c r="S89" s="214"/>
      <c r="T89" s="170" t="s">
        <v>423</v>
      </c>
      <c r="U89" s="170" t="s">
        <v>424</v>
      </c>
      <c r="V89" s="170" t="s">
        <v>425</v>
      </c>
      <c r="W89" s="39"/>
      <c r="X89" s="142" t="s">
        <v>426</v>
      </c>
      <c r="Y89" s="142" t="s">
        <v>427</v>
      </c>
      <c r="Z89" s="142" t="s">
        <v>428</v>
      </c>
      <c r="AA89" s="271"/>
      <c r="AC89" s="8"/>
      <c r="AD89" s="219" t="s">
        <v>429</v>
      </c>
      <c r="AE89" s="219" t="s">
        <v>430</v>
      </c>
      <c r="AF89" s="219" t="s">
        <v>431</v>
      </c>
      <c r="AG89" s="228" t="s">
        <v>432</v>
      </c>
      <c r="AH89" s="8"/>
      <c r="AK89" s="473" t="s">
        <v>433</v>
      </c>
      <c r="AL89" s="473" t="s">
        <v>434</v>
      </c>
      <c r="AM89" s="473" t="s">
        <v>435</v>
      </c>
      <c r="AN89" s="473" t="s">
        <v>436</v>
      </c>
      <c r="AO89" s="473" t="s">
        <v>437</v>
      </c>
      <c r="AQ89"/>
      <c r="AR89"/>
      <c r="AS89"/>
      <c r="AT89"/>
      <c r="AU89"/>
      <c r="AV89"/>
      <c r="AW89"/>
      <c r="AX89"/>
      <c r="AY89"/>
      <c r="AZ89"/>
      <c r="BA89"/>
      <c r="BB89"/>
      <c r="BC89"/>
      <c r="BD89"/>
      <c r="BE89"/>
      <c r="BF89"/>
      <c r="BG89"/>
      <c r="BH89"/>
      <c r="BI89"/>
      <c r="BJ89"/>
      <c r="BK89"/>
      <c r="BL89"/>
      <c r="BM89"/>
    </row>
    <row r="90" spans="3:65" s="57" customFormat="1" x14ac:dyDescent="0.25">
      <c r="C90" s="8"/>
      <c r="D90" s="8"/>
      <c r="E90" s="8"/>
      <c r="M90" s="309"/>
      <c r="N90" s="8" t="e">
        <f>_xlfn.XLOOKUP($P90,$K$9:$K$59,AL$9:AL$59)</f>
        <v>#N/A</v>
      </c>
      <c r="O90" s="8" t="e">
        <f t="shared" ref="O90:O107" si="45">_xlfn.XLOOKUP($P90,$K$9:$K$59,AM$9:AM$59)</f>
        <v>#N/A</v>
      </c>
      <c r="P90" s="8">
        <v>1</v>
      </c>
      <c r="Q90" s="134">
        <f t="shared" ref="Q90:Q107" si="46">SUMIF($K$9:$K$59,P90,$T$9:$T$59)</f>
        <v>0</v>
      </c>
      <c r="R90" s="143">
        <f>SUMIFS($BA$9:$BA$59,$K$9:$K$59,P90,$C$9:$C$59,"YES")+SUMIFS($BA$9:$BA$59,$K$9:$K$59,P90,$C$9:$C$59,"YES-OOS")</f>
        <v>0</v>
      </c>
      <c r="S90" s="143"/>
      <c r="T90" s="51">
        <f>SUMIFS($BA$9:$BA$59,$K$9:$K$59,P90,$C$9:$C$59,"PENDING")</f>
        <v>0</v>
      </c>
      <c r="U90" s="51">
        <f>Q90-(R90+T90)</f>
        <v>0</v>
      </c>
      <c r="V90" s="51">
        <f t="shared" ref="V90:V107" si="47">SUMIF($K$9:$K$59,P90,$Q$9:$Q$59)</f>
        <v>0</v>
      </c>
      <c r="W90" s="39"/>
      <c r="X90" s="51">
        <f t="shared" ref="X90:X107" si="48">SUM(SUMIFS($M$9:$M$59,$K$9:$K$59,$P90,$C$9:$C$59,"YES"), SUMIFS($N$9:$N$59,$K$9:$K$59,$P90,$C$9:$C$59,"YES"))+SUM(SUMIFS($M$9:$M$59,$K$9:$K$59,$P90,$C$9:$C$59,"YES-OOS"), SUMIFS($N$9:$N$59,$K$9:$K$59,$P90,$C$9:$C$59,"YES-OOS"))</f>
        <v>0</v>
      </c>
      <c r="Y90" s="51">
        <f t="shared" ref="Y90:Y107" si="49">SUMIFS($O$9:$O$59,$K$9:$K$59,$P90,$C$9:$C$59,"YES")+SUMIFS($O$9:$O$59,$K$9:$K$59,$P90,$C$9:$C$59,"YES-OOS")</f>
        <v>0</v>
      </c>
      <c r="Z90" s="51">
        <f t="shared" ref="Z90:Z107" si="50">SUMIFS($R$9:$R$59,$K$9:$K$59,P90,$C$9:$C$59,"YES")+SUMIFS($R$9:$R$59,$K$9:$K$59,P90,$C$9:$C$59,"YES-OOS")</f>
        <v>0</v>
      </c>
      <c r="AA90" s="89">
        <f t="shared" ref="AA90:AA108" si="51">R90-(X90+Y90+Z90)</f>
        <v>0</v>
      </c>
      <c r="AB90" s="51"/>
      <c r="AC90" s="8"/>
      <c r="AD90" s="51">
        <f t="shared" ref="AD90:AD107" si="52">IF(R90&lt;&gt;0,Q90,0)</f>
        <v>0</v>
      </c>
      <c r="AE90" s="51">
        <f t="shared" ref="AE90:AE107" si="53">IF(R90&lt;&gt;0,0,Q90)</f>
        <v>0</v>
      </c>
      <c r="AF90" s="51">
        <f t="shared" ref="AF90:AF107" si="54">IF(R90&lt;&gt;0,V90,0)</f>
        <v>0</v>
      </c>
      <c r="AG90" s="51">
        <f t="shared" ref="AG90:AG107" si="55">IF(R90&lt;&gt;0,0,V90)</f>
        <v>0</v>
      </c>
      <c r="AH90" s="124">
        <f t="shared" ref="AH90:AH107" si="56">(Q90+V90)-(AD90+AE90+AF90+AG90)</f>
        <v>0</v>
      </c>
      <c r="AK90" s="96">
        <f>P90</f>
        <v>1</v>
      </c>
      <c r="AL90" s="51">
        <f>SUMIFS($M$9:$M$59,$K$9:$K$59,$P90)+SUMIFS($N$9:$N$59,$K$9:$K$59,$P90)</f>
        <v>0</v>
      </c>
      <c r="AM90" s="51">
        <f>SUMIFS($O$9:$O$59,$K$9:$K$59,$P90)+SUMIFS($P$9:$P$59,$K$9:$K$59,$P90)</f>
        <v>0</v>
      </c>
      <c r="AN90" s="51">
        <f>SUMIFS($Q$9:$Q$59,$K$9:$K$59,$P90)</f>
        <v>0</v>
      </c>
      <c r="AO90" s="51">
        <f>SUMIFS($R$9:$R$59,$K$9:$K$59,$P90)</f>
        <v>0</v>
      </c>
      <c r="AP90" s="94">
        <f>Q90-SUM(AL90:AO90)</f>
        <v>0</v>
      </c>
      <c r="AQ90"/>
      <c r="AR90"/>
      <c r="AS90"/>
      <c r="AT90"/>
      <c r="AU90"/>
      <c r="AV90"/>
      <c r="AW90"/>
      <c r="AX90"/>
      <c r="AY90"/>
      <c r="AZ90"/>
      <c r="BA90"/>
      <c r="BB90"/>
      <c r="BC90"/>
      <c r="BD90"/>
      <c r="BE90"/>
      <c r="BF90"/>
      <c r="BG90"/>
      <c r="BH90"/>
      <c r="BI90"/>
      <c r="BJ90"/>
      <c r="BK90"/>
      <c r="BL90"/>
      <c r="BM90"/>
    </row>
    <row r="91" spans="3:65" s="57" customFormat="1" x14ac:dyDescent="0.25">
      <c r="C91" s="8"/>
      <c r="D91" s="8"/>
      <c r="E91" s="8"/>
      <c r="M91" s="309"/>
      <c r="N91" s="8" t="e">
        <f t="shared" ref="N91:N107" si="57">_xlfn.XLOOKUP($P91,$K$9:$K$59,AL$9:AL$59)</f>
        <v>#N/A</v>
      </c>
      <c r="O91" s="8" t="e">
        <f t="shared" si="45"/>
        <v>#N/A</v>
      </c>
      <c r="P91" s="8">
        <v>2</v>
      </c>
      <c r="Q91" s="83">
        <f t="shared" si="46"/>
        <v>0</v>
      </c>
      <c r="R91" s="143">
        <f t="shared" ref="R91:R107" si="58">SUMIFS($BA$9:$BA$59,$K$9:$K$59,P91,$C$9:$C$59,"YES")+SUMIFS($BA$9:$BA$59,$K$9:$K$59,P91,$C$9:$C$59,"YES-OOS")</f>
        <v>0</v>
      </c>
      <c r="S91" s="143"/>
      <c r="T91" s="83">
        <f t="shared" ref="T91:T107" si="59">SUMIFS($BA$9:$BA$59,$K$9:$K$59,P91,$C$9:$C$59,"PENDING")</f>
        <v>0</v>
      </c>
      <c r="U91" s="83">
        <f t="shared" ref="U91:U107" si="60">Q91-(R91+T91)</f>
        <v>0</v>
      </c>
      <c r="V91" s="51">
        <f t="shared" si="47"/>
        <v>0</v>
      </c>
      <c r="X91" s="51">
        <f t="shared" si="48"/>
        <v>0</v>
      </c>
      <c r="Y91" s="51">
        <f t="shared" si="49"/>
        <v>0</v>
      </c>
      <c r="Z91" s="51">
        <f t="shared" si="50"/>
        <v>0</v>
      </c>
      <c r="AA91" s="89">
        <f t="shared" si="51"/>
        <v>0</v>
      </c>
      <c r="AB91" s="51"/>
      <c r="AD91" s="51">
        <f t="shared" si="52"/>
        <v>0</v>
      </c>
      <c r="AE91" s="51">
        <f t="shared" si="53"/>
        <v>0</v>
      </c>
      <c r="AF91" s="51">
        <f t="shared" si="54"/>
        <v>0</v>
      </c>
      <c r="AG91" s="51">
        <f t="shared" si="55"/>
        <v>0</v>
      </c>
      <c r="AH91" s="124">
        <f t="shared" si="56"/>
        <v>0</v>
      </c>
      <c r="AK91" s="96">
        <f t="shared" ref="AK91:AK107" si="61">P91</f>
        <v>2</v>
      </c>
      <c r="AL91" s="51">
        <f t="shared" ref="AL91:AL107" si="62">SUMIFS($M$9:$M$59,$K$9:$K$59,$P91)+SUMIFS($N$9:$N$59,$K$9:$K$59,$P91)</f>
        <v>0</v>
      </c>
      <c r="AM91" s="51">
        <f t="shared" ref="AM91:AM107" si="63">SUMIFS($O$9:$O$59,$K$9:$K$59,$P91)+SUMIFS($P$9:$P$59,$K$9:$K$59,$P91)</f>
        <v>0</v>
      </c>
      <c r="AN91" s="51">
        <f t="shared" ref="AN91:AN107" si="64">SUMIFS($Q$9:$Q$59,$K$9:$K$59,$P91)</f>
        <v>0</v>
      </c>
      <c r="AO91" s="51">
        <f t="shared" ref="AO91:AO107" si="65">SUMIFS($R$9:$R$59,$K$9:$K$59,$P91)</f>
        <v>0</v>
      </c>
      <c r="AP91" s="94">
        <f t="shared" ref="AP91:AP107" si="66">Q91-SUM(AL91:AO91)</f>
        <v>0</v>
      </c>
      <c r="AQ91"/>
      <c r="AR91"/>
      <c r="AS91"/>
      <c r="AT91"/>
      <c r="AU91"/>
      <c r="AV91"/>
      <c r="AW91"/>
      <c r="AX91"/>
      <c r="AY91"/>
      <c r="AZ91"/>
      <c r="BA91"/>
      <c r="BB91"/>
      <c r="BC91"/>
      <c r="BD91"/>
      <c r="BE91"/>
      <c r="BF91"/>
      <c r="BG91"/>
      <c r="BH91"/>
      <c r="BI91"/>
      <c r="BJ91"/>
      <c r="BK91"/>
      <c r="BL91"/>
      <c r="BM91"/>
    </row>
    <row r="92" spans="3:65" s="57" customFormat="1" x14ac:dyDescent="0.25">
      <c r="C92" s="8"/>
      <c r="D92" s="8"/>
      <c r="E92" s="8"/>
      <c r="M92" s="309"/>
      <c r="N92" s="8">
        <f t="shared" si="57"/>
        <v>0</v>
      </c>
      <c r="O92" s="8">
        <f t="shared" si="45"/>
        <v>0</v>
      </c>
      <c r="P92" s="8"/>
      <c r="Q92" s="83">
        <f t="shared" si="46"/>
        <v>0</v>
      </c>
      <c r="R92" s="143">
        <f t="shared" si="58"/>
        <v>0</v>
      </c>
      <c r="S92" s="143"/>
      <c r="T92" s="45">
        <f t="shared" si="59"/>
        <v>0</v>
      </c>
      <c r="U92" s="45">
        <f t="shared" si="60"/>
        <v>0</v>
      </c>
      <c r="V92" s="51">
        <f t="shared" si="47"/>
        <v>0</v>
      </c>
      <c r="X92" s="51">
        <f t="shared" si="48"/>
        <v>0</v>
      </c>
      <c r="Y92" s="51">
        <f t="shared" si="49"/>
        <v>0</v>
      </c>
      <c r="Z92" s="51">
        <f t="shared" si="50"/>
        <v>0</v>
      </c>
      <c r="AA92" s="89">
        <f t="shared" si="51"/>
        <v>0</v>
      </c>
      <c r="AB92" s="51"/>
      <c r="AD92" s="51">
        <f t="shared" si="52"/>
        <v>0</v>
      </c>
      <c r="AE92" s="51">
        <f t="shared" si="53"/>
        <v>0</v>
      </c>
      <c r="AF92" s="51">
        <f t="shared" si="54"/>
        <v>0</v>
      </c>
      <c r="AG92" s="51">
        <f t="shared" si="55"/>
        <v>0</v>
      </c>
      <c r="AH92" s="124">
        <f t="shared" si="56"/>
        <v>0</v>
      </c>
      <c r="AK92" s="96">
        <f t="shared" si="61"/>
        <v>0</v>
      </c>
      <c r="AL92" s="51">
        <f t="shared" si="62"/>
        <v>0</v>
      </c>
      <c r="AM92" s="51">
        <f t="shared" si="63"/>
        <v>0</v>
      </c>
      <c r="AN92" s="51">
        <f t="shared" si="64"/>
        <v>0</v>
      </c>
      <c r="AO92" s="51">
        <f t="shared" si="65"/>
        <v>0</v>
      </c>
      <c r="AP92" s="94">
        <f t="shared" si="66"/>
        <v>0</v>
      </c>
      <c r="AQ92"/>
      <c r="AR92"/>
      <c r="AS92"/>
      <c r="AT92"/>
      <c r="AU92"/>
      <c r="AV92"/>
      <c r="AW92"/>
      <c r="AX92"/>
      <c r="AY92"/>
      <c r="AZ92"/>
      <c r="BA92"/>
      <c r="BB92"/>
      <c r="BC92"/>
      <c r="BD92"/>
      <c r="BE92"/>
      <c r="BF92"/>
      <c r="BG92"/>
      <c r="BH92"/>
      <c r="BI92"/>
      <c r="BJ92"/>
      <c r="BK92"/>
      <c r="BL92"/>
      <c r="BM92"/>
    </row>
    <row r="93" spans="3:65" s="57" customFormat="1" x14ac:dyDescent="0.25">
      <c r="C93" s="8"/>
      <c r="D93" s="8"/>
      <c r="E93" s="8"/>
      <c r="M93" s="309"/>
      <c r="N93" s="8">
        <f t="shared" si="57"/>
        <v>0</v>
      </c>
      <c r="O93" s="8">
        <f t="shared" si="45"/>
        <v>0</v>
      </c>
      <c r="P93" s="8"/>
      <c r="Q93" s="83">
        <f t="shared" si="46"/>
        <v>0</v>
      </c>
      <c r="R93" s="143">
        <f t="shared" si="58"/>
        <v>0</v>
      </c>
      <c r="S93" s="143"/>
      <c r="T93" s="83">
        <f t="shared" si="59"/>
        <v>0</v>
      </c>
      <c r="U93" s="83">
        <f t="shared" si="60"/>
        <v>0</v>
      </c>
      <c r="V93" s="51">
        <f t="shared" si="47"/>
        <v>0</v>
      </c>
      <c r="X93" s="51">
        <f t="shared" si="48"/>
        <v>0</v>
      </c>
      <c r="Y93" s="51">
        <f t="shared" si="49"/>
        <v>0</v>
      </c>
      <c r="Z93" s="51">
        <f t="shared" si="50"/>
        <v>0</v>
      </c>
      <c r="AA93" s="89">
        <f t="shared" si="51"/>
        <v>0</v>
      </c>
      <c r="AB93" s="51"/>
      <c r="AD93" s="51">
        <f t="shared" si="52"/>
        <v>0</v>
      </c>
      <c r="AE93" s="51">
        <f t="shared" si="53"/>
        <v>0</v>
      </c>
      <c r="AF93" s="51">
        <f t="shared" si="54"/>
        <v>0</v>
      </c>
      <c r="AG93" s="51">
        <f t="shared" si="55"/>
        <v>0</v>
      </c>
      <c r="AH93" s="124">
        <f t="shared" si="56"/>
        <v>0</v>
      </c>
      <c r="AK93" s="96">
        <f t="shared" si="61"/>
        <v>0</v>
      </c>
      <c r="AL93" s="51">
        <f t="shared" si="62"/>
        <v>0</v>
      </c>
      <c r="AM93" s="51">
        <f t="shared" si="63"/>
        <v>0</v>
      </c>
      <c r="AN93" s="51">
        <f t="shared" si="64"/>
        <v>0</v>
      </c>
      <c r="AO93" s="51">
        <f t="shared" si="65"/>
        <v>0</v>
      </c>
      <c r="AP93" s="94">
        <f t="shared" si="66"/>
        <v>0</v>
      </c>
      <c r="AQ93"/>
      <c r="AR93"/>
      <c r="AS93"/>
      <c r="AT93"/>
      <c r="AU93"/>
      <c r="AV93"/>
      <c r="AW93"/>
      <c r="AX93"/>
      <c r="AY93"/>
      <c r="AZ93"/>
      <c r="BA93"/>
      <c r="BB93"/>
      <c r="BC93"/>
      <c r="BD93"/>
      <c r="BE93"/>
      <c r="BF93"/>
      <c r="BG93"/>
      <c r="BH93"/>
      <c r="BI93"/>
      <c r="BJ93"/>
      <c r="BK93"/>
      <c r="BL93"/>
      <c r="BM93"/>
    </row>
    <row r="94" spans="3:65" s="57" customFormat="1" x14ac:dyDescent="0.25">
      <c r="C94" s="8"/>
      <c r="D94" s="8"/>
      <c r="E94" s="8"/>
      <c r="M94" s="309"/>
      <c r="N94" s="8">
        <f t="shared" si="57"/>
        <v>0</v>
      </c>
      <c r="O94" s="8">
        <f t="shared" si="45"/>
        <v>0</v>
      </c>
      <c r="P94" s="8"/>
      <c r="Q94" s="83">
        <f t="shared" si="46"/>
        <v>0</v>
      </c>
      <c r="R94" s="143">
        <f t="shared" si="58"/>
        <v>0</v>
      </c>
      <c r="S94" s="143"/>
      <c r="T94" s="45">
        <f t="shared" si="59"/>
        <v>0</v>
      </c>
      <c r="U94" s="45">
        <f t="shared" si="60"/>
        <v>0</v>
      </c>
      <c r="V94" s="51">
        <f t="shared" si="47"/>
        <v>0</v>
      </c>
      <c r="X94" s="51">
        <f t="shared" si="48"/>
        <v>0</v>
      </c>
      <c r="Y94" s="51">
        <f t="shared" si="49"/>
        <v>0</v>
      </c>
      <c r="Z94" s="51">
        <f t="shared" si="50"/>
        <v>0</v>
      </c>
      <c r="AA94" s="89">
        <f t="shared" si="51"/>
        <v>0</v>
      </c>
      <c r="AB94" s="51"/>
      <c r="AD94" s="51">
        <f t="shared" si="52"/>
        <v>0</v>
      </c>
      <c r="AE94" s="51">
        <f t="shared" si="53"/>
        <v>0</v>
      </c>
      <c r="AF94" s="51">
        <f t="shared" si="54"/>
        <v>0</v>
      </c>
      <c r="AG94" s="51">
        <f t="shared" si="55"/>
        <v>0</v>
      </c>
      <c r="AH94" s="124">
        <f t="shared" si="56"/>
        <v>0</v>
      </c>
      <c r="AK94" s="96">
        <f t="shared" si="61"/>
        <v>0</v>
      </c>
      <c r="AL94" s="51">
        <f t="shared" si="62"/>
        <v>0</v>
      </c>
      <c r="AM94" s="51">
        <f t="shared" si="63"/>
        <v>0</v>
      </c>
      <c r="AN94" s="51">
        <f t="shared" si="64"/>
        <v>0</v>
      </c>
      <c r="AO94" s="51">
        <f t="shared" si="65"/>
        <v>0</v>
      </c>
      <c r="AP94" s="94">
        <f t="shared" si="66"/>
        <v>0</v>
      </c>
      <c r="AQ94"/>
      <c r="AR94"/>
      <c r="AS94"/>
      <c r="AT94"/>
      <c r="AU94"/>
      <c r="AV94"/>
      <c r="AW94"/>
      <c r="AX94"/>
      <c r="AY94"/>
      <c r="AZ94"/>
      <c r="BA94"/>
      <c r="BB94"/>
      <c r="BC94"/>
      <c r="BD94"/>
      <c r="BE94"/>
      <c r="BF94"/>
      <c r="BG94"/>
      <c r="BH94"/>
      <c r="BI94"/>
      <c r="BJ94"/>
      <c r="BK94"/>
      <c r="BL94"/>
      <c r="BM94"/>
    </row>
    <row r="95" spans="3:65" s="57" customFormat="1" x14ac:dyDescent="0.25">
      <c r="C95" s="8"/>
      <c r="D95" s="8"/>
      <c r="E95" s="8"/>
      <c r="M95" s="309"/>
      <c r="N95" s="8">
        <f t="shared" si="57"/>
        <v>0</v>
      </c>
      <c r="O95" s="8">
        <f t="shared" si="45"/>
        <v>0</v>
      </c>
      <c r="P95" s="8"/>
      <c r="Q95" s="83">
        <f t="shared" si="46"/>
        <v>0</v>
      </c>
      <c r="R95" s="143">
        <f t="shared" si="58"/>
        <v>0</v>
      </c>
      <c r="S95" s="143"/>
      <c r="T95" s="83">
        <f t="shared" si="59"/>
        <v>0</v>
      </c>
      <c r="U95" s="83">
        <f t="shared" si="60"/>
        <v>0</v>
      </c>
      <c r="V95" s="51">
        <f t="shared" si="47"/>
        <v>0</v>
      </c>
      <c r="X95" s="51">
        <f t="shared" si="48"/>
        <v>0</v>
      </c>
      <c r="Y95" s="51">
        <f t="shared" si="49"/>
        <v>0</v>
      </c>
      <c r="Z95" s="51">
        <f t="shared" si="50"/>
        <v>0</v>
      </c>
      <c r="AA95" s="89">
        <f t="shared" si="51"/>
        <v>0</v>
      </c>
      <c r="AB95" s="51"/>
      <c r="AD95" s="51">
        <f t="shared" si="52"/>
        <v>0</v>
      </c>
      <c r="AE95" s="51">
        <f t="shared" si="53"/>
        <v>0</v>
      </c>
      <c r="AF95" s="51">
        <f t="shared" si="54"/>
        <v>0</v>
      </c>
      <c r="AG95" s="51">
        <f t="shared" si="55"/>
        <v>0</v>
      </c>
      <c r="AH95" s="124">
        <f t="shared" si="56"/>
        <v>0</v>
      </c>
      <c r="AK95" s="96">
        <f t="shared" si="61"/>
        <v>0</v>
      </c>
      <c r="AL95" s="51">
        <f t="shared" si="62"/>
        <v>0</v>
      </c>
      <c r="AM95" s="51">
        <f t="shared" si="63"/>
        <v>0</v>
      </c>
      <c r="AN95" s="51">
        <f t="shared" si="64"/>
        <v>0</v>
      </c>
      <c r="AO95" s="51">
        <f t="shared" si="65"/>
        <v>0</v>
      </c>
      <c r="AP95" s="94">
        <f t="shared" si="66"/>
        <v>0</v>
      </c>
      <c r="AQ95"/>
      <c r="AR95"/>
      <c r="AS95"/>
      <c r="AT95"/>
      <c r="AU95"/>
      <c r="AV95"/>
      <c r="AW95"/>
      <c r="AX95"/>
      <c r="AY95"/>
      <c r="AZ95"/>
      <c r="BA95"/>
      <c r="BB95"/>
      <c r="BC95"/>
      <c r="BD95"/>
      <c r="BE95"/>
      <c r="BF95"/>
      <c r="BG95"/>
      <c r="BH95"/>
      <c r="BI95"/>
      <c r="BJ95"/>
      <c r="BK95"/>
      <c r="BL95"/>
      <c r="BM95"/>
    </row>
    <row r="96" spans="3:65" s="57" customFormat="1" x14ac:dyDescent="0.25">
      <c r="C96" s="8"/>
      <c r="D96" s="8"/>
      <c r="E96" s="8"/>
      <c r="H96" s="51"/>
      <c r="M96" s="309"/>
      <c r="N96" s="8">
        <f t="shared" si="57"/>
        <v>0</v>
      </c>
      <c r="O96" s="8">
        <f t="shared" si="45"/>
        <v>0</v>
      </c>
      <c r="P96" s="8"/>
      <c r="Q96" s="83">
        <f t="shared" si="46"/>
        <v>0</v>
      </c>
      <c r="R96" s="143">
        <f t="shared" si="58"/>
        <v>0</v>
      </c>
      <c r="S96" s="143"/>
      <c r="T96" s="45">
        <f t="shared" si="59"/>
        <v>0</v>
      </c>
      <c r="U96" s="45">
        <f t="shared" si="60"/>
        <v>0</v>
      </c>
      <c r="V96" s="51">
        <f t="shared" si="47"/>
        <v>0</v>
      </c>
      <c r="X96" s="51">
        <f t="shared" si="48"/>
        <v>0</v>
      </c>
      <c r="Y96" s="51">
        <f t="shared" si="49"/>
        <v>0</v>
      </c>
      <c r="Z96" s="51">
        <f t="shared" si="50"/>
        <v>0</v>
      </c>
      <c r="AA96" s="89">
        <f t="shared" si="51"/>
        <v>0</v>
      </c>
      <c r="AB96" s="51"/>
      <c r="AD96" s="51">
        <f t="shared" si="52"/>
        <v>0</v>
      </c>
      <c r="AE96" s="51">
        <f t="shared" si="53"/>
        <v>0</v>
      </c>
      <c r="AF96" s="51">
        <f t="shared" si="54"/>
        <v>0</v>
      </c>
      <c r="AG96" s="51">
        <f t="shared" si="55"/>
        <v>0</v>
      </c>
      <c r="AH96" s="124">
        <f t="shared" si="56"/>
        <v>0</v>
      </c>
      <c r="AK96" s="96">
        <f t="shared" si="61"/>
        <v>0</v>
      </c>
      <c r="AL96" s="51">
        <f t="shared" si="62"/>
        <v>0</v>
      </c>
      <c r="AM96" s="51">
        <f t="shared" si="63"/>
        <v>0</v>
      </c>
      <c r="AN96" s="51">
        <f t="shared" si="64"/>
        <v>0</v>
      </c>
      <c r="AO96" s="51">
        <f t="shared" si="65"/>
        <v>0</v>
      </c>
      <c r="AP96" s="94">
        <f t="shared" si="66"/>
        <v>0</v>
      </c>
      <c r="AQ96"/>
      <c r="AR96"/>
      <c r="AS96"/>
      <c r="AT96"/>
      <c r="AU96"/>
      <c r="AV96"/>
      <c r="AW96"/>
      <c r="AX96"/>
      <c r="AY96"/>
      <c r="AZ96"/>
      <c r="BA96"/>
      <c r="BB96"/>
      <c r="BC96"/>
      <c r="BD96"/>
      <c r="BE96"/>
      <c r="BF96"/>
      <c r="BG96"/>
      <c r="BH96"/>
      <c r="BI96"/>
      <c r="BJ96"/>
      <c r="BK96"/>
      <c r="BL96"/>
      <c r="BM96"/>
    </row>
    <row r="97" spans="3:65" s="57" customFormat="1" x14ac:dyDescent="0.25">
      <c r="C97" s="8"/>
      <c r="D97" s="8"/>
      <c r="E97" s="8"/>
      <c r="H97" s="51"/>
      <c r="M97" s="309"/>
      <c r="N97" s="8">
        <f t="shared" si="57"/>
        <v>0</v>
      </c>
      <c r="O97" s="8">
        <f t="shared" si="45"/>
        <v>0</v>
      </c>
      <c r="P97" s="8"/>
      <c r="Q97" s="83">
        <f t="shared" si="46"/>
        <v>0</v>
      </c>
      <c r="R97" s="143">
        <f t="shared" si="58"/>
        <v>0</v>
      </c>
      <c r="S97" s="143"/>
      <c r="T97" s="83">
        <f t="shared" si="59"/>
        <v>0</v>
      </c>
      <c r="U97" s="83">
        <f t="shared" si="60"/>
        <v>0</v>
      </c>
      <c r="V97" s="51">
        <f t="shared" si="47"/>
        <v>0</v>
      </c>
      <c r="X97" s="51">
        <f t="shared" si="48"/>
        <v>0</v>
      </c>
      <c r="Y97" s="51">
        <f t="shared" si="49"/>
        <v>0</v>
      </c>
      <c r="Z97" s="51">
        <f t="shared" si="50"/>
        <v>0</v>
      </c>
      <c r="AA97" s="89">
        <f t="shared" si="51"/>
        <v>0</v>
      </c>
      <c r="AB97" s="51"/>
      <c r="AD97" s="51">
        <f t="shared" si="52"/>
        <v>0</v>
      </c>
      <c r="AE97" s="51">
        <f t="shared" si="53"/>
        <v>0</v>
      </c>
      <c r="AF97" s="51">
        <f t="shared" si="54"/>
        <v>0</v>
      </c>
      <c r="AG97" s="51">
        <f t="shared" si="55"/>
        <v>0</v>
      </c>
      <c r="AH97" s="124">
        <f t="shared" si="56"/>
        <v>0</v>
      </c>
      <c r="AK97" s="96">
        <f t="shared" si="61"/>
        <v>0</v>
      </c>
      <c r="AL97" s="51">
        <f t="shared" si="62"/>
        <v>0</v>
      </c>
      <c r="AM97" s="51">
        <f t="shared" si="63"/>
        <v>0</v>
      </c>
      <c r="AN97" s="51">
        <f t="shared" si="64"/>
        <v>0</v>
      </c>
      <c r="AO97" s="51">
        <f t="shared" si="65"/>
        <v>0</v>
      </c>
      <c r="AP97" s="94">
        <f t="shared" si="66"/>
        <v>0</v>
      </c>
      <c r="AQ97"/>
      <c r="AR97"/>
      <c r="AS97"/>
      <c r="AT97"/>
      <c r="AU97"/>
      <c r="AV97"/>
      <c r="AW97"/>
      <c r="AX97"/>
      <c r="AY97"/>
      <c r="AZ97"/>
      <c r="BA97"/>
      <c r="BB97"/>
      <c r="BC97"/>
      <c r="BD97"/>
      <c r="BE97"/>
      <c r="BF97"/>
      <c r="BG97"/>
      <c r="BH97"/>
      <c r="BI97"/>
      <c r="BJ97"/>
      <c r="BK97"/>
      <c r="BL97"/>
      <c r="BM97"/>
    </row>
    <row r="98" spans="3:65" s="57" customFormat="1" x14ac:dyDescent="0.25">
      <c r="C98" s="8"/>
      <c r="D98" s="8"/>
      <c r="E98" s="8"/>
      <c r="H98" s="51"/>
      <c r="M98" s="309"/>
      <c r="N98" s="8">
        <f t="shared" si="57"/>
        <v>0</v>
      </c>
      <c r="O98" s="8">
        <f t="shared" si="45"/>
        <v>0</v>
      </c>
      <c r="P98" s="8"/>
      <c r="Q98" s="83">
        <f t="shared" si="46"/>
        <v>0</v>
      </c>
      <c r="R98" s="143">
        <f t="shared" si="58"/>
        <v>0</v>
      </c>
      <c r="S98" s="143"/>
      <c r="T98" s="45">
        <f t="shared" si="59"/>
        <v>0</v>
      </c>
      <c r="U98" s="45">
        <f t="shared" si="60"/>
        <v>0</v>
      </c>
      <c r="V98" s="51">
        <f t="shared" si="47"/>
        <v>0</v>
      </c>
      <c r="X98" s="51">
        <f t="shared" si="48"/>
        <v>0</v>
      </c>
      <c r="Y98" s="51">
        <f t="shared" si="49"/>
        <v>0</v>
      </c>
      <c r="Z98" s="51">
        <f t="shared" si="50"/>
        <v>0</v>
      </c>
      <c r="AA98" s="89">
        <f t="shared" si="51"/>
        <v>0</v>
      </c>
      <c r="AB98" s="51"/>
      <c r="AD98" s="51">
        <f t="shared" si="52"/>
        <v>0</v>
      </c>
      <c r="AE98" s="51">
        <f t="shared" si="53"/>
        <v>0</v>
      </c>
      <c r="AF98" s="51">
        <f t="shared" si="54"/>
        <v>0</v>
      </c>
      <c r="AG98" s="51">
        <f t="shared" si="55"/>
        <v>0</v>
      </c>
      <c r="AH98" s="124">
        <f t="shared" si="56"/>
        <v>0</v>
      </c>
      <c r="AK98" s="96">
        <f t="shared" si="61"/>
        <v>0</v>
      </c>
      <c r="AL98" s="51">
        <f t="shared" si="62"/>
        <v>0</v>
      </c>
      <c r="AM98" s="51">
        <f t="shared" si="63"/>
        <v>0</v>
      </c>
      <c r="AN98" s="51">
        <f t="shared" si="64"/>
        <v>0</v>
      </c>
      <c r="AO98" s="51">
        <f t="shared" si="65"/>
        <v>0</v>
      </c>
      <c r="AP98" s="94">
        <f t="shared" si="66"/>
        <v>0</v>
      </c>
      <c r="AQ98"/>
      <c r="AR98"/>
      <c r="AS98"/>
      <c r="AT98"/>
      <c r="AU98"/>
      <c r="AV98"/>
      <c r="AW98"/>
      <c r="AX98"/>
      <c r="AY98"/>
      <c r="AZ98"/>
      <c r="BA98"/>
      <c r="BB98"/>
      <c r="BC98"/>
      <c r="BD98"/>
      <c r="BE98"/>
      <c r="BF98"/>
      <c r="BG98"/>
      <c r="BH98"/>
      <c r="BI98"/>
      <c r="BJ98"/>
      <c r="BK98"/>
      <c r="BL98"/>
      <c r="BM98"/>
    </row>
    <row r="99" spans="3:65" s="57" customFormat="1" x14ac:dyDescent="0.25">
      <c r="C99" s="8"/>
      <c r="D99" s="8"/>
      <c r="E99" s="8"/>
      <c r="H99" s="51"/>
      <c r="M99" s="309"/>
      <c r="N99" s="8">
        <f t="shared" si="57"/>
        <v>0</v>
      </c>
      <c r="O99" s="8">
        <f t="shared" si="45"/>
        <v>0</v>
      </c>
      <c r="P99" s="8"/>
      <c r="Q99" s="83">
        <f t="shared" si="46"/>
        <v>0</v>
      </c>
      <c r="R99" s="143">
        <f t="shared" si="58"/>
        <v>0</v>
      </c>
      <c r="S99" s="143"/>
      <c r="T99" s="83">
        <f t="shared" si="59"/>
        <v>0</v>
      </c>
      <c r="U99" s="83">
        <f t="shared" si="60"/>
        <v>0</v>
      </c>
      <c r="V99" s="51">
        <f t="shared" si="47"/>
        <v>0</v>
      </c>
      <c r="X99" s="51">
        <f t="shared" si="48"/>
        <v>0</v>
      </c>
      <c r="Y99" s="51">
        <f t="shared" si="49"/>
        <v>0</v>
      </c>
      <c r="Z99" s="51">
        <f t="shared" si="50"/>
        <v>0</v>
      </c>
      <c r="AA99" s="89">
        <f t="shared" si="51"/>
        <v>0</v>
      </c>
      <c r="AB99" s="51"/>
      <c r="AD99" s="51">
        <f t="shared" si="52"/>
        <v>0</v>
      </c>
      <c r="AE99" s="51">
        <f t="shared" si="53"/>
        <v>0</v>
      </c>
      <c r="AF99" s="51">
        <f t="shared" si="54"/>
        <v>0</v>
      </c>
      <c r="AG99" s="51">
        <f t="shared" si="55"/>
        <v>0</v>
      </c>
      <c r="AH99" s="124">
        <f t="shared" si="56"/>
        <v>0</v>
      </c>
      <c r="AK99" s="96">
        <f t="shared" si="61"/>
        <v>0</v>
      </c>
      <c r="AL99" s="51">
        <f t="shared" si="62"/>
        <v>0</v>
      </c>
      <c r="AM99" s="51">
        <f t="shared" si="63"/>
        <v>0</v>
      </c>
      <c r="AN99" s="51">
        <f t="shared" si="64"/>
        <v>0</v>
      </c>
      <c r="AO99" s="51">
        <f t="shared" si="65"/>
        <v>0</v>
      </c>
      <c r="AP99" s="94">
        <f t="shared" si="66"/>
        <v>0</v>
      </c>
      <c r="AQ99"/>
      <c r="AR99"/>
      <c r="AS99"/>
      <c r="AT99"/>
      <c r="AU99"/>
      <c r="AV99"/>
      <c r="AW99"/>
      <c r="AX99"/>
      <c r="AY99"/>
      <c r="AZ99"/>
      <c r="BA99"/>
      <c r="BB99"/>
      <c r="BC99"/>
      <c r="BD99"/>
      <c r="BE99"/>
      <c r="BF99"/>
      <c r="BG99"/>
      <c r="BH99"/>
      <c r="BI99"/>
      <c r="BJ99"/>
      <c r="BK99"/>
      <c r="BL99"/>
      <c r="BM99"/>
    </row>
    <row r="100" spans="3:65" s="57" customFormat="1" x14ac:dyDescent="0.25">
      <c r="C100" s="8"/>
      <c r="D100" s="8"/>
      <c r="E100" s="8"/>
      <c r="H100" s="51"/>
      <c r="M100" s="309"/>
      <c r="N100" s="8">
        <f t="shared" si="57"/>
        <v>0</v>
      </c>
      <c r="O100" s="8">
        <f t="shared" si="45"/>
        <v>0</v>
      </c>
      <c r="P100" s="8"/>
      <c r="Q100" s="83">
        <f t="shared" si="46"/>
        <v>0</v>
      </c>
      <c r="R100" s="143">
        <f t="shared" si="58"/>
        <v>0</v>
      </c>
      <c r="S100" s="143"/>
      <c r="T100" s="45">
        <f t="shared" si="59"/>
        <v>0</v>
      </c>
      <c r="U100" s="45">
        <f t="shared" si="60"/>
        <v>0</v>
      </c>
      <c r="V100" s="51">
        <f t="shared" si="47"/>
        <v>0</v>
      </c>
      <c r="X100" s="51">
        <f t="shared" si="48"/>
        <v>0</v>
      </c>
      <c r="Y100" s="51">
        <f t="shared" si="49"/>
        <v>0</v>
      </c>
      <c r="Z100" s="51">
        <f t="shared" si="50"/>
        <v>0</v>
      </c>
      <c r="AA100" s="89">
        <f t="shared" si="51"/>
        <v>0</v>
      </c>
      <c r="AB100" s="51"/>
      <c r="AD100" s="51">
        <f t="shared" si="52"/>
        <v>0</v>
      </c>
      <c r="AE100" s="51">
        <f t="shared" si="53"/>
        <v>0</v>
      </c>
      <c r="AF100" s="51">
        <f t="shared" si="54"/>
        <v>0</v>
      </c>
      <c r="AG100" s="51">
        <f t="shared" si="55"/>
        <v>0</v>
      </c>
      <c r="AH100" s="124">
        <f t="shared" si="56"/>
        <v>0</v>
      </c>
      <c r="AK100" s="96">
        <f t="shared" si="61"/>
        <v>0</v>
      </c>
      <c r="AL100" s="51">
        <f t="shared" si="62"/>
        <v>0</v>
      </c>
      <c r="AM100" s="51">
        <f t="shared" si="63"/>
        <v>0</v>
      </c>
      <c r="AN100" s="51">
        <f t="shared" si="64"/>
        <v>0</v>
      </c>
      <c r="AO100" s="51">
        <f t="shared" si="65"/>
        <v>0</v>
      </c>
      <c r="AP100" s="94">
        <f t="shared" si="66"/>
        <v>0</v>
      </c>
      <c r="AQ100"/>
      <c r="AR100"/>
      <c r="AS100"/>
      <c r="AT100"/>
      <c r="AU100"/>
      <c r="AV100"/>
      <c r="AW100"/>
      <c r="AX100"/>
      <c r="AY100"/>
      <c r="AZ100"/>
      <c r="BA100"/>
      <c r="BB100"/>
      <c r="BC100"/>
      <c r="BD100"/>
      <c r="BE100"/>
      <c r="BF100"/>
      <c r="BG100"/>
      <c r="BH100"/>
      <c r="BI100"/>
      <c r="BJ100"/>
      <c r="BK100"/>
      <c r="BL100"/>
      <c r="BM100"/>
    </row>
    <row r="101" spans="3:65" s="57" customFormat="1" x14ac:dyDescent="0.25">
      <c r="C101" s="8"/>
      <c r="D101" s="8"/>
      <c r="E101" s="8"/>
      <c r="H101" s="51"/>
      <c r="M101" s="309"/>
      <c r="N101" s="8">
        <f t="shared" si="57"/>
        <v>0</v>
      </c>
      <c r="O101" s="8">
        <f t="shared" si="45"/>
        <v>0</v>
      </c>
      <c r="P101" s="8"/>
      <c r="Q101" s="83">
        <f t="shared" si="46"/>
        <v>0</v>
      </c>
      <c r="R101" s="143">
        <f t="shared" si="58"/>
        <v>0</v>
      </c>
      <c r="S101" s="143"/>
      <c r="T101" s="83">
        <f t="shared" si="59"/>
        <v>0</v>
      </c>
      <c r="U101" s="83">
        <f t="shared" si="60"/>
        <v>0</v>
      </c>
      <c r="V101" s="51">
        <f t="shared" si="47"/>
        <v>0</v>
      </c>
      <c r="X101" s="51">
        <f t="shared" si="48"/>
        <v>0</v>
      </c>
      <c r="Y101" s="51">
        <f t="shared" si="49"/>
        <v>0</v>
      </c>
      <c r="Z101" s="51">
        <f t="shared" si="50"/>
        <v>0</v>
      </c>
      <c r="AA101" s="89">
        <f t="shared" si="51"/>
        <v>0</v>
      </c>
      <c r="AB101" s="51"/>
      <c r="AD101" s="51">
        <f t="shared" si="52"/>
        <v>0</v>
      </c>
      <c r="AE101" s="51">
        <f t="shared" si="53"/>
        <v>0</v>
      </c>
      <c r="AF101" s="51">
        <f t="shared" si="54"/>
        <v>0</v>
      </c>
      <c r="AG101" s="51">
        <f t="shared" si="55"/>
        <v>0</v>
      </c>
      <c r="AH101" s="124">
        <f t="shared" si="56"/>
        <v>0</v>
      </c>
      <c r="AK101" s="96">
        <f t="shared" si="61"/>
        <v>0</v>
      </c>
      <c r="AL101" s="51">
        <f t="shared" si="62"/>
        <v>0</v>
      </c>
      <c r="AM101" s="51">
        <f t="shared" si="63"/>
        <v>0</v>
      </c>
      <c r="AN101" s="51">
        <f t="shared" si="64"/>
        <v>0</v>
      </c>
      <c r="AO101" s="51">
        <f t="shared" si="65"/>
        <v>0</v>
      </c>
      <c r="AP101" s="94">
        <f t="shared" si="66"/>
        <v>0</v>
      </c>
      <c r="AQ101"/>
      <c r="AR101"/>
      <c r="AS101"/>
      <c r="AT101"/>
      <c r="AU101"/>
      <c r="AV101"/>
      <c r="AW101"/>
      <c r="AX101"/>
      <c r="AY101"/>
      <c r="AZ101"/>
      <c r="BA101"/>
      <c r="BB101"/>
      <c r="BC101"/>
      <c r="BD101"/>
      <c r="BE101"/>
      <c r="BF101"/>
      <c r="BG101"/>
      <c r="BH101"/>
      <c r="BI101"/>
      <c r="BJ101"/>
      <c r="BK101"/>
      <c r="BL101"/>
      <c r="BM101"/>
    </row>
    <row r="102" spans="3:65" s="57" customFormat="1" x14ac:dyDescent="0.25">
      <c r="C102" s="8"/>
      <c r="D102" s="8"/>
      <c r="E102" s="8"/>
      <c r="H102" s="51"/>
      <c r="M102" s="309"/>
      <c r="N102" s="8">
        <f t="shared" si="57"/>
        <v>0</v>
      </c>
      <c r="O102" s="8">
        <f t="shared" si="45"/>
        <v>0</v>
      </c>
      <c r="P102" s="8"/>
      <c r="Q102" s="83">
        <f t="shared" si="46"/>
        <v>0</v>
      </c>
      <c r="R102" s="143">
        <f t="shared" si="58"/>
        <v>0</v>
      </c>
      <c r="S102" s="143"/>
      <c r="T102" s="45">
        <f t="shared" si="59"/>
        <v>0</v>
      </c>
      <c r="U102" s="45">
        <f t="shared" si="60"/>
        <v>0</v>
      </c>
      <c r="V102" s="51">
        <f t="shared" si="47"/>
        <v>0</v>
      </c>
      <c r="X102" s="51">
        <f t="shared" si="48"/>
        <v>0</v>
      </c>
      <c r="Y102" s="51">
        <f t="shared" si="49"/>
        <v>0</v>
      </c>
      <c r="Z102" s="51">
        <f t="shared" si="50"/>
        <v>0</v>
      </c>
      <c r="AA102" s="89">
        <f t="shared" si="51"/>
        <v>0</v>
      </c>
      <c r="AB102" s="51"/>
      <c r="AD102" s="51">
        <f t="shared" si="52"/>
        <v>0</v>
      </c>
      <c r="AE102" s="51">
        <f t="shared" si="53"/>
        <v>0</v>
      </c>
      <c r="AF102" s="51">
        <f t="shared" si="54"/>
        <v>0</v>
      </c>
      <c r="AG102" s="51">
        <f t="shared" si="55"/>
        <v>0</v>
      </c>
      <c r="AH102" s="124">
        <f t="shared" si="56"/>
        <v>0</v>
      </c>
      <c r="AK102" s="96">
        <f t="shared" si="61"/>
        <v>0</v>
      </c>
      <c r="AL102" s="51">
        <f t="shared" si="62"/>
        <v>0</v>
      </c>
      <c r="AM102" s="51">
        <f t="shared" si="63"/>
        <v>0</v>
      </c>
      <c r="AN102" s="51">
        <f t="shared" si="64"/>
        <v>0</v>
      </c>
      <c r="AO102" s="51">
        <f t="shared" si="65"/>
        <v>0</v>
      </c>
      <c r="AP102" s="94">
        <f t="shared" si="66"/>
        <v>0</v>
      </c>
      <c r="AQ102"/>
      <c r="AR102"/>
      <c r="AS102"/>
      <c r="AT102"/>
      <c r="AU102"/>
      <c r="AV102"/>
      <c r="AW102"/>
      <c r="AX102"/>
      <c r="AY102"/>
      <c r="AZ102"/>
      <c r="BA102"/>
      <c r="BB102"/>
      <c r="BC102"/>
      <c r="BD102"/>
      <c r="BE102"/>
      <c r="BF102"/>
      <c r="BG102"/>
      <c r="BH102"/>
      <c r="BI102"/>
      <c r="BJ102"/>
      <c r="BK102"/>
      <c r="BL102"/>
      <c r="BM102"/>
    </row>
    <row r="103" spans="3:65" s="57" customFormat="1" x14ac:dyDescent="0.25">
      <c r="C103" s="8"/>
      <c r="D103" s="8"/>
      <c r="E103" s="8"/>
      <c r="H103" s="39"/>
      <c r="I103" s="96"/>
      <c r="M103" s="309"/>
      <c r="N103" s="8">
        <f t="shared" si="57"/>
        <v>0</v>
      </c>
      <c r="O103" s="8">
        <f t="shared" si="45"/>
        <v>0</v>
      </c>
      <c r="P103" s="8"/>
      <c r="Q103" s="83">
        <f t="shared" si="46"/>
        <v>0</v>
      </c>
      <c r="R103" s="143">
        <f t="shared" si="58"/>
        <v>0</v>
      </c>
      <c r="S103" s="143"/>
      <c r="T103" s="83">
        <f t="shared" si="59"/>
        <v>0</v>
      </c>
      <c r="U103" s="83">
        <f t="shared" si="60"/>
        <v>0</v>
      </c>
      <c r="V103" s="51">
        <f t="shared" si="47"/>
        <v>0</v>
      </c>
      <c r="X103" s="51">
        <f t="shared" si="48"/>
        <v>0</v>
      </c>
      <c r="Y103" s="51">
        <f t="shared" si="49"/>
        <v>0</v>
      </c>
      <c r="Z103" s="51">
        <f t="shared" si="50"/>
        <v>0</v>
      </c>
      <c r="AA103" s="89">
        <f t="shared" si="51"/>
        <v>0</v>
      </c>
      <c r="AB103" s="51"/>
      <c r="AD103" s="51">
        <f t="shared" si="52"/>
        <v>0</v>
      </c>
      <c r="AE103" s="51">
        <f t="shared" si="53"/>
        <v>0</v>
      </c>
      <c r="AF103" s="51">
        <f t="shared" si="54"/>
        <v>0</v>
      </c>
      <c r="AG103" s="51">
        <f t="shared" si="55"/>
        <v>0</v>
      </c>
      <c r="AH103" s="124">
        <f t="shared" si="56"/>
        <v>0</v>
      </c>
      <c r="AK103" s="96">
        <f t="shared" si="61"/>
        <v>0</v>
      </c>
      <c r="AL103" s="51">
        <f t="shared" si="62"/>
        <v>0</v>
      </c>
      <c r="AM103" s="51">
        <f t="shared" si="63"/>
        <v>0</v>
      </c>
      <c r="AN103" s="51">
        <f t="shared" si="64"/>
        <v>0</v>
      </c>
      <c r="AO103" s="51">
        <f t="shared" si="65"/>
        <v>0</v>
      </c>
      <c r="AP103" s="94">
        <f t="shared" si="66"/>
        <v>0</v>
      </c>
      <c r="AQ103"/>
      <c r="AR103"/>
      <c r="AS103"/>
      <c r="AT103"/>
      <c r="AU103"/>
      <c r="AV103"/>
      <c r="AW103"/>
      <c r="AX103"/>
      <c r="AY103"/>
      <c r="AZ103"/>
      <c r="BA103"/>
      <c r="BB103"/>
      <c r="BC103"/>
      <c r="BD103"/>
      <c r="BE103"/>
      <c r="BF103"/>
      <c r="BG103"/>
      <c r="BH103"/>
      <c r="BI103"/>
      <c r="BJ103"/>
      <c r="BK103"/>
      <c r="BL103"/>
      <c r="BM103"/>
    </row>
    <row r="104" spans="3:65" s="57" customFormat="1" x14ac:dyDescent="0.25">
      <c r="C104" s="8"/>
      <c r="D104" s="8"/>
      <c r="E104" s="8"/>
      <c r="F104" s="8"/>
      <c r="G104"/>
      <c r="H104"/>
      <c r="I104"/>
      <c r="M104" s="309"/>
      <c r="N104" s="8">
        <f t="shared" si="57"/>
        <v>0</v>
      </c>
      <c r="O104" s="8">
        <f t="shared" si="45"/>
        <v>0</v>
      </c>
      <c r="P104" s="8"/>
      <c r="Q104" s="83">
        <f t="shared" si="46"/>
        <v>0</v>
      </c>
      <c r="R104" s="143">
        <f t="shared" si="58"/>
        <v>0</v>
      </c>
      <c r="S104" s="143"/>
      <c r="T104" s="45">
        <f t="shared" si="59"/>
        <v>0</v>
      </c>
      <c r="U104" s="45">
        <f t="shared" si="60"/>
        <v>0</v>
      </c>
      <c r="V104" s="51">
        <f t="shared" si="47"/>
        <v>0</v>
      </c>
      <c r="X104" s="51">
        <f t="shared" si="48"/>
        <v>0</v>
      </c>
      <c r="Y104" s="51">
        <f t="shared" si="49"/>
        <v>0</v>
      </c>
      <c r="Z104" s="51">
        <f t="shared" si="50"/>
        <v>0</v>
      </c>
      <c r="AA104" s="89">
        <f t="shared" si="51"/>
        <v>0</v>
      </c>
      <c r="AB104" s="51"/>
      <c r="AD104" s="51">
        <f t="shared" si="52"/>
        <v>0</v>
      </c>
      <c r="AE104" s="51">
        <f t="shared" si="53"/>
        <v>0</v>
      </c>
      <c r="AF104" s="51">
        <f t="shared" si="54"/>
        <v>0</v>
      </c>
      <c r="AG104" s="51">
        <f t="shared" si="55"/>
        <v>0</v>
      </c>
      <c r="AH104" s="124">
        <f t="shared" si="56"/>
        <v>0</v>
      </c>
      <c r="AK104" s="96">
        <f t="shared" si="61"/>
        <v>0</v>
      </c>
      <c r="AL104" s="51">
        <f t="shared" si="62"/>
        <v>0</v>
      </c>
      <c r="AM104" s="51">
        <f t="shared" si="63"/>
        <v>0</v>
      </c>
      <c r="AN104" s="51">
        <f t="shared" si="64"/>
        <v>0</v>
      </c>
      <c r="AO104" s="51">
        <f t="shared" si="65"/>
        <v>0</v>
      </c>
      <c r="AP104" s="94">
        <f t="shared" si="66"/>
        <v>0</v>
      </c>
      <c r="AQ104"/>
      <c r="AR104"/>
      <c r="AS104"/>
      <c r="AT104"/>
      <c r="AU104"/>
      <c r="AV104"/>
      <c r="AW104"/>
      <c r="AX104"/>
      <c r="AY104"/>
      <c r="AZ104"/>
      <c r="BA104"/>
      <c r="BB104"/>
      <c r="BC104"/>
      <c r="BD104"/>
      <c r="BE104"/>
      <c r="BF104"/>
      <c r="BG104"/>
      <c r="BH104"/>
      <c r="BI104"/>
      <c r="BJ104"/>
      <c r="BK104"/>
      <c r="BL104"/>
      <c r="BM104"/>
    </row>
    <row r="105" spans="3:65" s="8" customFormat="1" x14ac:dyDescent="0.25">
      <c r="C105" s="57"/>
      <c r="I105"/>
      <c r="M105" s="309"/>
      <c r="N105" s="8">
        <f t="shared" si="57"/>
        <v>0</v>
      </c>
      <c r="O105" s="8">
        <f t="shared" si="45"/>
        <v>0</v>
      </c>
      <c r="Q105" s="83">
        <f t="shared" si="46"/>
        <v>0</v>
      </c>
      <c r="R105" s="143">
        <f t="shared" si="58"/>
        <v>0</v>
      </c>
      <c r="S105" s="143"/>
      <c r="T105" s="83">
        <f t="shared" si="59"/>
        <v>0</v>
      </c>
      <c r="U105" s="83">
        <f t="shared" si="60"/>
        <v>0</v>
      </c>
      <c r="V105" s="51">
        <f t="shared" si="47"/>
        <v>0</v>
      </c>
      <c r="W105" s="57"/>
      <c r="X105" s="51">
        <f t="shared" si="48"/>
        <v>0</v>
      </c>
      <c r="Y105" s="51">
        <f t="shared" si="49"/>
        <v>0</v>
      </c>
      <c r="Z105" s="51">
        <f t="shared" si="50"/>
        <v>0</v>
      </c>
      <c r="AA105" s="89">
        <f t="shared" si="51"/>
        <v>0</v>
      </c>
      <c r="AB105" s="51"/>
      <c r="AC105" s="57"/>
      <c r="AD105" s="51">
        <f t="shared" si="52"/>
        <v>0</v>
      </c>
      <c r="AE105" s="51">
        <f t="shared" si="53"/>
        <v>0</v>
      </c>
      <c r="AF105" s="51">
        <f t="shared" si="54"/>
        <v>0</v>
      </c>
      <c r="AG105" s="51">
        <f t="shared" si="55"/>
        <v>0</v>
      </c>
      <c r="AH105" s="124">
        <f t="shared" si="56"/>
        <v>0</v>
      </c>
      <c r="AI105" s="57"/>
      <c r="AK105" s="96">
        <f t="shared" si="61"/>
        <v>0</v>
      </c>
      <c r="AL105" s="51">
        <f t="shared" si="62"/>
        <v>0</v>
      </c>
      <c r="AM105" s="51">
        <f t="shared" si="63"/>
        <v>0</v>
      </c>
      <c r="AN105" s="51">
        <f t="shared" si="64"/>
        <v>0</v>
      </c>
      <c r="AO105" s="51">
        <f t="shared" si="65"/>
        <v>0</v>
      </c>
      <c r="AP105" s="94">
        <f t="shared" si="66"/>
        <v>0</v>
      </c>
      <c r="AQ105"/>
      <c r="AR105"/>
      <c r="AS105"/>
      <c r="AT105"/>
      <c r="AU105"/>
      <c r="AV105"/>
      <c r="AW105"/>
      <c r="AX105"/>
      <c r="AY105"/>
      <c r="AZ105"/>
      <c r="BA105"/>
      <c r="BB105"/>
      <c r="BC105"/>
      <c r="BD105"/>
      <c r="BE105"/>
      <c r="BF105"/>
      <c r="BG105"/>
      <c r="BH105"/>
      <c r="BI105"/>
      <c r="BJ105"/>
      <c r="BK105"/>
      <c r="BL105"/>
      <c r="BM105"/>
    </row>
    <row r="106" spans="3:65" s="8" customFormat="1" x14ac:dyDescent="0.25">
      <c r="C106" s="57"/>
      <c r="M106" s="303"/>
      <c r="N106" s="8">
        <f t="shared" si="57"/>
        <v>0</v>
      </c>
      <c r="O106" s="8">
        <f t="shared" si="45"/>
        <v>0</v>
      </c>
      <c r="Q106" s="83">
        <f t="shared" si="46"/>
        <v>0</v>
      </c>
      <c r="R106" s="189">
        <f t="shared" si="58"/>
        <v>0</v>
      </c>
      <c r="S106" s="189"/>
      <c r="T106" s="45">
        <f t="shared" si="59"/>
        <v>0</v>
      </c>
      <c r="U106" s="45">
        <f t="shared" si="60"/>
        <v>0</v>
      </c>
      <c r="V106" s="51">
        <f t="shared" si="47"/>
        <v>0</v>
      </c>
      <c r="W106" s="57"/>
      <c r="X106" s="51">
        <f t="shared" si="48"/>
        <v>0</v>
      </c>
      <c r="Y106" s="51">
        <f t="shared" si="49"/>
        <v>0</v>
      </c>
      <c r="Z106" s="51">
        <f t="shared" si="50"/>
        <v>0</v>
      </c>
      <c r="AA106" s="89">
        <f t="shared" si="51"/>
        <v>0</v>
      </c>
      <c r="AB106" s="51"/>
      <c r="AC106" s="57"/>
      <c r="AD106" s="51">
        <f t="shared" si="52"/>
        <v>0</v>
      </c>
      <c r="AE106" s="51">
        <f t="shared" si="53"/>
        <v>0</v>
      </c>
      <c r="AF106" s="51">
        <f t="shared" si="54"/>
        <v>0</v>
      </c>
      <c r="AG106" s="51">
        <f t="shared" si="55"/>
        <v>0</v>
      </c>
      <c r="AH106" s="124">
        <f t="shared" si="56"/>
        <v>0</v>
      </c>
      <c r="AI106" s="57"/>
      <c r="AK106" s="96">
        <f t="shared" si="61"/>
        <v>0</v>
      </c>
      <c r="AL106" s="51">
        <f t="shared" si="62"/>
        <v>0</v>
      </c>
      <c r="AM106" s="51">
        <f t="shared" si="63"/>
        <v>0</v>
      </c>
      <c r="AN106" s="51">
        <f t="shared" si="64"/>
        <v>0</v>
      </c>
      <c r="AO106" s="51">
        <f t="shared" si="65"/>
        <v>0</v>
      </c>
      <c r="AP106" s="94">
        <f t="shared" si="66"/>
        <v>0</v>
      </c>
      <c r="AQ106"/>
      <c r="AR106"/>
      <c r="AS106"/>
      <c r="AT106"/>
      <c r="AU106"/>
      <c r="AV106"/>
      <c r="AW106"/>
      <c r="AX106"/>
      <c r="AY106"/>
      <c r="AZ106"/>
      <c r="BA106"/>
      <c r="BB106"/>
      <c r="BC106"/>
      <c r="BD106"/>
      <c r="BE106"/>
      <c r="BF106"/>
      <c r="BG106"/>
      <c r="BH106"/>
      <c r="BI106"/>
      <c r="BJ106"/>
      <c r="BK106"/>
      <c r="BL106"/>
      <c r="BM106"/>
    </row>
    <row r="107" spans="3:65" s="8" customFormat="1" ht="15.75" thickBot="1" x14ac:dyDescent="0.3">
      <c r="C107" s="57"/>
      <c r="F107" s="39"/>
      <c r="G107" s="39"/>
      <c r="H107" s="39"/>
      <c r="M107" s="303"/>
      <c r="N107" s="186">
        <f t="shared" si="57"/>
        <v>0</v>
      </c>
      <c r="O107" s="186">
        <f t="shared" si="45"/>
        <v>0</v>
      </c>
      <c r="P107" s="186"/>
      <c r="Q107" s="131">
        <f t="shared" si="46"/>
        <v>0</v>
      </c>
      <c r="R107" s="144">
        <f t="shared" si="58"/>
        <v>0</v>
      </c>
      <c r="S107" s="144"/>
      <c r="T107" s="110">
        <f t="shared" si="59"/>
        <v>0</v>
      </c>
      <c r="U107" s="110">
        <f t="shared" si="60"/>
        <v>0</v>
      </c>
      <c r="V107" s="145">
        <f t="shared" si="47"/>
        <v>0</v>
      </c>
      <c r="W107" s="57"/>
      <c r="X107" s="145">
        <f t="shared" si="48"/>
        <v>0</v>
      </c>
      <c r="Y107" s="145">
        <f t="shared" si="49"/>
        <v>0</v>
      </c>
      <c r="Z107" s="145">
        <f t="shared" si="50"/>
        <v>0</v>
      </c>
      <c r="AA107" s="89">
        <f t="shared" si="51"/>
        <v>0</v>
      </c>
      <c r="AB107" s="51"/>
      <c r="AC107" s="57"/>
      <c r="AD107" s="145">
        <f t="shared" si="52"/>
        <v>0</v>
      </c>
      <c r="AE107" s="145">
        <f t="shared" si="53"/>
        <v>0</v>
      </c>
      <c r="AF107" s="145">
        <f t="shared" si="54"/>
        <v>0</v>
      </c>
      <c r="AG107" s="145">
        <f t="shared" si="55"/>
        <v>0</v>
      </c>
      <c r="AH107" s="124">
        <f t="shared" si="56"/>
        <v>0</v>
      </c>
      <c r="AK107" s="167">
        <f t="shared" si="61"/>
        <v>0</v>
      </c>
      <c r="AL107" s="145">
        <f t="shared" si="62"/>
        <v>0</v>
      </c>
      <c r="AM107" s="145">
        <f t="shared" si="63"/>
        <v>0</v>
      </c>
      <c r="AN107" s="145">
        <f t="shared" si="64"/>
        <v>0</v>
      </c>
      <c r="AO107" s="145">
        <f t="shared" si="65"/>
        <v>0</v>
      </c>
      <c r="AP107" s="475">
        <f t="shared" si="66"/>
        <v>0</v>
      </c>
      <c r="AQ107"/>
      <c r="AR107"/>
      <c r="AS107"/>
      <c r="AT107"/>
      <c r="AU107"/>
      <c r="AV107"/>
      <c r="AW107"/>
      <c r="AX107"/>
      <c r="AY107"/>
      <c r="AZ107"/>
      <c r="BA107"/>
      <c r="BB107"/>
      <c r="BC107"/>
      <c r="BD107"/>
      <c r="BE107"/>
      <c r="BF107"/>
      <c r="BG107"/>
      <c r="BH107"/>
      <c r="BI107"/>
      <c r="BJ107"/>
      <c r="BK107"/>
      <c r="BL107"/>
      <c r="BM107"/>
    </row>
    <row r="108" spans="3:65" s="8" customFormat="1" ht="15.75" thickTop="1" x14ac:dyDescent="0.25">
      <c r="C108" s="57"/>
      <c r="F108" s="39"/>
      <c r="G108" s="39"/>
      <c r="H108" s="39"/>
      <c r="M108" s="303"/>
      <c r="N108" s="57"/>
      <c r="O108" s="96"/>
      <c r="P108" s="96" t="s">
        <v>372</v>
      </c>
      <c r="Q108" s="83">
        <f>SUM(Q90:Q107)</f>
        <v>0</v>
      </c>
      <c r="R108" s="143">
        <f>SUM(R90:R107)</f>
        <v>0</v>
      </c>
      <c r="S108" s="143"/>
      <c r="T108" s="83">
        <f>SUM(T90:T107)</f>
        <v>0</v>
      </c>
      <c r="U108" s="83">
        <f>SUM(U90:U107)</f>
        <v>0</v>
      </c>
      <c r="V108" s="83">
        <f>SUM(V90:V107)</f>
        <v>0</v>
      </c>
      <c r="W108" s="57"/>
      <c r="X108" s="39">
        <f>SUM(X90:X107)</f>
        <v>0</v>
      </c>
      <c r="Y108" s="39">
        <f t="shared" ref="Y108:Z108" si="67">SUM(Y90:Y107)</f>
        <v>0</v>
      </c>
      <c r="Z108" s="39">
        <f t="shared" si="67"/>
        <v>0</v>
      </c>
      <c r="AA108" s="89">
        <f t="shared" si="51"/>
        <v>0</v>
      </c>
      <c r="AB108" s="39"/>
      <c r="AC108" s="57"/>
      <c r="AD108" s="39">
        <f>SUM(AD90:AD107)</f>
        <v>0</v>
      </c>
      <c r="AE108" s="39">
        <f t="shared" ref="AE108" si="68">SUM(AE90:AE107)</f>
        <v>0</v>
      </c>
      <c r="AF108" s="39">
        <f>SUM(AF90:AF107)</f>
        <v>0</v>
      </c>
      <c r="AG108" s="39">
        <f>SUM(AG90:AG107)</f>
        <v>0</v>
      </c>
      <c r="AH108" s="57"/>
      <c r="AK108" s="57"/>
      <c r="AL108" s="39">
        <f>SUM(AL90:AL107)</f>
        <v>0</v>
      </c>
      <c r="AM108" s="39">
        <f t="shared" ref="AM108:AP108" si="69">SUM(AM90:AM107)</f>
        <v>0</v>
      </c>
      <c r="AN108" s="39">
        <f t="shared" si="69"/>
        <v>0</v>
      </c>
      <c r="AO108" s="39">
        <f t="shared" si="69"/>
        <v>0</v>
      </c>
      <c r="AP108" s="39">
        <f t="shared" si="69"/>
        <v>0</v>
      </c>
      <c r="AQ108"/>
      <c r="AR108"/>
      <c r="AS108"/>
      <c r="AT108"/>
      <c r="AU108"/>
      <c r="AV108"/>
      <c r="AW108"/>
      <c r="AX108"/>
      <c r="AY108"/>
      <c r="AZ108"/>
      <c r="BA108"/>
      <c r="BB108"/>
      <c r="BC108"/>
      <c r="BD108"/>
      <c r="BE108"/>
      <c r="BF108"/>
      <c r="BG108"/>
      <c r="BH108"/>
      <c r="BI108"/>
      <c r="BJ108"/>
      <c r="BK108"/>
      <c r="BL108"/>
      <c r="BM108"/>
    </row>
    <row r="109" spans="3:65" s="8" customFormat="1" x14ac:dyDescent="0.25">
      <c r="C109" s="57"/>
      <c r="F109" s="39"/>
      <c r="G109" s="39"/>
      <c r="H109" s="39"/>
      <c r="M109" s="303"/>
      <c r="N109" s="57"/>
      <c r="O109" s="9"/>
      <c r="P109" s="96"/>
      <c r="Q109" s="88">
        <f>Q108-T63</f>
        <v>0</v>
      </c>
      <c r="R109" s="88">
        <f>R108-N81</f>
        <v>0</v>
      </c>
      <c r="S109" s="88"/>
      <c r="T109" s="88">
        <f>T108-M69</f>
        <v>0</v>
      </c>
      <c r="U109" s="88">
        <f>U108-N83-N84-N85</f>
        <v>0</v>
      </c>
      <c r="V109" s="88">
        <f>V108-N85</f>
        <v>0</v>
      </c>
      <c r="W109" s="57"/>
      <c r="X109" s="39"/>
      <c r="Y109" s="39"/>
      <c r="Z109"/>
      <c r="AA109"/>
      <c r="AB109" s="57"/>
      <c r="AC109" s="57"/>
      <c r="AE109" s="94">
        <f>(AD108+AE108)-Q108</f>
        <v>0</v>
      </c>
      <c r="AF109" s="57"/>
      <c r="AG109" s="94">
        <f>(AF108+AG108)-V108</f>
        <v>0</v>
      </c>
      <c r="AH109" s="57"/>
      <c r="AK109" s="57"/>
      <c r="AM109"/>
      <c r="AN109"/>
      <c r="AO109"/>
      <c r="AP109"/>
      <c r="AQ109"/>
      <c r="AR109"/>
      <c r="AS109"/>
      <c r="AT109"/>
      <c r="AU109"/>
      <c r="AV109"/>
      <c r="AW109"/>
      <c r="AX109"/>
      <c r="AY109"/>
      <c r="AZ109"/>
      <c r="BA109"/>
      <c r="BB109"/>
      <c r="BC109"/>
      <c r="BD109"/>
      <c r="BE109"/>
      <c r="BF109"/>
      <c r="BG109"/>
      <c r="BH109"/>
      <c r="BI109"/>
      <c r="BJ109"/>
      <c r="BK109"/>
      <c r="BL109"/>
      <c r="BM109"/>
    </row>
    <row r="110" spans="3:65" s="8" customFormat="1" x14ac:dyDescent="0.25">
      <c r="C110" s="57"/>
      <c r="F110" s="39"/>
      <c r="G110" s="39"/>
      <c r="H110" s="39"/>
      <c r="M110" s="303"/>
      <c r="O110" s="9"/>
      <c r="P110" s="96"/>
      <c r="Q110" s="27"/>
      <c r="R110" s="27"/>
      <c r="S110" s="27"/>
      <c r="T110" s="39"/>
      <c r="U110" s="39"/>
      <c r="V110" s="39"/>
      <c r="W110" s="39"/>
      <c r="X110" s="39"/>
      <c r="Z110"/>
      <c r="AK110" s="57"/>
      <c r="AM110"/>
      <c r="AN110"/>
      <c r="AO110"/>
      <c r="AP110"/>
      <c r="AQ110"/>
      <c r="AR110"/>
      <c r="AS110"/>
      <c r="AT110"/>
      <c r="AU110"/>
      <c r="AV110"/>
      <c r="AW110"/>
      <c r="AX110"/>
      <c r="AY110"/>
      <c r="AZ110"/>
      <c r="BA110"/>
      <c r="BB110"/>
      <c r="BC110"/>
      <c r="BD110"/>
      <c r="BE110"/>
      <c r="BF110"/>
      <c r="BG110"/>
      <c r="BH110"/>
      <c r="BI110"/>
      <c r="BJ110"/>
      <c r="BK110"/>
      <c r="BL110"/>
      <c r="BM110"/>
    </row>
    <row r="111" spans="3:65" s="8" customFormat="1" x14ac:dyDescent="0.25">
      <c r="C111" s="57"/>
      <c r="F111" s="39"/>
      <c r="G111" s="39"/>
      <c r="H111" s="39"/>
      <c r="M111" s="303"/>
      <c r="N111" s="269" t="s">
        <v>438</v>
      </c>
      <c r="O111" s="269"/>
      <c r="P111" s="269"/>
      <c r="Q111" s="269"/>
      <c r="R111" s="269"/>
      <c r="S111" s="269"/>
      <c r="T111" s="269"/>
      <c r="U111" s="39"/>
      <c r="V111" s="39"/>
      <c r="W111" s="39"/>
      <c r="X111" s="39"/>
      <c r="Z111"/>
      <c r="AK111" s="57"/>
      <c r="AM111"/>
      <c r="AN111"/>
      <c r="AO111"/>
      <c r="AP111"/>
      <c r="AQ111"/>
      <c r="AR111"/>
      <c r="AS111"/>
      <c r="AT111"/>
      <c r="AU111"/>
      <c r="AV111"/>
      <c r="AW111"/>
      <c r="AX111"/>
      <c r="AY111"/>
      <c r="AZ111"/>
      <c r="BA111"/>
      <c r="BB111"/>
      <c r="BC111"/>
      <c r="BD111"/>
      <c r="BE111"/>
      <c r="BF111"/>
      <c r="BG111"/>
      <c r="BH111"/>
      <c r="BI111"/>
      <c r="BJ111"/>
      <c r="BK111"/>
      <c r="BL111"/>
      <c r="BM111"/>
    </row>
    <row r="112" spans="3:65" s="8" customFormat="1" x14ac:dyDescent="0.25">
      <c r="C112" s="57"/>
      <c r="D112"/>
      <c r="E112"/>
      <c r="G112" s="39"/>
      <c r="H112"/>
      <c r="M112" s="303"/>
      <c r="N112" s="38" t="s">
        <v>232</v>
      </c>
      <c r="O112" s="132" t="s">
        <v>439</v>
      </c>
      <c r="P112" s="132" t="s">
        <v>440</v>
      </c>
      <c r="Q112" s="133" t="s">
        <v>269</v>
      </c>
      <c r="R112" s="179" t="s">
        <v>441</v>
      </c>
      <c r="S112" s="179"/>
      <c r="T112" s="178" t="s">
        <v>442</v>
      </c>
      <c r="U112" s="161" t="s">
        <v>443</v>
      </c>
      <c r="V112" s="39"/>
      <c r="W112" s="39"/>
      <c r="X112" s="39"/>
      <c r="Y112" s="39"/>
      <c r="Z112"/>
      <c r="AE112"/>
      <c r="AM112"/>
      <c r="AN112"/>
      <c r="AO112"/>
      <c r="AP112"/>
      <c r="AQ112"/>
      <c r="AR112"/>
      <c r="AS112"/>
      <c r="AT112"/>
      <c r="AU112"/>
      <c r="AV112"/>
      <c r="AW112"/>
      <c r="AX112"/>
      <c r="AY112"/>
      <c r="AZ112"/>
      <c r="BA112"/>
      <c r="BB112"/>
      <c r="BC112"/>
      <c r="BD112"/>
      <c r="BE112"/>
      <c r="BF112"/>
      <c r="BG112"/>
      <c r="BH112"/>
      <c r="BI112"/>
      <c r="BJ112"/>
      <c r="BK112"/>
    </row>
    <row r="113" spans="2:63" s="8" customFormat="1" x14ac:dyDescent="0.25">
      <c r="C113" s="57"/>
      <c r="D113"/>
      <c r="E113"/>
      <c r="G113" s="39"/>
      <c r="H113"/>
      <c r="M113" s="303"/>
      <c r="P113" s="9" t="s">
        <v>444</v>
      </c>
      <c r="Q113" s="83">
        <f>SUMIF($O$90:$O$107,$P113,$Q$90:$Q$107)</f>
        <v>0</v>
      </c>
      <c r="R113" s="134">
        <f t="shared" ref="R113:R118" si="70">SUMIFS($BA$9:$BA$59,$AM$9:$AM$59,$P113,$C$9:$C$59,"YES")+SUMIFS($BA$9:$BA$59,$AM$9:$AM$59,$P113,$C$9:$C$59,"YES-OOS")</f>
        <v>0</v>
      </c>
      <c r="S113" s="302"/>
      <c r="T113" s="83"/>
      <c r="U113" s="83">
        <f t="shared" ref="U113:U118" si="71">SUMIFS($AD$90:$AD$107,$O$90:$O$107,P113)</f>
        <v>0</v>
      </c>
      <c r="V113" s="39"/>
      <c r="W113" s="39"/>
      <c r="X113" s="39"/>
      <c r="Y113" s="39"/>
      <c r="Z113"/>
      <c r="AE113"/>
      <c r="AM113"/>
      <c r="AN113"/>
      <c r="AO113"/>
      <c r="AP113"/>
      <c r="AQ113"/>
      <c r="AR113"/>
      <c r="AS113"/>
      <c r="AT113"/>
      <c r="AU113"/>
      <c r="AV113"/>
      <c r="AW113"/>
      <c r="AX113"/>
      <c r="AY113"/>
      <c r="AZ113"/>
      <c r="BA113"/>
      <c r="BB113"/>
      <c r="BC113"/>
      <c r="BD113"/>
      <c r="BE113"/>
      <c r="BF113"/>
      <c r="BG113"/>
      <c r="BH113"/>
      <c r="BI113"/>
      <c r="BJ113"/>
      <c r="BK113"/>
    </row>
    <row r="114" spans="2:63" s="8" customFormat="1" x14ac:dyDescent="0.25">
      <c r="C114" s="57"/>
      <c r="D114"/>
      <c r="E114"/>
      <c r="G114" s="39"/>
      <c r="H114"/>
      <c r="I114"/>
      <c r="M114" s="303"/>
      <c r="N114" s="9"/>
      <c r="P114" s="181" t="s">
        <v>445</v>
      </c>
      <c r="Q114" s="83">
        <f>SUMIF($O$90:$O$107,P114,$Q$90:$Q$107)</f>
        <v>0</v>
      </c>
      <c r="R114" s="302">
        <f t="shared" si="70"/>
        <v>0</v>
      </c>
      <c r="S114" s="302"/>
      <c r="T114" s="83"/>
      <c r="U114" s="83">
        <f t="shared" si="71"/>
        <v>0</v>
      </c>
      <c r="V114" s="39"/>
      <c r="W114" s="39"/>
      <c r="X114" s="39"/>
      <c r="Y114" s="39">
        <f>SUMIFS($AD$91:$AD$104,$O$91:$O$104,P110)</f>
        <v>0</v>
      </c>
      <c r="Z114"/>
      <c r="AE114"/>
      <c r="AM114"/>
      <c r="AN114"/>
      <c r="AO114"/>
      <c r="AP114"/>
      <c r="AQ114"/>
      <c r="AR114"/>
      <c r="AS114"/>
      <c r="AT114"/>
      <c r="AU114"/>
      <c r="AV114"/>
      <c r="AW114"/>
      <c r="AX114"/>
      <c r="AY114"/>
      <c r="AZ114"/>
      <c r="BA114"/>
      <c r="BB114"/>
      <c r="BC114"/>
      <c r="BD114"/>
      <c r="BE114"/>
      <c r="BF114"/>
      <c r="BG114"/>
      <c r="BH114"/>
      <c r="BI114"/>
      <c r="BJ114"/>
      <c r="BK114"/>
    </row>
    <row r="115" spans="2:63" s="8" customFormat="1" x14ac:dyDescent="0.25">
      <c r="C115" s="57"/>
      <c r="D115"/>
      <c r="E115"/>
      <c r="G115" s="39"/>
      <c r="H115"/>
      <c r="I115"/>
      <c r="M115" s="303"/>
      <c r="N115" s="9"/>
      <c r="P115" s="9" t="s">
        <v>446</v>
      </c>
      <c r="Q115" s="83">
        <f>SUMIF($O$90:$O$107,P115,$Q$90:$Q$107)</f>
        <v>0</v>
      </c>
      <c r="R115" s="302">
        <f t="shared" si="70"/>
        <v>0</v>
      </c>
      <c r="S115" s="302"/>
      <c r="T115" s="83"/>
      <c r="U115" s="83">
        <f t="shared" si="71"/>
        <v>0</v>
      </c>
      <c r="V115" s="39"/>
      <c r="W115" s="39"/>
      <c r="X115" s="39"/>
      <c r="Y115" s="39"/>
      <c r="Z115"/>
      <c r="AB115"/>
      <c r="AM115"/>
      <c r="AN115"/>
      <c r="AO115"/>
      <c r="AP115"/>
      <c r="AQ115"/>
      <c r="AR115"/>
      <c r="AS115"/>
      <c r="AT115"/>
      <c r="AU115"/>
      <c r="AV115"/>
      <c r="AW115"/>
      <c r="AX115"/>
      <c r="AY115"/>
      <c r="AZ115"/>
      <c r="BA115"/>
      <c r="BB115"/>
      <c r="BC115"/>
      <c r="BD115"/>
      <c r="BE115"/>
      <c r="BF115"/>
      <c r="BG115"/>
      <c r="BH115"/>
      <c r="BI115"/>
      <c r="BJ115"/>
      <c r="BK115"/>
    </row>
    <row r="116" spans="2:63" s="8" customFormat="1" x14ac:dyDescent="0.25">
      <c r="C116" s="57"/>
      <c r="D116"/>
      <c r="E116"/>
      <c r="G116" s="39"/>
      <c r="H116"/>
      <c r="I116"/>
      <c r="M116" s="303"/>
      <c r="N116" s="9"/>
      <c r="P116" s="181" t="s">
        <v>447</v>
      </c>
      <c r="Q116" s="83">
        <f>SUMIF($O$90:$O$107,P116,$Q$90:$Q$107)</f>
        <v>0</v>
      </c>
      <c r="R116" s="302">
        <f t="shared" si="70"/>
        <v>0</v>
      </c>
      <c r="S116" s="302"/>
      <c r="T116" s="83"/>
      <c r="U116" s="83">
        <f t="shared" si="71"/>
        <v>0</v>
      </c>
      <c r="V116" s="39"/>
      <c r="W116" s="39"/>
      <c r="X116" s="39"/>
      <c r="Y116" s="39"/>
      <c r="Z116"/>
      <c r="AB116"/>
      <c r="AM116"/>
      <c r="AN116"/>
      <c r="AO116"/>
      <c r="AP116"/>
      <c r="AQ116"/>
      <c r="AR116"/>
      <c r="AS116"/>
      <c r="AT116"/>
      <c r="AU116"/>
      <c r="AV116"/>
      <c r="AW116"/>
      <c r="AX116"/>
      <c r="AY116"/>
      <c r="AZ116"/>
      <c r="BA116"/>
      <c r="BB116"/>
      <c r="BC116"/>
      <c r="BD116"/>
      <c r="BE116"/>
      <c r="BF116"/>
      <c r="BG116"/>
      <c r="BH116"/>
      <c r="BI116"/>
      <c r="BJ116"/>
      <c r="BK116"/>
    </row>
    <row r="117" spans="2:63" s="8" customFormat="1" x14ac:dyDescent="0.25">
      <c r="C117" s="57"/>
      <c r="D117"/>
      <c r="E117"/>
      <c r="G117" s="39"/>
      <c r="H117"/>
      <c r="I117"/>
      <c r="M117" s="303"/>
      <c r="N117" s="9"/>
      <c r="P117" s="9"/>
      <c r="Q117" s="83">
        <f>SUMIF($O$90:$O$107,P117,$Q$90:$Q$107)</f>
        <v>0</v>
      </c>
      <c r="R117" s="302">
        <f t="shared" si="70"/>
        <v>0</v>
      </c>
      <c r="S117" s="302"/>
      <c r="T117" s="83"/>
      <c r="U117" s="83">
        <f t="shared" si="71"/>
        <v>0</v>
      </c>
      <c r="V117" s="39"/>
      <c r="W117" s="39"/>
      <c r="X117" s="39"/>
      <c r="Y117" s="39"/>
      <c r="Z117"/>
      <c r="AA117" s="57"/>
      <c r="AM117"/>
      <c r="AN117"/>
      <c r="AO117"/>
      <c r="AP117"/>
      <c r="AQ117"/>
      <c r="AR117"/>
      <c r="AS117"/>
      <c r="AT117"/>
      <c r="AU117"/>
      <c r="AV117"/>
      <c r="AW117"/>
      <c r="AX117"/>
      <c r="AY117"/>
      <c r="AZ117"/>
      <c r="BA117"/>
      <c r="BB117"/>
      <c r="BC117"/>
      <c r="BD117"/>
      <c r="BE117"/>
      <c r="BF117"/>
      <c r="BG117"/>
      <c r="BH117"/>
      <c r="BI117"/>
      <c r="BJ117"/>
      <c r="BK117"/>
    </row>
    <row r="118" spans="2:63" s="8" customFormat="1" ht="15.75" thickBot="1" x14ac:dyDescent="0.3">
      <c r="C118" s="57"/>
      <c r="D118"/>
      <c r="E118"/>
      <c r="G118" s="39"/>
      <c r="H118"/>
      <c r="I118"/>
      <c r="M118" s="303"/>
      <c r="N118" s="164"/>
      <c r="O118" s="186"/>
      <c r="P118" s="164"/>
      <c r="Q118" s="131">
        <f>SUMIF($O$90:$O$107,P118,$Q$90:$Q$107)</f>
        <v>0</v>
      </c>
      <c r="R118" s="131">
        <f t="shared" si="70"/>
        <v>0</v>
      </c>
      <c r="S118" s="131"/>
      <c r="T118" s="131"/>
      <c r="U118" s="131">
        <f t="shared" si="71"/>
        <v>0</v>
      </c>
      <c r="V118" s="39"/>
      <c r="W118" s="39"/>
      <c r="X118" s="39"/>
      <c r="Y118" s="39"/>
      <c r="Z118"/>
      <c r="AA118" s="57"/>
      <c r="AM118"/>
      <c r="AN118"/>
      <c r="AO118"/>
      <c r="AP118"/>
      <c r="AQ118"/>
      <c r="AR118"/>
      <c r="AS118"/>
      <c r="AT118"/>
      <c r="AU118"/>
      <c r="AV118"/>
      <c r="AW118"/>
      <c r="AX118"/>
      <c r="AY118"/>
      <c r="AZ118"/>
      <c r="BA118"/>
      <c r="BB118"/>
      <c r="BC118"/>
      <c r="BD118"/>
      <c r="BE118"/>
      <c r="BF118"/>
      <c r="BG118"/>
      <c r="BH118"/>
      <c r="BI118"/>
      <c r="BJ118"/>
      <c r="BK118"/>
    </row>
    <row r="119" spans="2:63" s="8" customFormat="1" ht="15.75" thickTop="1" x14ac:dyDescent="0.25">
      <c r="C119" s="57"/>
      <c r="D119"/>
      <c r="E119"/>
      <c r="G119" s="39"/>
      <c r="H119"/>
      <c r="I119"/>
      <c r="M119" s="303"/>
      <c r="O119"/>
      <c r="P119"/>
      <c r="Q119" s="51">
        <f>SUM(Q113:Q118)</f>
        <v>0</v>
      </c>
      <c r="R119" s="51">
        <f>SUM(R113:R118)</f>
        <v>0</v>
      </c>
      <c r="S119" s="51"/>
      <c r="T119" s="51">
        <f>SUM(T113:T118)</f>
        <v>0</v>
      </c>
      <c r="U119" s="51">
        <f>SUM(U113:U118)</f>
        <v>0</v>
      </c>
      <c r="V119" s="39"/>
      <c r="W119" s="39"/>
      <c r="X119" s="39"/>
      <c r="Y119" s="39"/>
      <c r="Z119"/>
      <c r="AA119" s="57"/>
      <c r="AM119"/>
      <c r="AN119"/>
      <c r="AO119"/>
      <c r="AP119"/>
      <c r="AQ119"/>
      <c r="AR119"/>
      <c r="AS119"/>
      <c r="AT119"/>
      <c r="AU119"/>
      <c r="AV119"/>
      <c r="AW119"/>
      <c r="AX119"/>
      <c r="AY119"/>
      <c r="AZ119"/>
      <c r="BA119"/>
      <c r="BB119"/>
      <c r="BC119"/>
      <c r="BD119"/>
      <c r="BE119"/>
      <c r="BF119"/>
      <c r="BG119"/>
      <c r="BH119"/>
      <c r="BI119"/>
      <c r="BJ119"/>
      <c r="BK119"/>
    </row>
    <row r="120" spans="2:63" s="8" customFormat="1" x14ac:dyDescent="0.25">
      <c r="C120" s="57"/>
      <c r="D120"/>
      <c r="E120"/>
      <c r="G120" s="39"/>
      <c r="H120"/>
      <c r="I120"/>
      <c r="M120" s="303"/>
      <c r="O120" s="9"/>
      <c r="P120" s="96"/>
      <c r="Q120" s="88">
        <f>Q119-T63</f>
        <v>0</v>
      </c>
      <c r="R120" s="88">
        <f>R119-N81</f>
        <v>0</v>
      </c>
      <c r="S120" s="88"/>
      <c r="T120" s="88"/>
      <c r="U120" s="88">
        <f>AD108-U119</f>
        <v>0</v>
      </c>
      <c r="V120" s="39"/>
      <c r="W120" s="39"/>
      <c r="X120" s="39"/>
      <c r="Y120" s="39"/>
      <c r="Z120"/>
      <c r="AA120" s="57"/>
      <c r="AM120"/>
      <c r="AN120"/>
      <c r="AO120"/>
      <c r="AP120"/>
      <c r="AQ120"/>
      <c r="AR120"/>
      <c r="AS120"/>
      <c r="AT120"/>
      <c r="AU120"/>
      <c r="AV120"/>
      <c r="AW120"/>
      <c r="AX120"/>
      <c r="AY120"/>
      <c r="AZ120"/>
      <c r="BA120"/>
      <c r="BB120"/>
      <c r="BC120"/>
      <c r="BD120"/>
      <c r="BE120"/>
      <c r="BF120"/>
      <c r="BG120"/>
      <c r="BH120"/>
      <c r="BI120"/>
      <c r="BJ120"/>
      <c r="BK120"/>
    </row>
    <row r="121" spans="2:63" s="8" customFormat="1" x14ac:dyDescent="0.25">
      <c r="C121" s="57"/>
      <c r="D121"/>
      <c r="E121"/>
      <c r="G121" s="39"/>
      <c r="H121"/>
      <c r="I121"/>
      <c r="M121" s="303"/>
      <c r="O121" s="9"/>
      <c r="P121" s="96"/>
      <c r="Q121" s="83"/>
      <c r="R121" s="27"/>
      <c r="S121" s="27"/>
      <c r="T121"/>
      <c r="U121" s="39"/>
      <c r="V121" s="39"/>
      <c r="W121" s="39"/>
      <c r="X121" s="39"/>
      <c r="Y121" s="39"/>
      <c r="Z121"/>
      <c r="AA121" s="57"/>
      <c r="AM121"/>
      <c r="AN121"/>
      <c r="AO121"/>
      <c r="AP121"/>
      <c r="AQ121"/>
      <c r="AR121"/>
      <c r="AS121"/>
      <c r="AT121"/>
      <c r="AU121"/>
      <c r="AV121"/>
      <c r="AW121"/>
      <c r="AX121"/>
      <c r="AY121"/>
      <c r="AZ121"/>
      <c r="BA121"/>
      <c r="BB121"/>
      <c r="BC121"/>
      <c r="BD121"/>
      <c r="BE121"/>
      <c r="BF121"/>
      <c r="BG121"/>
      <c r="BH121"/>
      <c r="BI121"/>
      <c r="BJ121"/>
      <c r="BK121"/>
    </row>
    <row r="122" spans="2:63" s="8" customFormat="1" x14ac:dyDescent="0.25">
      <c r="C122" s="57"/>
      <c r="D122"/>
      <c r="E122"/>
      <c r="G122" s="39"/>
      <c r="H122"/>
      <c r="I122"/>
      <c r="M122" s="303"/>
      <c r="O122" s="240" t="s">
        <v>448</v>
      </c>
      <c r="P122" s="240"/>
      <c r="Q122" s="240"/>
      <c r="R122" s="240"/>
      <c r="S122" s="240"/>
      <c r="T122" s="39"/>
      <c r="U122" s="39"/>
      <c r="V122" s="39"/>
      <c r="W122" s="39"/>
      <c r="X122" s="141"/>
      <c r="Y122" s="39"/>
      <c r="Z122"/>
      <c r="AA122" s="57"/>
      <c r="AM122"/>
      <c r="AN122"/>
      <c r="AO122"/>
      <c r="AP122"/>
      <c r="AQ122"/>
      <c r="AR122"/>
      <c r="AS122"/>
      <c r="AT122"/>
      <c r="AU122"/>
      <c r="AV122"/>
      <c r="AW122"/>
      <c r="AX122"/>
      <c r="AY122"/>
      <c r="AZ122"/>
      <c r="BA122"/>
      <c r="BB122"/>
      <c r="BC122"/>
      <c r="BD122"/>
      <c r="BE122"/>
      <c r="BF122"/>
      <c r="BG122"/>
      <c r="BH122"/>
      <c r="BI122"/>
      <c r="BJ122"/>
      <c r="BK122"/>
    </row>
    <row r="123" spans="2:63" s="8" customFormat="1" x14ac:dyDescent="0.25">
      <c r="C123" s="57"/>
      <c r="D123"/>
      <c r="E123"/>
      <c r="G123" s="39"/>
      <c r="H123"/>
      <c r="I123"/>
      <c r="M123" s="303"/>
      <c r="O123" s="38" t="s">
        <v>232</v>
      </c>
      <c r="P123" s="132" t="s">
        <v>439</v>
      </c>
      <c r="Q123" s="133" t="s">
        <v>269</v>
      </c>
      <c r="R123" s="179" t="s">
        <v>441</v>
      </c>
      <c r="S123" s="202"/>
      <c r="T123" s="161" t="s">
        <v>443</v>
      </c>
      <c r="U123" s="39"/>
      <c r="V123" s="39"/>
      <c r="W123" s="39"/>
      <c r="X123" s="39"/>
      <c r="Y123" s="39"/>
      <c r="Z123"/>
      <c r="AA123" s="57"/>
      <c r="AD123"/>
      <c r="AE123"/>
      <c r="AF123"/>
      <c r="AG123"/>
      <c r="AM123"/>
      <c r="AN123"/>
      <c r="AO123"/>
      <c r="AP123"/>
      <c r="AQ123"/>
      <c r="AR123"/>
      <c r="AS123"/>
      <c r="AT123"/>
      <c r="AU123"/>
      <c r="AV123"/>
      <c r="AW123"/>
      <c r="AX123"/>
      <c r="AY123"/>
      <c r="AZ123"/>
      <c r="BA123"/>
      <c r="BB123"/>
      <c r="BC123"/>
      <c r="BD123"/>
      <c r="BE123"/>
      <c r="BF123"/>
      <c r="BG123"/>
      <c r="BH123"/>
      <c r="BI123"/>
      <c r="BJ123"/>
      <c r="BK123"/>
    </row>
    <row r="124" spans="2:63" s="8" customFormat="1" x14ac:dyDescent="0.25">
      <c r="C124" s="57"/>
      <c r="D124"/>
      <c r="E124"/>
      <c r="G124" s="39"/>
      <c r="H124"/>
      <c r="I124"/>
      <c r="M124" s="303"/>
      <c r="P124" s="96" t="s">
        <v>449</v>
      </c>
      <c r="Q124" s="83">
        <f>SUMIF($AL$9:$AL$59,$P124,$T$9:$T$59)</f>
        <v>0</v>
      </c>
      <c r="R124" s="134">
        <f>SUMIFS($BA$9:$BA$59,$AL$9:$AL$59,$P124,$C$9:$C$59,"YES")+SUMIFS($BA$9:$BA$59,$AL$9:$AL$59,$P124,$C$9:$C$59,"YES-OOS")</f>
        <v>0</v>
      </c>
      <c r="S124" s="134"/>
      <c r="T124" s="134">
        <f>SUMIFS($AD$90:$AD$107,$N$90:$N$107,P124)</f>
        <v>0</v>
      </c>
      <c r="U124" s="39"/>
      <c r="V124" s="39"/>
      <c r="W124" s="39"/>
      <c r="X124" s="39"/>
      <c r="Y124" s="39"/>
      <c r="Z124"/>
      <c r="AA124" s="57"/>
      <c r="AD124"/>
      <c r="AE124"/>
      <c r="AF124"/>
      <c r="AG124"/>
      <c r="AM124"/>
      <c r="AN124"/>
      <c r="AO124"/>
      <c r="AP124"/>
      <c r="AQ124"/>
      <c r="AR124"/>
      <c r="AS124"/>
      <c r="AT124"/>
      <c r="AU124"/>
      <c r="AV124"/>
      <c r="AW124"/>
      <c r="AX124"/>
      <c r="AY124"/>
      <c r="AZ124"/>
      <c r="BA124"/>
      <c r="BB124"/>
      <c r="BC124"/>
      <c r="BD124"/>
      <c r="BE124"/>
      <c r="BF124"/>
      <c r="BG124"/>
      <c r="BH124"/>
      <c r="BI124"/>
      <c r="BJ124"/>
      <c r="BK124"/>
    </row>
    <row r="125" spans="2:63" s="8" customFormat="1" x14ac:dyDescent="0.25">
      <c r="B125"/>
      <c r="C125" s="57"/>
      <c r="D125"/>
      <c r="E125"/>
      <c r="G125" s="39"/>
      <c r="H125"/>
      <c r="I125"/>
      <c r="J125" s="303"/>
      <c r="L125" s="9"/>
      <c r="M125" s="303"/>
      <c r="P125" s="96" t="s">
        <v>450</v>
      </c>
      <c r="Q125" s="83">
        <f>SUMIF($AL$9:$AL$59,$P125,$T$9:$T$59)</f>
        <v>0</v>
      </c>
      <c r="R125" s="134">
        <f>SUMIFS($BA$9:$BA$59,$AL$9:$AL$59,$P125,$C$9:$C$59,"YES")+SUMIFS($BA$9:$BA$59,$AL$9:$AL$59,$P125,$C$9:$C$59,"YES-OOS")</f>
        <v>0</v>
      </c>
      <c r="S125" s="302"/>
      <c r="T125" s="83">
        <f>SUMIFS($AD$90:$AD$107,$N$90:$N$107,P125)</f>
        <v>0</v>
      </c>
      <c r="U125" s="39"/>
      <c r="V125" s="39"/>
      <c r="W125" s="39"/>
      <c r="X125" s="39"/>
      <c r="Y125" s="39"/>
      <c r="Z125"/>
      <c r="AA125" s="57"/>
      <c r="AD125"/>
      <c r="AE125"/>
      <c r="AF125"/>
      <c r="AG125"/>
      <c r="AM125"/>
      <c r="AN125"/>
      <c r="AO125"/>
      <c r="AP125"/>
      <c r="AQ125"/>
      <c r="AR125"/>
      <c r="AS125"/>
      <c r="AT125"/>
      <c r="AU125"/>
      <c r="AV125"/>
      <c r="AW125"/>
      <c r="AX125"/>
      <c r="AY125"/>
      <c r="AZ125"/>
      <c r="BA125"/>
      <c r="BB125"/>
      <c r="BC125"/>
      <c r="BD125"/>
      <c r="BE125"/>
      <c r="BF125"/>
      <c r="BG125"/>
      <c r="BH125"/>
      <c r="BI125"/>
      <c r="BJ125"/>
      <c r="BK125"/>
    </row>
    <row r="126" spans="2:63" s="8" customFormat="1" x14ac:dyDescent="0.25">
      <c r="B126"/>
      <c r="C126" s="57"/>
      <c r="D126"/>
      <c r="E126"/>
      <c r="G126" s="39"/>
      <c r="H126"/>
      <c r="I126"/>
      <c r="J126" s="303"/>
      <c r="L126" s="9"/>
      <c r="M126" s="303"/>
      <c r="P126" s="96" t="s">
        <v>451</v>
      </c>
      <c r="Q126" s="83">
        <f>SUMIF($AL$9:$AL$59,$P126,$T$9:$T$59)</f>
        <v>0</v>
      </c>
      <c r="R126" s="134">
        <f>SUMIFS($BA$9:$BA$59,$AL$9:$AL$59,$P126,$C$9:$C$59,"YES")+SUMIFS($BA$9:$BA$59,$AL$9:$AL$59,$P126,$C$9:$C$59,"YES-OOS")</f>
        <v>0</v>
      </c>
      <c r="S126" s="302"/>
      <c r="T126" s="83">
        <f>SUMIFS($AD$90:$AD$107,$N$90:$N$107,P126)</f>
        <v>0</v>
      </c>
      <c r="U126" s="39"/>
      <c r="V126" s="39"/>
      <c r="W126" s="39"/>
      <c r="X126" s="39"/>
      <c r="Y126" s="39"/>
      <c r="Z126"/>
      <c r="AA126" s="57"/>
      <c r="AD126"/>
      <c r="AE126"/>
      <c r="AF126"/>
      <c r="AG126"/>
      <c r="AM126"/>
      <c r="AN126"/>
      <c r="AO126"/>
      <c r="AP126"/>
      <c r="AQ126"/>
      <c r="AR126"/>
      <c r="AS126"/>
      <c r="AT126"/>
      <c r="AU126"/>
      <c r="AV126"/>
      <c r="AW126"/>
      <c r="AX126"/>
      <c r="AY126"/>
      <c r="AZ126"/>
      <c r="BA126"/>
      <c r="BB126"/>
      <c r="BC126"/>
      <c r="BD126"/>
      <c r="BE126"/>
      <c r="BF126"/>
      <c r="BG126"/>
      <c r="BH126"/>
      <c r="BI126"/>
      <c r="BJ126"/>
      <c r="BK126"/>
    </row>
    <row r="127" spans="2:63" s="8" customFormat="1" ht="15.75" thickBot="1" x14ac:dyDescent="0.3">
      <c r="B127"/>
      <c r="C127" s="57"/>
      <c r="D127"/>
      <c r="E127"/>
      <c r="G127" s="39"/>
      <c r="H127"/>
      <c r="I127"/>
      <c r="J127" s="303"/>
      <c r="L127" s="9"/>
      <c r="M127" s="303"/>
      <c r="O127" s="186"/>
      <c r="P127" s="167" t="s">
        <v>452</v>
      </c>
      <c r="Q127" s="131">
        <f>SUMIF($AL$9:$AL$59,$P127,$T$9:$T$59)</f>
        <v>0</v>
      </c>
      <c r="R127" s="377">
        <f>SUMIFS($BA$9:$BA$59,$AL$9:$AL$59,$P127,$C$9:$C$59,"YES")+SUMIFS($BA$9:$BA$59,$AL$9:$AL$59,$P127,$C$9:$C$59,"YES-OOS")</f>
        <v>0</v>
      </c>
      <c r="S127" s="131"/>
      <c r="T127" s="131">
        <f>SUMIFS($AD$90:$AD$107,$N$90:$N$107,P127)</f>
        <v>0</v>
      </c>
      <c r="U127" s="39"/>
      <c r="V127" s="39"/>
      <c r="W127" s="39"/>
      <c r="X127" s="39"/>
      <c r="Y127" s="39"/>
      <c r="Z127"/>
      <c r="AA127" s="57"/>
      <c r="AD127"/>
      <c r="AE127"/>
      <c r="AF127"/>
      <c r="AG127"/>
      <c r="AM127"/>
      <c r="AN127"/>
      <c r="AO127"/>
      <c r="AP127"/>
      <c r="AQ127"/>
      <c r="AR127"/>
      <c r="AS127"/>
      <c r="AT127"/>
      <c r="AU127"/>
      <c r="AV127"/>
      <c r="AW127"/>
      <c r="AX127"/>
      <c r="AY127"/>
      <c r="AZ127"/>
      <c r="BA127"/>
      <c r="BB127"/>
      <c r="BC127"/>
      <c r="BD127"/>
      <c r="BE127"/>
      <c r="BF127"/>
      <c r="BG127"/>
      <c r="BH127"/>
      <c r="BI127"/>
      <c r="BJ127"/>
      <c r="BK127"/>
    </row>
    <row r="128" spans="2:63" s="8" customFormat="1" ht="15.75" thickTop="1" x14ac:dyDescent="0.25">
      <c r="B128"/>
      <c r="C128" s="57"/>
      <c r="D128"/>
      <c r="E128"/>
      <c r="G128" s="39"/>
      <c r="H128"/>
      <c r="I128"/>
      <c r="J128" s="303"/>
      <c r="L128" s="9"/>
      <c r="M128" s="27"/>
      <c r="P128" s="180"/>
      <c r="Q128" s="83">
        <f>SUM(Q124:Q127)</f>
        <v>0</v>
      </c>
      <c r="R128" s="83">
        <f>SUM(R124:R127)</f>
        <v>0</v>
      </c>
      <c r="S128" s="83"/>
      <c r="T128" s="83">
        <f>SUM(T124:T127)</f>
        <v>0</v>
      </c>
      <c r="U128" s="39"/>
      <c r="V128" s="39"/>
      <c r="W128" s="39"/>
      <c r="X128" s="39"/>
      <c r="Y128" s="39"/>
      <c r="Z128"/>
      <c r="AA128" s="57"/>
      <c r="AM128"/>
      <c r="AN128"/>
      <c r="AO128"/>
      <c r="AP128"/>
      <c r="AQ128"/>
      <c r="AR128"/>
      <c r="AS128"/>
      <c r="AT128"/>
      <c r="AU128"/>
      <c r="AV128"/>
      <c r="AW128"/>
      <c r="AX128"/>
      <c r="AY128"/>
      <c r="AZ128"/>
      <c r="BA128"/>
      <c r="BB128"/>
      <c r="BC128"/>
      <c r="BD128"/>
      <c r="BE128"/>
      <c r="BF128"/>
      <c r="BG128"/>
      <c r="BH128"/>
      <c r="BI128"/>
      <c r="BJ128"/>
      <c r="BK128"/>
    </row>
    <row r="129" spans="2:63" s="8" customFormat="1" x14ac:dyDescent="0.25">
      <c r="B129"/>
      <c r="C129" s="57"/>
      <c r="D129"/>
      <c r="E129"/>
      <c r="G129" s="39"/>
      <c r="H129"/>
      <c r="I129"/>
      <c r="J129" s="303"/>
      <c r="L129" s="9"/>
      <c r="M129" s="27"/>
      <c r="O129" s="9"/>
      <c r="P129" s="96"/>
      <c r="Q129" s="88">
        <f>Q128-T63</f>
        <v>0</v>
      </c>
      <c r="R129" s="88">
        <f>R128-N81</f>
        <v>0</v>
      </c>
      <c r="S129" s="88"/>
      <c r="T129" s="88">
        <f>T128-AD108</f>
        <v>0</v>
      </c>
      <c r="U129"/>
      <c r="V129"/>
      <c r="W129" s="39"/>
      <c r="X129" s="39"/>
      <c r="Y129" s="39"/>
      <c r="Z129"/>
      <c r="AA129" s="57"/>
      <c r="AM129"/>
      <c r="AN129"/>
      <c r="AO129"/>
      <c r="AP129"/>
      <c r="AQ129"/>
      <c r="AR129"/>
      <c r="AS129"/>
      <c r="AT129"/>
      <c r="AU129"/>
      <c r="AV129"/>
      <c r="AW129"/>
      <c r="AX129"/>
      <c r="AY129"/>
      <c r="AZ129"/>
      <c r="BA129"/>
      <c r="BB129"/>
      <c r="BC129"/>
      <c r="BD129"/>
      <c r="BE129"/>
      <c r="BF129"/>
      <c r="BG129"/>
      <c r="BH129"/>
      <c r="BI129"/>
      <c r="BJ129"/>
      <c r="BK129"/>
    </row>
    <row r="130" spans="2:63" s="8" customFormat="1" x14ac:dyDescent="0.25">
      <c r="B130"/>
      <c r="C130" s="57"/>
      <c r="D130"/>
      <c r="E130"/>
      <c r="G130" s="39"/>
      <c r="H130"/>
      <c r="I130"/>
      <c r="J130" s="303"/>
      <c r="K130" s="9"/>
      <c r="L130" s="96"/>
      <c r="M130" s="27"/>
      <c r="N130"/>
      <c r="O130" s="39"/>
      <c r="P130" s="39"/>
      <c r="Q130" s="39"/>
      <c r="R130" s="39"/>
      <c r="S130" s="39"/>
      <c r="T130" s="39"/>
      <c r="U130"/>
      <c r="V130" s="57"/>
      <c r="AM130"/>
      <c r="AN130"/>
      <c r="AO130"/>
      <c r="AP130"/>
      <c r="AQ130"/>
      <c r="AR130"/>
      <c r="AS130"/>
      <c r="AT130"/>
      <c r="AU130"/>
      <c r="AV130"/>
      <c r="AW130"/>
      <c r="AX130"/>
      <c r="AY130"/>
      <c r="AZ130"/>
      <c r="BA130"/>
      <c r="BB130"/>
      <c r="BC130"/>
      <c r="BD130"/>
      <c r="BE130"/>
      <c r="BF130"/>
      <c r="BG130"/>
      <c r="BH130"/>
      <c r="BI130"/>
      <c r="BJ130"/>
      <c r="BK130"/>
    </row>
    <row r="131" spans="2:63" s="8" customFormat="1" x14ac:dyDescent="0.25">
      <c r="B131"/>
      <c r="C131" s="57"/>
      <c r="D131"/>
      <c r="E131"/>
      <c r="G131" s="39"/>
      <c r="H131"/>
      <c r="I131"/>
      <c r="J131" s="303"/>
      <c r="K131" s="9"/>
      <c r="L131" s="96"/>
      <c r="M131" s="27"/>
      <c r="N131"/>
      <c r="O131" s="39"/>
      <c r="P131" s="39"/>
      <c r="Q131" s="39"/>
      <c r="R131" s="39"/>
      <c r="S131" s="39"/>
      <c r="T131" s="39"/>
      <c r="U131"/>
      <c r="V131" s="57"/>
      <c r="AM131"/>
      <c r="AN131"/>
      <c r="AO131"/>
      <c r="AP131"/>
      <c r="AQ131"/>
      <c r="AR131"/>
      <c r="AS131"/>
      <c r="AT131"/>
      <c r="AU131"/>
      <c r="AV131"/>
      <c r="AW131"/>
      <c r="AX131"/>
      <c r="AY131"/>
      <c r="AZ131"/>
      <c r="BA131"/>
      <c r="BB131"/>
      <c r="BC131"/>
      <c r="BD131"/>
      <c r="BE131"/>
      <c r="BF131"/>
      <c r="BG131"/>
      <c r="BH131"/>
      <c r="BI131"/>
      <c r="BJ131"/>
      <c r="BK131"/>
    </row>
    <row r="132" spans="2:63" s="8" customFormat="1" x14ac:dyDescent="0.25">
      <c r="B132"/>
      <c r="C132" s="57"/>
      <c r="D132"/>
      <c r="E132"/>
      <c r="G132" s="39"/>
      <c r="H132"/>
      <c r="I132"/>
      <c r="J132" s="303"/>
      <c r="K132" s="9"/>
      <c r="L132" s="96"/>
      <c r="M132" s="27"/>
      <c r="N132"/>
      <c r="O132" s="39"/>
      <c r="P132" s="39"/>
      <c r="Q132" s="39"/>
      <c r="R132" s="39"/>
      <c r="S132" s="39"/>
      <c r="T132" s="39"/>
      <c r="U132"/>
      <c r="V132" s="57"/>
      <c r="AL132"/>
      <c r="AM132"/>
      <c r="AN132"/>
      <c r="AO132"/>
      <c r="AP132"/>
      <c r="AQ132"/>
      <c r="AR132"/>
      <c r="AS132"/>
      <c r="AT132"/>
      <c r="AU132"/>
      <c r="AV132"/>
      <c r="AW132"/>
      <c r="AX132"/>
      <c r="AY132"/>
      <c r="AZ132"/>
      <c r="BA132"/>
      <c r="BB132"/>
      <c r="BC132"/>
      <c r="BD132"/>
      <c r="BE132"/>
      <c r="BF132"/>
      <c r="BG132"/>
      <c r="BH132"/>
      <c r="BI132"/>
      <c r="BJ132"/>
      <c r="BK132"/>
    </row>
    <row r="133" spans="2:63" s="8" customFormat="1" x14ac:dyDescent="0.25">
      <c r="B133"/>
      <c r="C133" s="57"/>
      <c r="D133"/>
      <c r="E133"/>
      <c r="G133" s="39"/>
      <c r="H133"/>
      <c r="I133"/>
      <c r="J133" s="303"/>
      <c r="K133" s="9"/>
      <c r="L133" s="96"/>
      <c r="M133" s="27"/>
      <c r="N133"/>
      <c r="O133" s="39"/>
      <c r="P133" s="39"/>
      <c r="Q133" s="39"/>
      <c r="R133" s="39"/>
      <c r="S133" s="39"/>
      <c r="T133" s="39"/>
      <c r="U133"/>
      <c r="V133" s="57"/>
      <c r="AL133"/>
      <c r="AM133"/>
      <c r="AN133"/>
      <c r="AO133"/>
      <c r="AP133"/>
      <c r="AQ133"/>
      <c r="AR133"/>
      <c r="AS133"/>
      <c r="AT133"/>
      <c r="AU133"/>
      <c r="AV133"/>
      <c r="AW133"/>
      <c r="AX133"/>
      <c r="AY133"/>
      <c r="AZ133"/>
      <c r="BA133"/>
      <c r="BB133"/>
      <c r="BC133"/>
      <c r="BD133"/>
      <c r="BE133"/>
      <c r="BF133"/>
      <c r="BG133"/>
      <c r="BH133"/>
      <c r="BI133"/>
      <c r="BJ133"/>
      <c r="BK133"/>
    </row>
    <row r="134" spans="2:63" s="8" customFormat="1" x14ac:dyDescent="0.25">
      <c r="B134"/>
      <c r="C134" s="57"/>
      <c r="D134"/>
      <c r="E134"/>
      <c r="G134" s="39"/>
      <c r="H134"/>
      <c r="I134"/>
      <c r="J134" s="303"/>
      <c r="K134" s="9"/>
      <c r="L134" s="96"/>
      <c r="M134" s="27"/>
      <c r="N134"/>
      <c r="O134" s="39"/>
      <c r="P134" s="39"/>
      <c r="Q134" s="39"/>
      <c r="R134" s="39"/>
      <c r="S134" s="39"/>
      <c r="T134" s="39"/>
      <c r="U134"/>
      <c r="V134" s="57"/>
      <c r="AL134"/>
      <c r="AM134"/>
      <c r="AN134"/>
      <c r="AO134"/>
      <c r="AP134"/>
      <c r="AQ134"/>
      <c r="AR134"/>
      <c r="AS134"/>
      <c r="AT134"/>
      <c r="AU134"/>
      <c r="AV134"/>
      <c r="AW134"/>
      <c r="AX134"/>
      <c r="AY134"/>
      <c r="AZ134"/>
      <c r="BA134"/>
      <c r="BB134"/>
      <c r="BC134"/>
      <c r="BD134"/>
      <c r="BE134"/>
      <c r="BF134"/>
      <c r="BG134"/>
      <c r="BH134"/>
      <c r="BI134"/>
      <c r="BJ134"/>
      <c r="BK134"/>
    </row>
    <row r="135" spans="2:63" s="8" customFormat="1" x14ac:dyDescent="0.25">
      <c r="B135"/>
      <c r="C135" s="57"/>
      <c r="D135"/>
      <c r="E135"/>
      <c r="G135" s="39"/>
      <c r="H135"/>
      <c r="I135"/>
      <c r="J135" s="303"/>
      <c r="K135" s="9"/>
      <c r="L135" s="96"/>
      <c r="M135" s="27"/>
      <c r="N135"/>
      <c r="O135" s="39"/>
      <c r="P135" s="39"/>
      <c r="Q135" s="39"/>
      <c r="R135" s="39"/>
      <c r="S135" s="39"/>
      <c r="T135" s="39"/>
      <c r="U135"/>
      <c r="V135" s="57"/>
      <c r="AL135"/>
      <c r="AM135"/>
      <c r="AN135"/>
      <c r="AO135"/>
      <c r="AP135"/>
      <c r="AQ135"/>
      <c r="AR135"/>
      <c r="AS135"/>
      <c r="AT135"/>
      <c r="AU135"/>
      <c r="AV135"/>
      <c r="AW135"/>
      <c r="AX135"/>
      <c r="AY135"/>
      <c r="AZ135"/>
      <c r="BA135"/>
      <c r="BB135"/>
      <c r="BC135"/>
      <c r="BD135"/>
      <c r="BE135"/>
      <c r="BF135"/>
      <c r="BG135"/>
      <c r="BH135"/>
      <c r="BI135"/>
      <c r="BJ135"/>
      <c r="BK135"/>
    </row>
    <row r="136" spans="2:63" s="8" customFormat="1" x14ac:dyDescent="0.25">
      <c r="B136"/>
      <c r="C136" s="57"/>
      <c r="D136"/>
      <c r="E136"/>
      <c r="G136" s="39"/>
      <c r="H136"/>
      <c r="I136"/>
      <c r="J136" s="303"/>
      <c r="K136" s="9"/>
      <c r="L136" s="96"/>
      <c r="M136" s="27"/>
      <c r="N136"/>
      <c r="O136" s="39"/>
      <c r="P136" s="39"/>
      <c r="Q136" s="39"/>
      <c r="R136" s="39"/>
      <c r="S136" s="39"/>
      <c r="T136" s="39"/>
      <c r="U136"/>
      <c r="V136" s="57"/>
      <c r="AL136"/>
      <c r="AM136"/>
      <c r="AN136"/>
      <c r="AO136"/>
      <c r="AP136"/>
      <c r="AQ136"/>
      <c r="AR136"/>
      <c r="AS136"/>
      <c r="AT136"/>
      <c r="AU136"/>
      <c r="AV136"/>
      <c r="AW136"/>
      <c r="AX136"/>
      <c r="AY136"/>
      <c r="AZ136"/>
      <c r="BA136"/>
      <c r="BB136"/>
      <c r="BC136"/>
      <c r="BD136"/>
      <c r="BE136"/>
      <c r="BF136"/>
      <c r="BG136"/>
      <c r="BH136"/>
      <c r="BI136"/>
      <c r="BJ136"/>
      <c r="BK136"/>
    </row>
    <row r="137" spans="2:63" s="8" customFormat="1" x14ac:dyDescent="0.25">
      <c r="B137"/>
      <c r="C137" s="57"/>
      <c r="D137"/>
      <c r="E137"/>
      <c r="G137" s="39"/>
      <c r="H137"/>
      <c r="I137"/>
      <c r="J137" s="303"/>
      <c r="K137" s="9"/>
      <c r="L137" s="96"/>
      <c r="M137" s="27"/>
      <c r="N137"/>
      <c r="O137" s="39"/>
      <c r="P137" s="39"/>
      <c r="Q137" s="39"/>
      <c r="R137" s="39"/>
      <c r="S137" s="39"/>
      <c r="T137" s="39"/>
      <c r="U137"/>
      <c r="V137" s="57"/>
      <c r="AL137"/>
      <c r="AM137"/>
      <c r="AN137"/>
      <c r="AO137"/>
      <c r="AP137"/>
      <c r="AQ137"/>
      <c r="AR137"/>
      <c r="AS137"/>
      <c r="AT137"/>
      <c r="AU137"/>
      <c r="AV137"/>
      <c r="AW137"/>
      <c r="AX137"/>
      <c r="AY137"/>
      <c r="AZ137"/>
      <c r="BA137"/>
      <c r="BB137"/>
      <c r="BC137"/>
      <c r="BD137"/>
      <c r="BE137"/>
      <c r="BF137"/>
      <c r="BG137"/>
      <c r="BH137"/>
      <c r="BI137"/>
      <c r="BJ137"/>
      <c r="BK137"/>
    </row>
    <row r="138" spans="2:63" s="8" customFormat="1" x14ac:dyDescent="0.25">
      <c r="B138"/>
      <c r="C138" s="57"/>
      <c r="D138"/>
      <c r="E138"/>
      <c r="G138" s="39"/>
      <c r="H138"/>
      <c r="I138"/>
      <c r="J138" s="303"/>
      <c r="K138" s="9"/>
      <c r="L138" s="96"/>
      <c r="M138" s="27"/>
      <c r="N138"/>
      <c r="O138" s="39"/>
      <c r="P138" s="39"/>
      <c r="Q138" s="39"/>
      <c r="R138" s="39"/>
      <c r="S138" s="39"/>
      <c r="T138" s="39"/>
      <c r="U138"/>
      <c r="V138" s="57"/>
      <c r="AL138"/>
      <c r="AM138"/>
      <c r="AN138"/>
      <c r="AO138"/>
      <c r="AP138"/>
      <c r="AQ138"/>
      <c r="AR138"/>
      <c r="AS138"/>
      <c r="AT138"/>
      <c r="AU138"/>
      <c r="AV138"/>
      <c r="AW138"/>
      <c r="AX138"/>
      <c r="AY138"/>
      <c r="AZ138"/>
      <c r="BA138"/>
      <c r="BB138"/>
      <c r="BC138"/>
      <c r="BD138"/>
      <c r="BE138"/>
      <c r="BF138"/>
      <c r="BG138"/>
      <c r="BH138"/>
      <c r="BI138"/>
      <c r="BJ138"/>
      <c r="BK138"/>
    </row>
    <row r="139" spans="2:63" s="8" customFormat="1" x14ac:dyDescent="0.25">
      <c r="B139"/>
      <c r="C139" s="57"/>
      <c r="D139"/>
      <c r="E139"/>
      <c r="G139" s="39"/>
      <c r="H139"/>
      <c r="I139"/>
      <c r="J139" s="303"/>
      <c r="K139" s="9"/>
      <c r="L139" s="96"/>
      <c r="M139" s="27"/>
      <c r="N139"/>
      <c r="O139" s="39"/>
      <c r="P139" s="39"/>
      <c r="Q139" s="39"/>
      <c r="R139" s="39"/>
      <c r="S139" s="39"/>
      <c r="T139" s="39"/>
      <c r="U139"/>
      <c r="V139" s="57"/>
      <c r="AL139"/>
      <c r="AM139"/>
      <c r="AN139"/>
      <c r="AO139"/>
      <c r="AP139"/>
      <c r="AQ139"/>
      <c r="AR139"/>
      <c r="AS139"/>
      <c r="AT139"/>
      <c r="AU139"/>
      <c r="AV139"/>
      <c r="AW139"/>
      <c r="AX139"/>
      <c r="AY139"/>
      <c r="AZ139"/>
      <c r="BA139"/>
      <c r="BB139"/>
      <c r="BC139"/>
      <c r="BD139"/>
      <c r="BE139"/>
      <c r="BF139"/>
      <c r="BG139"/>
      <c r="BH139"/>
      <c r="BI139"/>
      <c r="BJ139"/>
      <c r="BK139"/>
    </row>
    <row r="140" spans="2:63" s="8" customFormat="1" x14ac:dyDescent="0.25">
      <c r="B140"/>
      <c r="C140" s="57"/>
      <c r="D140"/>
      <c r="E140"/>
      <c r="G140" s="39"/>
      <c r="H140"/>
      <c r="I140"/>
      <c r="J140" s="303"/>
      <c r="K140" s="9"/>
      <c r="L140" s="96"/>
      <c r="M140" s="27"/>
      <c r="N140"/>
      <c r="O140" s="39"/>
      <c r="P140" s="39"/>
      <c r="Q140" s="39"/>
      <c r="R140" s="39"/>
      <c r="S140" s="39"/>
      <c r="T140" s="39"/>
      <c r="U140"/>
      <c r="V140" s="57"/>
      <c r="AL140"/>
      <c r="AM140"/>
      <c r="AN140"/>
      <c r="AO140"/>
      <c r="AP140"/>
      <c r="AQ140"/>
      <c r="AR140"/>
      <c r="AS140"/>
      <c r="AT140"/>
      <c r="AU140"/>
      <c r="AV140"/>
      <c r="AW140"/>
      <c r="AX140"/>
      <c r="AY140"/>
      <c r="AZ140"/>
      <c r="BA140"/>
      <c r="BB140"/>
      <c r="BC140"/>
      <c r="BD140"/>
      <c r="BE140"/>
      <c r="BF140"/>
      <c r="BG140"/>
      <c r="BH140"/>
      <c r="BI140"/>
      <c r="BJ140"/>
      <c r="BK140"/>
    </row>
    <row r="141" spans="2:63" s="8" customFormat="1" x14ac:dyDescent="0.25">
      <c r="B141"/>
      <c r="C141" s="57"/>
      <c r="D141"/>
      <c r="E141"/>
      <c r="G141" s="39"/>
      <c r="H141"/>
      <c r="I141"/>
      <c r="J141" s="303"/>
      <c r="K141" s="9"/>
      <c r="L141" s="96"/>
      <c r="M141" s="27"/>
      <c r="N141"/>
      <c r="O141" s="39"/>
      <c r="P141" s="39"/>
      <c r="Q141" s="39"/>
      <c r="R141" s="39"/>
      <c r="S141" s="39"/>
      <c r="T141" s="39"/>
      <c r="U141"/>
      <c r="V141" s="57"/>
      <c r="AL141"/>
      <c r="AM141"/>
      <c r="AN141"/>
      <c r="AO141"/>
      <c r="AP141"/>
      <c r="AQ141"/>
      <c r="AR141"/>
      <c r="AS141"/>
      <c r="AT141"/>
      <c r="AU141"/>
      <c r="AV141"/>
      <c r="AW141"/>
      <c r="AX141"/>
      <c r="AY141"/>
      <c r="AZ141"/>
      <c r="BA141"/>
      <c r="BB141"/>
      <c r="BC141"/>
      <c r="BD141"/>
      <c r="BE141"/>
      <c r="BF141"/>
      <c r="BG141"/>
      <c r="BH141"/>
      <c r="BI141"/>
      <c r="BJ141"/>
      <c r="BK141"/>
    </row>
    <row r="142" spans="2:63" s="8" customFormat="1" x14ac:dyDescent="0.25">
      <c r="B142"/>
      <c r="C142" s="57"/>
      <c r="D142"/>
      <c r="E142"/>
      <c r="G142" s="39"/>
      <c r="H142"/>
      <c r="I142"/>
      <c r="J142" s="303"/>
      <c r="K142" s="9"/>
      <c r="L142" s="96"/>
      <c r="M142" s="27"/>
      <c r="N142"/>
      <c r="O142" s="39"/>
      <c r="P142" s="39"/>
      <c r="Q142" s="39"/>
      <c r="R142" s="39"/>
      <c r="S142" s="39"/>
      <c r="T142" s="39"/>
      <c r="U142"/>
      <c r="V142" s="57"/>
      <c r="AL142"/>
      <c r="AM142"/>
      <c r="AN142"/>
      <c r="AO142"/>
      <c r="AP142"/>
      <c r="AQ142"/>
      <c r="AR142"/>
      <c r="AS142"/>
      <c r="AT142"/>
      <c r="AU142"/>
      <c r="AV142"/>
      <c r="AW142"/>
      <c r="AX142"/>
      <c r="AY142"/>
      <c r="AZ142"/>
      <c r="BA142"/>
      <c r="BB142"/>
      <c r="BC142"/>
      <c r="BD142"/>
      <c r="BE142"/>
      <c r="BF142"/>
      <c r="BG142"/>
      <c r="BH142"/>
      <c r="BI142"/>
      <c r="BJ142"/>
      <c r="BK142"/>
    </row>
    <row r="143" spans="2:63" s="8" customFormat="1" x14ac:dyDescent="0.25">
      <c r="B143"/>
      <c r="C143" s="57"/>
      <c r="D143"/>
      <c r="E143"/>
      <c r="G143" s="39"/>
      <c r="H143"/>
      <c r="I143"/>
      <c r="J143" s="303"/>
      <c r="K143" s="9"/>
      <c r="L143" s="96"/>
      <c r="M143" s="27"/>
      <c r="N143"/>
      <c r="O143" s="39"/>
      <c r="P143" s="39"/>
      <c r="Q143" s="39"/>
      <c r="R143" s="39"/>
      <c r="S143" s="39"/>
      <c r="T143" s="39"/>
      <c r="U143"/>
      <c r="V143" s="57"/>
      <c r="AL143"/>
      <c r="AM143"/>
      <c r="AN143"/>
      <c r="AO143"/>
      <c r="AP143"/>
      <c r="AQ143"/>
      <c r="AR143"/>
      <c r="AS143"/>
      <c r="AT143"/>
      <c r="AU143"/>
      <c r="AV143"/>
      <c r="AW143"/>
      <c r="AX143"/>
      <c r="AY143"/>
      <c r="AZ143"/>
      <c r="BA143"/>
      <c r="BB143"/>
      <c r="BC143"/>
      <c r="BD143"/>
      <c r="BE143"/>
      <c r="BF143"/>
      <c r="BG143"/>
      <c r="BH143"/>
      <c r="BI143"/>
      <c r="BJ143"/>
      <c r="BK143"/>
    </row>
    <row r="144" spans="2:63" s="8" customFormat="1" x14ac:dyDescent="0.25">
      <c r="B144"/>
      <c r="C144" s="57"/>
      <c r="D144"/>
      <c r="E144"/>
      <c r="G144" s="39"/>
      <c r="H144"/>
      <c r="I144"/>
      <c r="J144" s="303"/>
      <c r="K144" s="9"/>
      <c r="L144" s="96"/>
      <c r="M144" s="27"/>
      <c r="N144"/>
      <c r="O144" s="39"/>
      <c r="P144" s="39"/>
      <c r="Q144" s="39"/>
      <c r="R144" s="39"/>
      <c r="S144" s="39"/>
      <c r="T144" s="39"/>
      <c r="U144"/>
      <c r="V144" s="57"/>
      <c r="AL144"/>
      <c r="AM144"/>
      <c r="AN144"/>
      <c r="AO144"/>
      <c r="AP144"/>
      <c r="AQ144"/>
      <c r="AR144"/>
      <c r="AS144"/>
      <c r="AT144"/>
      <c r="AU144"/>
      <c r="AV144"/>
      <c r="AW144"/>
      <c r="AX144"/>
      <c r="AY144"/>
      <c r="AZ144"/>
      <c r="BA144"/>
      <c r="BB144"/>
      <c r="BC144"/>
      <c r="BD144"/>
      <c r="BE144"/>
      <c r="BF144"/>
      <c r="BG144"/>
      <c r="BH144"/>
      <c r="BI144"/>
      <c r="BJ144"/>
      <c r="BK144"/>
    </row>
    <row r="145" spans="2:63" s="8" customFormat="1" x14ac:dyDescent="0.25">
      <c r="B145"/>
      <c r="C145" s="57"/>
      <c r="D145"/>
      <c r="E145"/>
      <c r="G145" s="39"/>
      <c r="H145"/>
      <c r="I145"/>
      <c r="J145" s="303"/>
      <c r="K145" s="9"/>
      <c r="L145" s="96"/>
      <c r="M145" s="27"/>
      <c r="N145"/>
      <c r="O145" s="39"/>
      <c r="P145" s="39"/>
      <c r="Q145" s="39"/>
      <c r="R145" s="39"/>
      <c r="S145" s="39"/>
      <c r="T145" s="39"/>
      <c r="U145"/>
      <c r="V145" s="57"/>
      <c r="AL145"/>
      <c r="AM145"/>
      <c r="AN145"/>
      <c r="AO145"/>
      <c r="AP145"/>
      <c r="AQ145"/>
      <c r="AR145"/>
      <c r="AS145"/>
      <c r="AT145"/>
      <c r="AU145"/>
      <c r="AV145"/>
      <c r="AW145"/>
      <c r="AX145"/>
      <c r="AY145"/>
      <c r="AZ145"/>
      <c r="BA145"/>
      <c r="BB145"/>
      <c r="BC145"/>
      <c r="BD145"/>
      <c r="BE145"/>
      <c r="BF145"/>
      <c r="BG145"/>
      <c r="BH145"/>
      <c r="BI145"/>
      <c r="BJ145"/>
      <c r="BK145"/>
    </row>
    <row r="146" spans="2:63" s="8" customFormat="1" x14ac:dyDescent="0.25">
      <c r="B146"/>
      <c r="C146" s="57"/>
      <c r="D146"/>
      <c r="E146"/>
      <c r="G146" s="39"/>
      <c r="H146"/>
      <c r="I146"/>
      <c r="J146" s="303"/>
      <c r="K146" s="9"/>
      <c r="L146" s="96"/>
      <c r="M146" s="27"/>
      <c r="N146"/>
      <c r="O146" s="39"/>
      <c r="P146" s="39"/>
      <c r="Q146" s="39"/>
      <c r="R146" s="39"/>
      <c r="S146" s="39"/>
      <c r="T146" s="39"/>
      <c r="U146"/>
      <c r="V146" s="57"/>
      <c r="AL146"/>
      <c r="AM146"/>
      <c r="AN146"/>
      <c r="AO146"/>
      <c r="AP146"/>
      <c r="AQ146"/>
      <c r="AR146"/>
      <c r="AS146"/>
      <c r="AT146"/>
      <c r="AU146"/>
      <c r="AV146"/>
      <c r="AW146"/>
      <c r="AX146"/>
      <c r="AY146"/>
      <c r="AZ146"/>
      <c r="BA146"/>
      <c r="BB146"/>
      <c r="BC146"/>
      <c r="BD146"/>
      <c r="BE146"/>
      <c r="BF146"/>
      <c r="BG146"/>
      <c r="BH146"/>
      <c r="BI146"/>
      <c r="BJ146"/>
      <c r="BK146"/>
    </row>
    <row r="147" spans="2:63" s="8" customFormat="1" x14ac:dyDescent="0.25">
      <c r="B147"/>
      <c r="C147" s="57"/>
      <c r="D147"/>
      <c r="E147"/>
      <c r="G147" s="39"/>
      <c r="H147"/>
      <c r="I147"/>
      <c r="J147" s="303"/>
      <c r="K147" s="9"/>
      <c r="L147" s="96"/>
      <c r="M147" s="27"/>
      <c r="N147"/>
      <c r="O147" s="39"/>
      <c r="P147" s="39"/>
      <c r="Q147" s="39"/>
      <c r="R147" s="39"/>
      <c r="S147" s="39"/>
      <c r="T147" s="39"/>
      <c r="U147"/>
      <c r="V147" s="57"/>
      <c r="AL147"/>
      <c r="AM147"/>
      <c r="AN147"/>
      <c r="AO147"/>
      <c r="AP147"/>
      <c r="AQ147"/>
      <c r="AR147"/>
      <c r="AS147"/>
      <c r="AT147"/>
      <c r="AU147"/>
      <c r="AV147"/>
      <c r="AW147"/>
      <c r="AX147"/>
      <c r="AY147"/>
      <c r="AZ147"/>
      <c r="BA147"/>
      <c r="BB147"/>
      <c r="BC147"/>
      <c r="BD147"/>
      <c r="BE147"/>
      <c r="BF147"/>
      <c r="BG147"/>
      <c r="BH147"/>
      <c r="BI147"/>
      <c r="BJ147"/>
      <c r="BK147"/>
    </row>
  </sheetData>
  <autoFilter ref="B8:AP59" xr:uid="{AB909622-906E-4179-987D-6E7EB583E78A}"/>
  <dataConsolidate/>
  <mergeCells count="2">
    <mergeCell ref="V7:Y7"/>
    <mergeCell ref="Z7:AH7"/>
  </mergeCells>
  <phoneticPr fontId="54" type="noConversion"/>
  <conditionalFormatting sqref="C7:F61">
    <cfRule type="cellIs" dxfId="103" priority="1" operator="equal">
      <formula>"YES-OOS"</formula>
    </cfRule>
    <cfRule type="cellIs" dxfId="102" priority="2" operator="equal">
      <formula>"PENDING"</formula>
    </cfRule>
    <cfRule type="cellIs" dxfId="101" priority="12" operator="equal">
      <formula>"NO-OOS"</formula>
    </cfRule>
    <cfRule type="cellIs" dxfId="100" priority="13" operator="equal">
      <formula>"YES"</formula>
    </cfRule>
    <cfRule type="cellIs" dxfId="99" priority="14" operator="equal">
      <formula>"NO-IL"</formula>
    </cfRule>
  </conditionalFormatting>
  <conditionalFormatting sqref="D9:D59">
    <cfRule type="cellIs" dxfId="98" priority="55" operator="equal">
      <formula>"NO"</formula>
    </cfRule>
    <cfRule type="cellIs" dxfId="97" priority="56" operator="equal">
      <formula>"YES"</formula>
    </cfRule>
  </conditionalFormatting>
  <conditionalFormatting sqref="G8:K8">
    <cfRule type="cellIs" dxfId="96" priority="3" operator="equal">
      <formula>"NO-OOS"</formula>
    </cfRule>
    <cfRule type="cellIs" dxfId="95" priority="4" operator="equal">
      <formula>"YES"</formula>
    </cfRule>
    <cfRule type="cellIs" dxfId="94" priority="5" operator="equal">
      <formula>"NO-IL"</formula>
    </cfRule>
  </conditionalFormatting>
  <conditionalFormatting sqref="O68">
    <cfRule type="cellIs" dxfId="93" priority="154" operator="equal">
      <formula>"NO-OOS"</formula>
    </cfRule>
    <cfRule type="cellIs" dxfId="92" priority="155" operator="equal">
      <formula>"NO-CO"</formula>
    </cfRule>
    <cfRule type="cellIs" dxfId="91" priority="156" operator="equal">
      <formula>"YES"</formula>
    </cfRule>
    <cfRule type="cellIs" dxfId="90" priority="157" operator="equal">
      <formula>"NO"</formula>
    </cfRule>
  </conditionalFormatting>
  <conditionalFormatting sqref="O73">
    <cfRule type="cellIs" dxfId="89" priority="149" operator="equal">
      <formula>"NO-OOS"</formula>
    </cfRule>
    <cfRule type="cellIs" dxfId="88" priority="150" operator="equal">
      <formula>"NO-CO"</formula>
    </cfRule>
    <cfRule type="cellIs" dxfId="87" priority="151" operator="equal">
      <formula>"YES"</formula>
    </cfRule>
    <cfRule type="cellIs" dxfId="86" priority="152" operator="equal">
      <formula>"NO"</formula>
    </cfRule>
  </conditionalFormatting>
  <conditionalFormatting sqref="V9:V59">
    <cfRule type="containsText" dxfId="85" priority="8" operator="containsText" text="NO">
      <formula>NOT(ISERROR(SEARCH("NO",V9)))</formula>
    </cfRule>
    <cfRule type="containsText" dxfId="84" priority="9" operator="containsText" text="YES">
      <formula>NOT(ISERROR(SEARCH("YES",V9)))</formula>
    </cfRule>
  </conditionalFormatting>
  <conditionalFormatting sqref="V60">
    <cfRule type="cellIs" dxfId="83" priority="10" operator="equal">
      <formula>"NO"</formula>
    </cfRule>
    <cfRule type="cellIs" dxfId="82" priority="11" operator="equal">
      <formula>"YES"</formula>
    </cfRule>
  </conditionalFormatting>
  <conditionalFormatting sqref="AC9:AF60">
    <cfRule type="cellIs" dxfId="81" priority="6" operator="equal">
      <formula>"NO"</formula>
    </cfRule>
    <cfRule type="cellIs" dxfId="80" priority="7" operator="equal">
      <formula>"YES"</formula>
    </cfRule>
  </conditionalFormatting>
  <conditionalFormatting sqref="AG9:AH59">
    <cfRule type="containsText" dxfId="79" priority="39" operator="containsText" text="Covid">
      <formula>NOT(ISERROR(SEARCH("Covid",AG9)))</formula>
    </cfRule>
    <cfRule type="containsText" dxfId="78" priority="40" operator="containsText" text="Sig">
      <formula>NOT(ISERROR(SEARCH("Sig",AG9)))</formula>
    </cfRule>
    <cfRule type="containsText" dxfId="77" priority="41" operator="containsText" text="WNR">
      <formula>NOT(ISERROR(SEARCH("WNR",AG9)))</formula>
    </cfRule>
    <cfRule type="containsText" dxfId="76" priority="42" operator="containsText" text="Missing">
      <formula>NOT(ISERROR(SEARCH("Missing",AG9)))</formula>
    </cfRule>
    <cfRule type="containsText" dxfId="75" priority="43" operator="containsText" text="Expired">
      <formula>NOT(ISERROR(SEARCH("Expired",AG9)))</formula>
    </cfRule>
    <cfRule type="containsText" dxfId="74" priority="44" operator="containsText" text="NLAA">
      <formula>NOT(ISERROR(SEARCH("NLAA",AG9)))</formula>
    </cfRule>
    <cfRule type="containsText" dxfId="73" priority="45" operator="containsText" text="sent">
      <formula>NOT(ISERROR(SEARCH("sent",AG9)))</formula>
    </cfRule>
  </conditionalFormatting>
  <dataValidations count="3">
    <dataValidation allowBlank="1" showInputMessage="1" showErrorMessage="1" prompt="Select a category that most closely matches" sqref="AA19:AB59 AG59:AH59" xr:uid="{C61A7DD0-AB3C-4315-A467-8BA21DD3CD7D}"/>
    <dataValidation type="list" allowBlank="1" showInputMessage="1" showErrorMessage="1" sqref="Y110:Y111 AL77:AL78 AC60:AF60 P73:Q73 F104 R85:S85 H60 W62:W63 X64:X65 F112:F1048576 G105:H106 AF112:AF114 AC115:AC116" xr:uid="{36530C8C-0DBB-4AC3-9F35-9494A82806CF}">
      <formula1>$T$3:$T$4</formula1>
    </dataValidation>
    <dataValidation type="list" allowBlank="1" showInputMessage="1" showErrorMessage="1" sqref="C112:F1048576 C61:F61 C3:F8 Z9:Z14 AP9:AP59 AA14:AB15 AG10:AH59 Y16:AB59 Y9:AB13 Y14:Z14 Y15 C9:D59 V9:X59" xr:uid="{5C2D9E94-0E77-444A-839C-64EF3BA1FA85}">
      <formula1>#REF!</formula1>
    </dataValidation>
  </dataValidations>
  <hyperlinks>
    <hyperlink ref="M63" location="'Comm Summary'!A1" display="'Comm Summary'!A1" xr:uid="{14961D08-077D-4F56-8583-A7E0B590F661}"/>
  </hyperlinks>
  <pageMargins left="0.7" right="0.7" top="0.75" bottom="0.75" header="0.3" footer="0.3"/>
  <pageSetup scale="32"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0020-492B-4261-AE9D-83C785A1DE1A}">
  <sheetPr>
    <tabColor theme="8" tint="0.79998168889431442"/>
  </sheetPr>
  <dimension ref="B1:AS74"/>
  <sheetViews>
    <sheetView zoomScale="70" zoomScaleNormal="70" workbookViewId="0">
      <pane xSplit="6" ySplit="8" topLeftCell="G9" activePane="bottomRight" state="frozen"/>
      <selection pane="topRight" activeCell="R1" sqref="R1"/>
      <selection pane="bottomLeft" activeCell="R1" sqref="R1"/>
      <selection pane="bottomRight" activeCell="O8" sqref="O8"/>
    </sheetView>
  </sheetViews>
  <sheetFormatPr defaultRowHeight="15" x14ac:dyDescent="0.25"/>
  <cols>
    <col min="2" max="2" width="16.85546875" bestFit="1" customWidth="1"/>
    <col min="3" max="3" width="16.85546875" customWidth="1"/>
    <col min="4" max="4" width="11" customWidth="1"/>
    <col min="5" max="5" width="11.140625" customWidth="1"/>
    <col min="6" max="6" width="22.85546875" customWidth="1"/>
    <col min="7" max="7" width="21.85546875" customWidth="1"/>
    <col min="8" max="8" width="18.85546875" bestFit="1" customWidth="1"/>
    <col min="9" max="9" width="20.140625" customWidth="1"/>
    <col min="10" max="10" width="15.42578125" customWidth="1"/>
    <col min="11" max="11" width="14.42578125" bestFit="1" customWidth="1"/>
    <col min="12" max="12" width="17.140625" customWidth="1"/>
    <col min="13" max="13" width="10.140625" customWidth="1"/>
    <col min="14" max="15" width="16.85546875" customWidth="1"/>
    <col min="16" max="16" width="29.85546875" bestFit="1" customWidth="1"/>
    <col min="17" max="23" width="19" customWidth="1"/>
    <col min="24" max="24" width="17.42578125" customWidth="1"/>
    <col min="25" max="25" width="12.42578125" customWidth="1"/>
    <col min="26" max="26" width="13.85546875" bestFit="1" customWidth="1"/>
    <col min="27" max="27" width="11.140625" bestFit="1" customWidth="1"/>
    <col min="28" max="28" width="16.140625" customWidth="1"/>
    <col min="29" max="29" width="18.140625" customWidth="1"/>
    <col min="30" max="30" width="19.85546875" customWidth="1"/>
    <col min="31" max="31" width="12.85546875" customWidth="1"/>
    <col min="32" max="32" width="21" customWidth="1"/>
    <col min="33" max="33" width="21.85546875" bestFit="1" customWidth="1"/>
    <col min="34" max="34" width="16.140625" bestFit="1" customWidth="1"/>
    <col min="35" max="35" width="21.140625" bestFit="1" customWidth="1"/>
    <col min="38" max="38" width="9.5703125" bestFit="1" customWidth="1"/>
    <col min="40" max="40" width="12.85546875" bestFit="1" customWidth="1"/>
    <col min="41" max="41" width="12" bestFit="1" customWidth="1"/>
    <col min="42" max="42" width="13.85546875" bestFit="1" customWidth="1"/>
    <col min="43" max="43" width="11.140625" bestFit="1" customWidth="1"/>
    <col min="44" max="44" width="11" bestFit="1" customWidth="1"/>
    <col min="45" max="45" width="8.140625" bestFit="1" customWidth="1"/>
  </cols>
  <sheetData>
    <row r="1" spans="2:45" ht="37.5" customHeight="1" thickBot="1" x14ac:dyDescent="0.3">
      <c r="B1" s="312" t="s">
        <v>453</v>
      </c>
      <c r="C1" s="312"/>
      <c r="D1" s="312"/>
      <c r="E1" s="312"/>
      <c r="F1" s="312"/>
      <c r="G1" s="312"/>
      <c r="H1" s="312"/>
      <c r="I1" s="312"/>
      <c r="J1" s="312"/>
      <c r="K1" s="312"/>
      <c r="L1" s="312"/>
      <c r="M1" s="312"/>
      <c r="N1" s="312"/>
      <c r="O1" s="312"/>
      <c r="P1" s="312"/>
      <c r="Q1" s="312"/>
      <c r="R1" s="312"/>
      <c r="S1" s="312"/>
      <c r="T1" s="312"/>
      <c r="U1" s="312"/>
      <c r="V1" s="312"/>
      <c r="W1" s="312"/>
    </row>
    <row r="2" spans="2:45" ht="16.5" thickBot="1" x14ac:dyDescent="0.3">
      <c r="B2" s="185"/>
      <c r="C2" s="185"/>
      <c r="H2" s="185"/>
      <c r="I2" s="185"/>
      <c r="J2" s="185"/>
      <c r="K2" s="185"/>
      <c r="L2" s="185"/>
      <c r="M2" s="185"/>
      <c r="N2" s="185"/>
      <c r="O2" s="185"/>
      <c r="P2" s="185"/>
      <c r="Q2" s="185"/>
      <c r="R2" s="185"/>
      <c r="S2" s="185"/>
      <c r="T2" s="185"/>
      <c r="U2" s="185"/>
      <c r="V2" s="185"/>
      <c r="W2" s="185"/>
      <c r="X2" s="208" t="s">
        <v>273</v>
      </c>
      <c r="Y2" s="209">
        <v>44741</v>
      </c>
    </row>
    <row r="3" spans="2:45" ht="16.5" thickBot="1" x14ac:dyDescent="0.3">
      <c r="B3" s="5" t="s">
        <v>68</v>
      </c>
      <c r="C3" s="5"/>
      <c r="D3" s="5" t="e">
        <f>#REF!</f>
        <v>#REF!</v>
      </c>
      <c r="E3" s="5"/>
      <c r="K3" s="185"/>
      <c r="L3" s="185"/>
      <c r="M3" s="185"/>
      <c r="N3" s="185"/>
      <c r="O3" s="185"/>
      <c r="P3" s="185"/>
      <c r="Q3" s="185"/>
      <c r="R3" s="185"/>
      <c r="S3" s="185"/>
      <c r="T3" s="185"/>
      <c r="U3" s="185"/>
      <c r="V3" s="185"/>
      <c r="W3" s="185"/>
      <c r="X3" s="208" t="s">
        <v>275</v>
      </c>
      <c r="Y3" s="209">
        <v>44741</v>
      </c>
    </row>
    <row r="4" spans="2:45" ht="16.5" thickBot="1" x14ac:dyDescent="0.3">
      <c r="B4" s="5" t="s">
        <v>74</v>
      </c>
      <c r="C4" s="5"/>
      <c r="D4" s="202" t="e">
        <f>#REF!</f>
        <v>#REF!</v>
      </c>
      <c r="E4" s="202"/>
      <c r="G4" s="424" t="s">
        <v>375</v>
      </c>
      <c r="H4" s="425"/>
      <c r="I4" s="425"/>
      <c r="J4" s="425"/>
      <c r="K4" s="426"/>
      <c r="L4" s="426"/>
      <c r="M4" s="426"/>
      <c r="N4" s="423"/>
      <c r="O4" s="423"/>
      <c r="P4" s="185"/>
      <c r="Q4" s="185"/>
      <c r="R4" s="185"/>
      <c r="S4" s="185"/>
      <c r="T4" s="185"/>
      <c r="U4" s="185"/>
      <c r="V4" s="185"/>
      <c r="W4" s="185"/>
      <c r="X4" s="208" t="s">
        <v>277</v>
      </c>
      <c r="Y4" s="209">
        <v>44896</v>
      </c>
    </row>
    <row r="5" spans="2:45" ht="15.75" x14ac:dyDescent="0.25">
      <c r="B5" s="5" t="s">
        <v>278</v>
      </c>
      <c r="C5" s="5"/>
      <c r="D5" s="202" t="e">
        <f>#REF!</f>
        <v>#REF!</v>
      </c>
      <c r="E5" s="202"/>
      <c r="K5" s="185"/>
      <c r="L5" s="185"/>
      <c r="M5" s="185"/>
      <c r="N5" s="185"/>
      <c r="O5" s="185"/>
      <c r="P5" s="185"/>
      <c r="Q5" s="185"/>
      <c r="R5" s="185"/>
      <c r="S5" s="185"/>
      <c r="T5" s="185"/>
      <c r="U5" s="185"/>
      <c r="V5" s="185"/>
      <c r="W5" s="185"/>
    </row>
    <row r="6" spans="2:45" ht="16.5" thickBot="1" x14ac:dyDescent="0.3">
      <c r="H6" s="5"/>
      <c r="K6" s="185"/>
      <c r="L6" s="185"/>
      <c r="M6" s="185"/>
      <c r="N6" s="5"/>
      <c r="O6" s="5"/>
      <c r="P6" s="262" t="s">
        <v>454</v>
      </c>
      <c r="Q6" s="241"/>
      <c r="W6" s="185"/>
      <c r="AE6" s="5"/>
      <c r="AF6" s="314" t="s">
        <v>280</v>
      </c>
      <c r="AG6" s="339"/>
    </row>
    <row r="7" spans="2:45" ht="19.5" thickBot="1" x14ac:dyDescent="0.35">
      <c r="D7" s="7"/>
      <c r="E7" s="7"/>
      <c r="F7" s="5"/>
      <c r="G7" s="263" t="s">
        <v>284</v>
      </c>
      <c r="J7" s="256"/>
      <c r="K7" s="261"/>
      <c r="L7" s="5"/>
      <c r="M7" s="6"/>
      <c r="P7" s="265" t="s">
        <v>288</v>
      </c>
      <c r="Q7" s="328"/>
      <c r="R7" s="102"/>
      <c r="S7" s="102"/>
      <c r="T7" s="489" t="s">
        <v>455</v>
      </c>
      <c r="U7" s="489"/>
      <c r="V7" s="489"/>
      <c r="W7" s="185"/>
      <c r="X7" s="699" t="s">
        <v>287</v>
      </c>
      <c r="Y7" s="700"/>
      <c r="Z7" s="700"/>
      <c r="AA7" s="700"/>
      <c r="AB7" s="701"/>
      <c r="AC7" s="5"/>
    </row>
    <row r="8" spans="2:45" s="248" customFormat="1" ht="45" x14ac:dyDescent="0.25">
      <c r="B8" s="287" t="s">
        <v>371</v>
      </c>
      <c r="C8" s="287" t="s">
        <v>236</v>
      </c>
      <c r="D8" s="287" t="s">
        <v>379</v>
      </c>
      <c r="E8" s="287" t="s">
        <v>380</v>
      </c>
      <c r="F8" s="287" t="s">
        <v>456</v>
      </c>
      <c r="G8" s="287" t="s">
        <v>457</v>
      </c>
      <c r="H8" s="287" t="s">
        <v>458</v>
      </c>
      <c r="I8" s="287" t="s">
        <v>239</v>
      </c>
      <c r="J8" s="287" t="s">
        <v>240</v>
      </c>
      <c r="K8" s="287" t="s">
        <v>241</v>
      </c>
      <c r="L8" s="290" t="s">
        <v>459</v>
      </c>
      <c r="M8" s="290" t="s">
        <v>120</v>
      </c>
      <c r="N8" s="290" t="s">
        <v>460</v>
      </c>
      <c r="O8" s="48" t="s">
        <v>461</v>
      </c>
      <c r="P8" s="290" t="s">
        <v>333</v>
      </c>
      <c r="Q8" s="290" t="s">
        <v>334</v>
      </c>
      <c r="R8" s="290" t="s">
        <v>462</v>
      </c>
      <c r="S8" s="13" t="s">
        <v>234</v>
      </c>
      <c r="T8" s="290" t="s">
        <v>394</v>
      </c>
      <c r="U8" s="290" t="s">
        <v>463</v>
      </c>
      <c r="V8" s="290" t="s">
        <v>455</v>
      </c>
      <c r="W8" s="185"/>
      <c r="X8" s="287" t="s">
        <v>397</v>
      </c>
      <c r="Y8" s="287" t="s">
        <v>398</v>
      </c>
      <c r="Z8" s="287" t="s">
        <v>399</v>
      </c>
      <c r="AA8" s="287" t="s">
        <v>330</v>
      </c>
      <c r="AB8" s="287" t="s">
        <v>401</v>
      </c>
      <c r="AC8" s="47" t="s">
        <v>403</v>
      </c>
      <c r="AD8" s="47" t="s">
        <v>404</v>
      </c>
      <c r="AF8" s="246" t="s">
        <v>464</v>
      </c>
      <c r="AG8" s="246" t="s">
        <v>465</v>
      </c>
      <c r="AH8" s="246" t="s">
        <v>458</v>
      </c>
      <c r="AI8" s="246" t="s">
        <v>466</v>
      </c>
      <c r="AJ8" s="246" t="s">
        <v>332</v>
      </c>
      <c r="AK8" s="246" t="s">
        <v>241</v>
      </c>
      <c r="AL8" s="245" t="s">
        <v>467</v>
      </c>
      <c r="AM8" s="245" t="s">
        <v>468</v>
      </c>
      <c r="AN8" s="244" t="s">
        <v>469</v>
      </c>
      <c r="AO8" s="315" t="s">
        <v>470</v>
      </c>
      <c r="AP8" s="316" t="s">
        <v>282</v>
      </c>
      <c r="AQ8" s="317" t="s">
        <v>411</v>
      </c>
      <c r="AR8" s="252"/>
      <c r="AS8" s="252"/>
    </row>
    <row r="9" spans="2:45" ht="15.75" x14ac:dyDescent="0.25">
      <c r="B9" s="2"/>
      <c r="C9" s="485"/>
      <c r="D9" s="273"/>
      <c r="E9" s="16"/>
      <c r="F9" s="35"/>
      <c r="G9" s="35"/>
      <c r="H9" s="29"/>
      <c r="I9" s="35"/>
      <c r="J9" s="29"/>
      <c r="K9" s="29"/>
      <c r="L9" s="29"/>
      <c r="M9" s="62"/>
      <c r="N9" s="238">
        <v>0</v>
      </c>
      <c r="O9" s="487"/>
      <c r="P9" s="2"/>
      <c r="Q9" s="2"/>
      <c r="R9" s="2"/>
      <c r="S9" s="2"/>
      <c r="T9" s="2"/>
      <c r="U9" s="2"/>
      <c r="V9" s="29"/>
      <c r="W9" s="185"/>
      <c r="X9" s="276"/>
      <c r="Y9" s="275"/>
      <c r="Z9" s="275"/>
      <c r="AA9" s="29" t="str">
        <f>IF(E9="NO-OOS","N/A",IF(X9="Driver's License",IF(Y9&gt;$Y$2,"SOS",IF(Z9&gt;=$Y$3,"Valid",IF(AND(Z9&lt;$Y$3,$Y$4&gt;$Y$3,Z9&gt;43831),"Covid","Expired"))),IF(X9="I9",IF(Z9&gt;=$Y$3,"Valid",IF(AND(Z9&lt;$Y$3,$Y$4&gt;$Y$3,Z9&gt;43831),"Covid","Expired")),IF(X9="Work Permit",IF(AND(Z9&lt;=$Y$2,(Z9+365)&gt;=$Y$3),"Valid","Expired"),IF(X9="Missing Residency","Missing",IF(X9="","","Other"))))))</f>
        <v/>
      </c>
      <c r="AB9" s="35"/>
      <c r="AC9" s="78"/>
      <c r="AD9" s="78"/>
      <c r="AF9" s="29">
        <f t="shared" ref="AF9:AF17" si="0">F9</f>
        <v>0</v>
      </c>
      <c r="AG9" s="29">
        <f t="shared" ref="AG9:AG17" si="1">G9</f>
        <v>0</v>
      </c>
      <c r="AH9" s="29">
        <f t="shared" ref="AH9:AH17" si="2">H9</f>
        <v>0</v>
      </c>
      <c r="AI9" s="29">
        <f t="shared" ref="AI9:AI17" si="3">I9</f>
        <v>0</v>
      </c>
      <c r="AJ9" s="11">
        <f t="shared" ref="AJ9:AJ17" si="4">J9</f>
        <v>0</v>
      </c>
      <c r="AK9" s="11">
        <f t="shared" ref="AK9:AK17" si="5">K9</f>
        <v>0</v>
      </c>
      <c r="AL9" s="11">
        <f t="shared" ref="AL9:AL17" si="6">M9</f>
        <v>0</v>
      </c>
      <c r="AM9" s="139"/>
      <c r="AN9" s="1">
        <f t="shared" ref="AN9:AN18" si="7">N9</f>
        <v>0</v>
      </c>
      <c r="AO9" s="1">
        <v>0</v>
      </c>
      <c r="AP9" s="1">
        <v>0</v>
      </c>
      <c r="AQ9" s="1">
        <f>AN9</f>
        <v>0</v>
      </c>
      <c r="AR9" s="252"/>
      <c r="AS9" s="252"/>
    </row>
    <row r="10" spans="2:45" ht="15.75" x14ac:dyDescent="0.25">
      <c r="B10" s="2"/>
      <c r="C10" s="485"/>
      <c r="D10" s="273"/>
      <c r="E10" s="16"/>
      <c r="F10" s="35"/>
      <c r="G10" s="35"/>
      <c r="H10" s="29"/>
      <c r="I10" s="35"/>
      <c r="J10" s="29"/>
      <c r="K10" s="29"/>
      <c r="L10" s="29"/>
      <c r="M10" s="11"/>
      <c r="N10" s="238">
        <v>0</v>
      </c>
      <c r="O10" s="487"/>
      <c r="P10" s="2"/>
      <c r="Q10" s="2"/>
      <c r="R10" s="2"/>
      <c r="S10" s="2"/>
      <c r="T10" s="2"/>
      <c r="U10" s="2"/>
      <c r="V10" s="29"/>
      <c r="W10" s="185"/>
      <c r="X10" s="29"/>
      <c r="Y10" s="106"/>
      <c r="Z10" s="106"/>
      <c r="AA10" s="29" t="str">
        <f t="shared" ref="AA10:AA34" si="8">IF(E10="NO-OOS","N/A",IF(X10="Driver's License",IF(Y10&gt;$Y$2,"SOS",IF(Z10&gt;=$Y$3,"Valid",IF(AND(Z10&lt;$Y$3,$Y$4&gt;$Y$3,Z10&gt;43831),"Covid","Expired"))),IF(X10="I9",IF(Z10&gt;=$Y$3,"Valid",IF(AND(Z10&lt;$Y$3,$Y$4&gt;$Y$3,Z10&gt;43831),"Covid","Expired")),IF(X10="Work Permit",IF(AND(Z10&lt;=$Y$2,(Z10+365)&gt;=$Y$3),"Valid","Expired"),IF(X10="Missing Residency","Missing",IF(X10="","","Other"))))))</f>
        <v/>
      </c>
      <c r="AB10" s="35"/>
      <c r="AC10" s="78"/>
      <c r="AD10" s="78"/>
      <c r="AF10" s="29">
        <f t="shared" si="0"/>
        <v>0</v>
      </c>
      <c r="AG10" s="29">
        <f t="shared" si="1"/>
        <v>0</v>
      </c>
      <c r="AH10" s="29">
        <f t="shared" si="2"/>
        <v>0</v>
      </c>
      <c r="AI10" s="29">
        <f t="shared" si="3"/>
        <v>0</v>
      </c>
      <c r="AJ10" s="11">
        <f t="shared" si="4"/>
        <v>0</v>
      </c>
      <c r="AK10" s="11">
        <f t="shared" si="5"/>
        <v>0</v>
      </c>
      <c r="AL10" s="11">
        <f t="shared" si="6"/>
        <v>0</v>
      </c>
      <c r="AM10" s="139"/>
      <c r="AN10" s="1">
        <f t="shared" si="7"/>
        <v>0</v>
      </c>
      <c r="AO10" s="1">
        <v>0</v>
      </c>
      <c r="AP10" s="1">
        <v>0</v>
      </c>
      <c r="AQ10" s="1">
        <f>AN10</f>
        <v>0</v>
      </c>
      <c r="AR10" s="252"/>
      <c r="AS10" s="252"/>
    </row>
    <row r="11" spans="2:45" ht="15.75" x14ac:dyDescent="0.25">
      <c r="B11" s="2"/>
      <c r="C11" s="485"/>
      <c r="D11" s="273"/>
      <c r="E11" s="16"/>
      <c r="F11" s="35"/>
      <c r="G11" s="35"/>
      <c r="H11" s="29"/>
      <c r="I11" s="35"/>
      <c r="J11" s="29"/>
      <c r="K11" s="29"/>
      <c r="L11" s="29"/>
      <c r="M11" s="11"/>
      <c r="N11" s="238">
        <v>0</v>
      </c>
      <c r="O11" s="487"/>
      <c r="P11" s="2"/>
      <c r="Q11" s="2"/>
      <c r="R11" s="2"/>
      <c r="S11" s="2"/>
      <c r="T11" s="2"/>
      <c r="U11" s="2"/>
      <c r="V11" s="29"/>
      <c r="W11" s="185"/>
      <c r="X11" s="29"/>
      <c r="Y11" s="106"/>
      <c r="Z11" s="106"/>
      <c r="AA11" s="29" t="str">
        <f t="shared" si="8"/>
        <v/>
      </c>
      <c r="AB11" s="35"/>
      <c r="AC11" s="78"/>
      <c r="AD11" s="78"/>
      <c r="AF11" s="29">
        <f t="shared" si="0"/>
        <v>0</v>
      </c>
      <c r="AG11" s="29">
        <f t="shared" si="1"/>
        <v>0</v>
      </c>
      <c r="AH11" s="29">
        <f t="shared" si="2"/>
        <v>0</v>
      </c>
      <c r="AI11" s="29">
        <f t="shared" si="3"/>
        <v>0</v>
      </c>
      <c r="AJ11" s="11">
        <f t="shared" si="4"/>
        <v>0</v>
      </c>
      <c r="AK11" s="11">
        <f t="shared" si="5"/>
        <v>0</v>
      </c>
      <c r="AL11" s="11">
        <f t="shared" si="6"/>
        <v>0</v>
      </c>
      <c r="AM11" s="139"/>
      <c r="AN11" s="1">
        <f t="shared" si="7"/>
        <v>0</v>
      </c>
      <c r="AO11" s="1">
        <v>0</v>
      </c>
      <c r="AP11" s="1">
        <v>0</v>
      </c>
      <c r="AQ11" s="1">
        <f t="shared" ref="AQ11:AQ14" si="9">AN11</f>
        <v>0</v>
      </c>
      <c r="AR11" s="252"/>
      <c r="AS11" s="252"/>
    </row>
    <row r="12" spans="2:45" ht="15.75" x14ac:dyDescent="0.25">
      <c r="B12" s="2"/>
      <c r="C12" s="485"/>
      <c r="D12" s="273"/>
      <c r="E12" s="16"/>
      <c r="F12" s="35"/>
      <c r="G12" s="35"/>
      <c r="H12" s="29"/>
      <c r="I12" s="35"/>
      <c r="J12" s="29"/>
      <c r="K12" s="29"/>
      <c r="L12" s="29"/>
      <c r="M12" s="11"/>
      <c r="N12" s="238">
        <v>0</v>
      </c>
      <c r="O12" s="487"/>
      <c r="P12" s="2"/>
      <c r="Q12" s="2"/>
      <c r="R12" s="2"/>
      <c r="S12" s="2"/>
      <c r="T12" s="2"/>
      <c r="U12" s="2"/>
      <c r="V12" s="29"/>
      <c r="W12" s="185"/>
      <c r="X12" s="29"/>
      <c r="Y12" s="106"/>
      <c r="Z12" s="106"/>
      <c r="AA12" s="29" t="str">
        <f t="shared" si="8"/>
        <v/>
      </c>
      <c r="AB12" s="35"/>
      <c r="AC12" s="78"/>
      <c r="AD12" s="78"/>
      <c r="AF12" s="29">
        <f t="shared" si="0"/>
        <v>0</v>
      </c>
      <c r="AG12" s="29">
        <f t="shared" si="1"/>
        <v>0</v>
      </c>
      <c r="AH12" s="29">
        <f t="shared" si="2"/>
        <v>0</v>
      </c>
      <c r="AI12" s="29">
        <f t="shared" si="3"/>
        <v>0</v>
      </c>
      <c r="AJ12" s="11">
        <f t="shared" si="4"/>
        <v>0</v>
      </c>
      <c r="AK12" s="11">
        <f t="shared" si="5"/>
        <v>0</v>
      </c>
      <c r="AL12" s="11">
        <f t="shared" si="6"/>
        <v>0</v>
      </c>
      <c r="AM12" s="139"/>
      <c r="AN12" s="1">
        <f t="shared" si="7"/>
        <v>0</v>
      </c>
      <c r="AO12" s="1">
        <v>0</v>
      </c>
      <c r="AP12" s="1">
        <v>0</v>
      </c>
      <c r="AQ12" s="1">
        <f t="shared" si="9"/>
        <v>0</v>
      </c>
      <c r="AR12" s="252"/>
      <c r="AS12" s="252"/>
    </row>
    <row r="13" spans="2:45" ht="15.75" x14ac:dyDescent="0.25">
      <c r="B13" s="2"/>
      <c r="C13" s="485"/>
      <c r="D13" s="273"/>
      <c r="E13" s="16"/>
      <c r="F13" s="35"/>
      <c r="G13" s="35"/>
      <c r="H13" s="29"/>
      <c r="I13" s="35"/>
      <c r="J13" s="29"/>
      <c r="K13" s="29"/>
      <c r="L13" s="29"/>
      <c r="M13" s="11"/>
      <c r="N13" s="238">
        <v>0</v>
      </c>
      <c r="O13" s="487"/>
      <c r="P13" s="2"/>
      <c r="Q13" s="2"/>
      <c r="R13" s="2"/>
      <c r="S13" s="2"/>
      <c r="T13" s="2"/>
      <c r="U13" s="2"/>
      <c r="V13" s="29"/>
      <c r="W13" s="185"/>
      <c r="X13" s="29"/>
      <c r="Y13" s="106"/>
      <c r="Z13" s="106"/>
      <c r="AA13" s="29" t="str">
        <f t="shared" si="8"/>
        <v/>
      </c>
      <c r="AB13" s="35"/>
      <c r="AC13" s="78"/>
      <c r="AD13" s="78"/>
      <c r="AF13" s="29">
        <f t="shared" si="0"/>
        <v>0</v>
      </c>
      <c r="AG13" s="29">
        <f t="shared" si="1"/>
        <v>0</v>
      </c>
      <c r="AH13" s="29">
        <f t="shared" si="2"/>
        <v>0</v>
      </c>
      <c r="AI13" s="29">
        <f t="shared" si="3"/>
        <v>0</v>
      </c>
      <c r="AJ13" s="11">
        <f t="shared" si="4"/>
        <v>0</v>
      </c>
      <c r="AK13" s="11">
        <f t="shared" si="5"/>
        <v>0</v>
      </c>
      <c r="AL13" s="11">
        <f t="shared" si="6"/>
        <v>0</v>
      </c>
      <c r="AM13" s="139"/>
      <c r="AN13" s="1">
        <f t="shared" si="7"/>
        <v>0</v>
      </c>
      <c r="AO13" s="1">
        <v>0</v>
      </c>
      <c r="AP13" s="1">
        <v>0</v>
      </c>
      <c r="AQ13" s="1">
        <f t="shared" si="9"/>
        <v>0</v>
      </c>
    </row>
    <row r="14" spans="2:45" ht="15.75" x14ac:dyDescent="0.25">
      <c r="B14" s="2"/>
      <c r="C14" s="485"/>
      <c r="D14" s="273"/>
      <c r="E14" s="16"/>
      <c r="F14" s="35"/>
      <c r="G14" s="35"/>
      <c r="H14" s="29"/>
      <c r="I14" s="35"/>
      <c r="J14" s="29"/>
      <c r="K14" s="29"/>
      <c r="L14" s="29"/>
      <c r="M14" s="11"/>
      <c r="N14" s="238">
        <v>0</v>
      </c>
      <c r="O14" s="487"/>
      <c r="P14" s="2"/>
      <c r="Q14" s="2"/>
      <c r="R14" s="2"/>
      <c r="S14" s="2"/>
      <c r="T14" s="2"/>
      <c r="U14" s="2"/>
      <c r="V14" s="29"/>
      <c r="W14" s="185"/>
      <c r="X14" s="29"/>
      <c r="Y14" s="106"/>
      <c r="Z14" s="106"/>
      <c r="AA14" s="29" t="str">
        <f t="shared" si="8"/>
        <v/>
      </c>
      <c r="AB14" s="35"/>
      <c r="AC14" s="78"/>
      <c r="AD14" s="78"/>
      <c r="AF14" s="29">
        <f t="shared" si="0"/>
        <v>0</v>
      </c>
      <c r="AG14" s="29">
        <f t="shared" si="1"/>
        <v>0</v>
      </c>
      <c r="AH14" s="29">
        <f t="shared" si="2"/>
        <v>0</v>
      </c>
      <c r="AI14" s="29">
        <f t="shared" si="3"/>
        <v>0</v>
      </c>
      <c r="AJ14" s="11">
        <f t="shared" si="4"/>
        <v>0</v>
      </c>
      <c r="AK14" s="11">
        <f t="shared" si="5"/>
        <v>0</v>
      </c>
      <c r="AL14" s="11">
        <f t="shared" si="6"/>
        <v>0</v>
      </c>
      <c r="AM14" s="139"/>
      <c r="AN14" s="1">
        <f t="shared" si="7"/>
        <v>0</v>
      </c>
      <c r="AO14" s="1">
        <v>0</v>
      </c>
      <c r="AP14" s="1">
        <v>0</v>
      </c>
      <c r="AQ14" s="1">
        <f t="shared" si="9"/>
        <v>0</v>
      </c>
    </row>
    <row r="15" spans="2:45" ht="15.75" x14ac:dyDescent="0.25">
      <c r="B15" s="2"/>
      <c r="C15" s="485"/>
      <c r="D15" s="273"/>
      <c r="E15" s="16"/>
      <c r="F15" s="35"/>
      <c r="G15" s="35"/>
      <c r="H15" s="29"/>
      <c r="I15" s="35"/>
      <c r="J15" s="29"/>
      <c r="K15" s="29"/>
      <c r="L15" s="29"/>
      <c r="M15" s="11"/>
      <c r="N15" s="238">
        <v>0</v>
      </c>
      <c r="O15" s="487"/>
      <c r="P15" s="2"/>
      <c r="Q15" s="2"/>
      <c r="R15" s="2"/>
      <c r="S15" s="2"/>
      <c r="T15" s="2"/>
      <c r="U15" s="2"/>
      <c r="V15" s="29"/>
      <c r="W15" s="185"/>
      <c r="X15" s="29"/>
      <c r="Y15" s="106"/>
      <c r="Z15" s="106"/>
      <c r="AA15" s="29" t="str">
        <f t="shared" si="8"/>
        <v/>
      </c>
      <c r="AB15" s="35"/>
      <c r="AC15" s="78"/>
      <c r="AD15" s="78"/>
      <c r="AF15" s="29">
        <f t="shared" si="0"/>
        <v>0</v>
      </c>
      <c r="AG15" s="29">
        <f t="shared" si="1"/>
        <v>0</v>
      </c>
      <c r="AH15" s="29">
        <f t="shared" si="2"/>
        <v>0</v>
      </c>
      <c r="AI15" s="29">
        <f t="shared" si="3"/>
        <v>0</v>
      </c>
      <c r="AJ15" s="11">
        <f t="shared" si="4"/>
        <v>0</v>
      </c>
      <c r="AK15" s="11">
        <f t="shared" si="5"/>
        <v>0</v>
      </c>
      <c r="AL15" s="11">
        <f t="shared" si="6"/>
        <v>0</v>
      </c>
      <c r="AM15" s="139"/>
      <c r="AN15" s="1">
        <f t="shared" si="7"/>
        <v>0</v>
      </c>
      <c r="AO15" s="1">
        <v>0</v>
      </c>
      <c r="AP15" s="1">
        <v>0</v>
      </c>
      <c r="AQ15" s="1">
        <f t="shared" ref="AQ15:AQ18" si="10">AN15</f>
        <v>0</v>
      </c>
    </row>
    <row r="16" spans="2:45" ht="15.75" x14ac:dyDescent="0.25">
      <c r="B16" s="2"/>
      <c r="C16" s="485"/>
      <c r="D16" s="273"/>
      <c r="E16" s="16"/>
      <c r="F16" s="35"/>
      <c r="G16" s="35"/>
      <c r="H16" s="29"/>
      <c r="I16" s="35"/>
      <c r="J16" s="29"/>
      <c r="K16" s="29"/>
      <c r="L16" s="29"/>
      <c r="M16" s="11"/>
      <c r="N16" s="238">
        <v>0</v>
      </c>
      <c r="O16" s="487"/>
      <c r="P16" s="2"/>
      <c r="Q16" s="2"/>
      <c r="R16" s="2"/>
      <c r="S16" s="2"/>
      <c r="T16" s="2"/>
      <c r="U16" s="2"/>
      <c r="V16" s="29"/>
      <c r="W16" s="185"/>
      <c r="X16" s="29"/>
      <c r="Y16" s="106"/>
      <c r="Z16" s="106"/>
      <c r="AA16" s="29" t="str">
        <f t="shared" si="8"/>
        <v/>
      </c>
      <c r="AB16" s="35"/>
      <c r="AC16" s="78"/>
      <c r="AD16" s="78"/>
      <c r="AF16" s="29">
        <f t="shared" si="0"/>
        <v>0</v>
      </c>
      <c r="AG16" s="29">
        <f t="shared" si="1"/>
        <v>0</v>
      </c>
      <c r="AH16" s="29">
        <f t="shared" si="2"/>
        <v>0</v>
      </c>
      <c r="AI16" s="29">
        <f t="shared" si="3"/>
        <v>0</v>
      </c>
      <c r="AJ16" s="11">
        <f t="shared" si="4"/>
        <v>0</v>
      </c>
      <c r="AK16" s="11">
        <f t="shared" si="5"/>
        <v>0</v>
      </c>
      <c r="AL16" s="11">
        <f t="shared" si="6"/>
        <v>0</v>
      </c>
      <c r="AM16" s="139"/>
      <c r="AN16" s="1">
        <f t="shared" si="7"/>
        <v>0</v>
      </c>
      <c r="AO16" s="1">
        <v>0</v>
      </c>
      <c r="AP16" s="1">
        <v>0</v>
      </c>
      <c r="AQ16" s="1">
        <f t="shared" si="10"/>
        <v>0</v>
      </c>
    </row>
    <row r="17" spans="2:43" ht="15.75" x14ac:dyDescent="0.25">
      <c r="B17" s="2"/>
      <c r="C17" s="485"/>
      <c r="D17" s="273"/>
      <c r="E17" s="16"/>
      <c r="F17" s="35"/>
      <c r="G17" s="35"/>
      <c r="H17" s="29"/>
      <c r="I17" s="35"/>
      <c r="J17" s="29"/>
      <c r="K17" s="29"/>
      <c r="L17" s="29"/>
      <c r="M17" s="11"/>
      <c r="N17" s="238">
        <v>0</v>
      </c>
      <c r="O17" s="487"/>
      <c r="P17" s="2"/>
      <c r="Q17" s="2"/>
      <c r="R17" s="2"/>
      <c r="S17" s="2"/>
      <c r="T17" s="2"/>
      <c r="U17" s="2"/>
      <c r="V17" s="29"/>
      <c r="W17" s="185"/>
      <c r="X17" s="29"/>
      <c r="Y17" s="106"/>
      <c r="Z17" s="106"/>
      <c r="AA17" s="29" t="str">
        <f t="shared" si="8"/>
        <v/>
      </c>
      <c r="AB17" s="35"/>
      <c r="AC17" s="78"/>
      <c r="AD17" s="78"/>
      <c r="AF17" s="29">
        <f t="shared" si="0"/>
        <v>0</v>
      </c>
      <c r="AG17" s="29">
        <f t="shared" si="1"/>
        <v>0</v>
      </c>
      <c r="AH17" s="29">
        <f t="shared" si="2"/>
        <v>0</v>
      </c>
      <c r="AI17" s="29">
        <f t="shared" si="3"/>
        <v>0</v>
      </c>
      <c r="AJ17" s="11">
        <f t="shared" si="4"/>
        <v>0</v>
      </c>
      <c r="AK17" s="11">
        <f t="shared" si="5"/>
        <v>0</v>
      </c>
      <c r="AL17" s="11">
        <f t="shared" si="6"/>
        <v>0</v>
      </c>
      <c r="AM17" s="139"/>
      <c r="AN17" s="1">
        <f t="shared" si="7"/>
        <v>0</v>
      </c>
      <c r="AO17" s="1">
        <v>0</v>
      </c>
      <c r="AP17" s="1">
        <v>0</v>
      </c>
      <c r="AQ17" s="1">
        <f t="shared" si="10"/>
        <v>0</v>
      </c>
    </row>
    <row r="18" spans="2:43" ht="15.75" x14ac:dyDescent="0.25">
      <c r="B18" s="2"/>
      <c r="C18" s="485"/>
      <c r="D18" s="273"/>
      <c r="E18" s="16"/>
      <c r="F18" s="35"/>
      <c r="G18" s="29"/>
      <c r="H18" s="29"/>
      <c r="I18" s="35"/>
      <c r="J18" s="29"/>
      <c r="K18" s="29"/>
      <c r="L18" s="29"/>
      <c r="M18" s="62"/>
      <c r="N18" s="238">
        <v>0</v>
      </c>
      <c r="O18" s="487"/>
      <c r="P18" s="2"/>
      <c r="Q18" s="2"/>
      <c r="R18" s="2"/>
      <c r="S18" s="2"/>
      <c r="T18" s="2"/>
      <c r="U18" s="2"/>
      <c r="V18" s="29"/>
      <c r="W18" s="185"/>
      <c r="X18" s="29"/>
      <c r="Y18" s="106"/>
      <c r="Z18" s="106"/>
      <c r="AA18" s="29" t="str">
        <f>IF(E18="NO-OOS","N/A",IF(X18="Driver's License",IF(Y18&gt;$Y$2,"SOS",IF(Z18&gt;=$Y$3,"Valid",IF(AND(Z18&lt;$Y$3,$Y$4&gt;$Y$3,Z18&gt;43831),"Covid","Expired"))),IF(X18="I9",IF(Z18&gt;=$Y$3,"Valid",IF(AND(Z18&lt;$Y$3,$Y$4&gt;$Y$3,Z18&gt;43831),"Covid","Expired")),IF(X18="Work Permit",IF(AND(Z18&lt;=$Y$2,(Z18+365)&gt;=$Y$3),"Valid","Expired"),IF(X18="Missing Residency","Missing",IF(X18="","","Other"))))))</f>
        <v/>
      </c>
      <c r="AB18" s="35"/>
      <c r="AC18" s="78"/>
      <c r="AD18" s="78"/>
      <c r="AF18" s="29"/>
      <c r="AG18" s="2"/>
      <c r="AH18" s="2"/>
      <c r="AI18" s="2"/>
      <c r="AJ18" s="2"/>
      <c r="AK18" s="2"/>
      <c r="AL18" s="2"/>
      <c r="AM18" s="2"/>
      <c r="AN18" s="2">
        <f t="shared" si="7"/>
        <v>0</v>
      </c>
      <c r="AO18" s="2"/>
      <c r="AP18" s="2"/>
      <c r="AQ18" s="2">
        <f t="shared" si="10"/>
        <v>0</v>
      </c>
    </row>
    <row r="19" spans="2:43" ht="15.75" x14ac:dyDescent="0.25">
      <c r="B19" s="199" t="s">
        <v>471</v>
      </c>
      <c r="C19" s="486"/>
      <c r="D19" s="301"/>
      <c r="E19" s="82"/>
      <c r="F19" s="192"/>
      <c r="G19" s="81"/>
      <c r="H19" s="81"/>
      <c r="I19" s="80"/>
      <c r="J19" s="81"/>
      <c r="K19" s="81"/>
      <c r="L19" s="81"/>
      <c r="M19" s="79"/>
      <c r="N19" s="268"/>
      <c r="O19" s="488"/>
      <c r="P19" s="198"/>
      <c r="Q19" s="198"/>
      <c r="R19" s="198"/>
      <c r="S19" s="198"/>
      <c r="T19" s="198"/>
      <c r="U19" s="198"/>
      <c r="V19" s="81"/>
      <c r="W19" s="185"/>
      <c r="X19" s="146"/>
      <c r="Y19" s="146"/>
      <c r="Z19" s="146"/>
      <c r="AA19" s="81" t="str">
        <f t="shared" si="8"/>
        <v/>
      </c>
      <c r="AB19" s="146"/>
      <c r="AC19" s="146"/>
      <c r="AD19" s="146"/>
      <c r="AF19" s="29"/>
      <c r="AG19" s="2"/>
      <c r="AH19" s="2"/>
      <c r="AI19" s="2"/>
      <c r="AJ19" s="2"/>
      <c r="AK19" s="2"/>
      <c r="AL19" s="2"/>
      <c r="AM19" s="2"/>
      <c r="AN19" s="2"/>
      <c r="AO19" s="2"/>
      <c r="AP19" s="2"/>
      <c r="AQ19" s="2"/>
    </row>
    <row r="20" spans="2:43" ht="15.75" x14ac:dyDescent="0.25">
      <c r="B20" s="509"/>
      <c r="C20" s="505"/>
      <c r="D20" s="506"/>
      <c r="E20" s="507"/>
      <c r="F20" s="508"/>
      <c r="G20" s="508"/>
      <c r="H20" s="509"/>
      <c r="I20" s="508"/>
      <c r="J20" s="509"/>
      <c r="K20" s="509"/>
      <c r="L20" s="509"/>
      <c r="M20" s="510"/>
      <c r="N20" s="511"/>
      <c r="O20" s="512">
        <v>0</v>
      </c>
      <c r="P20" s="504"/>
      <c r="Q20" s="504"/>
      <c r="R20" s="504"/>
      <c r="S20" s="504"/>
      <c r="T20" s="504"/>
      <c r="U20" s="504"/>
      <c r="V20" s="509"/>
      <c r="W20" s="185"/>
      <c r="X20" s="29"/>
      <c r="Y20" s="106"/>
      <c r="Z20" s="106"/>
      <c r="AA20" s="29" t="str">
        <f t="shared" si="8"/>
        <v/>
      </c>
      <c r="AB20" s="35"/>
      <c r="AC20" s="78"/>
      <c r="AD20" s="78"/>
      <c r="AF20" s="29">
        <f t="shared" ref="AF20:AF26" si="11">F20</f>
        <v>0</v>
      </c>
      <c r="AG20" s="2">
        <f t="shared" ref="AG20:AG26" si="12">G20</f>
        <v>0</v>
      </c>
      <c r="AH20" s="2">
        <f t="shared" ref="AH20:AH26" si="13">H20</f>
        <v>0</v>
      </c>
      <c r="AI20" s="2">
        <f t="shared" ref="AI20:AI26" si="14">I20</f>
        <v>0</v>
      </c>
      <c r="AJ20" s="2">
        <f t="shared" ref="AJ20:AJ26" si="15">J20</f>
        <v>0</v>
      </c>
      <c r="AK20" s="2">
        <f t="shared" ref="AK20:AK26" si="16">K20</f>
        <v>0</v>
      </c>
      <c r="AL20" s="2">
        <f t="shared" ref="AL20:AL26" si="17">M20</f>
        <v>0</v>
      </c>
      <c r="AM20" s="2"/>
      <c r="AN20" s="2">
        <f t="shared" ref="AN20:AN26" si="18">N20</f>
        <v>0</v>
      </c>
      <c r="AO20" s="2">
        <v>0</v>
      </c>
      <c r="AP20" s="2">
        <v>0</v>
      </c>
      <c r="AQ20" s="2">
        <f t="shared" ref="AQ20:AQ26" si="19">AN20</f>
        <v>0</v>
      </c>
    </row>
    <row r="21" spans="2:43" ht="15.75" x14ac:dyDescent="0.25">
      <c r="B21" s="509"/>
      <c r="C21" s="505"/>
      <c r="D21" s="506"/>
      <c r="E21" s="507"/>
      <c r="F21" s="508"/>
      <c r="G21" s="508"/>
      <c r="H21" s="509"/>
      <c r="I21" s="508"/>
      <c r="J21" s="509"/>
      <c r="K21" s="509"/>
      <c r="L21" s="509"/>
      <c r="M21" s="510"/>
      <c r="N21" s="511"/>
      <c r="O21" s="512">
        <v>0</v>
      </c>
      <c r="P21" s="504"/>
      <c r="Q21" s="504"/>
      <c r="R21" s="504"/>
      <c r="S21" s="504"/>
      <c r="T21" s="504"/>
      <c r="U21" s="504"/>
      <c r="V21" s="509"/>
      <c r="W21" s="185"/>
      <c r="X21" s="29"/>
      <c r="Y21" s="106"/>
      <c r="Z21" s="106"/>
      <c r="AA21" s="29" t="str">
        <f t="shared" si="8"/>
        <v/>
      </c>
      <c r="AB21" s="35"/>
      <c r="AC21" s="78"/>
      <c r="AD21" s="78"/>
      <c r="AF21" s="29">
        <f t="shared" si="11"/>
        <v>0</v>
      </c>
      <c r="AG21" s="2">
        <f t="shared" si="12"/>
        <v>0</v>
      </c>
      <c r="AH21" s="2">
        <f t="shared" si="13"/>
        <v>0</v>
      </c>
      <c r="AI21" s="2">
        <f t="shared" si="14"/>
        <v>0</v>
      </c>
      <c r="AJ21" s="2">
        <f t="shared" si="15"/>
        <v>0</v>
      </c>
      <c r="AK21" s="2">
        <f t="shared" si="16"/>
        <v>0</v>
      </c>
      <c r="AL21" s="2">
        <f t="shared" si="17"/>
        <v>0</v>
      </c>
      <c r="AM21" s="2"/>
      <c r="AN21" s="2">
        <f t="shared" si="18"/>
        <v>0</v>
      </c>
      <c r="AO21" s="2">
        <v>0</v>
      </c>
      <c r="AP21" s="2">
        <v>0</v>
      </c>
      <c r="AQ21" s="2">
        <f t="shared" si="19"/>
        <v>0</v>
      </c>
    </row>
    <row r="22" spans="2:43" ht="15.75" x14ac:dyDescent="0.25">
      <c r="B22" s="509"/>
      <c r="C22" s="505"/>
      <c r="D22" s="506"/>
      <c r="E22" s="507"/>
      <c r="F22" s="508"/>
      <c r="G22" s="508"/>
      <c r="H22" s="509"/>
      <c r="I22" s="508"/>
      <c r="J22" s="509"/>
      <c r="K22" s="509"/>
      <c r="L22" s="509"/>
      <c r="M22" s="510"/>
      <c r="N22" s="511"/>
      <c r="O22" s="512">
        <v>0</v>
      </c>
      <c r="P22" s="504"/>
      <c r="Q22" s="504"/>
      <c r="R22" s="504"/>
      <c r="S22" s="504"/>
      <c r="T22" s="504"/>
      <c r="U22" s="504"/>
      <c r="V22" s="509"/>
      <c r="W22" s="185"/>
      <c r="X22" s="29"/>
      <c r="Y22" s="106"/>
      <c r="Z22" s="106"/>
      <c r="AA22" s="29" t="str">
        <f t="shared" si="8"/>
        <v/>
      </c>
      <c r="AB22" s="35"/>
      <c r="AC22" s="78"/>
      <c r="AD22" s="78"/>
      <c r="AF22" s="29">
        <f t="shared" si="11"/>
        <v>0</v>
      </c>
      <c r="AG22" s="2">
        <f t="shared" si="12"/>
        <v>0</v>
      </c>
      <c r="AH22" s="2">
        <f t="shared" si="13"/>
        <v>0</v>
      </c>
      <c r="AI22" s="2">
        <f t="shared" si="14"/>
        <v>0</v>
      </c>
      <c r="AJ22" s="2">
        <f t="shared" si="15"/>
        <v>0</v>
      </c>
      <c r="AK22" s="2">
        <f t="shared" si="16"/>
        <v>0</v>
      </c>
      <c r="AL22" s="2">
        <f t="shared" si="17"/>
        <v>0</v>
      </c>
      <c r="AM22" s="2"/>
      <c r="AN22" s="2">
        <f t="shared" si="18"/>
        <v>0</v>
      </c>
      <c r="AO22" s="2">
        <v>0</v>
      </c>
      <c r="AP22" s="2">
        <v>0</v>
      </c>
      <c r="AQ22" s="2">
        <f t="shared" si="19"/>
        <v>0</v>
      </c>
    </row>
    <row r="23" spans="2:43" ht="15.75" x14ac:dyDescent="0.25">
      <c r="B23" s="509"/>
      <c r="C23" s="505"/>
      <c r="D23" s="506"/>
      <c r="E23" s="507"/>
      <c r="F23" s="508"/>
      <c r="G23" s="508"/>
      <c r="H23" s="509"/>
      <c r="I23" s="508"/>
      <c r="J23" s="509"/>
      <c r="K23" s="509"/>
      <c r="L23" s="509"/>
      <c r="M23" s="510"/>
      <c r="N23" s="511"/>
      <c r="O23" s="512">
        <v>0</v>
      </c>
      <c r="P23" s="504"/>
      <c r="Q23" s="504"/>
      <c r="R23" s="504"/>
      <c r="S23" s="504"/>
      <c r="T23" s="504"/>
      <c r="U23" s="504"/>
      <c r="V23" s="509"/>
      <c r="W23" s="185"/>
      <c r="X23" s="29"/>
      <c r="Y23" s="106"/>
      <c r="Z23" s="106"/>
      <c r="AA23" s="29" t="str">
        <f t="shared" si="8"/>
        <v/>
      </c>
      <c r="AB23" s="35"/>
      <c r="AC23" s="78"/>
      <c r="AD23" s="78"/>
      <c r="AF23" s="29">
        <f t="shared" si="11"/>
        <v>0</v>
      </c>
      <c r="AG23" s="2">
        <f t="shared" si="12"/>
        <v>0</v>
      </c>
      <c r="AH23" s="2">
        <f t="shared" si="13"/>
        <v>0</v>
      </c>
      <c r="AI23" s="2">
        <f t="shared" si="14"/>
        <v>0</v>
      </c>
      <c r="AJ23" s="2">
        <f t="shared" si="15"/>
        <v>0</v>
      </c>
      <c r="AK23" s="2">
        <f t="shared" si="16"/>
        <v>0</v>
      </c>
      <c r="AL23" s="2">
        <f t="shared" si="17"/>
        <v>0</v>
      </c>
      <c r="AM23" s="2"/>
      <c r="AN23" s="2">
        <f t="shared" si="18"/>
        <v>0</v>
      </c>
      <c r="AO23" s="2">
        <v>0</v>
      </c>
      <c r="AP23" s="2">
        <v>0</v>
      </c>
      <c r="AQ23" s="2">
        <f t="shared" si="19"/>
        <v>0</v>
      </c>
    </row>
    <row r="24" spans="2:43" ht="15.75" x14ac:dyDescent="0.25">
      <c r="B24" s="509"/>
      <c r="C24" s="505"/>
      <c r="D24" s="506"/>
      <c r="E24" s="507"/>
      <c r="F24" s="508"/>
      <c r="G24" s="508"/>
      <c r="H24" s="509"/>
      <c r="I24" s="508"/>
      <c r="J24" s="509"/>
      <c r="K24" s="509"/>
      <c r="L24" s="509"/>
      <c r="M24" s="510"/>
      <c r="N24" s="511"/>
      <c r="O24" s="512">
        <v>0</v>
      </c>
      <c r="P24" s="504"/>
      <c r="Q24" s="504"/>
      <c r="R24" s="504"/>
      <c r="S24" s="504"/>
      <c r="T24" s="504"/>
      <c r="U24" s="504"/>
      <c r="V24" s="509"/>
      <c r="W24" s="185"/>
      <c r="X24" s="29"/>
      <c r="Y24" s="106"/>
      <c r="Z24" s="106"/>
      <c r="AA24" s="29" t="str">
        <f t="shared" si="8"/>
        <v/>
      </c>
      <c r="AB24" s="35"/>
      <c r="AC24" s="78"/>
      <c r="AD24" s="78"/>
      <c r="AF24" s="29">
        <f t="shared" si="11"/>
        <v>0</v>
      </c>
      <c r="AG24" s="2">
        <f t="shared" si="12"/>
        <v>0</v>
      </c>
      <c r="AH24" s="2">
        <f t="shared" si="13"/>
        <v>0</v>
      </c>
      <c r="AI24" s="2">
        <f t="shared" si="14"/>
        <v>0</v>
      </c>
      <c r="AJ24" s="2">
        <f t="shared" si="15"/>
        <v>0</v>
      </c>
      <c r="AK24" s="2">
        <f t="shared" si="16"/>
        <v>0</v>
      </c>
      <c r="AL24" s="2">
        <f t="shared" si="17"/>
        <v>0</v>
      </c>
      <c r="AM24" s="2"/>
      <c r="AN24" s="2">
        <f t="shared" si="18"/>
        <v>0</v>
      </c>
      <c r="AO24" s="2">
        <v>0</v>
      </c>
      <c r="AP24" s="2">
        <v>0</v>
      </c>
      <c r="AQ24" s="2">
        <f t="shared" si="19"/>
        <v>0</v>
      </c>
    </row>
    <row r="25" spans="2:43" ht="15.75" x14ac:dyDescent="0.25">
      <c r="B25" s="509"/>
      <c r="C25" s="505"/>
      <c r="D25" s="506"/>
      <c r="E25" s="507"/>
      <c r="F25" s="508"/>
      <c r="G25" s="509"/>
      <c r="H25" s="509"/>
      <c r="I25" s="508"/>
      <c r="J25" s="509"/>
      <c r="K25" s="509"/>
      <c r="L25" s="509"/>
      <c r="M25" s="510"/>
      <c r="N25" s="511"/>
      <c r="O25" s="512">
        <v>0</v>
      </c>
      <c r="P25" s="504"/>
      <c r="Q25" s="504"/>
      <c r="R25" s="504"/>
      <c r="S25" s="504"/>
      <c r="T25" s="504"/>
      <c r="U25" s="504"/>
      <c r="V25" s="509"/>
      <c r="W25" s="185"/>
      <c r="X25" s="29"/>
      <c r="Y25" s="106"/>
      <c r="Z25" s="106"/>
      <c r="AA25" s="29" t="str">
        <f t="shared" si="8"/>
        <v/>
      </c>
      <c r="AB25" s="35"/>
      <c r="AC25" s="78"/>
      <c r="AD25" s="78"/>
      <c r="AF25" s="29">
        <f t="shared" si="11"/>
        <v>0</v>
      </c>
      <c r="AG25" s="2">
        <f t="shared" si="12"/>
        <v>0</v>
      </c>
      <c r="AH25" s="2">
        <f t="shared" si="13"/>
        <v>0</v>
      </c>
      <c r="AI25" s="2">
        <f t="shared" si="14"/>
        <v>0</v>
      </c>
      <c r="AJ25" s="2">
        <f t="shared" si="15"/>
        <v>0</v>
      </c>
      <c r="AK25" s="2">
        <f t="shared" si="16"/>
        <v>0</v>
      </c>
      <c r="AL25" s="2">
        <f t="shared" si="17"/>
        <v>0</v>
      </c>
      <c r="AM25" s="2"/>
      <c r="AN25" s="2">
        <f t="shared" si="18"/>
        <v>0</v>
      </c>
      <c r="AO25" s="2">
        <v>0</v>
      </c>
      <c r="AP25" s="2">
        <v>0</v>
      </c>
      <c r="AQ25" s="2">
        <f t="shared" si="19"/>
        <v>0</v>
      </c>
    </row>
    <row r="26" spans="2:43" ht="15.75" x14ac:dyDescent="0.25">
      <c r="B26" s="509"/>
      <c r="C26" s="505"/>
      <c r="D26" s="513"/>
      <c r="E26" s="514"/>
      <c r="F26" s="515"/>
      <c r="G26" s="516"/>
      <c r="H26" s="516"/>
      <c r="I26" s="517"/>
      <c r="J26" s="509"/>
      <c r="K26" s="509"/>
      <c r="L26" s="509"/>
      <c r="M26" s="510"/>
      <c r="N26" s="511"/>
      <c r="O26" s="512">
        <v>0</v>
      </c>
      <c r="P26" s="504"/>
      <c r="Q26" s="504"/>
      <c r="R26" s="504"/>
      <c r="S26" s="504"/>
      <c r="T26" s="504"/>
      <c r="U26" s="504"/>
      <c r="V26" s="509"/>
      <c r="W26" s="185"/>
      <c r="X26" s="119"/>
      <c r="Y26" s="277"/>
      <c r="Z26" s="277"/>
      <c r="AA26" s="29" t="str">
        <f t="shared" si="8"/>
        <v/>
      </c>
      <c r="AB26" s="117"/>
      <c r="AC26" s="278"/>
      <c r="AD26" s="78"/>
      <c r="AF26" s="29">
        <f t="shared" si="11"/>
        <v>0</v>
      </c>
      <c r="AG26" s="2">
        <f t="shared" si="12"/>
        <v>0</v>
      </c>
      <c r="AH26" s="2">
        <f t="shared" si="13"/>
        <v>0</v>
      </c>
      <c r="AI26" s="2">
        <f t="shared" si="14"/>
        <v>0</v>
      </c>
      <c r="AJ26" s="2">
        <f t="shared" si="15"/>
        <v>0</v>
      </c>
      <c r="AK26" s="2">
        <f t="shared" si="16"/>
        <v>0</v>
      </c>
      <c r="AL26" s="2">
        <f t="shared" si="17"/>
        <v>0</v>
      </c>
      <c r="AM26" s="2"/>
      <c r="AN26" s="2">
        <f t="shared" si="18"/>
        <v>0</v>
      </c>
      <c r="AO26" s="2">
        <v>0</v>
      </c>
      <c r="AP26" s="2">
        <v>0</v>
      </c>
      <c r="AQ26" s="2">
        <f t="shared" si="19"/>
        <v>0</v>
      </c>
    </row>
    <row r="27" spans="2:43" ht="15.75" x14ac:dyDescent="0.25">
      <c r="B27" s="199" t="s">
        <v>472</v>
      </c>
      <c r="C27" s="486"/>
      <c r="D27" s="301"/>
      <c r="E27" s="82"/>
      <c r="F27" s="192"/>
      <c r="G27" s="81"/>
      <c r="H27" s="81"/>
      <c r="I27" s="80"/>
      <c r="J27" s="81"/>
      <c r="K27" s="81"/>
      <c r="L27" s="81"/>
      <c r="M27" s="79"/>
      <c r="N27" s="268"/>
      <c r="O27" s="488"/>
      <c r="P27" s="198"/>
      <c r="Q27" s="198"/>
      <c r="R27" s="198"/>
      <c r="S27" s="198"/>
      <c r="T27" s="198"/>
      <c r="U27" s="198"/>
      <c r="V27" s="81"/>
      <c r="W27" s="185"/>
      <c r="X27" s="146"/>
      <c r="Y27" s="146"/>
      <c r="Z27" s="146"/>
      <c r="AA27" s="81" t="str">
        <f t="shared" si="8"/>
        <v/>
      </c>
      <c r="AB27" s="146"/>
      <c r="AC27" s="146"/>
      <c r="AD27" s="146"/>
      <c r="AF27" s="29"/>
      <c r="AG27" s="2"/>
      <c r="AH27" s="2"/>
      <c r="AI27" s="2"/>
      <c r="AJ27" s="2"/>
      <c r="AK27" s="2"/>
      <c r="AL27" s="2"/>
      <c r="AM27" s="2"/>
      <c r="AN27" s="2"/>
      <c r="AO27" s="2"/>
      <c r="AP27" s="2"/>
      <c r="AQ27" s="2"/>
    </row>
    <row r="28" spans="2:43" ht="15.75" x14ac:dyDescent="0.25">
      <c r="B28" s="2"/>
      <c r="C28" s="485"/>
      <c r="D28" s="273"/>
      <c r="E28" s="16"/>
      <c r="F28" s="35"/>
      <c r="G28" s="35"/>
      <c r="H28" s="29"/>
      <c r="I28" s="35"/>
      <c r="J28" s="29"/>
      <c r="K28" s="29"/>
      <c r="L28" s="29"/>
      <c r="M28" s="11"/>
      <c r="N28" s="238">
        <v>0</v>
      </c>
      <c r="O28" s="487"/>
      <c r="P28" s="2"/>
      <c r="Q28" s="2"/>
      <c r="R28" s="2"/>
      <c r="S28" s="2"/>
      <c r="T28" s="2"/>
      <c r="U28" s="2"/>
      <c r="V28" s="29"/>
      <c r="W28" s="185"/>
      <c r="X28" s="29"/>
      <c r="Y28" s="106"/>
      <c r="Z28" s="106"/>
      <c r="AA28" s="29" t="str">
        <f t="shared" si="8"/>
        <v/>
      </c>
      <c r="AB28" s="35"/>
      <c r="AC28" s="78"/>
      <c r="AD28" s="78"/>
      <c r="AF28" s="29">
        <f t="shared" ref="AF28:AF34" si="20">F28</f>
        <v>0</v>
      </c>
      <c r="AG28" s="2">
        <f t="shared" ref="AG28:AG34" si="21">G28</f>
        <v>0</v>
      </c>
      <c r="AH28" s="2">
        <f t="shared" ref="AH28:AH34" si="22">H28</f>
        <v>0</v>
      </c>
      <c r="AI28" s="2">
        <f t="shared" ref="AI28:AI34" si="23">I28</f>
        <v>0</v>
      </c>
      <c r="AJ28" s="2">
        <f t="shared" ref="AJ28:AJ34" si="24">J28</f>
        <v>0</v>
      </c>
      <c r="AK28" s="2">
        <f t="shared" ref="AK28:AK34" si="25">K28</f>
        <v>0</v>
      </c>
      <c r="AL28" s="2">
        <f t="shared" ref="AL28:AL34" si="26">M28</f>
        <v>0</v>
      </c>
      <c r="AM28" s="2"/>
      <c r="AN28" s="2">
        <f t="shared" ref="AN28:AN34" si="27">N28</f>
        <v>0</v>
      </c>
      <c r="AO28" s="2">
        <v>0</v>
      </c>
      <c r="AP28" s="2">
        <v>0</v>
      </c>
      <c r="AQ28" s="2">
        <f t="shared" ref="AQ28:AQ34" si="28">AN28</f>
        <v>0</v>
      </c>
    </row>
    <row r="29" spans="2:43" ht="15.75" x14ac:dyDescent="0.25">
      <c r="B29" s="2"/>
      <c r="C29" s="485"/>
      <c r="D29" s="273"/>
      <c r="E29" s="16"/>
      <c r="F29" s="35"/>
      <c r="G29" s="35"/>
      <c r="H29" s="29"/>
      <c r="I29" s="35"/>
      <c r="J29" s="29"/>
      <c r="K29" s="29"/>
      <c r="L29" s="29"/>
      <c r="M29" s="11"/>
      <c r="N29" s="238">
        <v>0</v>
      </c>
      <c r="O29" s="487"/>
      <c r="P29" s="2"/>
      <c r="Q29" s="2"/>
      <c r="R29" s="2"/>
      <c r="S29" s="2"/>
      <c r="T29" s="2"/>
      <c r="U29" s="2"/>
      <c r="V29" s="29"/>
      <c r="W29" s="185"/>
      <c r="X29" s="29"/>
      <c r="Y29" s="106"/>
      <c r="Z29" s="106"/>
      <c r="AA29" s="29" t="str">
        <f t="shared" si="8"/>
        <v/>
      </c>
      <c r="AB29" s="35"/>
      <c r="AC29" s="78"/>
      <c r="AD29" s="78"/>
      <c r="AF29" s="29">
        <f t="shared" si="20"/>
        <v>0</v>
      </c>
      <c r="AG29" s="2">
        <f t="shared" si="21"/>
        <v>0</v>
      </c>
      <c r="AH29" s="2">
        <f t="shared" si="22"/>
        <v>0</v>
      </c>
      <c r="AI29" s="2">
        <f t="shared" si="23"/>
        <v>0</v>
      </c>
      <c r="AJ29" s="2">
        <f t="shared" si="24"/>
        <v>0</v>
      </c>
      <c r="AK29" s="2">
        <f t="shared" si="25"/>
        <v>0</v>
      </c>
      <c r="AL29" s="2">
        <f t="shared" si="26"/>
        <v>0</v>
      </c>
      <c r="AM29" s="2"/>
      <c r="AN29" s="2">
        <f t="shared" si="27"/>
        <v>0</v>
      </c>
      <c r="AO29" s="2">
        <v>0</v>
      </c>
      <c r="AP29" s="2">
        <v>0</v>
      </c>
      <c r="AQ29" s="2">
        <f t="shared" si="28"/>
        <v>0</v>
      </c>
    </row>
    <row r="30" spans="2:43" ht="15.75" x14ac:dyDescent="0.25">
      <c r="B30" s="2"/>
      <c r="C30" s="485"/>
      <c r="D30" s="273"/>
      <c r="E30" s="16"/>
      <c r="F30" s="35"/>
      <c r="G30" s="35"/>
      <c r="H30" s="29"/>
      <c r="I30" s="35"/>
      <c r="J30" s="29"/>
      <c r="K30" s="29"/>
      <c r="L30" s="29"/>
      <c r="M30" s="11"/>
      <c r="N30" s="238">
        <v>0</v>
      </c>
      <c r="O30" s="487"/>
      <c r="P30" s="2"/>
      <c r="Q30" s="2"/>
      <c r="R30" s="2"/>
      <c r="S30" s="2"/>
      <c r="T30" s="2"/>
      <c r="U30" s="2"/>
      <c r="V30" s="29"/>
      <c r="W30" s="185"/>
      <c r="X30" s="29"/>
      <c r="Y30" s="106"/>
      <c r="Z30" s="106"/>
      <c r="AA30" s="29" t="str">
        <f t="shared" si="8"/>
        <v/>
      </c>
      <c r="AB30" s="35"/>
      <c r="AC30" s="78"/>
      <c r="AD30" s="78"/>
      <c r="AF30" s="29">
        <f t="shared" si="20"/>
        <v>0</v>
      </c>
      <c r="AG30" s="2">
        <f t="shared" si="21"/>
        <v>0</v>
      </c>
      <c r="AH30" s="2">
        <f t="shared" si="22"/>
        <v>0</v>
      </c>
      <c r="AI30" s="2">
        <f t="shared" si="23"/>
        <v>0</v>
      </c>
      <c r="AJ30" s="2">
        <f t="shared" si="24"/>
        <v>0</v>
      </c>
      <c r="AK30" s="2">
        <f t="shared" si="25"/>
        <v>0</v>
      </c>
      <c r="AL30" s="2">
        <f t="shared" si="26"/>
        <v>0</v>
      </c>
      <c r="AM30" s="2"/>
      <c r="AN30" s="2">
        <f t="shared" si="27"/>
        <v>0</v>
      </c>
      <c r="AO30" s="2">
        <v>0</v>
      </c>
      <c r="AP30" s="2">
        <v>0</v>
      </c>
      <c r="AQ30" s="2">
        <f t="shared" si="28"/>
        <v>0</v>
      </c>
    </row>
    <row r="31" spans="2:43" ht="15.75" x14ac:dyDescent="0.25">
      <c r="B31" s="2"/>
      <c r="C31" s="485"/>
      <c r="D31" s="273"/>
      <c r="E31" s="16"/>
      <c r="F31" s="35"/>
      <c r="G31" s="35"/>
      <c r="H31" s="29"/>
      <c r="I31" s="35"/>
      <c r="J31" s="29"/>
      <c r="K31" s="29"/>
      <c r="L31" s="29"/>
      <c r="M31" s="11"/>
      <c r="N31" s="238">
        <v>0</v>
      </c>
      <c r="O31" s="487"/>
      <c r="P31" s="2"/>
      <c r="Q31" s="2"/>
      <c r="R31" s="2"/>
      <c r="S31" s="2"/>
      <c r="T31" s="2"/>
      <c r="U31" s="2"/>
      <c r="V31" s="29"/>
      <c r="W31" s="185"/>
      <c r="X31" s="29"/>
      <c r="Y31" s="106"/>
      <c r="Z31" s="106"/>
      <c r="AA31" s="29" t="str">
        <f t="shared" si="8"/>
        <v/>
      </c>
      <c r="AB31" s="35"/>
      <c r="AC31" s="78"/>
      <c r="AD31" s="78"/>
      <c r="AF31" s="29">
        <f t="shared" si="20"/>
        <v>0</v>
      </c>
      <c r="AG31" s="2">
        <f t="shared" si="21"/>
        <v>0</v>
      </c>
      <c r="AH31" s="2">
        <f t="shared" si="22"/>
        <v>0</v>
      </c>
      <c r="AI31" s="2">
        <f t="shared" si="23"/>
        <v>0</v>
      </c>
      <c r="AJ31" s="2">
        <f t="shared" si="24"/>
        <v>0</v>
      </c>
      <c r="AK31" s="2">
        <f t="shared" si="25"/>
        <v>0</v>
      </c>
      <c r="AL31" s="2">
        <f t="shared" si="26"/>
        <v>0</v>
      </c>
      <c r="AM31" s="2"/>
      <c r="AN31" s="2">
        <f t="shared" si="27"/>
        <v>0</v>
      </c>
      <c r="AO31" s="2">
        <v>0</v>
      </c>
      <c r="AP31" s="2">
        <v>0</v>
      </c>
      <c r="AQ31" s="2">
        <f t="shared" si="28"/>
        <v>0</v>
      </c>
    </row>
    <row r="32" spans="2:43" x14ac:dyDescent="0.25">
      <c r="B32" s="2"/>
      <c r="C32" s="485"/>
      <c r="D32" s="273"/>
      <c r="E32" s="16"/>
      <c r="F32" s="35"/>
      <c r="G32" s="35"/>
      <c r="H32" s="29"/>
      <c r="I32" s="35"/>
      <c r="J32" s="29"/>
      <c r="K32" s="29"/>
      <c r="L32" s="29"/>
      <c r="M32" s="11"/>
      <c r="N32" s="238">
        <v>0</v>
      </c>
      <c r="O32" s="487"/>
      <c r="P32" s="2"/>
      <c r="Q32" s="2"/>
      <c r="R32" s="2"/>
      <c r="S32" s="2"/>
      <c r="T32" s="2"/>
      <c r="U32" s="2"/>
      <c r="V32" s="29"/>
      <c r="X32" s="29"/>
      <c r="Y32" s="106"/>
      <c r="Z32" s="106"/>
      <c r="AA32" s="29" t="str">
        <f t="shared" si="8"/>
        <v/>
      </c>
      <c r="AB32" s="35"/>
      <c r="AC32" s="78"/>
      <c r="AD32" s="78"/>
      <c r="AF32" s="29">
        <f t="shared" si="20"/>
        <v>0</v>
      </c>
      <c r="AG32" s="2">
        <f t="shared" si="21"/>
        <v>0</v>
      </c>
      <c r="AH32" s="2">
        <f t="shared" si="22"/>
        <v>0</v>
      </c>
      <c r="AI32" s="2">
        <f t="shared" si="23"/>
        <v>0</v>
      </c>
      <c r="AJ32" s="2">
        <f t="shared" si="24"/>
        <v>0</v>
      </c>
      <c r="AK32" s="2">
        <f t="shared" si="25"/>
        <v>0</v>
      </c>
      <c r="AL32" s="2">
        <f t="shared" si="26"/>
        <v>0</v>
      </c>
      <c r="AM32" s="2"/>
      <c r="AN32" s="2">
        <f t="shared" si="27"/>
        <v>0</v>
      </c>
      <c r="AO32" s="2">
        <v>0</v>
      </c>
      <c r="AP32" s="2">
        <v>0</v>
      </c>
      <c r="AQ32" s="2">
        <f t="shared" si="28"/>
        <v>0</v>
      </c>
    </row>
    <row r="33" spans="2:43" x14ac:dyDescent="0.25">
      <c r="B33" s="2"/>
      <c r="C33" s="485"/>
      <c r="D33" s="273"/>
      <c r="E33" s="16"/>
      <c r="F33" s="35"/>
      <c r="G33" s="29"/>
      <c r="H33" s="29"/>
      <c r="I33" s="35"/>
      <c r="J33" s="29"/>
      <c r="K33" s="29"/>
      <c r="L33" s="29"/>
      <c r="M33" s="11"/>
      <c r="N33" s="238">
        <v>0</v>
      </c>
      <c r="O33" s="487"/>
      <c r="P33" s="2"/>
      <c r="Q33" s="2"/>
      <c r="R33" s="2"/>
      <c r="S33" s="2"/>
      <c r="T33" s="2"/>
      <c r="U33" s="2"/>
      <c r="V33" s="29"/>
      <c r="X33" s="29"/>
      <c r="Y33" s="106"/>
      <c r="Z33" s="106"/>
      <c r="AA33" s="29" t="str">
        <f t="shared" si="8"/>
        <v/>
      </c>
      <c r="AB33" s="35"/>
      <c r="AC33" s="78"/>
      <c r="AD33" s="78"/>
      <c r="AF33" s="29">
        <f t="shared" si="20"/>
        <v>0</v>
      </c>
      <c r="AG33" s="2">
        <f t="shared" si="21"/>
        <v>0</v>
      </c>
      <c r="AH33" s="2">
        <f t="shared" si="22"/>
        <v>0</v>
      </c>
      <c r="AI33" s="2">
        <f t="shared" si="23"/>
        <v>0</v>
      </c>
      <c r="AJ33" s="2">
        <f t="shared" si="24"/>
        <v>0</v>
      </c>
      <c r="AK33" s="2">
        <f t="shared" si="25"/>
        <v>0</v>
      </c>
      <c r="AL33" s="2">
        <f t="shared" si="26"/>
        <v>0</v>
      </c>
      <c r="AM33" s="2"/>
      <c r="AN33" s="2">
        <f t="shared" si="27"/>
        <v>0</v>
      </c>
      <c r="AO33" s="2">
        <v>0</v>
      </c>
      <c r="AP33" s="2">
        <v>0</v>
      </c>
      <c r="AQ33" s="2">
        <f t="shared" si="28"/>
        <v>0</v>
      </c>
    </row>
    <row r="34" spans="2:43" x14ac:dyDescent="0.25">
      <c r="B34" s="2"/>
      <c r="C34" s="485"/>
      <c r="D34" s="274"/>
      <c r="E34" s="12"/>
      <c r="F34" s="272"/>
      <c r="G34" s="118"/>
      <c r="H34" s="118"/>
      <c r="I34" s="117"/>
      <c r="J34" s="29"/>
      <c r="K34" s="29"/>
      <c r="L34" s="29"/>
      <c r="M34" s="11"/>
      <c r="N34" s="238">
        <v>0</v>
      </c>
      <c r="O34" s="487"/>
      <c r="P34" s="2"/>
      <c r="Q34" s="2"/>
      <c r="R34" s="2"/>
      <c r="S34" s="2"/>
      <c r="T34" s="2"/>
      <c r="U34" s="2"/>
      <c r="V34" s="29"/>
      <c r="X34" s="119"/>
      <c r="Y34" s="277"/>
      <c r="Z34" s="277"/>
      <c r="AA34" s="29" t="str">
        <f t="shared" si="8"/>
        <v/>
      </c>
      <c r="AB34" s="117"/>
      <c r="AC34" s="278"/>
      <c r="AD34" s="78"/>
      <c r="AF34" s="29">
        <f t="shared" si="20"/>
        <v>0</v>
      </c>
      <c r="AG34" s="2">
        <f t="shared" si="21"/>
        <v>0</v>
      </c>
      <c r="AH34" s="2">
        <f t="shared" si="22"/>
        <v>0</v>
      </c>
      <c r="AI34" s="2">
        <f t="shared" si="23"/>
        <v>0</v>
      </c>
      <c r="AJ34" s="2">
        <f t="shared" si="24"/>
        <v>0</v>
      </c>
      <c r="AK34" s="2">
        <f t="shared" si="25"/>
        <v>0</v>
      </c>
      <c r="AL34" s="2">
        <f t="shared" si="26"/>
        <v>0</v>
      </c>
      <c r="AM34" s="2"/>
      <c r="AN34" s="2">
        <f t="shared" si="27"/>
        <v>0</v>
      </c>
      <c r="AO34" s="2">
        <v>0</v>
      </c>
      <c r="AP34" s="2">
        <v>0</v>
      </c>
      <c r="AQ34" s="2">
        <f t="shared" si="28"/>
        <v>0</v>
      </c>
    </row>
    <row r="35" spans="2:43" x14ac:dyDescent="0.25">
      <c r="D35" s="9"/>
      <c r="E35" s="9"/>
      <c r="F35" s="19"/>
      <c r="G35" s="19"/>
      <c r="H35" s="19"/>
      <c r="I35" s="19"/>
      <c r="J35" s="19"/>
      <c r="K35" s="19"/>
      <c r="L35" s="19"/>
      <c r="M35" s="19"/>
      <c r="N35" s="19">
        <f>SUM(N9:N34)</f>
        <v>0</v>
      </c>
      <c r="O35" s="19">
        <f>SUM(O9:O34)</f>
        <v>0</v>
      </c>
      <c r="P35" s="19"/>
      <c r="Q35" s="19"/>
      <c r="R35" s="109"/>
      <c r="S35" s="109"/>
      <c r="T35" s="109"/>
      <c r="U35" s="109"/>
      <c r="V35" s="109"/>
      <c r="W35" s="109"/>
      <c r="X35" s="67"/>
      <c r="Y35" s="279"/>
      <c r="Z35" s="279"/>
      <c r="AA35" s="280"/>
      <c r="AB35" s="58"/>
      <c r="AC35" s="54"/>
    </row>
    <row r="36" spans="2:43" x14ac:dyDescent="0.25">
      <c r="D36" s="9"/>
      <c r="E36" s="9"/>
      <c r="J36" s="8"/>
      <c r="K36" s="8"/>
      <c r="L36" s="8"/>
      <c r="M36" s="8"/>
      <c r="N36" s="8"/>
      <c r="O36" s="8"/>
      <c r="X36" s="8"/>
      <c r="Y36" s="8"/>
      <c r="Z36" s="8"/>
      <c r="AA36" s="8"/>
      <c r="AB36" s="8"/>
    </row>
    <row r="37" spans="2:43" ht="15.75" x14ac:dyDescent="0.25">
      <c r="D37" s="185"/>
      <c r="E37" s="185"/>
    </row>
    <row r="38" spans="2:43" ht="15.75" x14ac:dyDescent="0.25">
      <c r="D38" s="185"/>
      <c r="E38" s="185"/>
    </row>
    <row r="39" spans="2:43" ht="15.75" x14ac:dyDescent="0.25">
      <c r="D39" s="185"/>
      <c r="E39" s="185"/>
    </row>
    <row r="40" spans="2:43" ht="15.75" thickBot="1" x14ac:dyDescent="0.3"/>
    <row r="41" spans="2:43" ht="16.5" thickBot="1" x14ac:dyDescent="0.3">
      <c r="G41" s="655"/>
      <c r="H41" s="500" t="s">
        <v>125</v>
      </c>
      <c r="I41" s="656"/>
      <c r="J41" s="656"/>
      <c r="K41" s="657"/>
      <c r="L41" s="185"/>
      <c r="O41" s="375" t="s">
        <v>473</v>
      </c>
      <c r="P41" s="375"/>
      <c r="Q41" s="376"/>
      <c r="R41" s="379"/>
      <c r="S41" s="379"/>
      <c r="X41" s="8"/>
      <c r="Y41" s="8"/>
      <c r="Z41" s="8"/>
      <c r="AA41" s="8"/>
      <c r="AB41" s="8"/>
    </row>
    <row r="42" spans="2:43" ht="30.75" thickBot="1" x14ac:dyDescent="0.3">
      <c r="F42" s="5"/>
      <c r="G42" s="501" t="s">
        <v>474</v>
      </c>
      <c r="H42" s="502" t="s">
        <v>243</v>
      </c>
      <c r="I42" s="503" t="s">
        <v>229</v>
      </c>
      <c r="J42" s="526" t="s">
        <v>475</v>
      </c>
      <c r="K42" s="526" t="s">
        <v>476</v>
      </c>
      <c r="L42" s="185"/>
      <c r="O42" s="16" t="s">
        <v>352</v>
      </c>
      <c r="P42" s="16" t="s">
        <v>353</v>
      </c>
      <c r="Q42" s="84" t="s">
        <v>354</v>
      </c>
      <c r="R42" s="224" t="s">
        <v>355</v>
      </c>
      <c r="S42" s="85" t="s">
        <v>356</v>
      </c>
      <c r="X42" s="8"/>
      <c r="Y42" s="8"/>
      <c r="Z42" s="8"/>
      <c r="AA42" s="8"/>
      <c r="AB42" s="8"/>
    </row>
    <row r="43" spans="2:43" ht="15.75" x14ac:dyDescent="0.25">
      <c r="G43" s="492"/>
      <c r="H43" s="32">
        <f t="shared" ref="H43:H48" si="29">_xlfn.XLOOKUP($G43,$B$9:$B$34,$V$9:$V$34)</f>
        <v>0</v>
      </c>
      <c r="I43" s="32">
        <f t="shared" ref="I43:I48" si="30">_xlfn.XLOOKUP($G43,$B$9:$B$34,$E$9:$E$34)</f>
        <v>0</v>
      </c>
      <c r="J43" s="45">
        <f t="shared" ref="J43:J48" si="31">SUMIFS($O$9:$O$34,$B$9:$B$34,$G43)</f>
        <v>0</v>
      </c>
      <c r="K43" s="493">
        <f>SUMIFS($O$9:$O$34,$B$9:$B$34,$G43,$E$9:$E$34,"YES")</f>
        <v>0</v>
      </c>
      <c r="L43" s="185"/>
      <c r="O43" s="86">
        <f>SUMIFS($N$9:$N$34, $E$9:$E$34, O$42, $R$9:$R$34, "&lt;&gt;Production")</f>
        <v>0</v>
      </c>
      <c r="P43" s="86">
        <f>SUMIFS($N$9:$N$34, $E$9:$E$34, P$42, $R$9:$R$34, "&lt;&gt;Production")</f>
        <v>0</v>
      </c>
      <c r="Q43" s="86">
        <f>SUMIFS($N$9:$N$34, $E$9:$E$34, Q$42, $R$9:$R$34, "&lt;&gt;Production")</f>
        <v>0</v>
      </c>
      <c r="R43" s="86">
        <f>SUMIFS($N$9:$N$34, $E$9:$E$34, R$42, $R$9:$R$34, "&lt;&gt;Production")</f>
        <v>0</v>
      </c>
      <c r="S43" s="86">
        <f>SUMIFS($N$9:$N$34, $E$9:$E$34, S$42, $R$9:$R$34, "&lt;&gt;Production")</f>
        <v>0</v>
      </c>
      <c r="T43" s="104">
        <f>SUM(O43:S43)</f>
        <v>0</v>
      </c>
      <c r="Y43" s="8"/>
      <c r="AA43" s="8"/>
      <c r="AB43" s="8"/>
    </row>
    <row r="44" spans="2:43" ht="15.75" x14ac:dyDescent="0.25">
      <c r="G44" s="519"/>
      <c r="H44" s="32">
        <f t="shared" si="29"/>
        <v>0</v>
      </c>
      <c r="I44" s="32">
        <f t="shared" si="30"/>
        <v>0</v>
      </c>
      <c r="J44" s="45">
        <f t="shared" si="31"/>
        <v>0</v>
      </c>
      <c r="K44" s="493">
        <f t="shared" ref="K44:K48" si="32">SUMIFS($O$9:$O$34,$B$9:$B$34,$G44,$E$9:$E$34,"YES")</f>
        <v>0</v>
      </c>
      <c r="L44" s="185"/>
      <c r="M44" s="185"/>
      <c r="O44" s="32"/>
      <c r="P44" s="32"/>
      <c r="Q44" s="124"/>
      <c r="R44" s="124"/>
      <c r="S44" s="124"/>
      <c r="T44" s="89">
        <f>T43-Q62</f>
        <v>0</v>
      </c>
      <c r="Y44" s="8"/>
      <c r="AA44" s="8"/>
      <c r="AB44" s="8"/>
    </row>
    <row r="45" spans="2:43" ht="15.75" x14ac:dyDescent="0.25">
      <c r="G45" s="519"/>
      <c r="H45" s="32">
        <f t="shared" si="29"/>
        <v>0</v>
      </c>
      <c r="I45" s="32">
        <f t="shared" si="30"/>
        <v>0</v>
      </c>
      <c r="J45" s="45">
        <f t="shared" si="31"/>
        <v>0</v>
      </c>
      <c r="K45" s="493">
        <f t="shared" si="32"/>
        <v>0</v>
      </c>
      <c r="L45" s="185"/>
      <c r="M45" s="185"/>
      <c r="O45" s="8"/>
      <c r="P45" s="43"/>
      <c r="Q45" s="43"/>
      <c r="R45" s="43"/>
      <c r="S45" s="43"/>
      <c r="T45" s="8"/>
      <c r="Y45" s="8"/>
      <c r="Z45" s="8"/>
      <c r="AA45" s="8"/>
      <c r="AB45" s="8"/>
    </row>
    <row r="46" spans="2:43" ht="15.75" x14ac:dyDescent="0.25">
      <c r="G46" s="519"/>
      <c r="H46" s="32">
        <f t="shared" si="29"/>
        <v>0</v>
      </c>
      <c r="I46" s="32">
        <f t="shared" si="30"/>
        <v>0</v>
      </c>
      <c r="J46" s="45">
        <f t="shared" si="31"/>
        <v>0</v>
      </c>
      <c r="K46" s="493">
        <f t="shared" si="32"/>
        <v>0</v>
      </c>
      <c r="M46" s="185"/>
      <c r="Y46" s="8"/>
    </row>
    <row r="47" spans="2:43" x14ac:dyDescent="0.25">
      <c r="G47" s="519"/>
      <c r="H47" s="32">
        <f t="shared" si="29"/>
        <v>0</v>
      </c>
      <c r="I47" s="32">
        <f t="shared" si="30"/>
        <v>0</v>
      </c>
      <c r="J47" s="45">
        <f t="shared" si="31"/>
        <v>0</v>
      </c>
      <c r="K47" s="493">
        <f t="shared" si="32"/>
        <v>0</v>
      </c>
      <c r="O47" s="522" t="s">
        <v>477</v>
      </c>
      <c r="P47" s="522"/>
      <c r="Q47" s="523"/>
      <c r="R47" s="524"/>
      <c r="S47" s="524"/>
      <c r="Y47" s="8"/>
    </row>
    <row r="48" spans="2:43" ht="15.75" thickBot="1" x14ac:dyDescent="0.3">
      <c r="G48" s="520"/>
      <c r="H48" s="521">
        <f t="shared" si="29"/>
        <v>0</v>
      </c>
      <c r="I48" s="521">
        <f t="shared" si="30"/>
        <v>0</v>
      </c>
      <c r="J48" s="218">
        <f t="shared" si="31"/>
        <v>0</v>
      </c>
      <c r="K48" s="494">
        <f t="shared" si="32"/>
        <v>0</v>
      </c>
      <c r="O48" s="16" t="s">
        <v>352</v>
      </c>
      <c r="P48" s="16" t="s">
        <v>353</v>
      </c>
      <c r="Q48" s="84" t="s">
        <v>354</v>
      </c>
      <c r="R48" s="224" t="s">
        <v>355</v>
      </c>
      <c r="S48" s="85" t="s">
        <v>356</v>
      </c>
      <c r="AA48" s="43"/>
    </row>
    <row r="49" spans="7:27" x14ac:dyDescent="0.25">
      <c r="G49" s="193" t="s">
        <v>478</v>
      </c>
      <c r="J49" s="45">
        <f>SUM(J43:J48)</f>
        <v>0</v>
      </c>
      <c r="K49" s="495">
        <f>SUM(K43:K48)</f>
        <v>0</v>
      </c>
      <c r="N49" s="32"/>
      <c r="O49" s="525">
        <f>SUMIFS($O$9:$O$34, $E$9:$E$34, O$42, $R$9:$R$34, "&lt;&gt;Production")</f>
        <v>0</v>
      </c>
      <c r="P49" s="525">
        <f t="shared" ref="P49:S49" si="33">SUMIFS($O$9:$O$34, $E$9:$E$34, P$42, $R$9:$R$34, "&lt;&gt;Production")</f>
        <v>0</v>
      </c>
      <c r="Q49" s="525">
        <f t="shared" si="33"/>
        <v>0</v>
      </c>
      <c r="R49" s="525">
        <f t="shared" si="33"/>
        <v>0</v>
      </c>
      <c r="S49" s="525">
        <f t="shared" si="33"/>
        <v>0</v>
      </c>
      <c r="T49" s="104">
        <f>SUM(O49:S49)</f>
        <v>0</v>
      </c>
      <c r="W49" s="124"/>
      <c r="AA49" s="43"/>
    </row>
    <row r="50" spans="7:27" ht="15.75" thickBot="1" x14ac:dyDescent="0.3">
      <c r="G50" s="496" t="s">
        <v>479</v>
      </c>
      <c r="H50" s="490"/>
      <c r="I50" s="491"/>
      <c r="J50" s="518">
        <f>S43+R43</f>
        <v>0</v>
      </c>
      <c r="K50" s="497">
        <f>Q58+R43</f>
        <v>0</v>
      </c>
      <c r="N50" s="8"/>
      <c r="O50" s="32"/>
      <c r="P50" s="32"/>
      <c r="Q50" s="124"/>
      <c r="R50" s="124"/>
      <c r="S50" s="124"/>
      <c r="T50" s="89">
        <f>T49-J49</f>
        <v>0</v>
      </c>
      <c r="W50" s="43"/>
      <c r="X50" s="8"/>
      <c r="AA50" s="340"/>
    </row>
    <row r="51" spans="7:27" ht="17.25" thickTop="1" thickBot="1" x14ac:dyDescent="0.3">
      <c r="G51" s="195" t="s">
        <v>81</v>
      </c>
      <c r="H51" s="498"/>
      <c r="I51" s="499"/>
      <c r="J51" s="494">
        <f>SUM(J43:J44)-J50</f>
        <v>0</v>
      </c>
      <c r="K51" s="494">
        <f>SUM(K43:K44)-K50</f>
        <v>0</v>
      </c>
      <c r="L51" s="185" t="s">
        <v>480</v>
      </c>
      <c r="X51" s="8"/>
      <c r="Y51" s="8"/>
    </row>
    <row r="52" spans="7:27" x14ac:dyDescent="0.25">
      <c r="X52" s="8"/>
      <c r="Y52" s="8"/>
    </row>
    <row r="53" spans="7:27" x14ac:dyDescent="0.25">
      <c r="O53" s="375" t="s">
        <v>481</v>
      </c>
      <c r="P53" s="375"/>
      <c r="Q53" s="376"/>
      <c r="R53" s="379"/>
      <c r="S53" s="379"/>
      <c r="T53" s="8"/>
      <c r="X53" s="8"/>
      <c r="Y53" s="8"/>
    </row>
    <row r="54" spans="7:27" x14ac:dyDescent="0.25">
      <c r="O54" s="16" t="s">
        <v>352</v>
      </c>
      <c r="P54" s="16" t="s">
        <v>353</v>
      </c>
      <c r="Q54" s="84" t="s">
        <v>354</v>
      </c>
      <c r="R54" s="224" t="s">
        <v>355</v>
      </c>
      <c r="S54" s="85" t="s">
        <v>356</v>
      </c>
      <c r="X54" s="8"/>
      <c r="Y54" s="8"/>
    </row>
    <row r="55" spans="7:27" x14ac:dyDescent="0.25">
      <c r="O55" s="86">
        <f>SUMIFS($N$9:$N$34,$E$9:$E$34,O$42,$R$9:$R$34,"Production")</f>
        <v>0</v>
      </c>
      <c r="P55" s="86">
        <f>SUMIFS($N$9:$N$34,$E$9:$E$34,P$42,$R$9:$R$34,"Production")</f>
        <v>0</v>
      </c>
      <c r="Q55" s="86">
        <f>SUMIFS($N$9:$N$34,$E$9:$E$34,Q$42,$R$9:$R$34,"Production")</f>
        <v>0</v>
      </c>
      <c r="R55" s="86">
        <f>SUMIFS($N$9:$N$34,$E$9:$E$34,R$42,$R$9:$R$34,"Production")</f>
        <v>0</v>
      </c>
      <c r="S55" s="86">
        <f>SUMIFS($N$9:$N$34,$E$9:$E$34,S$42,$R$9:$R$34,"Production")</f>
        <v>0</v>
      </c>
      <c r="T55" s="104">
        <f>SUM(O55:S55)</f>
        <v>0</v>
      </c>
    </row>
    <row r="56" spans="7:27" x14ac:dyDescent="0.25">
      <c r="O56" s="32"/>
      <c r="P56" s="32"/>
      <c r="Q56" s="124"/>
      <c r="R56" s="124"/>
      <c r="S56" s="124"/>
      <c r="T56" s="124">
        <f>T55-Q68</f>
        <v>0</v>
      </c>
      <c r="U56" s="89"/>
    </row>
    <row r="57" spans="7:27" x14ac:dyDescent="0.25">
      <c r="O57" s="8"/>
      <c r="P57" s="32"/>
    </row>
    <row r="58" spans="7:27" x14ac:dyDescent="0.25">
      <c r="P58" s="483" t="s">
        <v>482</v>
      </c>
      <c r="Q58" s="43">
        <f>S43</f>
        <v>0</v>
      </c>
      <c r="R58" s="43"/>
      <c r="S58" s="43"/>
      <c r="T58" s="43"/>
    </row>
    <row r="59" spans="7:27" x14ac:dyDescent="0.25">
      <c r="P59" s="32" t="s">
        <v>483</v>
      </c>
      <c r="Q59" s="39">
        <f>R43</f>
        <v>0</v>
      </c>
    </row>
    <row r="60" spans="7:27" x14ac:dyDescent="0.25">
      <c r="P60" s="32" t="s">
        <v>484</v>
      </c>
      <c r="Q60" s="39">
        <f>O43</f>
        <v>0</v>
      </c>
      <c r="V60" s="43"/>
    </row>
    <row r="61" spans="7:27" ht="15.75" thickBot="1" x14ac:dyDescent="0.3">
      <c r="P61" s="484" t="s">
        <v>485</v>
      </c>
      <c r="Q61" s="90">
        <f>P43+Q43</f>
        <v>0</v>
      </c>
      <c r="R61" s="43"/>
      <c r="S61" s="43"/>
      <c r="T61" s="43"/>
      <c r="V61" s="482"/>
    </row>
    <row r="62" spans="7:27" ht="15.75" thickTop="1" x14ac:dyDescent="0.25">
      <c r="P62" s="483"/>
      <c r="Q62" s="43">
        <f>SUM(Q58:Q61)</f>
        <v>0</v>
      </c>
      <c r="R62" s="482">
        <f>Q62-T43</f>
        <v>0</v>
      </c>
      <c r="S62" s="482"/>
      <c r="T62" s="482"/>
    </row>
    <row r="63" spans="7:27" x14ac:dyDescent="0.25">
      <c r="P63" s="32"/>
    </row>
    <row r="64" spans="7:27" x14ac:dyDescent="0.25">
      <c r="P64" s="483" t="s">
        <v>486</v>
      </c>
      <c r="Q64" s="39">
        <f>S55</f>
        <v>0</v>
      </c>
      <c r="V64" s="43"/>
    </row>
    <row r="65" spans="16:22" x14ac:dyDescent="0.25">
      <c r="P65" s="32" t="s">
        <v>487</v>
      </c>
      <c r="Q65" s="39">
        <f>R55</f>
        <v>0</v>
      </c>
    </row>
    <row r="66" spans="16:22" x14ac:dyDescent="0.25">
      <c r="P66" s="32" t="s">
        <v>488</v>
      </c>
      <c r="Q66" s="39">
        <f>O55</f>
        <v>0</v>
      </c>
      <c r="V66" s="43"/>
    </row>
    <row r="67" spans="16:22" ht="15.75" thickBot="1" x14ac:dyDescent="0.3">
      <c r="P67" s="484" t="s">
        <v>489</v>
      </c>
      <c r="Q67" s="90">
        <f>P55+Q55</f>
        <v>0</v>
      </c>
      <c r="R67" s="43"/>
      <c r="S67" s="43"/>
      <c r="T67" s="43"/>
      <c r="U67" s="43"/>
      <c r="V67" s="482"/>
    </row>
    <row r="68" spans="16:22" ht="15.75" thickTop="1" x14ac:dyDescent="0.25">
      <c r="P68" s="483"/>
      <c r="Q68" s="43">
        <f>SUM(Q64:Q67)</f>
        <v>0</v>
      </c>
      <c r="R68" s="482">
        <f>Q68-T55</f>
        <v>0</v>
      </c>
      <c r="S68" s="482"/>
      <c r="T68" s="482"/>
      <c r="U68" s="482"/>
    </row>
    <row r="70" spans="16:22" x14ac:dyDescent="0.25">
      <c r="P70" s="483" t="s">
        <v>357</v>
      </c>
      <c r="Q70" s="39">
        <f>S43+S55</f>
        <v>0</v>
      </c>
    </row>
    <row r="71" spans="16:22" x14ac:dyDescent="0.25">
      <c r="P71" s="32" t="s">
        <v>490</v>
      </c>
      <c r="Q71" s="43">
        <f>R43+R55</f>
        <v>0</v>
      </c>
      <c r="R71" s="43"/>
      <c r="S71" s="43"/>
      <c r="T71" s="43"/>
      <c r="U71" s="43"/>
    </row>
    <row r="72" spans="16:22" x14ac:dyDescent="0.25">
      <c r="P72" s="32" t="s">
        <v>417</v>
      </c>
      <c r="Q72" s="39">
        <f>O43+O55</f>
        <v>0</v>
      </c>
    </row>
    <row r="73" spans="16:22" ht="15.75" thickBot="1" x14ac:dyDescent="0.3">
      <c r="P73" s="484" t="s">
        <v>359</v>
      </c>
      <c r="Q73" s="90">
        <f>P43+Q43+P55+Q55</f>
        <v>0</v>
      </c>
      <c r="R73" s="43"/>
      <c r="S73" s="43"/>
      <c r="T73" s="43"/>
      <c r="U73" s="43"/>
    </row>
    <row r="74" spans="16:22" ht="15.75" thickTop="1" x14ac:dyDescent="0.25">
      <c r="P74" s="483" t="s">
        <v>362</v>
      </c>
      <c r="Q74" s="43">
        <f>SUM(Q70:Q73)</f>
        <v>0</v>
      </c>
      <c r="R74" s="482">
        <f>Q74-(T43+T55)</f>
        <v>0</v>
      </c>
      <c r="S74" s="482"/>
      <c r="T74" s="482"/>
      <c r="U74" s="482"/>
    </row>
  </sheetData>
  <mergeCells count="1">
    <mergeCell ref="X7:AB7"/>
  </mergeCells>
  <phoneticPr fontId="54" type="noConversion"/>
  <conditionalFormatting sqref="E9:E33 V9:V33">
    <cfRule type="cellIs" dxfId="72" priority="26" operator="equal">
      <formula>"YES-OOS"</formula>
    </cfRule>
    <cfRule type="cellIs" dxfId="71" priority="41" operator="equal">
      <formula>"PENDING"</formula>
    </cfRule>
    <cfRule type="cellIs" dxfId="70" priority="62" operator="equal">
      <formula>"NO-OOS"</formula>
    </cfRule>
    <cfRule type="cellIs" dxfId="69" priority="63" operator="equal">
      <formula>"NO-IL"</formula>
    </cfRule>
    <cfRule type="cellIs" dxfId="68" priority="64" operator="equal">
      <formula>"YES"</formula>
    </cfRule>
  </conditionalFormatting>
  <conditionalFormatting sqref="J51:K51">
    <cfRule type="cellIs" dxfId="67" priority="25" operator="lessThan">
      <formula>0</formula>
    </cfRule>
  </conditionalFormatting>
  <conditionalFormatting sqref="O42 O54">
    <cfRule type="cellIs" dxfId="66" priority="37" operator="equal">
      <formula>"PENDING"</formula>
    </cfRule>
    <cfRule type="cellIs" dxfId="65" priority="39" operator="equal">
      <formula>"NO-IL"</formula>
    </cfRule>
  </conditionalFormatting>
  <conditionalFormatting sqref="O48">
    <cfRule type="cellIs" dxfId="64" priority="17" operator="equal">
      <formula>"PENDING"</formula>
    </cfRule>
    <cfRule type="cellIs" dxfId="63" priority="19" operator="equal">
      <formula>"NO-IL"</formula>
    </cfRule>
  </conditionalFormatting>
  <conditionalFormatting sqref="O42:P42 O54:P54">
    <cfRule type="cellIs" dxfId="62" priority="38" operator="equal">
      <formula>"NO-OOS"</formula>
    </cfRule>
    <cfRule type="cellIs" dxfId="61" priority="40" operator="equal">
      <formula>"YES"</formula>
    </cfRule>
  </conditionalFormatting>
  <conditionalFormatting sqref="O48:P48">
    <cfRule type="cellIs" dxfId="60" priority="18" operator="equal">
      <formula>"NO-OOS"</formula>
    </cfRule>
    <cfRule type="cellIs" dxfId="59" priority="20" operator="equal">
      <formula>"YES"</formula>
    </cfRule>
  </conditionalFormatting>
  <conditionalFormatting sqref="P42">
    <cfRule type="cellIs" dxfId="58" priority="43" operator="equal">
      <formula>"NO-CO"</formula>
    </cfRule>
    <cfRule type="cellIs" dxfId="57" priority="45" operator="equal">
      <formula>"NO"</formula>
    </cfRule>
  </conditionalFormatting>
  <conditionalFormatting sqref="P48">
    <cfRule type="cellIs" dxfId="56" priority="21" operator="equal">
      <formula>"NO-CO"</formula>
    </cfRule>
    <cfRule type="cellIs" dxfId="55" priority="22" operator="equal">
      <formula>"NO"</formula>
    </cfRule>
  </conditionalFormatting>
  <conditionalFormatting sqref="P54">
    <cfRule type="cellIs" dxfId="54" priority="32" operator="equal">
      <formula>"NO-CO"</formula>
    </cfRule>
    <cfRule type="cellIs" dxfId="53" priority="34" operator="equal">
      <formula>"NO"</formula>
    </cfRule>
  </conditionalFormatting>
  <conditionalFormatting sqref="S48:S49">
    <cfRule type="cellIs" dxfId="52" priority="23" operator="equal">
      <formula>"NO"</formula>
    </cfRule>
    <cfRule type="cellIs" dxfId="51" priority="24" operator="equal">
      <formula>"YES"</formula>
    </cfRule>
  </conditionalFormatting>
  <conditionalFormatting sqref="T43:T45">
    <cfRule type="cellIs" dxfId="50" priority="13" operator="equal">
      <formula>"NO"</formula>
    </cfRule>
    <cfRule type="cellIs" dxfId="49" priority="14" operator="equal">
      <formula>"YES"</formula>
    </cfRule>
  </conditionalFormatting>
  <conditionalFormatting sqref="T49:T50">
    <cfRule type="cellIs" dxfId="48" priority="15" operator="equal">
      <formula>"NO"</formula>
    </cfRule>
    <cfRule type="cellIs" dxfId="47" priority="16" operator="equal">
      <formula>"YES"</formula>
    </cfRule>
  </conditionalFormatting>
  <conditionalFormatting sqref="T55">
    <cfRule type="cellIs" dxfId="46" priority="11" operator="equal">
      <formula>"NO"</formula>
    </cfRule>
    <cfRule type="cellIs" dxfId="45" priority="12" operator="equal">
      <formula>"YES"</formula>
    </cfRule>
  </conditionalFormatting>
  <conditionalFormatting sqref="X9:Z34 AB9:AB34 X35:AB36 X41:AB42 Y43:Y44 Y45:AB45 T53 S54 U56">
    <cfRule type="cellIs" dxfId="44" priority="35" operator="equal">
      <formula>"NO"</formula>
    </cfRule>
    <cfRule type="cellIs" dxfId="43" priority="36" operator="equal">
      <formula>"YES"</formula>
    </cfRule>
  </conditionalFormatting>
  <conditionalFormatting sqref="AA9:AA34">
    <cfRule type="containsText" dxfId="42" priority="6" operator="containsText" text="Valid">
      <formula>NOT(ISERROR(SEARCH("Valid",AA9)))</formula>
    </cfRule>
    <cfRule type="containsText" dxfId="41" priority="7" operator="containsText" text="Expired">
      <formula>NOT(ISERROR(SEARCH("Expired",AA9)))</formula>
    </cfRule>
    <cfRule type="containsText" dxfId="40" priority="8" operator="containsText" text="SOS">
      <formula>NOT(ISERROR(SEARCH("SOS",AA9)))</formula>
    </cfRule>
    <cfRule type="containsText" dxfId="39" priority="9" operator="containsText" text="Covid">
      <formula>NOT(ISERROR(SEARCH("Covid",AA9)))</formula>
    </cfRule>
    <cfRule type="containsText" dxfId="38" priority="10" operator="containsText" text="Missing">
      <formula>NOT(ISERROR(SEARCH("Missing",AA9)))</formula>
    </cfRule>
  </conditionalFormatting>
  <conditionalFormatting sqref="AA41:AB45 AA51:AB54 AB9:AB34 AA35:AB36">
    <cfRule type="containsText" dxfId="37" priority="73" operator="containsText" text="SOS">
      <formula>NOT(ISERROR(SEARCH("SOS",AA9)))</formula>
    </cfRule>
  </conditionalFormatting>
  <conditionalFormatting sqref="AA43:AB44 X51:AB54 S42:S43">
    <cfRule type="cellIs" dxfId="36" priority="71" operator="equal">
      <formula>"NO"</formula>
    </cfRule>
    <cfRule type="cellIs" dxfId="35" priority="72" operator="equal">
      <formula>"YES"</formula>
    </cfRule>
  </conditionalFormatting>
  <conditionalFormatting sqref="AB9:AB34 AA35:AB36 AA41:AB45 AA51:AB54">
    <cfRule type="containsText" dxfId="34" priority="74" operator="containsText" text="Missing">
      <formula>NOT(ISERROR(SEARCH("Missing",AA9)))</formula>
    </cfRule>
    <cfRule type="containsText" dxfId="33" priority="75" operator="containsText" text="Valid">
      <formula>NOT(ISERROR(SEARCH("Valid",AA9)))</formula>
    </cfRule>
    <cfRule type="containsText" dxfId="32" priority="76" operator="containsText" text="Expired">
      <formula>NOT(ISERROR(SEARCH("Expired",AA9)))</formula>
    </cfRule>
    <cfRule type="containsText" dxfId="31" priority="77" operator="containsText" text="Covid">
      <formula>NOT(ISERROR(SEARCH("Covid",AA9)))</formula>
    </cfRule>
  </conditionalFormatting>
  <conditionalFormatting sqref="AB9:AB36 AB41:AB45 AB51:AB54">
    <cfRule type="containsText" dxfId="30" priority="65" operator="containsText" text="Covid">
      <formula>NOT(ISERROR(SEARCH("Covid",AB9)))</formula>
    </cfRule>
    <cfRule type="containsText" dxfId="29" priority="66" operator="containsText" text="Sig">
      <formula>NOT(ISERROR(SEARCH("Sig",AB9)))</formula>
    </cfRule>
    <cfRule type="containsText" dxfId="28" priority="67" operator="containsText" text="WNR">
      <formula>NOT(ISERROR(SEARCH("WNR",AB9)))</formula>
    </cfRule>
    <cfRule type="containsText" dxfId="27" priority="68" operator="containsText" text="Missing">
      <formula>NOT(ISERROR(SEARCH("Missing",AB9)))</formula>
    </cfRule>
    <cfRule type="containsText" dxfId="26" priority="69" operator="containsText" text="Expired">
      <formula>NOT(ISERROR(SEARCH("Expired",AB9)))</formula>
    </cfRule>
    <cfRule type="containsText" dxfId="25" priority="70" operator="containsText" text="sent">
      <formula>NOT(ISERROR(SEARCH("sent",AB9)))</formula>
    </cfRule>
  </conditionalFormatting>
  <conditionalFormatting sqref="AN9:AQ17">
    <cfRule type="cellIs" dxfId="24" priority="50" operator="equal">
      <formula>"YES-OOS"</formula>
    </cfRule>
    <cfRule type="cellIs" dxfId="23" priority="51" operator="equal">
      <formula>"YES"</formula>
    </cfRule>
    <cfRule type="cellIs" dxfId="22" priority="52" operator="equal">
      <formula>"NO-OOS"</formula>
    </cfRule>
    <cfRule type="cellIs" dxfId="21" priority="53" operator="equal">
      <formula>"NO-IL"</formula>
    </cfRule>
    <cfRule type="cellIs" dxfId="20" priority="54" operator="equal">
      <formula>"NO"</formula>
    </cfRule>
    <cfRule type="cellIs" dxfId="19" priority="55" operator="equal">
      <formula>"YES"</formula>
    </cfRule>
  </conditionalFormatting>
  <dataValidations count="4">
    <dataValidation allowBlank="1" showInputMessage="1" showErrorMessage="1" error="Please select a valid option from the 3 below" promptTitle="Payment Method" prompt="Select a payment method" sqref="X56:AB59 P60:Q60 P64 P66 P74 P70:P72 W50:W64 O57:T58 V64:V67 O59:O73 N50:N66 Q67:U67 V60 Q71:U74 V65:W66" xr:uid="{41CA56E1-A9AB-4DDA-B673-B1100F59E4B7}"/>
    <dataValidation type="list" allowBlank="1" showInputMessage="1" showErrorMessage="1" sqref="W32:W36 Q8:Q36 G9:G34 R9:R34 T9:V34 E9:E34 P9:P34 AO8:AR8 AR9:AR12 S54 AA43:AB44 S42 Y45:AB45 Y43:Y44 Y36:AB36 X28:X36 Y41:AB42 X9:X18 X20:X26 S48 AB51:AB54 AB28:AB35 AB9:AB18 AB20:AB26" xr:uid="{7149A659-ACE8-40CE-B80C-C9D332E3A53F}">
      <formula1>#REF!</formula1>
    </dataValidation>
    <dataValidation type="list" allowBlank="1" showInputMessage="1" showErrorMessage="1" error="Please select a valid option from the 3 below" promptTitle="Payment Method" prompt="Select a payment method" sqref="S44 Y46:Y47 Q44 W49 Q56 S50 Q50 R48:S48 R54:S54 R42:S42" xr:uid="{E782F456-E822-4718-BCC3-DA2CE357778E}">
      <formula1>#REF!</formula1>
    </dataValidation>
    <dataValidation type="list" allowBlank="1" showInputMessage="1" showErrorMessage="1" sqref="Y2:Y4 P42 P54 P48" xr:uid="{DE8AD312-A100-43F0-8173-C2A5C45044A0}"/>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229D-0CD8-4D91-A29C-193CC8D80DD7}">
  <sheetPr>
    <tabColor theme="8" tint="0.79998168889431442"/>
  </sheetPr>
  <dimension ref="A2:O8198"/>
  <sheetViews>
    <sheetView workbookViewId="0">
      <selection activeCell="C15" sqref="C15:C17"/>
    </sheetView>
  </sheetViews>
  <sheetFormatPr defaultRowHeight="15" x14ac:dyDescent="0.25"/>
  <cols>
    <col min="2" max="2" width="23.140625" customWidth="1"/>
    <col min="3" max="3" width="88.28515625" customWidth="1"/>
    <col min="4" max="4" width="42" bestFit="1" customWidth="1"/>
    <col min="5" max="5" width="18.7109375" customWidth="1"/>
    <col min="6" max="6" width="14.42578125" bestFit="1" customWidth="1"/>
    <col min="7" max="7" width="17.28515625" customWidth="1"/>
  </cols>
  <sheetData>
    <row r="2" spans="2:8" ht="18.75" x14ac:dyDescent="0.3">
      <c r="B2" s="557" t="s">
        <v>491</v>
      </c>
      <c r="C2" s="694"/>
    </row>
    <row r="3" spans="2:8" ht="18.75" x14ac:dyDescent="0.3">
      <c r="B3" s="557" t="s">
        <v>492</v>
      </c>
      <c r="C3" s="694"/>
    </row>
    <row r="4" spans="2:8" ht="18.75" x14ac:dyDescent="0.3">
      <c r="B4" s="557" t="s">
        <v>493</v>
      </c>
      <c r="C4" s="694"/>
    </row>
    <row r="5" spans="2:8" ht="18.75" x14ac:dyDescent="0.3">
      <c r="B5" s="557" t="s">
        <v>75</v>
      </c>
      <c r="C5" s="694"/>
    </row>
    <row r="6" spans="2:8" ht="18.75" x14ac:dyDescent="0.3">
      <c r="B6" s="557" t="s">
        <v>494</v>
      </c>
      <c r="C6" s="694"/>
    </row>
    <row r="8" spans="2:8" ht="63" x14ac:dyDescent="0.25">
      <c r="B8" s="693" t="s">
        <v>495</v>
      </c>
      <c r="C8" s="693" t="s">
        <v>496</v>
      </c>
      <c r="D8" s="692" t="s">
        <v>457</v>
      </c>
      <c r="E8" s="691" t="s">
        <v>497</v>
      </c>
      <c r="F8" s="690" t="s">
        <v>498</v>
      </c>
      <c r="G8" s="689" t="s">
        <v>499</v>
      </c>
      <c r="H8" s="688" t="s">
        <v>500</v>
      </c>
    </row>
    <row r="9" spans="2:8" ht="45" x14ac:dyDescent="0.25">
      <c r="B9" s="706"/>
      <c r="C9" s="709"/>
      <c r="D9" s="687" t="s">
        <v>501</v>
      </c>
      <c r="E9" s="684"/>
      <c r="F9" s="684"/>
      <c r="G9" s="684"/>
      <c r="H9" s="684">
        <v>0</v>
      </c>
    </row>
    <row r="10" spans="2:8" ht="30" x14ac:dyDescent="0.25">
      <c r="B10" s="707"/>
      <c r="C10" s="710"/>
      <c r="D10" s="686" t="s">
        <v>502</v>
      </c>
      <c r="E10" s="684"/>
      <c r="F10" s="684"/>
      <c r="G10" s="684"/>
      <c r="H10" s="684">
        <v>0</v>
      </c>
    </row>
    <row r="11" spans="2:8" ht="45" x14ac:dyDescent="0.25">
      <c r="B11" s="708"/>
      <c r="C11" s="711"/>
      <c r="D11" s="685" t="s">
        <v>503</v>
      </c>
      <c r="E11" s="684"/>
      <c r="F11" s="684"/>
      <c r="G11" s="684"/>
      <c r="H11" s="684">
        <v>0</v>
      </c>
    </row>
    <row r="12" spans="2:8" ht="45" x14ac:dyDescent="0.25">
      <c r="B12" s="706"/>
      <c r="C12" s="706"/>
      <c r="D12" s="687" t="s">
        <v>501</v>
      </c>
      <c r="E12" s="684"/>
      <c r="F12" s="684"/>
      <c r="G12" s="684"/>
      <c r="H12" s="684">
        <v>0</v>
      </c>
    </row>
    <row r="13" spans="2:8" ht="30" x14ac:dyDescent="0.25">
      <c r="B13" s="707"/>
      <c r="C13" s="707"/>
      <c r="D13" s="686" t="s">
        <v>502</v>
      </c>
      <c r="E13" s="684"/>
      <c r="F13" s="684"/>
      <c r="G13" s="684"/>
      <c r="H13" s="684">
        <v>0</v>
      </c>
    </row>
    <row r="14" spans="2:8" ht="45" x14ac:dyDescent="0.25">
      <c r="B14" s="708"/>
      <c r="C14" s="708"/>
      <c r="D14" s="685" t="s">
        <v>503</v>
      </c>
      <c r="E14" s="684"/>
      <c r="F14" s="684"/>
      <c r="G14" s="684"/>
      <c r="H14" s="684">
        <v>0</v>
      </c>
    </row>
    <row r="15" spans="2:8" ht="45" x14ac:dyDescent="0.25">
      <c r="B15" s="706"/>
      <c r="C15" s="709"/>
      <c r="D15" s="687" t="s">
        <v>501</v>
      </c>
      <c r="E15" s="684"/>
      <c r="F15" s="684"/>
      <c r="G15" s="684"/>
      <c r="H15" s="684">
        <v>0</v>
      </c>
    </row>
    <row r="16" spans="2:8" ht="30" x14ac:dyDescent="0.25">
      <c r="B16" s="707"/>
      <c r="C16" s="710"/>
      <c r="D16" s="686" t="s">
        <v>502</v>
      </c>
      <c r="E16" s="2"/>
      <c r="F16" s="2"/>
      <c r="G16" s="2"/>
      <c r="H16" s="684">
        <v>0</v>
      </c>
    </row>
    <row r="17" spans="1:15" ht="45" x14ac:dyDescent="0.25">
      <c r="B17" s="708"/>
      <c r="C17" s="711"/>
      <c r="D17" s="685" t="s">
        <v>503</v>
      </c>
      <c r="E17" s="2"/>
      <c r="F17" s="2"/>
      <c r="G17" s="2"/>
      <c r="H17" s="684">
        <v>0</v>
      </c>
    </row>
    <row r="18" spans="1:15" ht="45" x14ac:dyDescent="0.25">
      <c r="B18" s="706"/>
      <c r="C18" s="706"/>
      <c r="D18" s="687" t="s">
        <v>501</v>
      </c>
      <c r="E18" s="2"/>
      <c r="F18" s="2"/>
      <c r="G18" s="2"/>
      <c r="H18" s="684">
        <v>0</v>
      </c>
    </row>
    <row r="19" spans="1:15" ht="30" x14ac:dyDescent="0.25">
      <c r="B19" s="707"/>
      <c r="C19" s="707"/>
      <c r="D19" s="686" t="s">
        <v>502</v>
      </c>
      <c r="E19" s="2"/>
      <c r="F19" s="2"/>
      <c r="G19" s="2"/>
      <c r="H19" s="684">
        <v>0</v>
      </c>
    </row>
    <row r="20" spans="1:15" ht="45" x14ac:dyDescent="0.25">
      <c r="B20" s="708"/>
      <c r="C20" s="708"/>
      <c r="D20" s="685" t="s">
        <v>503</v>
      </c>
      <c r="E20" s="2"/>
      <c r="F20" s="2"/>
      <c r="G20" s="2"/>
      <c r="H20" s="684">
        <v>0</v>
      </c>
    </row>
    <row r="21" spans="1:15" ht="45" x14ac:dyDescent="0.25">
      <c r="B21" s="706"/>
      <c r="C21" s="706"/>
      <c r="D21" s="687" t="s">
        <v>501</v>
      </c>
      <c r="E21" s="2"/>
      <c r="F21" s="2"/>
      <c r="G21" s="2"/>
      <c r="H21" s="684">
        <v>0</v>
      </c>
    </row>
    <row r="22" spans="1:15" ht="30" x14ac:dyDescent="0.25">
      <c r="B22" s="707"/>
      <c r="C22" s="707"/>
      <c r="D22" s="686" t="s">
        <v>502</v>
      </c>
      <c r="E22" s="2"/>
      <c r="F22" s="2"/>
      <c r="G22" s="2"/>
      <c r="H22" s="684">
        <v>0</v>
      </c>
    </row>
    <row r="23" spans="1:15" ht="45" x14ac:dyDescent="0.25">
      <c r="B23" s="708"/>
      <c r="C23" s="708"/>
      <c r="D23" s="685" t="s">
        <v>503</v>
      </c>
      <c r="E23" s="2"/>
      <c r="F23" s="2"/>
      <c r="G23" s="2"/>
      <c r="H23" s="684">
        <v>0</v>
      </c>
    </row>
    <row r="24" spans="1:15" ht="45" x14ac:dyDescent="0.25">
      <c r="B24" s="706"/>
      <c r="C24" s="706"/>
      <c r="D24" s="687" t="s">
        <v>501</v>
      </c>
      <c r="E24" s="2"/>
      <c r="F24" s="2"/>
      <c r="G24" s="2"/>
      <c r="H24" s="684">
        <v>0</v>
      </c>
    </row>
    <row r="25" spans="1:15" ht="30" x14ac:dyDescent="0.25">
      <c r="B25" s="707"/>
      <c r="C25" s="707"/>
      <c r="D25" s="686" t="s">
        <v>502</v>
      </c>
      <c r="E25" s="2"/>
      <c r="F25" s="2"/>
      <c r="G25" s="2"/>
      <c r="H25" s="684">
        <v>0</v>
      </c>
    </row>
    <row r="26" spans="1:15" ht="45" x14ac:dyDescent="0.25">
      <c r="B26" s="708"/>
      <c r="C26" s="708"/>
      <c r="D26" s="685" t="s">
        <v>503</v>
      </c>
      <c r="E26" s="2"/>
      <c r="F26" s="2"/>
      <c r="G26" s="2"/>
      <c r="H26" s="684">
        <v>0</v>
      </c>
    </row>
    <row r="29" spans="1:15" x14ac:dyDescent="0.25">
      <c r="A29" s="683" t="s">
        <v>504</v>
      </c>
      <c r="B29" s="683" t="s">
        <v>505</v>
      </c>
      <c r="C29" s="683" t="s">
        <v>506</v>
      </c>
      <c r="D29" s="683" t="s">
        <v>507</v>
      </c>
      <c r="E29" s="683" t="s">
        <v>508</v>
      </c>
      <c r="F29" s="683" t="s">
        <v>509</v>
      </c>
      <c r="G29" s="682">
        <v>0.39150000000000001</v>
      </c>
      <c r="H29" s="675">
        <v>3182</v>
      </c>
      <c r="I29" s="675">
        <v>8127</v>
      </c>
      <c r="J29" s="675"/>
      <c r="K29" s="675">
        <v>4945</v>
      </c>
      <c r="L29" s="675"/>
      <c r="M29" s="675" t="s">
        <v>510</v>
      </c>
      <c r="N29" s="675"/>
      <c r="O29" s="675" t="s">
        <v>510</v>
      </c>
    </row>
    <row r="30" spans="1:15" x14ac:dyDescent="0.25">
      <c r="A30" s="675" t="s">
        <v>511</v>
      </c>
      <c r="B30" s="675" t="s">
        <v>512</v>
      </c>
      <c r="C30" s="675" t="s">
        <v>513</v>
      </c>
      <c r="D30" s="675" t="s">
        <v>21</v>
      </c>
      <c r="E30" s="675" t="s">
        <v>514</v>
      </c>
      <c r="F30" s="675" t="s">
        <v>515</v>
      </c>
      <c r="G30" s="675"/>
      <c r="H30" s="675"/>
      <c r="I30" s="675"/>
      <c r="J30" s="675"/>
      <c r="K30" s="675"/>
      <c r="L30" s="675"/>
      <c r="M30" s="675"/>
    </row>
    <row r="31" spans="1:15" x14ac:dyDescent="0.25">
      <c r="A31" s="675" t="s">
        <v>511</v>
      </c>
      <c r="B31" s="675" t="s">
        <v>512</v>
      </c>
      <c r="C31" s="675" t="s">
        <v>516</v>
      </c>
      <c r="D31" s="675" t="s">
        <v>21</v>
      </c>
      <c r="E31" s="675" t="s">
        <v>514</v>
      </c>
      <c r="F31" s="675" t="s">
        <v>515</v>
      </c>
      <c r="G31" s="675"/>
      <c r="H31" s="675"/>
      <c r="I31" s="675"/>
      <c r="J31" s="675"/>
      <c r="K31" s="675"/>
      <c r="L31" s="675"/>
      <c r="M31" s="675"/>
    </row>
    <row r="32" spans="1:15" x14ac:dyDescent="0.25">
      <c r="A32" s="675" t="s">
        <v>511</v>
      </c>
      <c r="B32" s="675" t="s">
        <v>512</v>
      </c>
      <c r="C32" s="675" t="s">
        <v>517</v>
      </c>
      <c r="D32" s="675" t="s">
        <v>21</v>
      </c>
      <c r="E32" s="675" t="s">
        <v>514</v>
      </c>
      <c r="F32" s="675" t="s">
        <v>515</v>
      </c>
      <c r="G32" s="675"/>
      <c r="H32" s="675"/>
      <c r="I32" s="675"/>
      <c r="J32" s="675"/>
      <c r="K32" s="675"/>
      <c r="L32" s="675"/>
      <c r="M32" s="675"/>
    </row>
    <row r="33" spans="1:13" x14ac:dyDescent="0.25">
      <c r="A33" s="675" t="s">
        <v>511</v>
      </c>
      <c r="B33" s="675" t="s">
        <v>512</v>
      </c>
      <c r="C33" s="675" t="s">
        <v>518</v>
      </c>
      <c r="D33" s="675" t="s">
        <v>21</v>
      </c>
      <c r="E33" s="675" t="s">
        <v>514</v>
      </c>
      <c r="F33" s="675" t="s">
        <v>515</v>
      </c>
      <c r="G33" s="675"/>
      <c r="H33" s="675"/>
      <c r="I33" s="675"/>
      <c r="J33" s="675"/>
      <c r="K33" s="675"/>
      <c r="L33" s="675"/>
      <c r="M33" s="675"/>
    </row>
    <row r="34" spans="1:13" x14ac:dyDescent="0.25">
      <c r="A34" s="675" t="s">
        <v>511</v>
      </c>
      <c r="B34" s="675" t="s">
        <v>512</v>
      </c>
      <c r="C34" s="675" t="s">
        <v>519</v>
      </c>
      <c r="D34" s="675" t="s">
        <v>21</v>
      </c>
      <c r="E34" s="675" t="s">
        <v>514</v>
      </c>
      <c r="F34" s="675" t="s">
        <v>515</v>
      </c>
      <c r="G34" s="675"/>
      <c r="H34" s="675"/>
      <c r="I34" s="675"/>
      <c r="J34" s="675"/>
      <c r="K34" s="675"/>
      <c r="L34" s="675"/>
      <c r="M34" s="675"/>
    </row>
    <row r="35" spans="1:13" x14ac:dyDescent="0.25">
      <c r="A35" s="675" t="s">
        <v>511</v>
      </c>
      <c r="B35" s="675" t="s">
        <v>512</v>
      </c>
      <c r="C35" s="675" t="s">
        <v>520</v>
      </c>
      <c r="D35" s="675" t="s">
        <v>21</v>
      </c>
      <c r="E35" s="675" t="s">
        <v>514</v>
      </c>
      <c r="F35" s="675" t="s">
        <v>515</v>
      </c>
      <c r="G35" s="675"/>
      <c r="H35" s="675"/>
      <c r="I35" s="675"/>
      <c r="J35" s="675"/>
      <c r="K35" s="675"/>
      <c r="L35" s="675"/>
      <c r="M35" s="675"/>
    </row>
    <row r="36" spans="1:13" x14ac:dyDescent="0.25">
      <c r="A36" s="675" t="s">
        <v>511</v>
      </c>
      <c r="B36" s="675" t="s">
        <v>512</v>
      </c>
      <c r="C36" s="675" t="s">
        <v>521</v>
      </c>
      <c r="D36" s="675" t="s">
        <v>21</v>
      </c>
      <c r="E36" s="675" t="s">
        <v>514</v>
      </c>
      <c r="F36" s="675" t="s">
        <v>515</v>
      </c>
      <c r="G36" s="675"/>
      <c r="H36" s="675"/>
      <c r="I36" s="675"/>
      <c r="J36" s="675"/>
      <c r="K36" s="675"/>
      <c r="L36" s="675"/>
      <c r="M36" s="675"/>
    </row>
    <row r="37" spans="1:13" x14ac:dyDescent="0.25">
      <c r="A37" s="675" t="s">
        <v>511</v>
      </c>
      <c r="B37" s="675" t="s">
        <v>512</v>
      </c>
      <c r="C37" s="675" t="s">
        <v>522</v>
      </c>
      <c r="D37" s="675" t="s">
        <v>21</v>
      </c>
      <c r="E37" s="675" t="s">
        <v>514</v>
      </c>
      <c r="F37" s="675" t="s">
        <v>515</v>
      </c>
      <c r="G37" s="675"/>
      <c r="H37" s="675"/>
      <c r="I37" s="675"/>
      <c r="J37" s="675"/>
      <c r="K37" s="675"/>
      <c r="L37" s="675"/>
      <c r="M37" s="675"/>
    </row>
    <row r="38" spans="1:13" x14ac:dyDescent="0.25">
      <c r="A38" s="675" t="s">
        <v>511</v>
      </c>
      <c r="B38" s="675" t="s">
        <v>512</v>
      </c>
      <c r="C38" s="675" t="s">
        <v>523</v>
      </c>
      <c r="D38" s="675" t="s">
        <v>21</v>
      </c>
      <c r="E38" s="675" t="s">
        <v>514</v>
      </c>
      <c r="F38" s="675" t="s">
        <v>515</v>
      </c>
      <c r="G38" s="675"/>
      <c r="H38" s="675"/>
      <c r="I38" s="675"/>
      <c r="J38" s="675"/>
      <c r="K38" s="675"/>
      <c r="L38" s="675"/>
      <c r="M38" s="675"/>
    </row>
    <row r="39" spans="1:13" x14ac:dyDescent="0.25">
      <c r="A39" s="675" t="s">
        <v>511</v>
      </c>
      <c r="B39" s="675" t="s">
        <v>512</v>
      </c>
      <c r="C39" s="675" t="s">
        <v>524</v>
      </c>
      <c r="D39" s="675" t="s">
        <v>21</v>
      </c>
      <c r="E39" s="675" t="s">
        <v>514</v>
      </c>
      <c r="F39" s="675" t="s">
        <v>515</v>
      </c>
      <c r="G39" s="675"/>
      <c r="H39" s="675"/>
      <c r="I39" s="675"/>
      <c r="J39" s="675"/>
      <c r="K39" s="675"/>
      <c r="L39" s="675"/>
      <c r="M39" s="675"/>
    </row>
    <row r="40" spans="1:13" x14ac:dyDescent="0.25">
      <c r="A40" s="675" t="s">
        <v>511</v>
      </c>
      <c r="B40" s="675" t="s">
        <v>512</v>
      </c>
      <c r="C40" s="675" t="s">
        <v>525</v>
      </c>
      <c r="D40" s="675" t="s">
        <v>21</v>
      </c>
      <c r="E40" s="675" t="s">
        <v>514</v>
      </c>
      <c r="F40" s="675" t="s">
        <v>515</v>
      </c>
      <c r="G40" s="675"/>
      <c r="H40" s="675"/>
      <c r="I40" s="675"/>
      <c r="J40" s="675"/>
      <c r="K40" s="675"/>
      <c r="L40" s="675"/>
      <c r="M40" s="675"/>
    </row>
    <row r="41" spans="1:13" x14ac:dyDescent="0.25">
      <c r="A41" s="675" t="s">
        <v>511</v>
      </c>
      <c r="B41" s="675" t="s">
        <v>512</v>
      </c>
      <c r="C41" s="675" t="s">
        <v>526</v>
      </c>
      <c r="D41" s="675" t="s">
        <v>21</v>
      </c>
      <c r="E41" s="675" t="s">
        <v>514</v>
      </c>
      <c r="F41" s="675" t="s">
        <v>515</v>
      </c>
      <c r="G41" s="675"/>
      <c r="H41" s="675"/>
      <c r="I41" s="675"/>
      <c r="J41" s="675"/>
      <c r="K41" s="675"/>
      <c r="L41" s="675"/>
      <c r="M41" s="675"/>
    </row>
    <row r="42" spans="1:13" x14ac:dyDescent="0.25">
      <c r="A42" s="675" t="s">
        <v>511</v>
      </c>
      <c r="B42" s="675" t="s">
        <v>512</v>
      </c>
      <c r="C42" s="675" t="s">
        <v>527</v>
      </c>
      <c r="D42" s="675" t="s">
        <v>21</v>
      </c>
      <c r="E42" s="675" t="s">
        <v>514</v>
      </c>
      <c r="F42" s="675" t="s">
        <v>515</v>
      </c>
      <c r="G42" s="675"/>
      <c r="H42" s="675"/>
      <c r="I42" s="675"/>
      <c r="J42" s="675"/>
      <c r="K42" s="675"/>
      <c r="L42" s="675"/>
      <c r="M42" s="675"/>
    </row>
    <row r="43" spans="1:13" x14ac:dyDescent="0.25">
      <c r="A43" s="675" t="s">
        <v>511</v>
      </c>
      <c r="B43" s="675" t="s">
        <v>512</v>
      </c>
      <c r="C43" s="675" t="s">
        <v>528</v>
      </c>
      <c r="D43" s="675" t="s">
        <v>21</v>
      </c>
      <c r="E43" s="675" t="s">
        <v>514</v>
      </c>
      <c r="F43" s="675" t="s">
        <v>515</v>
      </c>
      <c r="G43" s="675"/>
      <c r="H43" s="675"/>
      <c r="I43" s="675"/>
      <c r="J43" s="675"/>
      <c r="K43" s="675"/>
      <c r="L43" s="675"/>
      <c r="M43" s="675"/>
    </row>
    <row r="44" spans="1:13" x14ac:dyDescent="0.25">
      <c r="A44" s="675" t="s">
        <v>511</v>
      </c>
      <c r="B44" s="675" t="s">
        <v>512</v>
      </c>
      <c r="C44" s="675" t="s">
        <v>529</v>
      </c>
      <c r="D44" s="675" t="s">
        <v>21</v>
      </c>
      <c r="E44" s="675" t="s">
        <v>514</v>
      </c>
      <c r="F44" s="675" t="s">
        <v>515</v>
      </c>
      <c r="G44" s="675"/>
      <c r="H44" s="675"/>
      <c r="I44" s="675"/>
      <c r="J44" s="675"/>
      <c r="K44" s="675"/>
      <c r="L44" s="675"/>
      <c r="M44" s="675"/>
    </row>
    <row r="45" spans="1:13" x14ac:dyDescent="0.25">
      <c r="A45" s="675" t="s">
        <v>511</v>
      </c>
      <c r="B45" s="675" t="s">
        <v>512</v>
      </c>
      <c r="C45" s="675" t="s">
        <v>530</v>
      </c>
      <c r="D45" s="675" t="s">
        <v>21</v>
      </c>
      <c r="E45" s="675" t="s">
        <v>514</v>
      </c>
      <c r="F45" s="675" t="s">
        <v>515</v>
      </c>
      <c r="G45" s="675"/>
      <c r="H45" s="675"/>
      <c r="I45" s="675"/>
      <c r="J45" s="675"/>
      <c r="K45" s="675"/>
      <c r="L45" s="675"/>
      <c r="M45" s="675"/>
    </row>
    <row r="46" spans="1:13" x14ac:dyDescent="0.25">
      <c r="A46" s="675" t="s">
        <v>511</v>
      </c>
      <c r="B46" s="675" t="s">
        <v>512</v>
      </c>
      <c r="C46" s="675" t="s">
        <v>531</v>
      </c>
      <c r="D46" s="675" t="s">
        <v>21</v>
      </c>
      <c r="E46" s="675" t="s">
        <v>514</v>
      </c>
      <c r="F46" s="675" t="s">
        <v>515</v>
      </c>
      <c r="G46" s="675"/>
      <c r="H46" s="675"/>
      <c r="I46" s="675"/>
      <c r="J46" s="675"/>
      <c r="K46" s="675"/>
      <c r="L46" s="675"/>
      <c r="M46" s="675"/>
    </row>
    <row r="47" spans="1:13" x14ac:dyDescent="0.25">
      <c r="A47" s="675" t="s">
        <v>511</v>
      </c>
      <c r="B47" s="675" t="s">
        <v>512</v>
      </c>
      <c r="C47" s="675" t="s">
        <v>532</v>
      </c>
      <c r="D47" s="675" t="s">
        <v>21</v>
      </c>
      <c r="E47" s="675" t="s">
        <v>514</v>
      </c>
      <c r="F47" s="675" t="s">
        <v>515</v>
      </c>
      <c r="G47" s="675"/>
      <c r="H47" s="675"/>
      <c r="I47" s="675"/>
      <c r="J47" s="675"/>
      <c r="K47" s="675"/>
      <c r="L47" s="675"/>
      <c r="M47" s="675"/>
    </row>
    <row r="48" spans="1:13" x14ac:dyDescent="0.25">
      <c r="A48" s="675" t="s">
        <v>511</v>
      </c>
      <c r="B48" s="675" t="s">
        <v>512</v>
      </c>
      <c r="C48" s="675" t="s">
        <v>533</v>
      </c>
      <c r="D48" s="675" t="s">
        <v>21</v>
      </c>
      <c r="E48" s="675" t="s">
        <v>514</v>
      </c>
      <c r="F48" s="675" t="s">
        <v>515</v>
      </c>
      <c r="G48" s="675"/>
      <c r="H48" s="675"/>
      <c r="I48" s="675"/>
      <c r="J48" s="675"/>
      <c r="K48" s="675"/>
      <c r="L48" s="675"/>
      <c r="M48" s="675"/>
    </row>
    <row r="49" spans="1:13" x14ac:dyDescent="0.25">
      <c r="A49" s="675" t="s">
        <v>511</v>
      </c>
      <c r="B49" s="675" t="s">
        <v>512</v>
      </c>
      <c r="C49" s="675" t="s">
        <v>534</v>
      </c>
      <c r="D49" s="675" t="s">
        <v>21</v>
      </c>
      <c r="E49" s="675" t="s">
        <v>514</v>
      </c>
      <c r="F49" s="675" t="s">
        <v>515</v>
      </c>
      <c r="G49" s="675"/>
      <c r="H49" s="675"/>
      <c r="I49" s="675"/>
      <c r="J49" s="675"/>
      <c r="K49" s="675"/>
      <c r="L49" s="675"/>
      <c r="M49" s="675"/>
    </row>
    <row r="50" spans="1:13" x14ac:dyDescent="0.25">
      <c r="A50" s="675" t="s">
        <v>511</v>
      </c>
      <c r="B50" s="675" t="s">
        <v>512</v>
      </c>
      <c r="C50" s="675" t="s">
        <v>535</v>
      </c>
      <c r="D50" s="675" t="s">
        <v>21</v>
      </c>
      <c r="E50" s="675" t="s">
        <v>514</v>
      </c>
      <c r="F50" s="675" t="s">
        <v>515</v>
      </c>
      <c r="G50" s="675"/>
      <c r="H50" s="675"/>
      <c r="I50" s="675"/>
      <c r="J50" s="675"/>
      <c r="K50" s="675"/>
      <c r="L50" s="675"/>
      <c r="M50" s="675"/>
    </row>
    <row r="51" spans="1:13" x14ac:dyDescent="0.25">
      <c r="A51" s="675" t="s">
        <v>511</v>
      </c>
      <c r="B51" s="675" t="s">
        <v>512</v>
      </c>
      <c r="C51" s="675" t="s">
        <v>536</v>
      </c>
      <c r="D51" s="675" t="s">
        <v>21</v>
      </c>
      <c r="E51" s="675" t="s">
        <v>514</v>
      </c>
      <c r="F51" s="675" t="s">
        <v>515</v>
      </c>
      <c r="G51" s="675"/>
      <c r="H51" s="675"/>
      <c r="I51" s="675"/>
      <c r="J51" s="675"/>
      <c r="K51" s="675"/>
      <c r="L51" s="675"/>
      <c r="M51" s="675"/>
    </row>
    <row r="52" spans="1:13" x14ac:dyDescent="0.25">
      <c r="A52" s="675" t="s">
        <v>511</v>
      </c>
      <c r="B52" s="675" t="s">
        <v>512</v>
      </c>
      <c r="C52" s="675" t="s">
        <v>537</v>
      </c>
      <c r="D52" s="675" t="s">
        <v>21</v>
      </c>
      <c r="E52" s="675" t="s">
        <v>514</v>
      </c>
      <c r="F52" s="675" t="s">
        <v>515</v>
      </c>
      <c r="G52" s="675"/>
      <c r="H52" s="675"/>
      <c r="I52" s="675"/>
      <c r="J52" s="675"/>
      <c r="K52" s="675"/>
      <c r="L52" s="675"/>
      <c r="M52" s="675"/>
    </row>
    <row r="53" spans="1:13" x14ac:dyDescent="0.25">
      <c r="A53" s="675" t="s">
        <v>511</v>
      </c>
      <c r="B53" s="675" t="s">
        <v>512</v>
      </c>
      <c r="C53" s="675" t="s">
        <v>538</v>
      </c>
      <c r="D53" s="675" t="s">
        <v>21</v>
      </c>
      <c r="E53" s="675" t="s">
        <v>514</v>
      </c>
      <c r="F53" s="675" t="s">
        <v>515</v>
      </c>
      <c r="G53" s="675"/>
      <c r="H53" s="675"/>
      <c r="I53" s="675"/>
      <c r="J53" s="675"/>
      <c r="K53" s="675"/>
      <c r="L53" s="675"/>
      <c r="M53" s="675"/>
    </row>
    <row r="54" spans="1:13" x14ac:dyDescent="0.25">
      <c r="A54" s="675" t="s">
        <v>511</v>
      </c>
      <c r="B54" s="675" t="s">
        <v>512</v>
      </c>
      <c r="C54" s="675" t="s">
        <v>539</v>
      </c>
      <c r="D54" s="675" t="s">
        <v>21</v>
      </c>
      <c r="E54" s="675" t="s">
        <v>514</v>
      </c>
      <c r="F54" s="675" t="s">
        <v>515</v>
      </c>
      <c r="G54" s="675"/>
      <c r="H54" s="675"/>
      <c r="I54" s="675"/>
      <c r="J54" s="675"/>
      <c r="K54" s="675"/>
      <c r="L54" s="675"/>
      <c r="M54" s="675"/>
    </row>
    <row r="55" spans="1:13" x14ac:dyDescent="0.25">
      <c r="A55" s="675" t="s">
        <v>511</v>
      </c>
      <c r="B55" s="675" t="s">
        <v>512</v>
      </c>
      <c r="C55" s="675" t="s">
        <v>540</v>
      </c>
      <c r="D55" s="675" t="s">
        <v>21</v>
      </c>
      <c r="E55" s="675" t="s">
        <v>514</v>
      </c>
      <c r="F55" s="675" t="s">
        <v>515</v>
      </c>
      <c r="G55" s="675"/>
      <c r="H55" s="675"/>
      <c r="I55" s="675"/>
      <c r="J55" s="675"/>
      <c r="K55" s="675"/>
      <c r="L55" s="675"/>
      <c r="M55" s="675"/>
    </row>
    <row r="56" spans="1:13" x14ac:dyDescent="0.25">
      <c r="A56" s="675" t="s">
        <v>511</v>
      </c>
      <c r="B56" s="675" t="s">
        <v>512</v>
      </c>
      <c r="C56" s="675" t="s">
        <v>541</v>
      </c>
      <c r="D56" s="675" t="s">
        <v>21</v>
      </c>
      <c r="E56" s="675" t="s">
        <v>514</v>
      </c>
      <c r="F56" s="675" t="s">
        <v>515</v>
      </c>
      <c r="G56" s="675"/>
      <c r="H56" s="675"/>
      <c r="I56" s="675"/>
      <c r="J56" s="675"/>
      <c r="K56" s="675"/>
      <c r="L56" s="675"/>
      <c r="M56" s="675"/>
    </row>
    <row r="57" spans="1:13" x14ac:dyDescent="0.25">
      <c r="A57" s="675" t="s">
        <v>511</v>
      </c>
      <c r="B57" s="675" t="s">
        <v>512</v>
      </c>
      <c r="C57" s="675" t="s">
        <v>542</v>
      </c>
      <c r="D57" s="675" t="s">
        <v>21</v>
      </c>
      <c r="E57" s="675" t="s">
        <v>514</v>
      </c>
      <c r="F57" s="675" t="s">
        <v>515</v>
      </c>
      <c r="G57" s="675"/>
      <c r="H57" s="675"/>
      <c r="I57" s="675"/>
      <c r="J57" s="675"/>
      <c r="K57" s="675"/>
      <c r="L57" s="675"/>
      <c r="M57" s="675"/>
    </row>
    <row r="58" spans="1:13" x14ac:dyDescent="0.25">
      <c r="A58" s="675" t="s">
        <v>511</v>
      </c>
      <c r="B58" s="675" t="s">
        <v>512</v>
      </c>
      <c r="C58" s="675" t="s">
        <v>543</v>
      </c>
      <c r="D58" s="675" t="s">
        <v>21</v>
      </c>
      <c r="E58" s="675" t="s">
        <v>514</v>
      </c>
      <c r="F58" s="675" t="s">
        <v>515</v>
      </c>
      <c r="G58" s="675"/>
      <c r="H58" s="675"/>
      <c r="I58" s="675"/>
      <c r="J58" s="675"/>
      <c r="K58" s="675"/>
      <c r="L58" s="675"/>
      <c r="M58" s="675"/>
    </row>
    <row r="59" spans="1:13" x14ac:dyDescent="0.25">
      <c r="A59" s="675" t="s">
        <v>511</v>
      </c>
      <c r="B59" s="675" t="s">
        <v>512</v>
      </c>
      <c r="C59" s="675" t="s">
        <v>544</v>
      </c>
      <c r="D59" s="675" t="s">
        <v>21</v>
      </c>
      <c r="E59" s="675" t="s">
        <v>514</v>
      </c>
      <c r="F59" s="675" t="s">
        <v>515</v>
      </c>
      <c r="G59" s="675"/>
      <c r="H59" s="675"/>
      <c r="I59" s="675"/>
      <c r="J59" s="675"/>
      <c r="K59" s="675"/>
      <c r="L59" s="675"/>
      <c r="M59" s="675"/>
    </row>
    <row r="60" spans="1:13" x14ac:dyDescent="0.25">
      <c r="A60" s="675" t="s">
        <v>511</v>
      </c>
      <c r="B60" s="675" t="s">
        <v>545</v>
      </c>
      <c r="C60" s="675" t="s">
        <v>546</v>
      </c>
      <c r="D60" s="675" t="s">
        <v>21</v>
      </c>
      <c r="E60" s="675" t="s">
        <v>514</v>
      </c>
      <c r="F60" s="675" t="s">
        <v>515</v>
      </c>
      <c r="G60" s="675"/>
      <c r="H60" s="675"/>
      <c r="I60" s="675"/>
      <c r="J60" s="675"/>
      <c r="K60" s="675"/>
      <c r="L60" s="675"/>
      <c r="M60" s="675"/>
    </row>
    <row r="61" spans="1:13" x14ac:dyDescent="0.25">
      <c r="A61" s="675" t="s">
        <v>511</v>
      </c>
      <c r="B61" s="675" t="s">
        <v>545</v>
      </c>
      <c r="C61" s="675" t="s">
        <v>547</v>
      </c>
      <c r="D61" s="675" t="s">
        <v>21</v>
      </c>
      <c r="E61" s="675" t="s">
        <v>514</v>
      </c>
      <c r="F61" s="675" t="s">
        <v>515</v>
      </c>
      <c r="G61" s="675"/>
      <c r="H61" s="675"/>
      <c r="I61" s="675"/>
      <c r="J61" s="675"/>
      <c r="K61" s="675"/>
      <c r="L61" s="675"/>
      <c r="M61" s="675"/>
    </row>
    <row r="62" spans="1:13" x14ac:dyDescent="0.25">
      <c r="A62" s="675" t="s">
        <v>511</v>
      </c>
      <c r="B62" s="675" t="s">
        <v>545</v>
      </c>
      <c r="C62" s="675" t="s">
        <v>548</v>
      </c>
      <c r="D62" s="675" t="s">
        <v>21</v>
      </c>
      <c r="E62" s="675" t="s">
        <v>514</v>
      </c>
      <c r="F62" s="675" t="s">
        <v>515</v>
      </c>
      <c r="G62" s="675"/>
      <c r="H62" s="675"/>
      <c r="I62" s="675"/>
      <c r="J62" s="675"/>
      <c r="K62" s="675"/>
      <c r="L62" s="675"/>
      <c r="M62" s="675"/>
    </row>
    <row r="63" spans="1:13" x14ac:dyDescent="0.25">
      <c r="A63" s="675" t="s">
        <v>511</v>
      </c>
      <c r="B63" s="675" t="s">
        <v>545</v>
      </c>
      <c r="C63" s="675" t="s">
        <v>549</v>
      </c>
      <c r="D63" s="675" t="s">
        <v>21</v>
      </c>
      <c r="E63" s="675" t="s">
        <v>514</v>
      </c>
      <c r="F63" s="675" t="s">
        <v>515</v>
      </c>
      <c r="G63" s="675"/>
      <c r="H63" s="675"/>
      <c r="I63" s="675"/>
      <c r="J63" s="675"/>
      <c r="K63" s="675"/>
      <c r="L63" s="675"/>
      <c r="M63" s="675"/>
    </row>
    <row r="64" spans="1:13" x14ac:dyDescent="0.25">
      <c r="A64" s="675" t="s">
        <v>511</v>
      </c>
      <c r="B64" s="675" t="s">
        <v>545</v>
      </c>
      <c r="C64" s="675" t="s">
        <v>550</v>
      </c>
      <c r="D64" s="675" t="s">
        <v>21</v>
      </c>
      <c r="E64" s="675" t="s">
        <v>514</v>
      </c>
      <c r="F64" s="675" t="s">
        <v>515</v>
      </c>
      <c r="G64" s="675"/>
      <c r="H64" s="675"/>
      <c r="I64" s="675"/>
      <c r="J64" s="675"/>
      <c r="K64" s="675"/>
      <c r="L64" s="675"/>
      <c r="M64" s="675"/>
    </row>
    <row r="65" spans="1:13" x14ac:dyDescent="0.25">
      <c r="A65" s="675" t="s">
        <v>511</v>
      </c>
      <c r="B65" s="675" t="s">
        <v>545</v>
      </c>
      <c r="C65" s="675" t="s">
        <v>551</v>
      </c>
      <c r="D65" s="675" t="s">
        <v>21</v>
      </c>
      <c r="E65" s="675" t="s">
        <v>514</v>
      </c>
      <c r="F65" s="675" t="s">
        <v>515</v>
      </c>
      <c r="G65" s="675"/>
      <c r="H65" s="675"/>
      <c r="I65" s="675"/>
      <c r="J65" s="675"/>
      <c r="K65" s="675"/>
      <c r="L65" s="675"/>
      <c r="M65" s="675"/>
    </row>
    <row r="66" spans="1:13" x14ac:dyDescent="0.25">
      <c r="A66" s="675" t="s">
        <v>511</v>
      </c>
      <c r="B66" s="675" t="s">
        <v>545</v>
      </c>
      <c r="C66" s="675" t="s">
        <v>552</v>
      </c>
      <c r="D66" s="675" t="s">
        <v>21</v>
      </c>
      <c r="E66" s="675" t="s">
        <v>514</v>
      </c>
      <c r="F66" s="675" t="s">
        <v>515</v>
      </c>
      <c r="G66" s="675"/>
      <c r="H66" s="675"/>
      <c r="I66" s="675"/>
      <c r="J66" s="675"/>
      <c r="K66" s="675"/>
      <c r="L66" s="675"/>
      <c r="M66" s="675"/>
    </row>
    <row r="67" spans="1:13" x14ac:dyDescent="0.25">
      <c r="A67" s="675" t="s">
        <v>511</v>
      </c>
      <c r="B67" s="675" t="s">
        <v>545</v>
      </c>
      <c r="C67" s="675" t="s">
        <v>553</v>
      </c>
      <c r="D67" s="675" t="s">
        <v>21</v>
      </c>
      <c r="E67" s="675" t="s">
        <v>514</v>
      </c>
      <c r="F67" s="675" t="s">
        <v>515</v>
      </c>
      <c r="G67" s="675"/>
      <c r="H67" s="675"/>
      <c r="I67" s="675"/>
      <c r="J67" s="675"/>
      <c r="K67" s="675"/>
      <c r="L67" s="675"/>
      <c r="M67" s="675"/>
    </row>
    <row r="68" spans="1:13" x14ac:dyDescent="0.25">
      <c r="A68" s="675" t="s">
        <v>511</v>
      </c>
      <c r="B68" s="675" t="s">
        <v>545</v>
      </c>
      <c r="C68" s="675" t="s">
        <v>554</v>
      </c>
      <c r="D68" s="675" t="s">
        <v>21</v>
      </c>
      <c r="E68" s="675" t="s">
        <v>514</v>
      </c>
      <c r="F68" s="675" t="s">
        <v>515</v>
      </c>
      <c r="G68" s="675"/>
      <c r="H68" s="675"/>
      <c r="I68" s="675"/>
      <c r="J68" s="675"/>
      <c r="K68" s="675"/>
      <c r="L68" s="675"/>
      <c r="M68" s="675"/>
    </row>
    <row r="69" spans="1:13" x14ac:dyDescent="0.25">
      <c r="A69" s="675" t="s">
        <v>511</v>
      </c>
      <c r="B69" s="675" t="s">
        <v>545</v>
      </c>
      <c r="C69" s="675" t="s">
        <v>555</v>
      </c>
      <c r="D69" s="675" t="s">
        <v>21</v>
      </c>
      <c r="E69" s="675" t="s">
        <v>514</v>
      </c>
      <c r="F69" s="675" t="s">
        <v>515</v>
      </c>
      <c r="G69" s="675"/>
      <c r="H69" s="675"/>
      <c r="I69" s="675"/>
      <c r="J69" s="675"/>
      <c r="K69" s="675"/>
      <c r="L69" s="675"/>
      <c r="M69" s="675"/>
    </row>
    <row r="70" spans="1:13" x14ac:dyDescent="0.25">
      <c r="A70" s="675" t="s">
        <v>511</v>
      </c>
      <c r="B70" s="675" t="s">
        <v>545</v>
      </c>
      <c r="C70" s="675" t="s">
        <v>556</v>
      </c>
      <c r="D70" s="675" t="s">
        <v>21</v>
      </c>
      <c r="E70" s="675" t="s">
        <v>514</v>
      </c>
      <c r="F70" s="675" t="s">
        <v>515</v>
      </c>
      <c r="G70" s="675"/>
      <c r="H70" s="675"/>
      <c r="I70" s="675"/>
      <c r="J70" s="675"/>
      <c r="K70" s="675"/>
      <c r="L70" s="675"/>
      <c r="M70" s="675"/>
    </row>
    <row r="71" spans="1:13" x14ac:dyDescent="0.25">
      <c r="A71" s="675" t="s">
        <v>511</v>
      </c>
      <c r="B71" s="675" t="s">
        <v>545</v>
      </c>
      <c r="C71" s="675" t="s">
        <v>557</v>
      </c>
      <c r="D71" s="675" t="s">
        <v>21</v>
      </c>
      <c r="E71" s="675" t="s">
        <v>514</v>
      </c>
      <c r="F71" s="675" t="s">
        <v>515</v>
      </c>
      <c r="G71" s="675"/>
      <c r="H71" s="675"/>
      <c r="I71" s="675"/>
      <c r="J71" s="675"/>
      <c r="K71" s="675"/>
      <c r="L71" s="675"/>
      <c r="M71" s="675"/>
    </row>
    <row r="72" spans="1:13" x14ac:dyDescent="0.25">
      <c r="A72" s="675" t="s">
        <v>511</v>
      </c>
      <c r="B72" s="675" t="s">
        <v>545</v>
      </c>
      <c r="C72" s="675" t="s">
        <v>558</v>
      </c>
      <c r="D72" s="675" t="s">
        <v>21</v>
      </c>
      <c r="E72" s="675" t="s">
        <v>514</v>
      </c>
      <c r="F72" s="675" t="s">
        <v>515</v>
      </c>
      <c r="G72" s="675"/>
      <c r="H72" s="675"/>
      <c r="I72" s="675"/>
      <c r="J72" s="675"/>
      <c r="K72" s="675"/>
      <c r="L72" s="675"/>
      <c r="M72" s="675"/>
    </row>
    <row r="73" spans="1:13" x14ac:dyDescent="0.25">
      <c r="A73" s="675" t="s">
        <v>511</v>
      </c>
      <c r="B73" s="675" t="s">
        <v>545</v>
      </c>
      <c r="C73" s="675" t="s">
        <v>559</v>
      </c>
      <c r="D73" s="675" t="s">
        <v>21</v>
      </c>
      <c r="E73" s="675" t="s">
        <v>514</v>
      </c>
      <c r="F73" s="675" t="s">
        <v>515</v>
      </c>
      <c r="G73" s="675"/>
      <c r="H73" s="675"/>
      <c r="I73" s="675"/>
      <c r="J73" s="675"/>
      <c r="K73" s="675"/>
      <c r="L73" s="675"/>
      <c r="M73" s="675"/>
    </row>
    <row r="74" spans="1:13" x14ac:dyDescent="0.25">
      <c r="A74" s="675" t="s">
        <v>511</v>
      </c>
      <c r="B74" s="675" t="s">
        <v>545</v>
      </c>
      <c r="C74" s="675" t="s">
        <v>560</v>
      </c>
      <c r="D74" s="675" t="s">
        <v>21</v>
      </c>
      <c r="E74" s="675" t="s">
        <v>514</v>
      </c>
      <c r="F74" s="675" t="s">
        <v>515</v>
      </c>
      <c r="G74" s="675"/>
      <c r="H74" s="675"/>
      <c r="I74" s="675"/>
      <c r="J74" s="675"/>
      <c r="K74" s="675"/>
      <c r="L74" s="675"/>
      <c r="M74" s="675"/>
    </row>
    <row r="75" spans="1:13" x14ac:dyDescent="0.25">
      <c r="A75" s="675" t="s">
        <v>511</v>
      </c>
      <c r="B75" s="675" t="s">
        <v>545</v>
      </c>
      <c r="C75" s="675" t="s">
        <v>561</v>
      </c>
      <c r="D75" s="675" t="s">
        <v>21</v>
      </c>
      <c r="E75" s="675" t="s">
        <v>514</v>
      </c>
      <c r="F75" s="675" t="s">
        <v>515</v>
      </c>
      <c r="G75" s="675"/>
      <c r="H75" s="675"/>
      <c r="I75" s="675"/>
      <c r="J75" s="675"/>
      <c r="K75" s="675"/>
      <c r="L75" s="675"/>
      <c r="M75" s="675"/>
    </row>
    <row r="76" spans="1:13" x14ac:dyDescent="0.25">
      <c r="A76" s="675" t="s">
        <v>511</v>
      </c>
      <c r="B76" s="675" t="s">
        <v>545</v>
      </c>
      <c r="C76" s="675" t="s">
        <v>562</v>
      </c>
      <c r="D76" s="675" t="s">
        <v>21</v>
      </c>
      <c r="E76" s="675" t="s">
        <v>514</v>
      </c>
      <c r="F76" s="675" t="s">
        <v>515</v>
      </c>
      <c r="G76" s="675"/>
      <c r="H76" s="675"/>
      <c r="I76" s="675"/>
      <c r="J76" s="675"/>
      <c r="K76" s="675"/>
      <c r="L76" s="675"/>
      <c r="M76" s="675"/>
    </row>
    <row r="77" spans="1:13" x14ac:dyDescent="0.25">
      <c r="A77" s="675" t="s">
        <v>511</v>
      </c>
      <c r="B77" s="675" t="s">
        <v>545</v>
      </c>
      <c r="C77" s="675" t="s">
        <v>563</v>
      </c>
      <c r="D77" s="675" t="s">
        <v>21</v>
      </c>
      <c r="E77" s="675" t="s">
        <v>514</v>
      </c>
      <c r="F77" s="675" t="s">
        <v>515</v>
      </c>
      <c r="G77" s="675"/>
      <c r="H77" s="675"/>
      <c r="I77" s="675"/>
      <c r="J77" s="675"/>
      <c r="K77" s="675"/>
      <c r="L77" s="675"/>
      <c r="M77" s="675"/>
    </row>
    <row r="78" spans="1:13" x14ac:dyDescent="0.25">
      <c r="A78" s="675" t="s">
        <v>511</v>
      </c>
      <c r="B78" s="675" t="s">
        <v>564</v>
      </c>
      <c r="C78" s="675" t="s">
        <v>565</v>
      </c>
      <c r="D78" s="675" t="s">
        <v>21</v>
      </c>
      <c r="E78" s="675" t="s">
        <v>514</v>
      </c>
      <c r="F78" s="675" t="s">
        <v>515</v>
      </c>
      <c r="G78" s="675"/>
      <c r="H78" s="675"/>
      <c r="I78" s="675"/>
      <c r="J78" s="675"/>
      <c r="K78" s="675"/>
      <c r="L78" s="675"/>
      <c r="M78" s="675"/>
    </row>
    <row r="79" spans="1:13" x14ac:dyDescent="0.25">
      <c r="A79" s="675" t="s">
        <v>511</v>
      </c>
      <c r="B79" s="675" t="s">
        <v>564</v>
      </c>
      <c r="C79" s="675" t="s">
        <v>566</v>
      </c>
      <c r="D79" s="675" t="s">
        <v>21</v>
      </c>
      <c r="E79" s="675" t="s">
        <v>514</v>
      </c>
      <c r="F79" s="675" t="s">
        <v>515</v>
      </c>
      <c r="G79" s="675"/>
      <c r="H79" s="675"/>
      <c r="I79" s="675"/>
      <c r="J79" s="675"/>
      <c r="K79" s="675"/>
      <c r="L79" s="675"/>
      <c r="M79" s="675"/>
    </row>
    <row r="80" spans="1:13" x14ac:dyDescent="0.25">
      <c r="A80" s="675" t="s">
        <v>511</v>
      </c>
      <c r="B80" s="675" t="s">
        <v>564</v>
      </c>
      <c r="C80" s="675" t="s">
        <v>567</v>
      </c>
      <c r="D80" s="675" t="s">
        <v>21</v>
      </c>
      <c r="E80" s="675" t="s">
        <v>514</v>
      </c>
      <c r="F80" s="675" t="s">
        <v>515</v>
      </c>
      <c r="G80" s="675"/>
      <c r="H80" s="675"/>
      <c r="I80" s="675"/>
      <c r="J80" s="675"/>
      <c r="K80" s="675"/>
      <c r="L80" s="675"/>
      <c r="M80" s="675"/>
    </row>
    <row r="81" spans="1:13" x14ac:dyDescent="0.25">
      <c r="A81" s="675" t="s">
        <v>511</v>
      </c>
      <c r="B81" s="675" t="s">
        <v>564</v>
      </c>
      <c r="C81" s="675" t="s">
        <v>568</v>
      </c>
      <c r="D81" s="675" t="s">
        <v>21</v>
      </c>
      <c r="E81" s="675" t="s">
        <v>514</v>
      </c>
      <c r="F81" s="675" t="s">
        <v>515</v>
      </c>
      <c r="G81" s="675"/>
      <c r="H81" s="675"/>
      <c r="I81" s="675"/>
      <c r="J81" s="675"/>
      <c r="K81" s="675"/>
      <c r="L81" s="675"/>
      <c r="M81" s="675"/>
    </row>
    <row r="82" spans="1:13" x14ac:dyDescent="0.25">
      <c r="A82" s="675" t="s">
        <v>511</v>
      </c>
      <c r="B82" s="675" t="s">
        <v>564</v>
      </c>
      <c r="C82" s="675" t="s">
        <v>569</v>
      </c>
      <c r="D82" s="675" t="s">
        <v>21</v>
      </c>
      <c r="E82" s="675" t="s">
        <v>514</v>
      </c>
      <c r="F82" s="675" t="s">
        <v>515</v>
      </c>
      <c r="G82" s="675"/>
      <c r="H82" s="675"/>
      <c r="I82" s="675"/>
      <c r="J82" s="675"/>
      <c r="K82" s="675"/>
      <c r="L82" s="675"/>
      <c r="M82" s="675"/>
    </row>
    <row r="83" spans="1:13" x14ac:dyDescent="0.25">
      <c r="A83" s="675" t="s">
        <v>511</v>
      </c>
      <c r="B83" s="675" t="s">
        <v>564</v>
      </c>
      <c r="C83" s="675" t="s">
        <v>570</v>
      </c>
      <c r="D83" s="675" t="s">
        <v>21</v>
      </c>
      <c r="E83" s="675" t="s">
        <v>514</v>
      </c>
      <c r="F83" s="675" t="s">
        <v>515</v>
      </c>
      <c r="G83" s="675"/>
      <c r="H83" s="675"/>
      <c r="I83" s="675"/>
      <c r="J83" s="675"/>
      <c r="K83" s="675"/>
      <c r="L83" s="675"/>
      <c r="M83" s="675"/>
    </row>
    <row r="84" spans="1:13" x14ac:dyDescent="0.25">
      <c r="A84" s="675" t="s">
        <v>511</v>
      </c>
      <c r="B84" s="675" t="s">
        <v>564</v>
      </c>
      <c r="C84" s="675" t="s">
        <v>571</v>
      </c>
      <c r="D84" s="675" t="s">
        <v>21</v>
      </c>
      <c r="E84" s="675" t="s">
        <v>514</v>
      </c>
      <c r="F84" s="675" t="s">
        <v>515</v>
      </c>
      <c r="G84" s="675"/>
      <c r="H84" s="675"/>
      <c r="I84" s="675"/>
      <c r="J84" s="675"/>
      <c r="K84" s="675"/>
      <c r="L84" s="675"/>
      <c r="M84" s="675"/>
    </row>
    <row r="85" spans="1:13" x14ac:dyDescent="0.25">
      <c r="A85" s="675" t="s">
        <v>511</v>
      </c>
      <c r="B85" s="675" t="s">
        <v>564</v>
      </c>
      <c r="C85" s="675" t="s">
        <v>572</v>
      </c>
      <c r="D85" s="675" t="s">
        <v>21</v>
      </c>
      <c r="E85" s="675" t="s">
        <v>514</v>
      </c>
      <c r="F85" s="675" t="s">
        <v>515</v>
      </c>
      <c r="G85" s="675"/>
      <c r="H85" s="675"/>
      <c r="I85" s="675"/>
      <c r="J85" s="675"/>
      <c r="K85" s="675"/>
      <c r="L85" s="675"/>
      <c r="M85" s="675"/>
    </row>
    <row r="86" spans="1:13" x14ac:dyDescent="0.25">
      <c r="A86" s="675" t="s">
        <v>511</v>
      </c>
      <c r="B86" s="675" t="s">
        <v>564</v>
      </c>
      <c r="C86" s="675" t="s">
        <v>573</v>
      </c>
      <c r="D86" s="675" t="s">
        <v>21</v>
      </c>
      <c r="E86" s="675" t="s">
        <v>514</v>
      </c>
      <c r="F86" s="675" t="s">
        <v>515</v>
      </c>
      <c r="G86" s="675"/>
      <c r="H86" s="675"/>
      <c r="I86" s="675"/>
      <c r="J86" s="675"/>
      <c r="K86" s="675"/>
      <c r="L86" s="675"/>
      <c r="M86" s="675"/>
    </row>
    <row r="87" spans="1:13" x14ac:dyDescent="0.25">
      <c r="A87" s="675" t="s">
        <v>511</v>
      </c>
      <c r="B87" s="675" t="s">
        <v>564</v>
      </c>
      <c r="C87" s="675" t="s">
        <v>574</v>
      </c>
      <c r="D87" s="675" t="s">
        <v>21</v>
      </c>
      <c r="E87" s="675" t="s">
        <v>514</v>
      </c>
      <c r="F87" s="675" t="s">
        <v>515</v>
      </c>
      <c r="G87" s="675"/>
      <c r="H87" s="675"/>
      <c r="I87" s="675"/>
      <c r="J87" s="675"/>
      <c r="K87" s="675"/>
      <c r="L87" s="675"/>
      <c r="M87" s="675"/>
    </row>
    <row r="88" spans="1:13" x14ac:dyDescent="0.25">
      <c r="A88" s="675" t="s">
        <v>511</v>
      </c>
      <c r="B88" s="675" t="s">
        <v>564</v>
      </c>
      <c r="C88" s="675" t="s">
        <v>575</v>
      </c>
      <c r="D88" s="675" t="s">
        <v>21</v>
      </c>
      <c r="E88" s="675" t="s">
        <v>514</v>
      </c>
      <c r="F88" s="675" t="s">
        <v>515</v>
      </c>
      <c r="G88" s="675"/>
      <c r="H88" s="675"/>
      <c r="I88" s="675"/>
      <c r="J88" s="675"/>
      <c r="K88" s="675"/>
      <c r="L88" s="675"/>
      <c r="M88" s="675"/>
    </row>
    <row r="89" spans="1:13" x14ac:dyDescent="0.25">
      <c r="A89" s="675" t="s">
        <v>511</v>
      </c>
      <c r="B89" s="675" t="s">
        <v>564</v>
      </c>
      <c r="C89" s="675" t="s">
        <v>576</v>
      </c>
      <c r="D89" s="675" t="s">
        <v>21</v>
      </c>
      <c r="E89" s="675" t="s">
        <v>514</v>
      </c>
      <c r="F89" s="675" t="s">
        <v>515</v>
      </c>
      <c r="G89" s="675"/>
      <c r="H89" s="675"/>
      <c r="I89" s="675"/>
      <c r="J89" s="675"/>
      <c r="K89" s="675"/>
      <c r="L89" s="675"/>
      <c r="M89" s="675"/>
    </row>
    <row r="90" spans="1:13" x14ac:dyDescent="0.25">
      <c r="A90" s="675" t="s">
        <v>511</v>
      </c>
      <c r="B90" s="675" t="s">
        <v>564</v>
      </c>
      <c r="C90" s="675" t="s">
        <v>577</v>
      </c>
      <c r="D90" s="675" t="s">
        <v>21</v>
      </c>
      <c r="E90" s="675" t="s">
        <v>514</v>
      </c>
      <c r="F90" s="675" t="s">
        <v>515</v>
      </c>
      <c r="G90" s="675"/>
      <c r="H90" s="675"/>
      <c r="I90" s="675"/>
      <c r="J90" s="675"/>
      <c r="K90" s="675"/>
      <c r="L90" s="675"/>
      <c r="M90" s="675"/>
    </row>
    <row r="91" spans="1:13" x14ac:dyDescent="0.25">
      <c r="A91" s="675" t="s">
        <v>511</v>
      </c>
      <c r="B91" s="675" t="s">
        <v>564</v>
      </c>
      <c r="C91" s="675" t="s">
        <v>578</v>
      </c>
      <c r="D91" s="675" t="s">
        <v>21</v>
      </c>
      <c r="E91" s="675" t="s">
        <v>514</v>
      </c>
      <c r="F91" s="675" t="s">
        <v>515</v>
      </c>
      <c r="G91" s="675"/>
      <c r="H91" s="675"/>
      <c r="I91" s="675"/>
      <c r="J91" s="675"/>
      <c r="K91" s="675"/>
      <c r="L91" s="675"/>
      <c r="M91" s="675"/>
    </row>
    <row r="92" spans="1:13" x14ac:dyDescent="0.25">
      <c r="A92" s="675" t="s">
        <v>579</v>
      </c>
      <c r="B92" s="675" t="s">
        <v>512</v>
      </c>
      <c r="C92" s="675" t="s">
        <v>580</v>
      </c>
      <c r="D92" s="675" t="s">
        <v>21</v>
      </c>
      <c r="E92" s="675" t="s">
        <v>514</v>
      </c>
      <c r="F92" s="675" t="s">
        <v>515</v>
      </c>
      <c r="G92" s="675"/>
      <c r="H92" s="675"/>
      <c r="I92" s="675"/>
      <c r="J92" s="675"/>
      <c r="K92" s="675"/>
      <c r="L92" s="675"/>
      <c r="M92" s="675"/>
    </row>
    <row r="93" spans="1:13" x14ac:dyDescent="0.25">
      <c r="A93" s="675" t="s">
        <v>579</v>
      </c>
      <c r="B93" s="675" t="s">
        <v>512</v>
      </c>
      <c r="C93" s="675" t="s">
        <v>581</v>
      </c>
      <c r="D93" s="675" t="s">
        <v>21</v>
      </c>
      <c r="E93" s="675" t="s">
        <v>514</v>
      </c>
      <c r="F93" s="675" t="s">
        <v>515</v>
      </c>
      <c r="G93" s="675"/>
      <c r="H93" s="675"/>
      <c r="I93" s="675"/>
      <c r="J93" s="675"/>
      <c r="K93" s="675"/>
      <c r="L93" s="675"/>
      <c r="M93" s="675"/>
    </row>
    <row r="94" spans="1:13" x14ac:dyDescent="0.25">
      <c r="A94" s="675" t="s">
        <v>579</v>
      </c>
      <c r="B94" s="675" t="s">
        <v>512</v>
      </c>
      <c r="C94" s="675" t="s">
        <v>582</v>
      </c>
      <c r="D94" s="675" t="s">
        <v>21</v>
      </c>
      <c r="E94" s="675" t="s">
        <v>514</v>
      </c>
      <c r="F94" s="675" t="s">
        <v>515</v>
      </c>
      <c r="G94" s="675"/>
      <c r="H94" s="675"/>
      <c r="I94" s="675"/>
      <c r="J94" s="675"/>
      <c r="K94" s="675"/>
      <c r="L94" s="675"/>
      <c r="M94" s="675"/>
    </row>
    <row r="95" spans="1:13" x14ac:dyDescent="0.25">
      <c r="A95" s="675" t="s">
        <v>579</v>
      </c>
      <c r="B95" s="675" t="s">
        <v>512</v>
      </c>
      <c r="C95" s="675" t="s">
        <v>583</v>
      </c>
      <c r="D95" s="675" t="s">
        <v>21</v>
      </c>
      <c r="E95" s="675" t="s">
        <v>514</v>
      </c>
      <c r="F95" s="675" t="s">
        <v>515</v>
      </c>
      <c r="G95" s="675"/>
      <c r="H95" s="675"/>
      <c r="I95" s="675"/>
      <c r="J95" s="675"/>
      <c r="K95" s="675"/>
      <c r="L95" s="675"/>
      <c r="M95" s="675"/>
    </row>
    <row r="96" spans="1:13" x14ac:dyDescent="0.25">
      <c r="A96" s="675" t="s">
        <v>579</v>
      </c>
      <c r="B96" s="675" t="s">
        <v>512</v>
      </c>
      <c r="C96" s="675" t="s">
        <v>584</v>
      </c>
      <c r="D96" s="675" t="s">
        <v>21</v>
      </c>
      <c r="E96" s="675" t="s">
        <v>514</v>
      </c>
      <c r="F96" s="675" t="s">
        <v>515</v>
      </c>
      <c r="G96" s="675"/>
      <c r="H96" s="675"/>
      <c r="I96" s="675"/>
      <c r="J96" s="675"/>
      <c r="K96" s="675"/>
      <c r="L96" s="675"/>
      <c r="M96" s="675"/>
    </row>
    <row r="97" spans="1:13" x14ac:dyDescent="0.25">
      <c r="A97" s="675" t="s">
        <v>579</v>
      </c>
      <c r="B97" s="675" t="s">
        <v>512</v>
      </c>
      <c r="C97" s="675" t="s">
        <v>521</v>
      </c>
      <c r="D97" s="675" t="s">
        <v>21</v>
      </c>
      <c r="E97" s="675" t="s">
        <v>514</v>
      </c>
      <c r="F97" s="675" t="s">
        <v>515</v>
      </c>
      <c r="G97" s="675"/>
      <c r="H97" s="675"/>
      <c r="I97" s="675"/>
      <c r="J97" s="675"/>
      <c r="K97" s="675"/>
      <c r="L97" s="675"/>
      <c r="M97" s="675"/>
    </row>
    <row r="98" spans="1:13" x14ac:dyDescent="0.25">
      <c r="A98" s="675" t="s">
        <v>579</v>
      </c>
      <c r="B98" s="675" t="s">
        <v>512</v>
      </c>
      <c r="C98" s="675" t="s">
        <v>522</v>
      </c>
      <c r="D98" s="675" t="s">
        <v>21</v>
      </c>
      <c r="E98" s="675" t="s">
        <v>514</v>
      </c>
      <c r="F98" s="675" t="s">
        <v>515</v>
      </c>
      <c r="G98" s="675"/>
      <c r="H98" s="675"/>
      <c r="I98" s="675"/>
      <c r="J98" s="675"/>
      <c r="K98" s="675"/>
      <c r="L98" s="675"/>
      <c r="M98" s="675"/>
    </row>
    <row r="99" spans="1:13" x14ac:dyDescent="0.25">
      <c r="A99" s="675" t="s">
        <v>579</v>
      </c>
      <c r="B99" s="675" t="s">
        <v>512</v>
      </c>
      <c r="C99" s="675" t="s">
        <v>585</v>
      </c>
      <c r="D99" s="675" t="s">
        <v>21</v>
      </c>
      <c r="E99" s="675" t="s">
        <v>514</v>
      </c>
      <c r="F99" s="675" t="s">
        <v>515</v>
      </c>
      <c r="G99" s="675"/>
      <c r="H99" s="675"/>
      <c r="I99" s="675"/>
      <c r="J99" s="675"/>
      <c r="K99" s="675"/>
      <c r="L99" s="675"/>
      <c r="M99" s="675"/>
    </row>
    <row r="100" spans="1:13" x14ac:dyDescent="0.25">
      <c r="A100" s="675" t="s">
        <v>579</v>
      </c>
      <c r="B100" s="675" t="s">
        <v>512</v>
      </c>
      <c r="C100" s="675" t="s">
        <v>586</v>
      </c>
      <c r="D100" s="675" t="s">
        <v>21</v>
      </c>
      <c r="E100" s="675" t="s">
        <v>514</v>
      </c>
      <c r="F100" s="675" t="s">
        <v>515</v>
      </c>
      <c r="G100" s="675"/>
      <c r="H100" s="675"/>
      <c r="I100" s="675"/>
      <c r="J100" s="675"/>
      <c r="K100" s="675"/>
      <c r="L100" s="675"/>
      <c r="M100" s="675"/>
    </row>
    <row r="101" spans="1:13" x14ac:dyDescent="0.25">
      <c r="A101" s="675" t="s">
        <v>579</v>
      </c>
      <c r="B101" s="675" t="s">
        <v>512</v>
      </c>
      <c r="C101" s="675" t="s">
        <v>587</v>
      </c>
      <c r="D101" s="675" t="s">
        <v>21</v>
      </c>
      <c r="E101" s="675" t="s">
        <v>514</v>
      </c>
      <c r="F101" s="675" t="s">
        <v>515</v>
      </c>
      <c r="G101" s="675"/>
      <c r="H101" s="675"/>
      <c r="I101" s="675"/>
      <c r="J101" s="675"/>
      <c r="K101" s="675"/>
      <c r="L101" s="675"/>
      <c r="M101" s="675"/>
    </row>
    <row r="102" spans="1:13" x14ac:dyDescent="0.25">
      <c r="A102" s="675" t="s">
        <v>579</v>
      </c>
      <c r="B102" s="675" t="s">
        <v>512</v>
      </c>
      <c r="C102" s="675" t="s">
        <v>588</v>
      </c>
      <c r="D102" s="675" t="s">
        <v>21</v>
      </c>
      <c r="E102" s="675" t="s">
        <v>514</v>
      </c>
      <c r="F102" s="675" t="s">
        <v>515</v>
      </c>
      <c r="G102" s="675"/>
      <c r="H102" s="675"/>
      <c r="I102" s="675"/>
      <c r="J102" s="675"/>
      <c r="K102" s="675"/>
      <c r="L102" s="675"/>
      <c r="M102" s="675"/>
    </row>
    <row r="103" spans="1:13" x14ac:dyDescent="0.25">
      <c r="A103" s="675" t="s">
        <v>579</v>
      </c>
      <c r="B103" s="675" t="s">
        <v>512</v>
      </c>
      <c r="C103" s="675" t="s">
        <v>589</v>
      </c>
      <c r="D103" s="675" t="s">
        <v>21</v>
      </c>
      <c r="E103" s="675" t="s">
        <v>514</v>
      </c>
      <c r="F103" s="675" t="s">
        <v>515</v>
      </c>
      <c r="G103" s="675"/>
      <c r="H103" s="675"/>
      <c r="I103" s="675"/>
      <c r="J103" s="675"/>
      <c r="K103" s="675"/>
      <c r="L103" s="675"/>
      <c r="M103" s="675"/>
    </row>
    <row r="104" spans="1:13" x14ac:dyDescent="0.25">
      <c r="A104" s="675" t="s">
        <v>579</v>
      </c>
      <c r="B104" s="675" t="s">
        <v>512</v>
      </c>
      <c r="C104" s="675" t="s">
        <v>590</v>
      </c>
      <c r="D104" s="675" t="s">
        <v>21</v>
      </c>
      <c r="E104" s="675" t="s">
        <v>514</v>
      </c>
      <c r="F104" s="675" t="s">
        <v>515</v>
      </c>
      <c r="G104" s="675"/>
      <c r="H104" s="675"/>
      <c r="I104" s="675"/>
      <c r="J104" s="675"/>
      <c r="K104" s="675"/>
      <c r="L104" s="675"/>
      <c r="M104" s="675"/>
    </row>
    <row r="105" spans="1:13" x14ac:dyDescent="0.25">
      <c r="A105" s="675" t="s">
        <v>579</v>
      </c>
      <c r="B105" s="675" t="s">
        <v>512</v>
      </c>
      <c r="C105" s="675" t="s">
        <v>591</v>
      </c>
      <c r="D105" s="675" t="s">
        <v>21</v>
      </c>
      <c r="E105" s="675" t="s">
        <v>514</v>
      </c>
      <c r="F105" s="675" t="s">
        <v>515</v>
      </c>
      <c r="G105" s="675"/>
      <c r="H105" s="675"/>
      <c r="I105" s="675"/>
      <c r="J105" s="675"/>
      <c r="K105" s="675"/>
      <c r="L105" s="675"/>
      <c r="M105" s="675"/>
    </row>
    <row r="106" spans="1:13" x14ac:dyDescent="0.25">
      <c r="A106" s="675" t="s">
        <v>579</v>
      </c>
      <c r="B106" s="675" t="s">
        <v>512</v>
      </c>
      <c r="C106" s="675" t="s">
        <v>592</v>
      </c>
      <c r="D106" s="675" t="s">
        <v>21</v>
      </c>
      <c r="E106" s="675" t="s">
        <v>514</v>
      </c>
      <c r="F106" s="675" t="s">
        <v>515</v>
      </c>
      <c r="G106" s="675"/>
      <c r="H106" s="675"/>
      <c r="I106" s="675"/>
      <c r="J106" s="675"/>
      <c r="K106" s="675"/>
      <c r="L106" s="675"/>
      <c r="M106" s="675"/>
    </row>
    <row r="107" spans="1:13" x14ac:dyDescent="0.25">
      <c r="A107" s="675" t="s">
        <v>579</v>
      </c>
      <c r="B107" s="675" t="s">
        <v>512</v>
      </c>
      <c r="C107" s="675" t="s">
        <v>593</v>
      </c>
      <c r="D107" s="675" t="s">
        <v>21</v>
      </c>
      <c r="E107" s="675" t="s">
        <v>514</v>
      </c>
      <c r="F107" s="675" t="s">
        <v>515</v>
      </c>
      <c r="G107" s="675"/>
      <c r="H107" s="675"/>
      <c r="I107" s="675"/>
      <c r="J107" s="675"/>
      <c r="K107" s="675"/>
      <c r="L107" s="675"/>
      <c r="M107" s="675"/>
    </row>
    <row r="108" spans="1:13" x14ac:dyDescent="0.25">
      <c r="A108" s="675" t="s">
        <v>579</v>
      </c>
      <c r="B108" s="675" t="s">
        <v>512</v>
      </c>
      <c r="C108" s="675" t="s">
        <v>594</v>
      </c>
      <c r="D108" s="675" t="s">
        <v>21</v>
      </c>
      <c r="E108" s="675" t="s">
        <v>514</v>
      </c>
      <c r="F108" s="675" t="s">
        <v>515</v>
      </c>
      <c r="G108" s="675"/>
      <c r="H108" s="675"/>
      <c r="I108" s="675"/>
      <c r="J108" s="675"/>
      <c r="K108" s="675"/>
      <c r="L108" s="675"/>
      <c r="M108" s="675"/>
    </row>
    <row r="109" spans="1:13" x14ac:dyDescent="0.25">
      <c r="A109" s="678" t="s">
        <v>579</v>
      </c>
      <c r="B109" s="678" t="s">
        <v>512</v>
      </c>
      <c r="C109" s="678" t="s">
        <v>595</v>
      </c>
      <c r="D109" s="678" t="s">
        <v>21</v>
      </c>
      <c r="E109" s="678" t="s">
        <v>514</v>
      </c>
      <c r="F109" s="678" t="s">
        <v>596</v>
      </c>
      <c r="G109" s="675"/>
      <c r="H109" s="675"/>
      <c r="I109" s="675"/>
      <c r="J109" s="675"/>
      <c r="K109" s="675"/>
      <c r="L109" s="675"/>
      <c r="M109" s="675"/>
    </row>
    <row r="110" spans="1:13" x14ac:dyDescent="0.25">
      <c r="A110" s="675" t="s">
        <v>579</v>
      </c>
      <c r="B110" s="675" t="s">
        <v>512</v>
      </c>
      <c r="C110" s="675" t="s">
        <v>597</v>
      </c>
      <c r="D110" s="675" t="s">
        <v>21</v>
      </c>
      <c r="E110" s="675" t="s">
        <v>514</v>
      </c>
      <c r="F110" s="675" t="s">
        <v>515</v>
      </c>
      <c r="G110" s="675"/>
      <c r="H110" s="675"/>
      <c r="I110" s="675"/>
      <c r="J110" s="675"/>
      <c r="K110" s="675"/>
      <c r="L110" s="675"/>
      <c r="M110" s="675"/>
    </row>
    <row r="111" spans="1:13" x14ac:dyDescent="0.25">
      <c r="A111" s="675" t="s">
        <v>579</v>
      </c>
      <c r="B111" s="675" t="s">
        <v>512</v>
      </c>
      <c r="C111" s="675" t="s">
        <v>542</v>
      </c>
      <c r="D111" s="675" t="s">
        <v>21</v>
      </c>
      <c r="E111" s="675" t="s">
        <v>514</v>
      </c>
      <c r="F111" s="675" t="s">
        <v>515</v>
      </c>
      <c r="G111" s="675"/>
      <c r="H111" s="675"/>
      <c r="I111" s="675"/>
      <c r="J111" s="675"/>
      <c r="K111" s="675"/>
      <c r="L111" s="675"/>
      <c r="M111" s="675"/>
    </row>
    <row r="112" spans="1:13" x14ac:dyDescent="0.25">
      <c r="A112" s="678" t="s">
        <v>579</v>
      </c>
      <c r="B112" s="678" t="s">
        <v>512</v>
      </c>
      <c r="C112" s="678" t="s">
        <v>598</v>
      </c>
      <c r="D112" s="678" t="s">
        <v>21</v>
      </c>
      <c r="E112" s="678" t="s">
        <v>514</v>
      </c>
      <c r="F112" s="678" t="s">
        <v>596</v>
      </c>
      <c r="G112" s="675"/>
      <c r="H112" s="675"/>
      <c r="I112" s="675"/>
      <c r="J112" s="675"/>
      <c r="K112" s="675"/>
      <c r="L112" s="675"/>
      <c r="M112" s="675"/>
    </row>
    <row r="113" spans="1:13" x14ac:dyDescent="0.25">
      <c r="A113" s="675" t="s">
        <v>579</v>
      </c>
      <c r="B113" s="675" t="s">
        <v>512</v>
      </c>
      <c r="C113" s="675" t="s">
        <v>599</v>
      </c>
      <c r="D113" s="675" t="s">
        <v>21</v>
      </c>
      <c r="E113" s="675" t="s">
        <v>514</v>
      </c>
      <c r="F113" s="675" t="s">
        <v>515</v>
      </c>
      <c r="G113" s="675"/>
      <c r="H113" s="675"/>
      <c r="I113" s="675"/>
      <c r="J113" s="675"/>
      <c r="K113" s="675"/>
      <c r="L113" s="675"/>
      <c r="M113" s="675"/>
    </row>
    <row r="114" spans="1:13" x14ac:dyDescent="0.25">
      <c r="A114" s="675" t="s">
        <v>579</v>
      </c>
      <c r="B114" s="675" t="s">
        <v>545</v>
      </c>
      <c r="C114" s="675" t="s">
        <v>600</v>
      </c>
      <c r="D114" s="675" t="s">
        <v>21</v>
      </c>
      <c r="E114" s="675" t="s">
        <v>514</v>
      </c>
      <c r="F114" s="675" t="s">
        <v>515</v>
      </c>
      <c r="G114" s="675"/>
      <c r="H114" s="675"/>
      <c r="I114" s="675"/>
      <c r="J114" s="675"/>
      <c r="K114" s="675"/>
      <c r="L114" s="675"/>
      <c r="M114" s="675"/>
    </row>
    <row r="115" spans="1:13" x14ac:dyDescent="0.25">
      <c r="A115" s="675" t="s">
        <v>579</v>
      </c>
      <c r="B115" s="675" t="s">
        <v>545</v>
      </c>
      <c r="C115" s="675" t="s">
        <v>601</v>
      </c>
      <c r="D115" s="675" t="s">
        <v>21</v>
      </c>
      <c r="E115" s="675" t="s">
        <v>514</v>
      </c>
      <c r="F115" s="675" t="s">
        <v>515</v>
      </c>
      <c r="G115" s="675"/>
      <c r="H115" s="675"/>
      <c r="I115" s="675"/>
      <c r="J115" s="675"/>
      <c r="K115" s="675"/>
      <c r="L115" s="675"/>
      <c r="M115" s="675"/>
    </row>
    <row r="116" spans="1:13" x14ac:dyDescent="0.25">
      <c r="A116" s="675" t="s">
        <v>579</v>
      </c>
      <c r="B116" s="675" t="s">
        <v>545</v>
      </c>
      <c r="C116" s="675" t="s">
        <v>602</v>
      </c>
      <c r="D116" s="675" t="s">
        <v>21</v>
      </c>
      <c r="E116" s="675" t="s">
        <v>514</v>
      </c>
      <c r="F116" s="675" t="s">
        <v>515</v>
      </c>
      <c r="G116" s="675"/>
      <c r="H116" s="675"/>
      <c r="I116" s="675"/>
      <c r="J116" s="675"/>
      <c r="K116" s="675"/>
      <c r="L116" s="675"/>
      <c r="M116" s="675"/>
    </row>
    <row r="117" spans="1:13" x14ac:dyDescent="0.25">
      <c r="A117" s="675" t="s">
        <v>579</v>
      </c>
      <c r="B117" s="675" t="s">
        <v>545</v>
      </c>
      <c r="C117" s="675" t="s">
        <v>603</v>
      </c>
      <c r="D117" s="675" t="s">
        <v>21</v>
      </c>
      <c r="E117" s="675" t="s">
        <v>514</v>
      </c>
      <c r="F117" s="675" t="s">
        <v>515</v>
      </c>
      <c r="G117" s="675"/>
      <c r="H117" s="675"/>
      <c r="I117" s="675"/>
      <c r="J117" s="675"/>
      <c r="K117" s="675"/>
      <c r="L117" s="675"/>
      <c r="M117" s="675"/>
    </row>
    <row r="118" spans="1:13" x14ac:dyDescent="0.25">
      <c r="A118" s="675" t="s">
        <v>579</v>
      </c>
      <c r="B118" s="675" t="s">
        <v>545</v>
      </c>
      <c r="C118" s="675" t="s">
        <v>604</v>
      </c>
      <c r="D118" s="675" t="s">
        <v>21</v>
      </c>
      <c r="E118" s="675" t="s">
        <v>514</v>
      </c>
      <c r="F118" s="675" t="s">
        <v>515</v>
      </c>
      <c r="G118" s="675"/>
      <c r="H118" s="675"/>
      <c r="I118" s="675"/>
      <c r="J118" s="675"/>
      <c r="K118" s="675"/>
      <c r="L118" s="675"/>
      <c r="M118" s="675"/>
    </row>
    <row r="119" spans="1:13" x14ac:dyDescent="0.25">
      <c r="A119" s="675" t="s">
        <v>579</v>
      </c>
      <c r="B119" s="675" t="s">
        <v>545</v>
      </c>
      <c r="C119" s="675" t="s">
        <v>552</v>
      </c>
      <c r="D119" s="675" t="s">
        <v>21</v>
      </c>
      <c r="E119" s="675" t="s">
        <v>514</v>
      </c>
      <c r="F119" s="675" t="s">
        <v>515</v>
      </c>
      <c r="G119" s="675"/>
      <c r="H119" s="675"/>
      <c r="I119" s="675"/>
      <c r="J119" s="675"/>
      <c r="K119" s="675"/>
      <c r="L119" s="675"/>
      <c r="M119" s="675"/>
    </row>
    <row r="120" spans="1:13" x14ac:dyDescent="0.25">
      <c r="A120" s="675" t="s">
        <v>579</v>
      </c>
      <c r="B120" s="675" t="s">
        <v>545</v>
      </c>
      <c r="C120" s="675" t="s">
        <v>605</v>
      </c>
      <c r="D120" s="675" t="s">
        <v>21</v>
      </c>
      <c r="E120" s="675" t="s">
        <v>514</v>
      </c>
      <c r="F120" s="675" t="s">
        <v>515</v>
      </c>
      <c r="G120" s="675"/>
      <c r="H120" s="675"/>
      <c r="I120" s="675"/>
      <c r="J120" s="675"/>
      <c r="K120" s="675"/>
      <c r="L120" s="675"/>
      <c r="M120" s="675"/>
    </row>
    <row r="121" spans="1:13" x14ac:dyDescent="0.25">
      <c r="A121" s="675" t="s">
        <v>579</v>
      </c>
      <c r="B121" s="675" t="s">
        <v>545</v>
      </c>
      <c r="C121" s="675" t="s">
        <v>553</v>
      </c>
      <c r="D121" s="675" t="s">
        <v>21</v>
      </c>
      <c r="E121" s="675" t="s">
        <v>514</v>
      </c>
      <c r="F121" s="675" t="s">
        <v>515</v>
      </c>
      <c r="G121" s="675"/>
      <c r="H121" s="675"/>
      <c r="I121" s="675"/>
      <c r="J121" s="675"/>
      <c r="K121" s="675"/>
      <c r="L121" s="675"/>
      <c r="M121" s="675"/>
    </row>
    <row r="122" spans="1:13" x14ac:dyDescent="0.25">
      <c r="A122" s="675" t="s">
        <v>579</v>
      </c>
      <c r="B122" s="675" t="s">
        <v>545</v>
      </c>
      <c r="C122" s="675" t="s">
        <v>606</v>
      </c>
      <c r="D122" s="675" t="s">
        <v>21</v>
      </c>
      <c r="E122" s="675" t="s">
        <v>514</v>
      </c>
      <c r="F122" s="675" t="s">
        <v>515</v>
      </c>
      <c r="G122" s="675"/>
      <c r="H122" s="675"/>
      <c r="I122" s="675"/>
      <c r="J122" s="675"/>
      <c r="K122" s="675"/>
      <c r="L122" s="675"/>
      <c r="M122" s="675"/>
    </row>
    <row r="123" spans="1:13" x14ac:dyDescent="0.25">
      <c r="A123" s="675" t="s">
        <v>579</v>
      </c>
      <c r="B123" s="675" t="s">
        <v>545</v>
      </c>
      <c r="C123" s="675" t="s">
        <v>607</v>
      </c>
      <c r="D123" s="675" t="s">
        <v>21</v>
      </c>
      <c r="E123" s="675" t="s">
        <v>514</v>
      </c>
      <c r="F123" s="675" t="s">
        <v>515</v>
      </c>
      <c r="G123" s="675"/>
      <c r="H123" s="675"/>
      <c r="I123" s="675"/>
      <c r="J123" s="675"/>
      <c r="K123" s="675"/>
      <c r="L123" s="675"/>
      <c r="M123" s="675"/>
    </row>
    <row r="124" spans="1:13" x14ac:dyDescent="0.25">
      <c r="A124" s="675" t="s">
        <v>579</v>
      </c>
      <c r="B124" s="675" t="s">
        <v>545</v>
      </c>
      <c r="C124" s="675" t="s">
        <v>554</v>
      </c>
      <c r="D124" s="675" t="s">
        <v>21</v>
      </c>
      <c r="E124" s="675" t="s">
        <v>514</v>
      </c>
      <c r="F124" s="675" t="s">
        <v>515</v>
      </c>
      <c r="G124" s="675"/>
      <c r="H124" s="675"/>
      <c r="I124" s="675"/>
      <c r="J124" s="675"/>
      <c r="K124" s="675"/>
      <c r="L124" s="675"/>
      <c r="M124" s="675"/>
    </row>
    <row r="125" spans="1:13" x14ac:dyDescent="0.25">
      <c r="A125" s="675" t="s">
        <v>579</v>
      </c>
      <c r="B125" s="675" t="s">
        <v>545</v>
      </c>
      <c r="C125" s="675" t="s">
        <v>555</v>
      </c>
      <c r="D125" s="675" t="s">
        <v>21</v>
      </c>
      <c r="E125" s="675" t="s">
        <v>514</v>
      </c>
      <c r="F125" s="675" t="s">
        <v>515</v>
      </c>
      <c r="G125" s="675"/>
      <c r="H125" s="675"/>
      <c r="I125" s="675"/>
      <c r="J125" s="675"/>
      <c r="K125" s="675"/>
      <c r="L125" s="675"/>
      <c r="M125" s="675"/>
    </row>
    <row r="126" spans="1:13" x14ac:dyDescent="0.25">
      <c r="A126" s="675" t="s">
        <v>579</v>
      </c>
      <c r="B126" s="675" t="s">
        <v>545</v>
      </c>
      <c r="C126" s="675" t="s">
        <v>608</v>
      </c>
      <c r="D126" s="675" t="s">
        <v>21</v>
      </c>
      <c r="E126" s="675" t="s">
        <v>514</v>
      </c>
      <c r="F126" s="675" t="s">
        <v>515</v>
      </c>
      <c r="G126" s="675"/>
      <c r="H126" s="675"/>
      <c r="I126" s="675"/>
      <c r="J126" s="675"/>
      <c r="K126" s="675"/>
      <c r="L126" s="675"/>
      <c r="M126" s="675"/>
    </row>
    <row r="127" spans="1:13" x14ac:dyDescent="0.25">
      <c r="A127" s="675" t="s">
        <v>579</v>
      </c>
      <c r="B127" s="675" t="s">
        <v>545</v>
      </c>
      <c r="C127" s="675" t="s">
        <v>609</v>
      </c>
      <c r="D127" s="675" t="s">
        <v>21</v>
      </c>
      <c r="E127" s="675" t="s">
        <v>514</v>
      </c>
      <c r="F127" s="675" t="s">
        <v>515</v>
      </c>
      <c r="G127" s="675"/>
      <c r="H127" s="675"/>
      <c r="I127" s="675"/>
      <c r="J127" s="675"/>
      <c r="K127" s="675"/>
      <c r="L127" s="675"/>
      <c r="M127" s="675"/>
    </row>
    <row r="128" spans="1:13" x14ac:dyDescent="0.25">
      <c r="A128" s="675" t="s">
        <v>579</v>
      </c>
      <c r="B128" s="675" t="s">
        <v>545</v>
      </c>
      <c r="C128" s="675" t="s">
        <v>610</v>
      </c>
      <c r="D128" s="675" t="s">
        <v>21</v>
      </c>
      <c r="E128" s="675" t="s">
        <v>514</v>
      </c>
      <c r="F128" s="675" t="s">
        <v>515</v>
      </c>
      <c r="G128" s="675"/>
      <c r="H128" s="675"/>
      <c r="I128" s="675"/>
      <c r="J128" s="675"/>
      <c r="K128" s="675"/>
      <c r="L128" s="675"/>
      <c r="M128" s="675"/>
    </row>
    <row r="129" spans="1:13" x14ac:dyDescent="0.25">
      <c r="A129" s="675" t="s">
        <v>579</v>
      </c>
      <c r="B129" s="675" t="s">
        <v>545</v>
      </c>
      <c r="C129" s="675" t="s">
        <v>611</v>
      </c>
      <c r="D129" s="675" t="s">
        <v>21</v>
      </c>
      <c r="E129" s="675" t="s">
        <v>514</v>
      </c>
      <c r="F129" s="675" t="s">
        <v>515</v>
      </c>
      <c r="G129" s="675"/>
      <c r="H129" s="675"/>
      <c r="I129" s="675"/>
      <c r="J129" s="675"/>
      <c r="K129" s="675"/>
      <c r="L129" s="675"/>
      <c r="M129" s="675"/>
    </row>
    <row r="130" spans="1:13" x14ac:dyDescent="0.25">
      <c r="A130" s="675" t="s">
        <v>579</v>
      </c>
      <c r="B130" s="675" t="s">
        <v>545</v>
      </c>
      <c r="C130" s="675" t="s">
        <v>612</v>
      </c>
      <c r="D130" s="675" t="s">
        <v>21</v>
      </c>
      <c r="E130" s="675" t="s">
        <v>514</v>
      </c>
      <c r="F130" s="675" t="s">
        <v>515</v>
      </c>
      <c r="G130" s="675"/>
      <c r="H130" s="675"/>
      <c r="I130" s="675"/>
      <c r="J130" s="675"/>
      <c r="K130" s="675"/>
      <c r="L130" s="675"/>
      <c r="M130" s="675"/>
    </row>
    <row r="131" spans="1:13" x14ac:dyDescent="0.25">
      <c r="A131" s="675" t="s">
        <v>579</v>
      </c>
      <c r="B131" s="675" t="s">
        <v>564</v>
      </c>
      <c r="C131" s="675" t="s">
        <v>613</v>
      </c>
      <c r="D131" s="675" t="s">
        <v>21</v>
      </c>
      <c r="E131" s="675" t="s">
        <v>514</v>
      </c>
      <c r="F131" s="675" t="s">
        <v>515</v>
      </c>
      <c r="G131" s="675"/>
      <c r="H131" s="675"/>
      <c r="I131" s="675"/>
      <c r="J131" s="675"/>
      <c r="K131" s="675"/>
      <c r="L131" s="675"/>
      <c r="M131" s="675"/>
    </row>
    <row r="132" spans="1:13" x14ac:dyDescent="0.25">
      <c r="A132" s="675" t="s">
        <v>579</v>
      </c>
      <c r="B132" s="675" t="s">
        <v>564</v>
      </c>
      <c r="C132" s="675" t="s">
        <v>614</v>
      </c>
      <c r="D132" s="675" t="s">
        <v>21</v>
      </c>
      <c r="E132" s="675" t="s">
        <v>514</v>
      </c>
      <c r="F132" s="675" t="s">
        <v>515</v>
      </c>
      <c r="G132" s="675"/>
      <c r="H132" s="675"/>
      <c r="I132" s="675"/>
      <c r="J132" s="675"/>
      <c r="K132" s="675"/>
      <c r="L132" s="675"/>
      <c r="M132" s="675"/>
    </row>
    <row r="133" spans="1:13" x14ac:dyDescent="0.25">
      <c r="A133" s="675" t="s">
        <v>579</v>
      </c>
      <c r="B133" s="675" t="s">
        <v>564</v>
      </c>
      <c r="C133" s="675" t="s">
        <v>615</v>
      </c>
      <c r="D133" s="675" t="s">
        <v>21</v>
      </c>
      <c r="E133" s="675" t="s">
        <v>514</v>
      </c>
      <c r="F133" s="675" t="s">
        <v>515</v>
      </c>
      <c r="G133" s="675"/>
      <c r="H133" s="675"/>
      <c r="I133" s="675"/>
      <c r="J133" s="675"/>
      <c r="K133" s="675"/>
      <c r="L133" s="675"/>
      <c r="M133" s="675"/>
    </row>
    <row r="134" spans="1:13" x14ac:dyDescent="0.25">
      <c r="A134" s="675" t="s">
        <v>579</v>
      </c>
      <c r="B134" s="675" t="s">
        <v>564</v>
      </c>
      <c r="C134" s="675" t="s">
        <v>616</v>
      </c>
      <c r="D134" s="675" t="s">
        <v>21</v>
      </c>
      <c r="E134" s="675" t="s">
        <v>514</v>
      </c>
      <c r="F134" s="675" t="s">
        <v>515</v>
      </c>
      <c r="G134" s="675"/>
      <c r="H134" s="675"/>
      <c r="I134" s="675"/>
      <c r="J134" s="675"/>
      <c r="K134" s="675"/>
      <c r="L134" s="675"/>
      <c r="M134" s="675"/>
    </row>
    <row r="135" spans="1:13" x14ac:dyDescent="0.25">
      <c r="A135" s="675" t="s">
        <v>579</v>
      </c>
      <c r="B135" s="675" t="s">
        <v>564</v>
      </c>
      <c r="C135" s="675" t="s">
        <v>617</v>
      </c>
      <c r="D135" s="675" t="s">
        <v>21</v>
      </c>
      <c r="E135" s="675" t="s">
        <v>514</v>
      </c>
      <c r="F135" s="675" t="s">
        <v>515</v>
      </c>
      <c r="G135" s="675"/>
      <c r="H135" s="675"/>
      <c r="I135" s="675"/>
      <c r="J135" s="675"/>
      <c r="K135" s="675"/>
      <c r="L135" s="675"/>
      <c r="M135" s="675"/>
    </row>
    <row r="136" spans="1:13" x14ac:dyDescent="0.25">
      <c r="A136" s="675" t="s">
        <v>579</v>
      </c>
      <c r="B136" s="675" t="s">
        <v>564</v>
      </c>
      <c r="C136" s="675" t="s">
        <v>618</v>
      </c>
      <c r="D136" s="675" t="s">
        <v>21</v>
      </c>
      <c r="E136" s="675" t="s">
        <v>514</v>
      </c>
      <c r="F136" s="675" t="s">
        <v>515</v>
      </c>
      <c r="G136" s="675"/>
      <c r="H136" s="675"/>
      <c r="I136" s="675"/>
      <c r="J136" s="675"/>
      <c r="K136" s="675"/>
      <c r="L136" s="675"/>
      <c r="M136" s="675"/>
    </row>
    <row r="137" spans="1:13" x14ac:dyDescent="0.25">
      <c r="A137" s="675" t="s">
        <v>579</v>
      </c>
      <c r="B137" s="675" t="s">
        <v>564</v>
      </c>
      <c r="C137" s="675" t="s">
        <v>619</v>
      </c>
      <c r="D137" s="675" t="s">
        <v>21</v>
      </c>
      <c r="E137" s="675" t="s">
        <v>514</v>
      </c>
      <c r="F137" s="675" t="s">
        <v>515</v>
      </c>
      <c r="G137" s="675"/>
      <c r="H137" s="675"/>
      <c r="I137" s="675"/>
      <c r="J137" s="675"/>
      <c r="K137" s="675"/>
      <c r="L137" s="675"/>
      <c r="M137" s="675"/>
    </row>
    <row r="138" spans="1:13" x14ac:dyDescent="0.25">
      <c r="A138" s="675" t="s">
        <v>620</v>
      </c>
      <c r="B138" s="675" t="s">
        <v>512</v>
      </c>
      <c r="C138" s="675" t="s">
        <v>621</v>
      </c>
      <c r="D138" s="675" t="s">
        <v>21</v>
      </c>
      <c r="E138" s="675" t="s">
        <v>514</v>
      </c>
      <c r="F138" s="675" t="s">
        <v>515</v>
      </c>
      <c r="G138" s="675"/>
      <c r="H138" s="675"/>
      <c r="I138" s="675"/>
      <c r="J138" s="675"/>
      <c r="K138" s="675"/>
      <c r="L138" s="675"/>
      <c r="M138" s="675"/>
    </row>
    <row r="139" spans="1:13" x14ac:dyDescent="0.25">
      <c r="A139" s="675" t="s">
        <v>620</v>
      </c>
      <c r="B139" s="675" t="s">
        <v>512</v>
      </c>
      <c r="C139" s="675" t="s">
        <v>622</v>
      </c>
      <c r="D139" s="675" t="s">
        <v>21</v>
      </c>
      <c r="E139" s="675" t="s">
        <v>514</v>
      </c>
      <c r="F139" s="675" t="s">
        <v>515</v>
      </c>
      <c r="G139" s="675"/>
      <c r="H139" s="675"/>
      <c r="I139" s="675"/>
      <c r="J139" s="675"/>
      <c r="K139" s="675"/>
      <c r="L139" s="675"/>
      <c r="M139" s="675"/>
    </row>
    <row r="140" spans="1:13" x14ac:dyDescent="0.25">
      <c r="A140" s="675" t="s">
        <v>620</v>
      </c>
      <c r="B140" s="675" t="s">
        <v>512</v>
      </c>
      <c r="C140" s="675" t="s">
        <v>623</v>
      </c>
      <c r="D140" s="675" t="s">
        <v>21</v>
      </c>
      <c r="E140" s="675" t="s">
        <v>514</v>
      </c>
      <c r="F140" s="675" t="s">
        <v>515</v>
      </c>
      <c r="G140" s="675"/>
      <c r="H140" s="675"/>
      <c r="I140" s="675"/>
      <c r="J140" s="675"/>
      <c r="K140" s="675"/>
      <c r="L140" s="675"/>
      <c r="M140" s="675"/>
    </row>
    <row r="141" spans="1:13" x14ac:dyDescent="0.25">
      <c r="A141" s="675" t="s">
        <v>620</v>
      </c>
      <c r="B141" s="675" t="s">
        <v>545</v>
      </c>
      <c r="C141" s="675" t="s">
        <v>624</v>
      </c>
      <c r="D141" s="675" t="s">
        <v>21</v>
      </c>
      <c r="E141" s="675" t="s">
        <v>514</v>
      </c>
      <c r="F141" s="675" t="s">
        <v>515</v>
      </c>
      <c r="G141" s="675"/>
      <c r="H141" s="675"/>
      <c r="I141" s="675"/>
      <c r="J141" s="675"/>
      <c r="K141" s="675"/>
      <c r="L141" s="675"/>
      <c r="M141" s="675"/>
    </row>
    <row r="142" spans="1:13" x14ac:dyDescent="0.25">
      <c r="A142" s="675" t="s">
        <v>620</v>
      </c>
      <c r="B142" s="675" t="s">
        <v>545</v>
      </c>
      <c r="C142" s="675" t="s">
        <v>625</v>
      </c>
      <c r="D142" s="675" t="s">
        <v>21</v>
      </c>
      <c r="E142" s="675" t="s">
        <v>514</v>
      </c>
      <c r="F142" s="675" t="s">
        <v>515</v>
      </c>
      <c r="G142" s="675"/>
      <c r="H142" s="675"/>
      <c r="I142" s="675"/>
      <c r="J142" s="675"/>
      <c r="K142" s="675"/>
      <c r="L142" s="675"/>
      <c r="M142" s="675"/>
    </row>
    <row r="143" spans="1:13" x14ac:dyDescent="0.25">
      <c r="A143" s="675" t="s">
        <v>620</v>
      </c>
      <c r="B143" s="675" t="s">
        <v>545</v>
      </c>
      <c r="C143" s="675" t="s">
        <v>626</v>
      </c>
      <c r="D143" s="675" t="s">
        <v>21</v>
      </c>
      <c r="E143" s="675" t="s">
        <v>514</v>
      </c>
      <c r="F143" s="675" t="s">
        <v>515</v>
      </c>
      <c r="G143" s="675"/>
      <c r="H143" s="675"/>
      <c r="I143" s="675"/>
      <c r="J143" s="675"/>
      <c r="K143" s="675"/>
      <c r="L143" s="675"/>
      <c r="M143" s="675"/>
    </row>
    <row r="144" spans="1:13" x14ac:dyDescent="0.25">
      <c r="A144" s="675" t="s">
        <v>620</v>
      </c>
      <c r="B144" s="675" t="s">
        <v>564</v>
      </c>
      <c r="C144" s="675" t="s">
        <v>627</v>
      </c>
      <c r="D144" s="675" t="s">
        <v>21</v>
      </c>
      <c r="E144" s="675" t="s">
        <v>514</v>
      </c>
      <c r="F144" s="675" t="s">
        <v>515</v>
      </c>
      <c r="G144" s="675"/>
      <c r="H144" s="675"/>
      <c r="I144" s="675"/>
      <c r="J144" s="675"/>
      <c r="K144" s="675"/>
      <c r="L144" s="675"/>
      <c r="M144" s="675"/>
    </row>
    <row r="145" spans="1:13" x14ac:dyDescent="0.25">
      <c r="A145" s="675" t="s">
        <v>628</v>
      </c>
      <c r="B145" s="675" t="s">
        <v>512</v>
      </c>
      <c r="C145" s="675" t="s">
        <v>629</v>
      </c>
      <c r="D145" s="675" t="s">
        <v>21</v>
      </c>
      <c r="E145" s="675" t="s">
        <v>514</v>
      </c>
      <c r="F145" s="675" t="s">
        <v>515</v>
      </c>
      <c r="G145" s="675"/>
      <c r="H145" s="675"/>
      <c r="I145" s="675"/>
      <c r="J145" s="675"/>
      <c r="K145" s="675"/>
      <c r="L145" s="675"/>
      <c r="M145" s="675"/>
    </row>
    <row r="146" spans="1:13" x14ac:dyDescent="0.25">
      <c r="A146" s="675" t="s">
        <v>628</v>
      </c>
      <c r="B146" s="675" t="s">
        <v>512</v>
      </c>
      <c r="C146" s="675" t="s">
        <v>630</v>
      </c>
      <c r="D146" s="675" t="s">
        <v>21</v>
      </c>
      <c r="E146" s="675" t="s">
        <v>514</v>
      </c>
      <c r="F146" s="675" t="s">
        <v>515</v>
      </c>
      <c r="G146" s="675"/>
      <c r="H146" s="675"/>
      <c r="I146" s="675"/>
      <c r="J146" s="675"/>
      <c r="K146" s="675"/>
      <c r="L146" s="675"/>
      <c r="M146" s="675"/>
    </row>
    <row r="147" spans="1:13" x14ac:dyDescent="0.25">
      <c r="A147" s="675" t="s">
        <v>628</v>
      </c>
      <c r="B147" s="675" t="s">
        <v>512</v>
      </c>
      <c r="C147" s="675" t="s">
        <v>631</v>
      </c>
      <c r="D147" s="675" t="s">
        <v>21</v>
      </c>
      <c r="E147" s="675" t="s">
        <v>514</v>
      </c>
      <c r="F147" s="675" t="s">
        <v>515</v>
      </c>
      <c r="G147" s="675"/>
      <c r="H147" s="675"/>
      <c r="I147" s="675"/>
      <c r="J147" s="675"/>
      <c r="K147" s="675"/>
      <c r="L147" s="675"/>
      <c r="M147" s="675"/>
    </row>
    <row r="148" spans="1:13" x14ac:dyDescent="0.25">
      <c r="A148" s="675" t="s">
        <v>628</v>
      </c>
      <c r="B148" s="675" t="s">
        <v>512</v>
      </c>
      <c r="C148" s="675" t="s">
        <v>632</v>
      </c>
      <c r="D148" s="675" t="s">
        <v>21</v>
      </c>
      <c r="E148" s="675" t="s">
        <v>514</v>
      </c>
      <c r="F148" s="675" t="s">
        <v>515</v>
      </c>
      <c r="G148" s="675"/>
      <c r="H148" s="675"/>
      <c r="I148" s="675"/>
      <c r="J148" s="675"/>
      <c r="K148" s="675"/>
      <c r="L148" s="675"/>
      <c r="M148" s="675"/>
    </row>
    <row r="149" spans="1:13" x14ac:dyDescent="0.25">
      <c r="A149" s="675" t="s">
        <v>628</v>
      </c>
      <c r="B149" s="675" t="s">
        <v>512</v>
      </c>
      <c r="C149" s="675" t="s">
        <v>633</v>
      </c>
      <c r="D149" s="675" t="s">
        <v>21</v>
      </c>
      <c r="E149" s="675" t="s">
        <v>514</v>
      </c>
      <c r="F149" s="675" t="s">
        <v>515</v>
      </c>
      <c r="G149" s="675"/>
      <c r="H149" s="675"/>
      <c r="I149" s="675"/>
      <c r="J149" s="675"/>
      <c r="K149" s="675"/>
      <c r="L149" s="675"/>
      <c r="M149" s="675"/>
    </row>
    <row r="150" spans="1:13" x14ac:dyDescent="0.25">
      <c r="A150" s="675" t="s">
        <v>628</v>
      </c>
      <c r="B150" s="675" t="s">
        <v>545</v>
      </c>
      <c r="C150" s="675" t="s">
        <v>634</v>
      </c>
      <c r="D150" s="675" t="s">
        <v>21</v>
      </c>
      <c r="E150" s="675" t="s">
        <v>514</v>
      </c>
      <c r="F150" s="675" t="s">
        <v>515</v>
      </c>
      <c r="G150" s="675"/>
      <c r="H150" s="675"/>
      <c r="I150" s="675"/>
      <c r="J150" s="675"/>
      <c r="K150" s="675"/>
      <c r="L150" s="675"/>
      <c r="M150" s="675"/>
    </row>
    <row r="151" spans="1:13" x14ac:dyDescent="0.25">
      <c r="A151" s="678" t="s">
        <v>628</v>
      </c>
      <c r="B151" s="678" t="s">
        <v>545</v>
      </c>
      <c r="C151" s="678" t="s">
        <v>635</v>
      </c>
      <c r="D151" s="678" t="s">
        <v>21</v>
      </c>
      <c r="E151" s="678" t="s">
        <v>514</v>
      </c>
      <c r="F151" s="678" t="s">
        <v>636</v>
      </c>
      <c r="G151" s="675"/>
      <c r="H151" s="675"/>
      <c r="I151" s="675"/>
      <c r="J151" s="675"/>
      <c r="K151" s="675"/>
      <c r="L151" s="675"/>
      <c r="M151" s="675"/>
    </row>
    <row r="152" spans="1:13" x14ac:dyDescent="0.25">
      <c r="A152" s="675" t="s">
        <v>628</v>
      </c>
      <c r="B152" s="675" t="s">
        <v>564</v>
      </c>
      <c r="C152" s="675" t="s">
        <v>637</v>
      </c>
      <c r="D152" s="675" t="s">
        <v>21</v>
      </c>
      <c r="E152" s="675" t="s">
        <v>514</v>
      </c>
      <c r="F152" s="675" t="s">
        <v>515</v>
      </c>
      <c r="G152" s="675"/>
      <c r="H152" s="675"/>
      <c r="I152" s="675"/>
      <c r="J152" s="675"/>
      <c r="K152" s="675"/>
      <c r="L152" s="675"/>
      <c r="M152" s="675"/>
    </row>
    <row r="153" spans="1:13" x14ac:dyDescent="0.25">
      <c r="A153" s="675" t="s">
        <v>638</v>
      </c>
      <c r="B153" s="675" t="s">
        <v>512</v>
      </c>
      <c r="C153" s="675" t="s">
        <v>639</v>
      </c>
      <c r="D153" s="675" t="s">
        <v>21</v>
      </c>
      <c r="E153" s="675" t="s">
        <v>514</v>
      </c>
      <c r="F153" s="675" t="s">
        <v>515</v>
      </c>
      <c r="G153" s="675"/>
      <c r="H153" s="675"/>
      <c r="I153" s="675"/>
      <c r="J153" s="675"/>
      <c r="K153" s="675"/>
      <c r="L153" s="675"/>
      <c r="M153" s="675"/>
    </row>
    <row r="154" spans="1:13" x14ac:dyDescent="0.25">
      <c r="A154" s="675" t="s">
        <v>638</v>
      </c>
      <c r="B154" s="675" t="s">
        <v>512</v>
      </c>
      <c r="C154" s="675" t="s">
        <v>640</v>
      </c>
      <c r="D154" s="675" t="s">
        <v>21</v>
      </c>
      <c r="E154" s="675" t="s">
        <v>514</v>
      </c>
      <c r="F154" s="675" t="s">
        <v>515</v>
      </c>
      <c r="G154" s="675"/>
      <c r="H154" s="675"/>
      <c r="I154" s="675"/>
      <c r="J154" s="675"/>
      <c r="K154" s="675"/>
      <c r="L154" s="675"/>
      <c r="M154" s="675"/>
    </row>
    <row r="155" spans="1:13" x14ac:dyDescent="0.25">
      <c r="A155" s="675" t="s">
        <v>638</v>
      </c>
      <c r="B155" s="675" t="s">
        <v>512</v>
      </c>
      <c r="C155" s="675" t="s">
        <v>641</v>
      </c>
      <c r="D155" s="675" t="s">
        <v>21</v>
      </c>
      <c r="E155" s="675" t="s">
        <v>514</v>
      </c>
      <c r="F155" s="675" t="s">
        <v>515</v>
      </c>
      <c r="G155" s="675"/>
      <c r="H155" s="675"/>
      <c r="I155" s="675"/>
      <c r="J155" s="675"/>
      <c r="K155" s="675"/>
      <c r="L155" s="675"/>
      <c r="M155" s="675"/>
    </row>
    <row r="156" spans="1:13" x14ac:dyDescent="0.25">
      <c r="A156" s="675" t="s">
        <v>638</v>
      </c>
      <c r="B156" s="675" t="s">
        <v>512</v>
      </c>
      <c r="C156" s="675" t="s">
        <v>642</v>
      </c>
      <c r="D156" s="675" t="s">
        <v>21</v>
      </c>
      <c r="E156" s="675" t="s">
        <v>514</v>
      </c>
      <c r="F156" s="675" t="s">
        <v>515</v>
      </c>
      <c r="G156" s="675"/>
      <c r="H156" s="675"/>
      <c r="I156" s="675"/>
      <c r="J156" s="675"/>
      <c r="K156" s="675"/>
      <c r="L156" s="675"/>
      <c r="M156" s="675"/>
    </row>
    <row r="157" spans="1:13" x14ac:dyDescent="0.25">
      <c r="A157" s="675" t="s">
        <v>643</v>
      </c>
      <c r="B157" s="675" t="s">
        <v>512</v>
      </c>
      <c r="C157" s="675" t="s">
        <v>629</v>
      </c>
      <c r="D157" s="675" t="s">
        <v>21</v>
      </c>
      <c r="E157" s="675" t="s">
        <v>514</v>
      </c>
      <c r="F157" s="675" t="s">
        <v>515</v>
      </c>
      <c r="G157" s="675"/>
      <c r="H157" s="675"/>
      <c r="I157" s="675"/>
      <c r="J157" s="675"/>
      <c r="K157" s="675"/>
      <c r="L157" s="675"/>
      <c r="M157" s="675"/>
    </row>
    <row r="158" spans="1:13" x14ac:dyDescent="0.25">
      <c r="A158" s="675" t="s">
        <v>643</v>
      </c>
      <c r="B158" s="675" t="s">
        <v>512</v>
      </c>
      <c r="C158" s="675" t="s">
        <v>644</v>
      </c>
      <c r="D158" s="675" t="s">
        <v>21</v>
      </c>
      <c r="E158" s="675" t="s">
        <v>514</v>
      </c>
      <c r="F158" s="675" t="s">
        <v>515</v>
      </c>
      <c r="G158" s="675"/>
      <c r="H158" s="675"/>
      <c r="I158" s="675"/>
      <c r="J158" s="675"/>
      <c r="K158" s="675"/>
      <c r="L158" s="675"/>
      <c r="M158" s="675"/>
    </row>
    <row r="159" spans="1:13" x14ac:dyDescent="0.25">
      <c r="A159" s="675" t="s">
        <v>643</v>
      </c>
      <c r="B159" s="675" t="s">
        <v>545</v>
      </c>
      <c r="C159" s="675" t="s">
        <v>645</v>
      </c>
      <c r="D159" s="675" t="s">
        <v>21</v>
      </c>
      <c r="E159" s="675" t="s">
        <v>514</v>
      </c>
      <c r="F159" s="675" t="s">
        <v>515</v>
      </c>
      <c r="G159" s="675"/>
      <c r="H159" s="675"/>
      <c r="I159" s="675"/>
      <c r="J159" s="675"/>
      <c r="K159" s="675"/>
      <c r="L159" s="675"/>
      <c r="M159" s="675"/>
    </row>
    <row r="160" spans="1:13" x14ac:dyDescent="0.25">
      <c r="A160" s="675" t="s">
        <v>646</v>
      </c>
      <c r="B160" s="675" t="s">
        <v>512</v>
      </c>
      <c r="C160" s="675" t="s">
        <v>647</v>
      </c>
      <c r="D160" s="675" t="s">
        <v>21</v>
      </c>
      <c r="E160" s="675" t="s">
        <v>514</v>
      </c>
      <c r="F160" s="675" t="s">
        <v>515</v>
      </c>
      <c r="G160" s="675"/>
      <c r="H160" s="675"/>
      <c r="I160" s="675"/>
      <c r="J160" s="675"/>
      <c r="K160" s="675"/>
      <c r="L160" s="675"/>
      <c r="M160" s="675"/>
    </row>
    <row r="161" spans="1:13" x14ac:dyDescent="0.25">
      <c r="A161" s="675" t="s">
        <v>646</v>
      </c>
      <c r="B161" s="675" t="s">
        <v>512</v>
      </c>
      <c r="C161" s="675" t="s">
        <v>648</v>
      </c>
      <c r="D161" s="675" t="s">
        <v>21</v>
      </c>
      <c r="E161" s="675" t="s">
        <v>514</v>
      </c>
      <c r="F161" s="675" t="s">
        <v>515</v>
      </c>
      <c r="G161" s="675"/>
      <c r="H161" s="675"/>
      <c r="I161" s="675"/>
      <c r="J161" s="675"/>
      <c r="K161" s="675"/>
      <c r="L161" s="675"/>
      <c r="M161" s="675"/>
    </row>
    <row r="162" spans="1:13" x14ac:dyDescent="0.25">
      <c r="A162" s="675" t="s">
        <v>646</v>
      </c>
      <c r="B162" s="675" t="s">
        <v>512</v>
      </c>
      <c r="C162" s="675" t="s">
        <v>580</v>
      </c>
      <c r="D162" s="675" t="s">
        <v>21</v>
      </c>
      <c r="E162" s="675" t="s">
        <v>514</v>
      </c>
      <c r="F162" s="675" t="s">
        <v>515</v>
      </c>
      <c r="G162" s="675"/>
      <c r="H162" s="675"/>
      <c r="I162" s="675"/>
      <c r="J162" s="675"/>
      <c r="K162" s="675"/>
      <c r="L162" s="675"/>
      <c r="M162" s="675"/>
    </row>
    <row r="163" spans="1:13" x14ac:dyDescent="0.25">
      <c r="A163" s="675" t="s">
        <v>646</v>
      </c>
      <c r="B163" s="675" t="s">
        <v>512</v>
      </c>
      <c r="C163" s="675" t="s">
        <v>513</v>
      </c>
      <c r="D163" s="675" t="s">
        <v>21</v>
      </c>
      <c r="E163" s="675" t="s">
        <v>514</v>
      </c>
      <c r="F163" s="675" t="s">
        <v>515</v>
      </c>
      <c r="G163" s="675"/>
      <c r="H163" s="675"/>
      <c r="I163" s="675"/>
      <c r="J163" s="675"/>
      <c r="K163" s="675"/>
      <c r="L163" s="675"/>
      <c r="M163" s="675"/>
    </row>
    <row r="164" spans="1:13" x14ac:dyDescent="0.25">
      <c r="A164" s="675" t="s">
        <v>646</v>
      </c>
      <c r="B164" s="675" t="s">
        <v>512</v>
      </c>
      <c r="C164" s="675" t="s">
        <v>581</v>
      </c>
      <c r="D164" s="675" t="s">
        <v>21</v>
      </c>
      <c r="E164" s="675" t="s">
        <v>514</v>
      </c>
      <c r="F164" s="675" t="s">
        <v>515</v>
      </c>
      <c r="G164" s="675"/>
      <c r="H164" s="675"/>
      <c r="I164" s="675"/>
      <c r="J164" s="675"/>
      <c r="K164" s="675"/>
      <c r="L164" s="675"/>
      <c r="M164" s="675"/>
    </row>
    <row r="165" spans="1:13" x14ac:dyDescent="0.25">
      <c r="A165" s="675" t="s">
        <v>646</v>
      </c>
      <c r="B165" s="675" t="s">
        <v>512</v>
      </c>
      <c r="C165" s="675" t="s">
        <v>516</v>
      </c>
      <c r="D165" s="675" t="s">
        <v>21</v>
      </c>
      <c r="E165" s="675" t="s">
        <v>514</v>
      </c>
      <c r="F165" s="675" t="s">
        <v>515</v>
      </c>
      <c r="G165" s="675"/>
      <c r="H165" s="675"/>
      <c r="I165" s="675"/>
      <c r="J165" s="675"/>
      <c r="K165" s="675"/>
      <c r="L165" s="675"/>
      <c r="M165" s="675"/>
    </row>
    <row r="166" spans="1:13" x14ac:dyDescent="0.25">
      <c r="A166" s="675" t="s">
        <v>646</v>
      </c>
      <c r="B166" s="675" t="s">
        <v>512</v>
      </c>
      <c r="C166" s="675" t="s">
        <v>649</v>
      </c>
      <c r="D166" s="675" t="s">
        <v>21</v>
      </c>
      <c r="E166" s="675" t="s">
        <v>514</v>
      </c>
      <c r="F166" s="675" t="s">
        <v>515</v>
      </c>
      <c r="G166" s="675"/>
      <c r="H166" s="675"/>
      <c r="I166" s="675"/>
      <c r="J166" s="675"/>
      <c r="K166" s="675"/>
      <c r="L166" s="675"/>
      <c r="M166" s="675"/>
    </row>
    <row r="167" spans="1:13" x14ac:dyDescent="0.25">
      <c r="A167" s="675" t="s">
        <v>646</v>
      </c>
      <c r="B167" s="675" t="s">
        <v>512</v>
      </c>
      <c r="C167" s="675" t="s">
        <v>650</v>
      </c>
      <c r="D167" s="675" t="s">
        <v>21</v>
      </c>
      <c r="E167" s="675" t="s">
        <v>514</v>
      </c>
      <c r="F167" s="675" t="s">
        <v>515</v>
      </c>
      <c r="G167" s="675"/>
      <c r="H167" s="675"/>
      <c r="I167" s="675"/>
      <c r="J167" s="675"/>
      <c r="K167" s="675"/>
      <c r="L167" s="675"/>
      <c r="M167" s="675"/>
    </row>
    <row r="168" spans="1:13" x14ac:dyDescent="0.25">
      <c r="A168" s="675" t="s">
        <v>646</v>
      </c>
      <c r="B168" s="675" t="s">
        <v>512</v>
      </c>
      <c r="C168" s="675" t="s">
        <v>651</v>
      </c>
      <c r="D168" s="675" t="s">
        <v>21</v>
      </c>
      <c r="E168" s="675" t="s">
        <v>514</v>
      </c>
      <c r="F168" s="675" t="s">
        <v>515</v>
      </c>
      <c r="G168" s="675"/>
      <c r="H168" s="675"/>
      <c r="I168" s="675"/>
      <c r="J168" s="675"/>
      <c r="K168" s="675"/>
      <c r="L168" s="675"/>
      <c r="M168" s="675"/>
    </row>
    <row r="169" spans="1:13" x14ac:dyDescent="0.25">
      <c r="A169" s="675" t="s">
        <v>646</v>
      </c>
      <c r="B169" s="675" t="s">
        <v>512</v>
      </c>
      <c r="C169" s="675" t="s">
        <v>652</v>
      </c>
      <c r="D169" s="675" t="s">
        <v>21</v>
      </c>
      <c r="E169" s="675" t="s">
        <v>514</v>
      </c>
      <c r="F169" s="675" t="s">
        <v>515</v>
      </c>
      <c r="G169" s="675"/>
      <c r="H169" s="675"/>
      <c r="I169" s="675"/>
      <c r="J169" s="675"/>
      <c r="K169" s="675"/>
      <c r="L169" s="675"/>
      <c r="M169" s="675"/>
    </row>
    <row r="170" spans="1:13" x14ac:dyDescent="0.25">
      <c r="A170" s="675" t="s">
        <v>646</v>
      </c>
      <c r="B170" s="675" t="s">
        <v>512</v>
      </c>
      <c r="C170" s="675" t="s">
        <v>518</v>
      </c>
      <c r="D170" s="675" t="s">
        <v>21</v>
      </c>
      <c r="E170" s="675" t="s">
        <v>514</v>
      </c>
      <c r="F170" s="675" t="s">
        <v>515</v>
      </c>
      <c r="G170" s="675"/>
      <c r="H170" s="675"/>
      <c r="I170" s="675"/>
      <c r="J170" s="675"/>
      <c r="K170" s="675"/>
      <c r="L170" s="675"/>
      <c r="M170" s="675"/>
    </row>
    <row r="171" spans="1:13" x14ac:dyDescent="0.25">
      <c r="A171" s="675" t="s">
        <v>646</v>
      </c>
      <c r="B171" s="675" t="s">
        <v>512</v>
      </c>
      <c r="C171" s="675" t="s">
        <v>519</v>
      </c>
      <c r="D171" s="675" t="s">
        <v>21</v>
      </c>
      <c r="E171" s="675" t="s">
        <v>514</v>
      </c>
      <c r="F171" s="675" t="s">
        <v>515</v>
      </c>
      <c r="G171" s="675"/>
      <c r="H171" s="675"/>
      <c r="I171" s="675"/>
      <c r="J171" s="675"/>
      <c r="K171" s="675"/>
      <c r="L171" s="675"/>
      <c r="M171" s="675"/>
    </row>
    <row r="172" spans="1:13" x14ac:dyDescent="0.25">
      <c r="A172" s="675" t="s">
        <v>646</v>
      </c>
      <c r="B172" s="675" t="s">
        <v>512</v>
      </c>
      <c r="C172" s="675" t="s">
        <v>520</v>
      </c>
      <c r="D172" s="675" t="s">
        <v>21</v>
      </c>
      <c r="E172" s="675" t="s">
        <v>514</v>
      </c>
      <c r="F172" s="675" t="s">
        <v>515</v>
      </c>
      <c r="G172" s="675"/>
      <c r="H172" s="675"/>
      <c r="I172" s="675"/>
      <c r="J172" s="675"/>
      <c r="K172" s="675"/>
      <c r="L172" s="675"/>
      <c r="M172" s="675"/>
    </row>
    <row r="173" spans="1:13" x14ac:dyDescent="0.25">
      <c r="A173" s="675" t="s">
        <v>646</v>
      </c>
      <c r="B173" s="675" t="s">
        <v>512</v>
      </c>
      <c r="C173" s="675" t="s">
        <v>653</v>
      </c>
      <c r="D173" s="675" t="s">
        <v>21</v>
      </c>
      <c r="E173" s="675" t="s">
        <v>514</v>
      </c>
      <c r="F173" s="675" t="s">
        <v>515</v>
      </c>
      <c r="G173" s="675"/>
      <c r="H173" s="675"/>
      <c r="I173" s="675"/>
      <c r="J173" s="675"/>
      <c r="K173" s="675"/>
      <c r="L173" s="675"/>
      <c r="M173" s="675"/>
    </row>
    <row r="174" spans="1:13" x14ac:dyDescent="0.25">
      <c r="A174" s="675" t="s">
        <v>646</v>
      </c>
      <c r="B174" s="675" t="s">
        <v>512</v>
      </c>
      <c r="C174" s="675" t="s">
        <v>584</v>
      </c>
      <c r="D174" s="675" t="s">
        <v>21</v>
      </c>
      <c r="E174" s="675" t="s">
        <v>514</v>
      </c>
      <c r="F174" s="675" t="s">
        <v>515</v>
      </c>
      <c r="G174" s="675"/>
      <c r="H174" s="675"/>
      <c r="I174" s="675"/>
      <c r="J174" s="675"/>
      <c r="K174" s="675"/>
      <c r="L174" s="675"/>
      <c r="M174" s="675"/>
    </row>
    <row r="175" spans="1:13" x14ac:dyDescent="0.25">
      <c r="A175" s="675" t="s">
        <v>646</v>
      </c>
      <c r="B175" s="675" t="s">
        <v>512</v>
      </c>
      <c r="C175" s="675" t="s">
        <v>521</v>
      </c>
      <c r="D175" s="675" t="s">
        <v>21</v>
      </c>
      <c r="E175" s="675" t="s">
        <v>514</v>
      </c>
      <c r="F175" s="675" t="s">
        <v>515</v>
      </c>
      <c r="G175" s="675"/>
      <c r="H175" s="675"/>
      <c r="I175" s="675"/>
      <c r="J175" s="675"/>
      <c r="K175" s="675"/>
      <c r="L175" s="675"/>
      <c r="M175" s="675"/>
    </row>
    <row r="176" spans="1:13" x14ac:dyDescent="0.25">
      <c r="A176" s="675" t="s">
        <v>646</v>
      </c>
      <c r="B176" s="675" t="s">
        <v>512</v>
      </c>
      <c r="C176" s="675" t="s">
        <v>524</v>
      </c>
      <c r="D176" s="675" t="s">
        <v>21</v>
      </c>
      <c r="E176" s="675" t="s">
        <v>514</v>
      </c>
      <c r="F176" s="675" t="s">
        <v>515</v>
      </c>
      <c r="G176" s="675"/>
      <c r="H176" s="675"/>
      <c r="I176" s="675"/>
      <c r="J176" s="675"/>
      <c r="K176" s="675"/>
      <c r="L176" s="675"/>
      <c r="M176" s="675"/>
    </row>
    <row r="177" spans="1:13" x14ac:dyDescent="0.25">
      <c r="A177" s="675" t="s">
        <v>646</v>
      </c>
      <c r="B177" s="675" t="s">
        <v>512</v>
      </c>
      <c r="C177" s="675" t="s">
        <v>587</v>
      </c>
      <c r="D177" s="675" t="s">
        <v>21</v>
      </c>
      <c r="E177" s="675" t="s">
        <v>514</v>
      </c>
      <c r="F177" s="675" t="s">
        <v>515</v>
      </c>
      <c r="G177" s="675"/>
      <c r="H177" s="675"/>
      <c r="I177" s="675"/>
      <c r="J177" s="675"/>
      <c r="K177" s="675"/>
      <c r="L177" s="675"/>
      <c r="M177" s="675"/>
    </row>
    <row r="178" spans="1:13" x14ac:dyDescent="0.25">
      <c r="A178" s="675" t="s">
        <v>646</v>
      </c>
      <c r="B178" s="675" t="s">
        <v>512</v>
      </c>
      <c r="C178" s="675" t="s">
        <v>654</v>
      </c>
      <c r="D178" s="675" t="s">
        <v>21</v>
      </c>
      <c r="E178" s="675" t="s">
        <v>514</v>
      </c>
      <c r="F178" s="675" t="s">
        <v>515</v>
      </c>
      <c r="G178" s="675"/>
      <c r="H178" s="675"/>
      <c r="I178" s="675"/>
      <c r="J178" s="675"/>
      <c r="K178" s="675"/>
      <c r="L178" s="675"/>
      <c r="M178" s="675"/>
    </row>
    <row r="179" spans="1:13" x14ac:dyDescent="0.25">
      <c r="A179" s="675" t="s">
        <v>646</v>
      </c>
      <c r="B179" s="675" t="s">
        <v>512</v>
      </c>
      <c r="C179" s="675" t="s">
        <v>655</v>
      </c>
      <c r="D179" s="675" t="s">
        <v>21</v>
      </c>
      <c r="E179" s="675" t="s">
        <v>514</v>
      </c>
      <c r="F179" s="675" t="s">
        <v>515</v>
      </c>
      <c r="G179" s="675"/>
      <c r="H179" s="675"/>
      <c r="I179" s="675"/>
      <c r="J179" s="675"/>
      <c r="K179" s="675"/>
      <c r="L179" s="675"/>
      <c r="M179" s="675"/>
    </row>
    <row r="180" spans="1:13" x14ac:dyDescent="0.25">
      <c r="A180" s="675" t="s">
        <v>646</v>
      </c>
      <c r="B180" s="675" t="s">
        <v>512</v>
      </c>
      <c r="C180" s="675" t="s">
        <v>525</v>
      </c>
      <c r="D180" s="675" t="s">
        <v>21</v>
      </c>
      <c r="E180" s="675" t="s">
        <v>514</v>
      </c>
      <c r="F180" s="675" t="s">
        <v>515</v>
      </c>
      <c r="G180" s="675"/>
      <c r="H180" s="675"/>
      <c r="I180" s="675"/>
      <c r="J180" s="675"/>
      <c r="K180" s="675"/>
      <c r="L180" s="675"/>
      <c r="M180" s="675"/>
    </row>
    <row r="181" spans="1:13" x14ac:dyDescent="0.25">
      <c r="A181" s="675" t="s">
        <v>646</v>
      </c>
      <c r="B181" s="675" t="s">
        <v>512</v>
      </c>
      <c r="C181" s="675" t="s">
        <v>656</v>
      </c>
      <c r="D181" s="675" t="s">
        <v>21</v>
      </c>
      <c r="E181" s="675" t="s">
        <v>514</v>
      </c>
      <c r="F181" s="675" t="s">
        <v>515</v>
      </c>
      <c r="G181" s="675"/>
      <c r="H181" s="675"/>
      <c r="I181" s="675"/>
      <c r="J181" s="675"/>
      <c r="K181" s="675"/>
      <c r="L181" s="675"/>
      <c r="M181" s="675"/>
    </row>
    <row r="182" spans="1:13" x14ac:dyDescent="0.25">
      <c r="A182" s="675" t="s">
        <v>646</v>
      </c>
      <c r="B182" s="675" t="s">
        <v>512</v>
      </c>
      <c r="C182" s="675" t="s">
        <v>657</v>
      </c>
      <c r="D182" s="675" t="s">
        <v>21</v>
      </c>
      <c r="E182" s="675" t="s">
        <v>514</v>
      </c>
      <c r="F182" s="675" t="s">
        <v>515</v>
      </c>
      <c r="G182" s="675"/>
      <c r="H182" s="675"/>
      <c r="I182" s="675"/>
      <c r="J182" s="675"/>
      <c r="K182" s="675"/>
      <c r="L182" s="675"/>
      <c r="M182" s="675"/>
    </row>
    <row r="183" spans="1:13" x14ac:dyDescent="0.25">
      <c r="A183" s="675" t="s">
        <v>646</v>
      </c>
      <c r="B183" s="675" t="s">
        <v>512</v>
      </c>
      <c r="C183" s="675" t="s">
        <v>658</v>
      </c>
      <c r="D183" s="675" t="s">
        <v>21</v>
      </c>
      <c r="E183" s="675" t="s">
        <v>514</v>
      </c>
      <c r="F183" s="675" t="s">
        <v>515</v>
      </c>
      <c r="G183" s="675"/>
      <c r="H183" s="675"/>
      <c r="I183" s="675"/>
      <c r="J183" s="675"/>
      <c r="K183" s="675"/>
      <c r="L183" s="675"/>
      <c r="M183" s="675"/>
    </row>
    <row r="184" spans="1:13" x14ac:dyDescent="0.25">
      <c r="A184" s="675" t="s">
        <v>646</v>
      </c>
      <c r="B184" s="675" t="s">
        <v>512</v>
      </c>
      <c r="C184" s="675" t="s">
        <v>659</v>
      </c>
      <c r="D184" s="675" t="s">
        <v>21</v>
      </c>
      <c r="E184" s="675" t="s">
        <v>514</v>
      </c>
      <c r="F184" s="675" t="s">
        <v>515</v>
      </c>
      <c r="G184" s="675"/>
      <c r="H184" s="675"/>
      <c r="I184" s="675"/>
      <c r="J184" s="675"/>
      <c r="K184" s="675"/>
      <c r="L184" s="675"/>
      <c r="M184" s="675"/>
    </row>
    <row r="185" spans="1:13" x14ac:dyDescent="0.25">
      <c r="A185" s="675" t="s">
        <v>646</v>
      </c>
      <c r="B185" s="675" t="s">
        <v>512</v>
      </c>
      <c r="C185" s="675" t="s">
        <v>590</v>
      </c>
      <c r="D185" s="675" t="s">
        <v>21</v>
      </c>
      <c r="E185" s="675" t="s">
        <v>514</v>
      </c>
      <c r="F185" s="675" t="s">
        <v>515</v>
      </c>
      <c r="G185" s="675"/>
      <c r="H185" s="675"/>
      <c r="I185" s="675"/>
      <c r="J185" s="675"/>
      <c r="K185" s="675"/>
      <c r="L185" s="675"/>
      <c r="M185" s="675"/>
    </row>
    <row r="186" spans="1:13" x14ac:dyDescent="0.25">
      <c r="A186" s="675" t="s">
        <v>646</v>
      </c>
      <c r="B186" s="675" t="s">
        <v>512</v>
      </c>
      <c r="C186" s="675" t="s">
        <v>532</v>
      </c>
      <c r="D186" s="675" t="s">
        <v>21</v>
      </c>
      <c r="E186" s="675" t="s">
        <v>514</v>
      </c>
      <c r="F186" s="675" t="s">
        <v>515</v>
      </c>
      <c r="G186" s="675"/>
      <c r="H186" s="675"/>
      <c r="I186" s="675"/>
      <c r="J186" s="675"/>
      <c r="K186" s="675"/>
      <c r="L186" s="675"/>
      <c r="M186" s="675"/>
    </row>
    <row r="187" spans="1:13" x14ac:dyDescent="0.25">
      <c r="A187" s="675" t="s">
        <v>646</v>
      </c>
      <c r="B187" s="675" t="s">
        <v>512</v>
      </c>
      <c r="C187" s="675" t="s">
        <v>533</v>
      </c>
      <c r="D187" s="675" t="s">
        <v>21</v>
      </c>
      <c r="E187" s="675" t="s">
        <v>514</v>
      </c>
      <c r="F187" s="675" t="s">
        <v>515</v>
      </c>
      <c r="G187" s="675"/>
      <c r="H187" s="675"/>
      <c r="I187" s="675"/>
      <c r="J187" s="675"/>
      <c r="K187" s="675"/>
      <c r="L187" s="675"/>
      <c r="M187" s="675"/>
    </row>
    <row r="188" spans="1:13" x14ac:dyDescent="0.25">
      <c r="A188" s="675" t="s">
        <v>646</v>
      </c>
      <c r="B188" s="675" t="s">
        <v>512</v>
      </c>
      <c r="C188" s="675" t="s">
        <v>534</v>
      </c>
      <c r="D188" s="675" t="s">
        <v>21</v>
      </c>
      <c r="E188" s="675" t="s">
        <v>514</v>
      </c>
      <c r="F188" s="675" t="s">
        <v>515</v>
      </c>
      <c r="G188" s="675"/>
      <c r="H188" s="675"/>
      <c r="I188" s="675"/>
      <c r="J188" s="675"/>
      <c r="K188" s="675"/>
      <c r="L188" s="675"/>
      <c r="M188" s="675"/>
    </row>
    <row r="189" spans="1:13" x14ac:dyDescent="0.25">
      <c r="A189" s="675" t="s">
        <v>646</v>
      </c>
      <c r="B189" s="675" t="s">
        <v>512</v>
      </c>
      <c r="C189" s="675" t="s">
        <v>592</v>
      </c>
      <c r="D189" s="675" t="s">
        <v>21</v>
      </c>
      <c r="E189" s="675" t="s">
        <v>514</v>
      </c>
      <c r="F189" s="675" t="s">
        <v>515</v>
      </c>
      <c r="G189" s="675"/>
      <c r="H189" s="675"/>
      <c r="I189" s="675"/>
      <c r="J189" s="675"/>
      <c r="K189" s="675"/>
      <c r="L189" s="675"/>
      <c r="M189" s="675"/>
    </row>
    <row r="190" spans="1:13" x14ac:dyDescent="0.25">
      <c r="A190" s="675" t="s">
        <v>646</v>
      </c>
      <c r="B190" s="675" t="s">
        <v>512</v>
      </c>
      <c r="C190" s="675" t="s">
        <v>535</v>
      </c>
      <c r="D190" s="675" t="s">
        <v>21</v>
      </c>
      <c r="E190" s="675" t="s">
        <v>514</v>
      </c>
      <c r="F190" s="675" t="s">
        <v>515</v>
      </c>
      <c r="G190" s="675"/>
      <c r="H190" s="675"/>
      <c r="I190" s="675"/>
      <c r="J190" s="675"/>
      <c r="K190" s="675"/>
      <c r="L190" s="675"/>
      <c r="M190" s="675"/>
    </row>
    <row r="191" spans="1:13" x14ac:dyDescent="0.25">
      <c r="A191" s="675" t="s">
        <v>646</v>
      </c>
      <c r="B191" s="675" t="s">
        <v>512</v>
      </c>
      <c r="C191" s="675" t="s">
        <v>536</v>
      </c>
      <c r="D191" s="675" t="s">
        <v>21</v>
      </c>
      <c r="E191" s="675" t="s">
        <v>514</v>
      </c>
      <c r="F191" s="675" t="s">
        <v>515</v>
      </c>
      <c r="G191" s="675"/>
      <c r="H191" s="675"/>
      <c r="I191" s="675"/>
      <c r="J191" s="675"/>
      <c r="K191" s="675"/>
      <c r="L191" s="675"/>
      <c r="M191" s="675"/>
    </row>
    <row r="192" spans="1:13" x14ac:dyDescent="0.25">
      <c r="A192" s="675" t="s">
        <v>646</v>
      </c>
      <c r="B192" s="675" t="s">
        <v>512</v>
      </c>
      <c r="C192" s="675" t="s">
        <v>660</v>
      </c>
      <c r="D192" s="675" t="s">
        <v>21</v>
      </c>
      <c r="E192" s="675" t="s">
        <v>514</v>
      </c>
      <c r="F192" s="675" t="s">
        <v>515</v>
      </c>
      <c r="G192" s="675"/>
      <c r="H192" s="675"/>
      <c r="I192" s="675"/>
      <c r="J192" s="675"/>
      <c r="K192" s="675"/>
      <c r="L192" s="675"/>
      <c r="M192" s="675"/>
    </row>
    <row r="193" spans="1:13" x14ac:dyDescent="0.25">
      <c r="A193" s="675" t="s">
        <v>646</v>
      </c>
      <c r="B193" s="675" t="s">
        <v>512</v>
      </c>
      <c r="C193" s="675" t="s">
        <v>661</v>
      </c>
      <c r="D193" s="675" t="s">
        <v>21</v>
      </c>
      <c r="E193" s="675" t="s">
        <v>514</v>
      </c>
      <c r="F193" s="675" t="s">
        <v>515</v>
      </c>
      <c r="G193" s="675"/>
      <c r="H193" s="675"/>
      <c r="I193" s="675"/>
      <c r="J193" s="675"/>
      <c r="K193" s="675"/>
      <c r="L193" s="675"/>
      <c r="M193" s="675"/>
    </row>
    <row r="194" spans="1:13" x14ac:dyDescent="0.25">
      <c r="A194" s="675" t="s">
        <v>646</v>
      </c>
      <c r="B194" s="675" t="s">
        <v>512</v>
      </c>
      <c r="C194" s="675" t="s">
        <v>540</v>
      </c>
      <c r="D194" s="675" t="s">
        <v>21</v>
      </c>
      <c r="E194" s="675" t="s">
        <v>514</v>
      </c>
      <c r="F194" s="675" t="s">
        <v>515</v>
      </c>
      <c r="G194" s="675"/>
      <c r="H194" s="675"/>
      <c r="I194" s="675"/>
      <c r="J194" s="675"/>
      <c r="K194" s="675"/>
      <c r="L194" s="675"/>
      <c r="M194" s="675"/>
    </row>
    <row r="195" spans="1:13" x14ac:dyDescent="0.25">
      <c r="A195" s="675" t="s">
        <v>646</v>
      </c>
      <c r="B195" s="675" t="s">
        <v>512</v>
      </c>
      <c r="C195" s="675" t="s">
        <v>662</v>
      </c>
      <c r="D195" s="675" t="s">
        <v>21</v>
      </c>
      <c r="E195" s="675" t="s">
        <v>514</v>
      </c>
      <c r="F195" s="675" t="s">
        <v>515</v>
      </c>
      <c r="G195" s="675"/>
      <c r="H195" s="675"/>
      <c r="I195" s="675"/>
      <c r="J195" s="675"/>
      <c r="K195" s="675"/>
      <c r="L195" s="675"/>
      <c r="M195" s="675"/>
    </row>
    <row r="196" spans="1:13" x14ac:dyDescent="0.25">
      <c r="A196" s="675" t="s">
        <v>646</v>
      </c>
      <c r="B196" s="675" t="s">
        <v>512</v>
      </c>
      <c r="C196" s="675" t="s">
        <v>663</v>
      </c>
      <c r="D196" s="675" t="s">
        <v>21</v>
      </c>
      <c r="E196" s="675" t="s">
        <v>514</v>
      </c>
      <c r="F196" s="675" t="s">
        <v>515</v>
      </c>
      <c r="G196" s="675"/>
      <c r="H196" s="675"/>
      <c r="I196" s="675"/>
      <c r="J196" s="675"/>
      <c r="K196" s="675"/>
      <c r="L196" s="675"/>
      <c r="M196" s="675"/>
    </row>
    <row r="197" spans="1:13" x14ac:dyDescent="0.25">
      <c r="A197" s="675" t="s">
        <v>646</v>
      </c>
      <c r="B197" s="675" t="s">
        <v>512</v>
      </c>
      <c r="C197" s="675" t="s">
        <v>664</v>
      </c>
      <c r="D197" s="675" t="s">
        <v>21</v>
      </c>
      <c r="E197" s="675" t="s">
        <v>514</v>
      </c>
      <c r="F197" s="675" t="s">
        <v>515</v>
      </c>
      <c r="G197" s="675"/>
      <c r="H197" s="675"/>
      <c r="I197" s="675"/>
      <c r="J197" s="675"/>
      <c r="K197" s="675"/>
      <c r="L197" s="675"/>
      <c r="M197" s="675"/>
    </row>
    <row r="198" spans="1:13" x14ac:dyDescent="0.25">
      <c r="A198" s="678" t="s">
        <v>646</v>
      </c>
      <c r="B198" s="678" t="s">
        <v>512</v>
      </c>
      <c r="C198" s="678" t="s">
        <v>665</v>
      </c>
      <c r="D198" s="678" t="s">
        <v>21</v>
      </c>
      <c r="E198" s="678" t="s">
        <v>514</v>
      </c>
      <c r="F198" s="678" t="s">
        <v>596</v>
      </c>
      <c r="G198" s="675"/>
      <c r="H198" s="675"/>
      <c r="I198" s="675"/>
      <c r="J198" s="675"/>
      <c r="K198" s="675"/>
      <c r="L198" s="675"/>
      <c r="M198" s="675"/>
    </row>
    <row r="199" spans="1:13" x14ac:dyDescent="0.25">
      <c r="A199" s="675" t="s">
        <v>646</v>
      </c>
      <c r="B199" s="675" t="s">
        <v>512</v>
      </c>
      <c r="C199" s="675" t="s">
        <v>542</v>
      </c>
      <c r="D199" s="675" t="s">
        <v>21</v>
      </c>
      <c r="E199" s="675" t="s">
        <v>514</v>
      </c>
      <c r="F199" s="675" t="s">
        <v>515</v>
      </c>
      <c r="G199" s="675"/>
      <c r="H199" s="675"/>
      <c r="I199" s="675"/>
      <c r="J199" s="675"/>
      <c r="K199" s="675"/>
      <c r="L199" s="675"/>
      <c r="M199" s="675"/>
    </row>
    <row r="200" spans="1:13" x14ac:dyDescent="0.25">
      <c r="A200" s="675" t="s">
        <v>646</v>
      </c>
      <c r="B200" s="675" t="s">
        <v>512</v>
      </c>
      <c r="C200" s="675" t="s">
        <v>666</v>
      </c>
      <c r="D200" s="675" t="s">
        <v>21</v>
      </c>
      <c r="E200" s="675" t="s">
        <v>514</v>
      </c>
      <c r="F200" s="675" t="s">
        <v>515</v>
      </c>
      <c r="G200" s="675"/>
      <c r="H200" s="675"/>
      <c r="I200" s="675"/>
      <c r="J200" s="675"/>
      <c r="K200" s="675"/>
      <c r="L200" s="675"/>
      <c r="M200" s="675"/>
    </row>
    <row r="201" spans="1:13" x14ac:dyDescent="0.25">
      <c r="A201" s="678" t="s">
        <v>646</v>
      </c>
      <c r="B201" s="678" t="s">
        <v>512</v>
      </c>
      <c r="C201" s="678" t="s">
        <v>667</v>
      </c>
      <c r="D201" s="678" t="s">
        <v>21</v>
      </c>
      <c r="E201" s="678" t="s">
        <v>514</v>
      </c>
      <c r="F201" s="678" t="s">
        <v>596</v>
      </c>
      <c r="G201" s="675"/>
      <c r="H201" s="675"/>
      <c r="I201" s="675"/>
      <c r="J201" s="675"/>
      <c r="K201" s="675"/>
      <c r="L201" s="675"/>
      <c r="M201" s="675"/>
    </row>
    <row r="202" spans="1:13" x14ac:dyDescent="0.25">
      <c r="A202" s="675" t="s">
        <v>646</v>
      </c>
      <c r="B202" s="675" t="s">
        <v>512</v>
      </c>
      <c r="C202" s="675" t="s">
        <v>668</v>
      </c>
      <c r="D202" s="675" t="s">
        <v>21</v>
      </c>
      <c r="E202" s="675" t="s">
        <v>514</v>
      </c>
      <c r="F202" s="675" t="s">
        <v>515</v>
      </c>
      <c r="G202" s="675"/>
      <c r="H202" s="675"/>
      <c r="I202" s="675"/>
      <c r="J202" s="675"/>
      <c r="K202" s="675"/>
      <c r="L202" s="675"/>
      <c r="M202" s="675"/>
    </row>
    <row r="203" spans="1:13" x14ac:dyDescent="0.25">
      <c r="A203" s="675" t="s">
        <v>646</v>
      </c>
      <c r="B203" s="675" t="s">
        <v>545</v>
      </c>
      <c r="C203" s="675" t="s">
        <v>669</v>
      </c>
      <c r="D203" s="675" t="s">
        <v>21</v>
      </c>
      <c r="E203" s="675" t="s">
        <v>514</v>
      </c>
      <c r="F203" s="675" t="s">
        <v>515</v>
      </c>
      <c r="G203" s="675"/>
      <c r="H203" s="675"/>
      <c r="I203" s="675"/>
      <c r="J203" s="675"/>
      <c r="K203" s="675"/>
      <c r="L203" s="675"/>
      <c r="M203" s="675"/>
    </row>
    <row r="204" spans="1:13" x14ac:dyDescent="0.25">
      <c r="A204" s="675" t="s">
        <v>646</v>
      </c>
      <c r="B204" s="675" t="s">
        <v>545</v>
      </c>
      <c r="C204" s="675" t="s">
        <v>546</v>
      </c>
      <c r="D204" s="675" t="s">
        <v>21</v>
      </c>
      <c r="E204" s="675" t="s">
        <v>514</v>
      </c>
      <c r="F204" s="675" t="s">
        <v>515</v>
      </c>
      <c r="G204" s="675"/>
      <c r="H204" s="675"/>
      <c r="I204" s="675"/>
      <c r="J204" s="675"/>
      <c r="K204" s="675"/>
      <c r="L204" s="675"/>
      <c r="M204" s="675"/>
    </row>
    <row r="205" spans="1:13" x14ac:dyDescent="0.25">
      <c r="A205" s="675" t="s">
        <v>646</v>
      </c>
      <c r="B205" s="675" t="s">
        <v>545</v>
      </c>
      <c r="C205" s="675" t="s">
        <v>670</v>
      </c>
      <c r="D205" s="675" t="s">
        <v>21</v>
      </c>
      <c r="E205" s="675" t="s">
        <v>514</v>
      </c>
      <c r="F205" s="675" t="s">
        <v>515</v>
      </c>
      <c r="G205" s="675"/>
      <c r="H205" s="675"/>
      <c r="I205" s="675"/>
      <c r="J205" s="675"/>
      <c r="K205" s="675"/>
      <c r="L205" s="675"/>
      <c r="M205" s="675"/>
    </row>
    <row r="206" spans="1:13" x14ac:dyDescent="0.25">
      <c r="A206" s="675" t="s">
        <v>646</v>
      </c>
      <c r="B206" s="675" t="s">
        <v>545</v>
      </c>
      <c r="C206" s="675" t="s">
        <v>671</v>
      </c>
      <c r="D206" s="675" t="s">
        <v>21</v>
      </c>
      <c r="E206" s="675" t="s">
        <v>514</v>
      </c>
      <c r="F206" s="675" t="s">
        <v>515</v>
      </c>
      <c r="G206" s="675"/>
      <c r="H206" s="675"/>
      <c r="I206" s="675"/>
      <c r="J206" s="675"/>
      <c r="K206" s="675"/>
      <c r="L206" s="675"/>
      <c r="M206" s="675"/>
    </row>
    <row r="207" spans="1:13" x14ac:dyDescent="0.25">
      <c r="A207" s="675" t="s">
        <v>646</v>
      </c>
      <c r="B207" s="675" t="s">
        <v>545</v>
      </c>
      <c r="C207" s="675" t="s">
        <v>672</v>
      </c>
      <c r="D207" s="675" t="s">
        <v>21</v>
      </c>
      <c r="E207" s="675" t="s">
        <v>514</v>
      </c>
      <c r="F207" s="675" t="s">
        <v>515</v>
      </c>
      <c r="G207" s="675"/>
      <c r="H207" s="675"/>
      <c r="I207" s="675"/>
      <c r="J207" s="675"/>
      <c r="K207" s="675"/>
      <c r="L207" s="675"/>
      <c r="M207" s="675"/>
    </row>
    <row r="208" spans="1:13" x14ac:dyDescent="0.25">
      <c r="A208" s="675" t="s">
        <v>646</v>
      </c>
      <c r="B208" s="675" t="s">
        <v>545</v>
      </c>
      <c r="C208" s="675" t="s">
        <v>673</v>
      </c>
      <c r="D208" s="675" t="s">
        <v>21</v>
      </c>
      <c r="E208" s="675" t="s">
        <v>514</v>
      </c>
      <c r="F208" s="675" t="s">
        <v>515</v>
      </c>
      <c r="G208" s="675"/>
      <c r="H208" s="675"/>
      <c r="I208" s="675"/>
      <c r="J208" s="675"/>
      <c r="K208" s="675"/>
      <c r="L208" s="675"/>
      <c r="M208" s="675"/>
    </row>
    <row r="209" spans="1:13" x14ac:dyDescent="0.25">
      <c r="A209" s="675" t="s">
        <v>646</v>
      </c>
      <c r="B209" s="675" t="s">
        <v>545</v>
      </c>
      <c r="C209" s="675" t="s">
        <v>674</v>
      </c>
      <c r="D209" s="675" t="s">
        <v>21</v>
      </c>
      <c r="E209" s="675" t="s">
        <v>514</v>
      </c>
      <c r="F209" s="675" t="s">
        <v>515</v>
      </c>
      <c r="G209" s="675"/>
      <c r="H209" s="675"/>
      <c r="I209" s="675"/>
      <c r="J209" s="675"/>
      <c r="K209" s="675"/>
      <c r="L209" s="675"/>
      <c r="M209" s="675"/>
    </row>
    <row r="210" spans="1:13" x14ac:dyDescent="0.25">
      <c r="A210" s="675" t="s">
        <v>646</v>
      </c>
      <c r="B210" s="675" t="s">
        <v>545</v>
      </c>
      <c r="C210" s="675" t="s">
        <v>549</v>
      </c>
      <c r="D210" s="675" t="s">
        <v>21</v>
      </c>
      <c r="E210" s="675" t="s">
        <v>514</v>
      </c>
      <c r="F210" s="675" t="s">
        <v>515</v>
      </c>
      <c r="G210" s="675"/>
      <c r="H210" s="675"/>
      <c r="I210" s="675"/>
      <c r="J210" s="675"/>
      <c r="K210" s="675"/>
      <c r="L210" s="675"/>
      <c r="M210" s="675"/>
    </row>
    <row r="211" spans="1:13" x14ac:dyDescent="0.25">
      <c r="A211" s="675" t="s">
        <v>646</v>
      </c>
      <c r="B211" s="675" t="s">
        <v>545</v>
      </c>
      <c r="C211" s="675" t="s">
        <v>675</v>
      </c>
      <c r="D211" s="675" t="s">
        <v>21</v>
      </c>
      <c r="E211" s="675" t="s">
        <v>514</v>
      </c>
      <c r="F211" s="675" t="s">
        <v>515</v>
      </c>
      <c r="G211" s="675"/>
      <c r="H211" s="675"/>
      <c r="I211" s="675"/>
      <c r="J211" s="675"/>
      <c r="K211" s="675"/>
      <c r="L211" s="675"/>
      <c r="M211" s="675"/>
    </row>
    <row r="212" spans="1:13" x14ac:dyDescent="0.25">
      <c r="A212" s="675" t="s">
        <v>646</v>
      </c>
      <c r="B212" s="675" t="s">
        <v>545</v>
      </c>
      <c r="C212" s="675" t="s">
        <v>603</v>
      </c>
      <c r="D212" s="675" t="s">
        <v>21</v>
      </c>
      <c r="E212" s="675" t="s">
        <v>514</v>
      </c>
      <c r="F212" s="675" t="s">
        <v>515</v>
      </c>
      <c r="G212" s="675"/>
      <c r="H212" s="675"/>
      <c r="I212" s="675"/>
      <c r="J212" s="675"/>
      <c r="K212" s="675"/>
      <c r="L212" s="675"/>
      <c r="M212" s="675"/>
    </row>
    <row r="213" spans="1:13" x14ac:dyDescent="0.25">
      <c r="A213" s="675" t="s">
        <v>646</v>
      </c>
      <c r="B213" s="675" t="s">
        <v>545</v>
      </c>
      <c r="C213" s="675" t="s">
        <v>676</v>
      </c>
      <c r="D213" s="675" t="s">
        <v>21</v>
      </c>
      <c r="E213" s="675" t="s">
        <v>514</v>
      </c>
      <c r="F213" s="675" t="s">
        <v>515</v>
      </c>
      <c r="G213" s="675"/>
      <c r="H213" s="675"/>
      <c r="I213" s="675"/>
      <c r="J213" s="675"/>
      <c r="K213" s="675"/>
      <c r="L213" s="675"/>
      <c r="M213" s="675"/>
    </row>
    <row r="214" spans="1:13" x14ac:dyDescent="0.25">
      <c r="A214" s="675" t="s">
        <v>646</v>
      </c>
      <c r="B214" s="675" t="s">
        <v>545</v>
      </c>
      <c r="C214" s="675" t="s">
        <v>550</v>
      </c>
      <c r="D214" s="675" t="s">
        <v>21</v>
      </c>
      <c r="E214" s="675" t="s">
        <v>514</v>
      </c>
      <c r="F214" s="675" t="s">
        <v>515</v>
      </c>
      <c r="G214" s="675"/>
      <c r="H214" s="675"/>
      <c r="I214" s="675"/>
      <c r="J214" s="675"/>
      <c r="K214" s="675"/>
      <c r="L214" s="675"/>
      <c r="M214" s="675"/>
    </row>
    <row r="215" spans="1:13" x14ac:dyDescent="0.25">
      <c r="A215" s="675" t="s">
        <v>646</v>
      </c>
      <c r="B215" s="675" t="s">
        <v>545</v>
      </c>
      <c r="C215" s="675" t="s">
        <v>677</v>
      </c>
      <c r="D215" s="675" t="s">
        <v>21</v>
      </c>
      <c r="E215" s="675" t="s">
        <v>514</v>
      </c>
      <c r="F215" s="675" t="s">
        <v>515</v>
      </c>
      <c r="G215" s="675"/>
      <c r="H215" s="675"/>
      <c r="I215" s="675"/>
      <c r="J215" s="675"/>
      <c r="K215" s="675"/>
      <c r="L215" s="675"/>
      <c r="M215" s="675"/>
    </row>
    <row r="216" spans="1:13" x14ac:dyDescent="0.25">
      <c r="A216" s="675" t="s">
        <v>646</v>
      </c>
      <c r="B216" s="675" t="s">
        <v>545</v>
      </c>
      <c r="C216" s="675" t="s">
        <v>551</v>
      </c>
      <c r="D216" s="675" t="s">
        <v>21</v>
      </c>
      <c r="E216" s="675" t="s">
        <v>514</v>
      </c>
      <c r="F216" s="675" t="s">
        <v>515</v>
      </c>
      <c r="G216" s="675"/>
      <c r="H216" s="675"/>
      <c r="I216" s="675"/>
      <c r="J216" s="675"/>
      <c r="K216" s="675"/>
      <c r="L216" s="675"/>
      <c r="M216" s="675"/>
    </row>
    <row r="217" spans="1:13" x14ac:dyDescent="0.25">
      <c r="A217" s="675" t="s">
        <v>646</v>
      </c>
      <c r="B217" s="675" t="s">
        <v>545</v>
      </c>
      <c r="C217" s="675" t="s">
        <v>678</v>
      </c>
      <c r="D217" s="675" t="s">
        <v>21</v>
      </c>
      <c r="E217" s="675" t="s">
        <v>514</v>
      </c>
      <c r="F217" s="675" t="s">
        <v>515</v>
      </c>
      <c r="G217" s="675"/>
      <c r="H217" s="675"/>
      <c r="I217" s="675"/>
      <c r="J217" s="675"/>
      <c r="K217" s="675"/>
      <c r="L217" s="675"/>
      <c r="M217" s="675"/>
    </row>
    <row r="218" spans="1:13" x14ac:dyDescent="0.25">
      <c r="A218" s="675" t="s">
        <v>646</v>
      </c>
      <c r="B218" s="675" t="s">
        <v>545</v>
      </c>
      <c r="C218" s="675" t="s">
        <v>552</v>
      </c>
      <c r="D218" s="675" t="s">
        <v>21</v>
      </c>
      <c r="E218" s="675" t="s">
        <v>514</v>
      </c>
      <c r="F218" s="675" t="s">
        <v>515</v>
      </c>
      <c r="G218" s="675"/>
      <c r="H218" s="675"/>
      <c r="I218" s="675"/>
      <c r="J218" s="675"/>
      <c r="K218" s="675"/>
      <c r="L218" s="675"/>
      <c r="M218" s="675"/>
    </row>
    <row r="219" spans="1:13" x14ac:dyDescent="0.25">
      <c r="A219" s="675" t="s">
        <v>646</v>
      </c>
      <c r="B219" s="675" t="s">
        <v>545</v>
      </c>
      <c r="C219" s="675" t="s">
        <v>605</v>
      </c>
      <c r="D219" s="675" t="s">
        <v>21</v>
      </c>
      <c r="E219" s="675" t="s">
        <v>514</v>
      </c>
      <c r="F219" s="675" t="s">
        <v>515</v>
      </c>
      <c r="G219" s="675"/>
      <c r="H219" s="675"/>
      <c r="I219" s="675"/>
      <c r="J219" s="675"/>
      <c r="K219" s="675"/>
      <c r="L219" s="675"/>
      <c r="M219" s="675"/>
    </row>
    <row r="220" spans="1:13" x14ac:dyDescent="0.25">
      <c r="A220" s="675" t="s">
        <v>646</v>
      </c>
      <c r="B220" s="675" t="s">
        <v>545</v>
      </c>
      <c r="C220" s="675" t="s">
        <v>679</v>
      </c>
      <c r="D220" s="675" t="s">
        <v>21</v>
      </c>
      <c r="E220" s="675" t="s">
        <v>514</v>
      </c>
      <c r="F220" s="675" t="s">
        <v>515</v>
      </c>
      <c r="G220" s="675"/>
      <c r="H220" s="675"/>
      <c r="I220" s="675"/>
      <c r="J220" s="675"/>
      <c r="K220" s="675"/>
      <c r="L220" s="675"/>
      <c r="M220" s="675"/>
    </row>
    <row r="221" spans="1:13" x14ac:dyDescent="0.25">
      <c r="A221" s="675" t="s">
        <v>646</v>
      </c>
      <c r="B221" s="675" t="s">
        <v>545</v>
      </c>
      <c r="C221" s="675" t="s">
        <v>553</v>
      </c>
      <c r="D221" s="675" t="s">
        <v>21</v>
      </c>
      <c r="E221" s="675" t="s">
        <v>514</v>
      </c>
      <c r="F221" s="675" t="s">
        <v>515</v>
      </c>
      <c r="G221" s="675"/>
      <c r="H221" s="675"/>
      <c r="I221" s="675"/>
      <c r="J221" s="675"/>
      <c r="K221" s="675"/>
      <c r="L221" s="675"/>
      <c r="M221" s="675"/>
    </row>
    <row r="222" spans="1:13" x14ac:dyDescent="0.25">
      <c r="A222" s="675" t="s">
        <v>646</v>
      </c>
      <c r="B222" s="675" t="s">
        <v>545</v>
      </c>
      <c r="C222" s="675" t="s">
        <v>680</v>
      </c>
      <c r="D222" s="675" t="s">
        <v>21</v>
      </c>
      <c r="E222" s="675" t="s">
        <v>514</v>
      </c>
      <c r="F222" s="675" t="s">
        <v>515</v>
      </c>
      <c r="G222" s="675"/>
      <c r="H222" s="675"/>
      <c r="I222" s="675"/>
      <c r="J222" s="675"/>
      <c r="K222" s="675"/>
      <c r="L222" s="675"/>
      <c r="M222" s="675"/>
    </row>
    <row r="223" spans="1:13" x14ac:dyDescent="0.25">
      <c r="A223" s="675" t="s">
        <v>646</v>
      </c>
      <c r="B223" s="675" t="s">
        <v>545</v>
      </c>
      <c r="C223" s="675" t="s">
        <v>606</v>
      </c>
      <c r="D223" s="675" t="s">
        <v>21</v>
      </c>
      <c r="E223" s="675" t="s">
        <v>514</v>
      </c>
      <c r="F223" s="675" t="s">
        <v>515</v>
      </c>
      <c r="G223" s="675"/>
      <c r="H223" s="675"/>
      <c r="I223" s="675"/>
      <c r="J223" s="675"/>
      <c r="K223" s="675"/>
      <c r="L223" s="675"/>
      <c r="M223" s="675"/>
    </row>
    <row r="224" spans="1:13" x14ac:dyDescent="0.25">
      <c r="A224" s="675" t="s">
        <v>646</v>
      </c>
      <c r="B224" s="675" t="s">
        <v>545</v>
      </c>
      <c r="C224" s="675" t="s">
        <v>681</v>
      </c>
      <c r="D224" s="675" t="s">
        <v>21</v>
      </c>
      <c r="E224" s="675" t="s">
        <v>514</v>
      </c>
      <c r="F224" s="675" t="s">
        <v>515</v>
      </c>
      <c r="G224" s="675"/>
      <c r="H224" s="675"/>
      <c r="I224" s="675"/>
      <c r="J224" s="675"/>
      <c r="K224" s="675"/>
      <c r="L224" s="675"/>
      <c r="M224" s="675"/>
    </row>
    <row r="225" spans="1:13" x14ac:dyDescent="0.25">
      <c r="A225" s="675" t="s">
        <v>646</v>
      </c>
      <c r="B225" s="675" t="s">
        <v>545</v>
      </c>
      <c r="C225" s="675" t="s">
        <v>682</v>
      </c>
      <c r="D225" s="675" t="s">
        <v>21</v>
      </c>
      <c r="E225" s="675" t="s">
        <v>514</v>
      </c>
      <c r="F225" s="675" t="s">
        <v>515</v>
      </c>
      <c r="G225" s="675"/>
      <c r="H225" s="675"/>
      <c r="I225" s="675"/>
      <c r="J225" s="675"/>
      <c r="K225" s="675"/>
      <c r="L225" s="675"/>
      <c r="M225" s="675"/>
    </row>
    <row r="226" spans="1:13" x14ac:dyDescent="0.25">
      <c r="A226" s="675" t="s">
        <v>646</v>
      </c>
      <c r="B226" s="675" t="s">
        <v>545</v>
      </c>
      <c r="C226" s="675" t="s">
        <v>555</v>
      </c>
      <c r="D226" s="675" t="s">
        <v>21</v>
      </c>
      <c r="E226" s="675" t="s">
        <v>514</v>
      </c>
      <c r="F226" s="675" t="s">
        <v>515</v>
      </c>
      <c r="G226" s="675"/>
      <c r="H226" s="675"/>
      <c r="I226" s="675"/>
      <c r="J226" s="675"/>
      <c r="K226" s="675"/>
      <c r="L226" s="675"/>
      <c r="M226" s="675"/>
    </row>
    <row r="227" spans="1:13" x14ac:dyDescent="0.25">
      <c r="A227" s="675" t="s">
        <v>646</v>
      </c>
      <c r="B227" s="675" t="s">
        <v>545</v>
      </c>
      <c r="C227" s="675" t="s">
        <v>683</v>
      </c>
      <c r="D227" s="675" t="s">
        <v>21</v>
      </c>
      <c r="E227" s="675" t="s">
        <v>514</v>
      </c>
      <c r="F227" s="675" t="s">
        <v>515</v>
      </c>
      <c r="G227" s="675"/>
      <c r="H227" s="675"/>
      <c r="I227" s="675"/>
      <c r="J227" s="675"/>
      <c r="K227" s="675"/>
      <c r="L227" s="675"/>
      <c r="M227" s="675"/>
    </row>
    <row r="228" spans="1:13" x14ac:dyDescent="0.25">
      <c r="A228" s="675" t="s">
        <v>646</v>
      </c>
      <c r="B228" s="675" t="s">
        <v>545</v>
      </c>
      <c r="C228" s="675" t="s">
        <v>559</v>
      </c>
      <c r="D228" s="675" t="s">
        <v>21</v>
      </c>
      <c r="E228" s="675" t="s">
        <v>514</v>
      </c>
      <c r="F228" s="675" t="s">
        <v>515</v>
      </c>
      <c r="G228" s="675"/>
      <c r="H228" s="675"/>
      <c r="I228" s="675"/>
      <c r="J228" s="675"/>
      <c r="K228" s="675"/>
      <c r="L228" s="675"/>
      <c r="M228" s="675"/>
    </row>
    <row r="229" spans="1:13" x14ac:dyDescent="0.25">
      <c r="A229" s="675" t="s">
        <v>646</v>
      </c>
      <c r="B229" s="675" t="s">
        <v>545</v>
      </c>
      <c r="C229" s="675" t="s">
        <v>610</v>
      </c>
      <c r="D229" s="675" t="s">
        <v>21</v>
      </c>
      <c r="E229" s="675" t="s">
        <v>514</v>
      </c>
      <c r="F229" s="675" t="s">
        <v>515</v>
      </c>
      <c r="G229" s="675"/>
      <c r="H229" s="675"/>
      <c r="I229" s="675"/>
      <c r="J229" s="675"/>
      <c r="K229" s="675"/>
      <c r="L229" s="675"/>
      <c r="M229" s="675"/>
    </row>
    <row r="230" spans="1:13" x14ac:dyDescent="0.25">
      <c r="A230" s="675" t="s">
        <v>646</v>
      </c>
      <c r="B230" s="675" t="s">
        <v>545</v>
      </c>
      <c r="C230" s="675" t="s">
        <v>684</v>
      </c>
      <c r="D230" s="675" t="s">
        <v>21</v>
      </c>
      <c r="E230" s="675" t="s">
        <v>514</v>
      </c>
      <c r="F230" s="675" t="s">
        <v>515</v>
      </c>
      <c r="G230" s="675"/>
      <c r="H230" s="675"/>
      <c r="I230" s="675"/>
      <c r="J230" s="675"/>
      <c r="K230" s="675"/>
      <c r="L230" s="675"/>
      <c r="M230" s="675"/>
    </row>
    <row r="231" spans="1:13" x14ac:dyDescent="0.25">
      <c r="A231" s="675" t="s">
        <v>646</v>
      </c>
      <c r="B231" s="675" t="s">
        <v>545</v>
      </c>
      <c r="C231" s="675" t="s">
        <v>685</v>
      </c>
      <c r="D231" s="675" t="s">
        <v>21</v>
      </c>
      <c r="E231" s="675" t="s">
        <v>514</v>
      </c>
      <c r="F231" s="675" t="s">
        <v>515</v>
      </c>
      <c r="G231" s="675"/>
      <c r="H231" s="675"/>
      <c r="I231" s="675"/>
      <c r="J231" s="675"/>
      <c r="K231" s="675"/>
      <c r="L231" s="675"/>
      <c r="M231" s="675"/>
    </row>
    <row r="232" spans="1:13" x14ac:dyDescent="0.25">
      <c r="A232" s="675" t="s">
        <v>646</v>
      </c>
      <c r="B232" s="675" t="s">
        <v>545</v>
      </c>
      <c r="C232" s="675" t="s">
        <v>562</v>
      </c>
      <c r="D232" s="675" t="s">
        <v>21</v>
      </c>
      <c r="E232" s="675" t="s">
        <v>514</v>
      </c>
      <c r="F232" s="675" t="s">
        <v>515</v>
      </c>
      <c r="G232" s="675"/>
      <c r="H232" s="675"/>
      <c r="I232" s="675"/>
      <c r="J232" s="675"/>
      <c r="K232" s="675"/>
      <c r="L232" s="675"/>
      <c r="M232" s="675"/>
    </row>
    <row r="233" spans="1:13" x14ac:dyDescent="0.25">
      <c r="A233" s="675" t="s">
        <v>646</v>
      </c>
      <c r="B233" s="675" t="s">
        <v>545</v>
      </c>
      <c r="C233" s="675" t="s">
        <v>611</v>
      </c>
      <c r="D233" s="675" t="s">
        <v>21</v>
      </c>
      <c r="E233" s="675" t="s">
        <v>514</v>
      </c>
      <c r="F233" s="675" t="s">
        <v>515</v>
      </c>
      <c r="G233" s="675"/>
      <c r="H233" s="675"/>
      <c r="I233" s="675"/>
      <c r="J233" s="675"/>
      <c r="K233" s="675"/>
      <c r="L233" s="675"/>
      <c r="M233" s="675"/>
    </row>
    <row r="234" spans="1:13" x14ac:dyDescent="0.25">
      <c r="A234" s="675" t="s">
        <v>646</v>
      </c>
      <c r="B234" s="675" t="s">
        <v>545</v>
      </c>
      <c r="C234" s="675" t="s">
        <v>686</v>
      </c>
      <c r="D234" s="675" t="s">
        <v>21</v>
      </c>
      <c r="E234" s="675" t="s">
        <v>514</v>
      </c>
      <c r="F234" s="675" t="s">
        <v>515</v>
      </c>
      <c r="G234" s="675"/>
      <c r="H234" s="675"/>
      <c r="I234" s="675"/>
      <c r="J234" s="675"/>
      <c r="K234" s="675"/>
      <c r="L234" s="675"/>
      <c r="M234" s="675"/>
    </row>
    <row r="235" spans="1:13" x14ac:dyDescent="0.25">
      <c r="A235" s="675" t="s">
        <v>646</v>
      </c>
      <c r="B235" s="675" t="s">
        <v>545</v>
      </c>
      <c r="C235" s="675" t="s">
        <v>687</v>
      </c>
      <c r="D235" s="675" t="s">
        <v>21</v>
      </c>
      <c r="E235" s="675" t="s">
        <v>514</v>
      </c>
      <c r="F235" s="675" t="s">
        <v>515</v>
      </c>
      <c r="G235" s="675"/>
      <c r="H235" s="675"/>
      <c r="I235" s="675"/>
      <c r="J235" s="675"/>
      <c r="K235" s="675"/>
      <c r="L235" s="675"/>
      <c r="M235" s="675"/>
    </row>
    <row r="236" spans="1:13" x14ac:dyDescent="0.25">
      <c r="A236" s="675" t="s">
        <v>646</v>
      </c>
      <c r="B236" s="675" t="s">
        <v>545</v>
      </c>
      <c r="C236" s="675" t="s">
        <v>688</v>
      </c>
      <c r="D236" s="675" t="s">
        <v>21</v>
      </c>
      <c r="E236" s="675" t="s">
        <v>514</v>
      </c>
      <c r="F236" s="675" t="s">
        <v>515</v>
      </c>
      <c r="G236" s="675"/>
      <c r="H236" s="675"/>
      <c r="I236" s="675"/>
      <c r="J236" s="675"/>
      <c r="K236" s="675"/>
      <c r="L236" s="675"/>
      <c r="M236" s="675"/>
    </row>
    <row r="237" spans="1:13" x14ac:dyDescent="0.25">
      <c r="A237" s="675" t="s">
        <v>646</v>
      </c>
      <c r="B237" s="675" t="s">
        <v>545</v>
      </c>
      <c r="C237" s="675" t="s">
        <v>612</v>
      </c>
      <c r="D237" s="675" t="s">
        <v>21</v>
      </c>
      <c r="E237" s="675" t="s">
        <v>514</v>
      </c>
      <c r="F237" s="675" t="s">
        <v>515</v>
      </c>
      <c r="G237" s="675"/>
      <c r="H237" s="675"/>
      <c r="I237" s="675"/>
      <c r="J237" s="675"/>
      <c r="K237" s="675"/>
      <c r="L237" s="675"/>
      <c r="M237" s="675"/>
    </row>
    <row r="238" spans="1:13" x14ac:dyDescent="0.25">
      <c r="A238" s="675" t="s">
        <v>646</v>
      </c>
      <c r="B238" s="675" t="s">
        <v>545</v>
      </c>
      <c r="C238" s="675" t="s">
        <v>563</v>
      </c>
      <c r="D238" s="675" t="s">
        <v>21</v>
      </c>
      <c r="E238" s="675" t="s">
        <v>514</v>
      </c>
      <c r="F238" s="675" t="s">
        <v>515</v>
      </c>
      <c r="G238" s="675"/>
      <c r="H238" s="675"/>
      <c r="I238" s="675"/>
      <c r="J238" s="675"/>
      <c r="K238" s="675"/>
      <c r="L238" s="675"/>
      <c r="M238" s="675"/>
    </row>
    <row r="239" spans="1:13" x14ac:dyDescent="0.25">
      <c r="A239" s="675" t="s">
        <v>646</v>
      </c>
      <c r="B239" s="675" t="s">
        <v>545</v>
      </c>
      <c r="C239" s="675" t="s">
        <v>689</v>
      </c>
      <c r="D239" s="675" t="s">
        <v>21</v>
      </c>
      <c r="E239" s="675" t="s">
        <v>514</v>
      </c>
      <c r="F239" s="675" t="s">
        <v>515</v>
      </c>
      <c r="G239" s="675"/>
      <c r="H239" s="675"/>
      <c r="I239" s="675"/>
      <c r="J239" s="675"/>
      <c r="K239" s="675"/>
      <c r="L239" s="675"/>
      <c r="M239" s="675"/>
    </row>
    <row r="240" spans="1:13" x14ac:dyDescent="0.25">
      <c r="A240" s="675" t="s">
        <v>646</v>
      </c>
      <c r="B240" s="675" t="s">
        <v>545</v>
      </c>
      <c r="C240" s="675" t="s">
        <v>690</v>
      </c>
      <c r="D240" s="675" t="s">
        <v>21</v>
      </c>
      <c r="E240" s="675" t="s">
        <v>514</v>
      </c>
      <c r="F240" s="675" t="s">
        <v>515</v>
      </c>
      <c r="G240" s="675"/>
      <c r="H240" s="675"/>
      <c r="I240" s="675"/>
      <c r="J240" s="675"/>
      <c r="K240" s="675"/>
      <c r="L240" s="675"/>
      <c r="M240" s="675"/>
    </row>
    <row r="241" spans="1:13" x14ac:dyDescent="0.25">
      <c r="A241" s="675" t="s">
        <v>646</v>
      </c>
      <c r="B241" s="675" t="s">
        <v>564</v>
      </c>
      <c r="C241" s="675" t="s">
        <v>566</v>
      </c>
      <c r="D241" s="675" t="s">
        <v>21</v>
      </c>
      <c r="E241" s="675" t="s">
        <v>514</v>
      </c>
      <c r="F241" s="675" t="s">
        <v>515</v>
      </c>
      <c r="G241" s="675"/>
      <c r="H241" s="675"/>
      <c r="I241" s="675"/>
      <c r="J241" s="675"/>
      <c r="K241" s="675"/>
      <c r="L241" s="675"/>
      <c r="M241" s="675"/>
    </row>
    <row r="242" spans="1:13" x14ac:dyDescent="0.25">
      <c r="A242" s="675" t="s">
        <v>646</v>
      </c>
      <c r="B242" s="675" t="s">
        <v>564</v>
      </c>
      <c r="C242" s="675" t="s">
        <v>613</v>
      </c>
      <c r="D242" s="675" t="s">
        <v>21</v>
      </c>
      <c r="E242" s="675" t="s">
        <v>514</v>
      </c>
      <c r="F242" s="675" t="s">
        <v>515</v>
      </c>
      <c r="G242" s="675"/>
      <c r="H242" s="675"/>
      <c r="I242" s="675"/>
      <c r="J242" s="675"/>
      <c r="K242" s="675"/>
      <c r="L242" s="675"/>
      <c r="M242" s="675"/>
    </row>
    <row r="243" spans="1:13" x14ac:dyDescent="0.25">
      <c r="A243" s="675" t="s">
        <v>646</v>
      </c>
      <c r="B243" s="675" t="s">
        <v>564</v>
      </c>
      <c r="C243" s="675" t="s">
        <v>691</v>
      </c>
      <c r="D243" s="675" t="s">
        <v>21</v>
      </c>
      <c r="E243" s="675" t="s">
        <v>514</v>
      </c>
      <c r="F243" s="675" t="s">
        <v>515</v>
      </c>
      <c r="G243" s="675"/>
      <c r="H243" s="675"/>
      <c r="I243" s="675"/>
      <c r="J243" s="675"/>
      <c r="K243" s="675"/>
      <c r="L243" s="675"/>
      <c r="M243" s="675"/>
    </row>
    <row r="244" spans="1:13" x14ac:dyDescent="0.25">
      <c r="A244" s="675" t="s">
        <v>646</v>
      </c>
      <c r="B244" s="675" t="s">
        <v>564</v>
      </c>
      <c r="C244" s="675" t="s">
        <v>692</v>
      </c>
      <c r="D244" s="675" t="s">
        <v>21</v>
      </c>
      <c r="E244" s="675" t="s">
        <v>514</v>
      </c>
      <c r="F244" s="675" t="s">
        <v>515</v>
      </c>
      <c r="G244" s="675"/>
      <c r="H244" s="675"/>
      <c r="I244" s="675"/>
      <c r="J244" s="675"/>
      <c r="K244" s="675"/>
      <c r="L244" s="675"/>
      <c r="M244" s="675"/>
    </row>
    <row r="245" spans="1:13" x14ac:dyDescent="0.25">
      <c r="A245" s="675" t="s">
        <v>646</v>
      </c>
      <c r="B245" s="675" t="s">
        <v>564</v>
      </c>
      <c r="C245" s="675" t="s">
        <v>569</v>
      </c>
      <c r="D245" s="675" t="s">
        <v>21</v>
      </c>
      <c r="E245" s="675" t="s">
        <v>514</v>
      </c>
      <c r="F245" s="675" t="s">
        <v>515</v>
      </c>
      <c r="G245" s="675"/>
      <c r="H245" s="675"/>
      <c r="I245" s="675"/>
      <c r="J245" s="675"/>
      <c r="K245" s="675"/>
      <c r="L245" s="675"/>
      <c r="M245" s="675"/>
    </row>
    <row r="246" spans="1:13" x14ac:dyDescent="0.25">
      <c r="A246" s="675" t="s">
        <v>646</v>
      </c>
      <c r="B246" s="675" t="s">
        <v>564</v>
      </c>
      <c r="C246" s="675" t="s">
        <v>693</v>
      </c>
      <c r="D246" s="675" t="s">
        <v>21</v>
      </c>
      <c r="E246" s="675" t="s">
        <v>514</v>
      </c>
      <c r="F246" s="675" t="s">
        <v>515</v>
      </c>
      <c r="G246" s="675"/>
      <c r="H246" s="675"/>
      <c r="I246" s="675"/>
      <c r="J246" s="675"/>
      <c r="K246" s="675"/>
      <c r="L246" s="675"/>
      <c r="M246" s="675"/>
    </row>
    <row r="247" spans="1:13" x14ac:dyDescent="0.25">
      <c r="A247" s="675" t="s">
        <v>646</v>
      </c>
      <c r="B247" s="675" t="s">
        <v>564</v>
      </c>
      <c r="C247" s="675" t="s">
        <v>694</v>
      </c>
      <c r="D247" s="675" t="s">
        <v>21</v>
      </c>
      <c r="E247" s="675" t="s">
        <v>514</v>
      </c>
      <c r="F247" s="675" t="s">
        <v>515</v>
      </c>
      <c r="G247" s="675"/>
      <c r="H247" s="675"/>
      <c r="I247" s="675"/>
      <c r="J247" s="675"/>
      <c r="K247" s="675"/>
      <c r="L247" s="675"/>
      <c r="M247" s="675"/>
    </row>
    <row r="248" spans="1:13" x14ac:dyDescent="0.25">
      <c r="A248" s="675" t="s">
        <v>646</v>
      </c>
      <c r="B248" s="675" t="s">
        <v>564</v>
      </c>
      <c r="C248" s="675" t="s">
        <v>570</v>
      </c>
      <c r="D248" s="675" t="s">
        <v>21</v>
      </c>
      <c r="E248" s="675" t="s">
        <v>514</v>
      </c>
      <c r="F248" s="675" t="s">
        <v>515</v>
      </c>
      <c r="G248" s="675"/>
      <c r="H248" s="675"/>
      <c r="I248" s="675"/>
      <c r="J248" s="675"/>
      <c r="K248" s="675"/>
      <c r="L248" s="675"/>
      <c r="M248" s="675"/>
    </row>
    <row r="249" spans="1:13" x14ac:dyDescent="0.25">
      <c r="A249" s="675" t="s">
        <v>646</v>
      </c>
      <c r="B249" s="675" t="s">
        <v>564</v>
      </c>
      <c r="C249" s="675" t="s">
        <v>571</v>
      </c>
      <c r="D249" s="675" t="s">
        <v>21</v>
      </c>
      <c r="E249" s="675" t="s">
        <v>514</v>
      </c>
      <c r="F249" s="675" t="s">
        <v>515</v>
      </c>
      <c r="G249" s="675"/>
      <c r="H249" s="675"/>
      <c r="I249" s="675"/>
      <c r="J249" s="675"/>
      <c r="K249" s="675"/>
      <c r="L249" s="675"/>
      <c r="M249" s="675"/>
    </row>
    <row r="250" spans="1:13" x14ac:dyDescent="0.25">
      <c r="A250" s="675" t="s">
        <v>646</v>
      </c>
      <c r="B250" s="675" t="s">
        <v>564</v>
      </c>
      <c r="C250" s="675" t="s">
        <v>695</v>
      </c>
      <c r="D250" s="675" t="s">
        <v>21</v>
      </c>
      <c r="E250" s="675" t="s">
        <v>514</v>
      </c>
      <c r="F250" s="675" t="s">
        <v>515</v>
      </c>
      <c r="G250" s="675"/>
      <c r="H250" s="675"/>
      <c r="I250" s="675"/>
      <c r="J250" s="675"/>
      <c r="K250" s="675"/>
      <c r="L250" s="675"/>
      <c r="M250" s="675"/>
    </row>
    <row r="251" spans="1:13" x14ac:dyDescent="0.25">
      <c r="A251" s="675" t="s">
        <v>646</v>
      </c>
      <c r="B251" s="675" t="s">
        <v>564</v>
      </c>
      <c r="C251" s="675" t="s">
        <v>696</v>
      </c>
      <c r="D251" s="675" t="s">
        <v>21</v>
      </c>
      <c r="E251" s="675" t="s">
        <v>514</v>
      </c>
      <c r="F251" s="675" t="s">
        <v>515</v>
      </c>
      <c r="G251" s="675"/>
      <c r="H251" s="675"/>
      <c r="I251" s="675"/>
      <c r="J251" s="675"/>
      <c r="K251" s="675"/>
      <c r="L251" s="675"/>
      <c r="M251" s="675"/>
    </row>
    <row r="252" spans="1:13" x14ac:dyDescent="0.25">
      <c r="A252" s="675" t="s">
        <v>646</v>
      </c>
      <c r="B252" s="675" t="s">
        <v>564</v>
      </c>
      <c r="C252" s="675" t="s">
        <v>697</v>
      </c>
      <c r="D252" s="675" t="s">
        <v>21</v>
      </c>
      <c r="E252" s="675" t="s">
        <v>514</v>
      </c>
      <c r="F252" s="675" t="s">
        <v>515</v>
      </c>
      <c r="G252" s="675"/>
      <c r="H252" s="675"/>
      <c r="I252" s="675"/>
      <c r="J252" s="675"/>
      <c r="K252" s="675"/>
      <c r="L252" s="675"/>
      <c r="M252" s="675"/>
    </row>
    <row r="253" spans="1:13" x14ac:dyDescent="0.25">
      <c r="A253" s="675" t="s">
        <v>646</v>
      </c>
      <c r="B253" s="675" t="s">
        <v>564</v>
      </c>
      <c r="C253" s="675" t="s">
        <v>698</v>
      </c>
      <c r="D253" s="675" t="s">
        <v>21</v>
      </c>
      <c r="E253" s="675" t="s">
        <v>514</v>
      </c>
      <c r="F253" s="675" t="s">
        <v>515</v>
      </c>
      <c r="G253" s="675"/>
      <c r="H253" s="675"/>
      <c r="I253" s="675"/>
      <c r="J253" s="675"/>
      <c r="K253" s="675"/>
      <c r="L253" s="675"/>
      <c r="M253" s="675"/>
    </row>
    <row r="254" spans="1:13" x14ac:dyDescent="0.25">
      <c r="A254" s="675" t="s">
        <v>646</v>
      </c>
      <c r="B254" s="675" t="s">
        <v>564</v>
      </c>
      <c r="C254" s="675" t="s">
        <v>699</v>
      </c>
      <c r="D254" s="675" t="s">
        <v>21</v>
      </c>
      <c r="E254" s="675" t="s">
        <v>514</v>
      </c>
      <c r="F254" s="675" t="s">
        <v>515</v>
      </c>
      <c r="G254" s="675"/>
      <c r="H254" s="675"/>
      <c r="I254" s="675"/>
      <c r="J254" s="675"/>
      <c r="K254" s="675"/>
      <c r="L254" s="675"/>
      <c r="M254" s="675"/>
    </row>
    <row r="255" spans="1:13" x14ac:dyDescent="0.25">
      <c r="A255" s="675" t="s">
        <v>646</v>
      </c>
      <c r="B255" s="675" t="s">
        <v>564</v>
      </c>
      <c r="C255" s="675" t="s">
        <v>700</v>
      </c>
      <c r="D255" s="675" t="s">
        <v>21</v>
      </c>
      <c r="E255" s="675" t="s">
        <v>514</v>
      </c>
      <c r="F255" s="675" t="s">
        <v>515</v>
      </c>
      <c r="G255" s="675"/>
      <c r="H255" s="675"/>
      <c r="I255" s="675"/>
      <c r="J255" s="675"/>
      <c r="K255" s="675"/>
      <c r="L255" s="675"/>
      <c r="M255" s="675"/>
    </row>
    <row r="256" spans="1:13" x14ac:dyDescent="0.25">
      <c r="A256" s="675" t="s">
        <v>646</v>
      </c>
      <c r="B256" s="675" t="s">
        <v>564</v>
      </c>
      <c r="C256" s="675" t="s">
        <v>701</v>
      </c>
      <c r="D256" s="675" t="s">
        <v>21</v>
      </c>
      <c r="E256" s="675" t="s">
        <v>514</v>
      </c>
      <c r="F256" s="675" t="s">
        <v>515</v>
      </c>
      <c r="G256" s="675"/>
      <c r="H256" s="675"/>
      <c r="I256" s="675"/>
      <c r="J256" s="675"/>
      <c r="K256" s="675"/>
      <c r="L256" s="675"/>
      <c r="M256" s="675"/>
    </row>
    <row r="257" spans="1:13" x14ac:dyDescent="0.25">
      <c r="A257" s="675" t="s">
        <v>646</v>
      </c>
      <c r="B257" s="675" t="s">
        <v>564</v>
      </c>
      <c r="C257" s="675" t="s">
        <v>619</v>
      </c>
      <c r="D257" s="675" t="s">
        <v>21</v>
      </c>
      <c r="E257" s="675" t="s">
        <v>514</v>
      </c>
      <c r="F257" s="675" t="s">
        <v>515</v>
      </c>
      <c r="G257" s="675"/>
      <c r="H257" s="675"/>
      <c r="I257" s="675"/>
      <c r="J257" s="675"/>
      <c r="K257" s="675"/>
      <c r="L257" s="675"/>
      <c r="M257" s="675"/>
    </row>
    <row r="258" spans="1:13" x14ac:dyDescent="0.25">
      <c r="A258" s="675" t="s">
        <v>646</v>
      </c>
      <c r="B258" s="675" t="s">
        <v>564</v>
      </c>
      <c r="C258" s="675" t="s">
        <v>578</v>
      </c>
      <c r="D258" s="675" t="s">
        <v>21</v>
      </c>
      <c r="E258" s="675" t="s">
        <v>514</v>
      </c>
      <c r="F258" s="675" t="s">
        <v>515</v>
      </c>
      <c r="G258" s="675"/>
      <c r="H258" s="675"/>
      <c r="I258" s="675"/>
      <c r="J258" s="675"/>
      <c r="K258" s="675"/>
      <c r="L258" s="675"/>
      <c r="M258" s="675"/>
    </row>
    <row r="259" spans="1:13" x14ac:dyDescent="0.25">
      <c r="A259" s="675" t="s">
        <v>702</v>
      </c>
      <c r="B259" s="675" t="s">
        <v>512</v>
      </c>
      <c r="C259" s="675" t="s">
        <v>703</v>
      </c>
      <c r="D259" s="675" t="s">
        <v>21</v>
      </c>
      <c r="E259" s="675" t="s">
        <v>514</v>
      </c>
      <c r="F259" s="675" t="s">
        <v>515</v>
      </c>
      <c r="G259" s="675"/>
      <c r="H259" s="675"/>
      <c r="I259" s="675"/>
      <c r="J259" s="675"/>
      <c r="K259" s="675"/>
      <c r="L259" s="675"/>
      <c r="M259" s="675"/>
    </row>
    <row r="260" spans="1:13" x14ac:dyDescent="0.25">
      <c r="A260" s="675" t="s">
        <v>702</v>
      </c>
      <c r="B260" s="675" t="s">
        <v>512</v>
      </c>
      <c r="C260" s="675" t="s">
        <v>704</v>
      </c>
      <c r="D260" s="675" t="s">
        <v>21</v>
      </c>
      <c r="E260" s="675" t="s">
        <v>514</v>
      </c>
      <c r="F260" s="675" t="s">
        <v>515</v>
      </c>
      <c r="G260" s="675"/>
      <c r="H260" s="675"/>
      <c r="I260" s="675"/>
      <c r="J260" s="675"/>
      <c r="K260" s="675"/>
      <c r="L260" s="675"/>
      <c r="M260" s="675"/>
    </row>
    <row r="261" spans="1:13" x14ac:dyDescent="0.25">
      <c r="A261" s="675" t="s">
        <v>705</v>
      </c>
      <c r="B261" s="675" t="s">
        <v>512</v>
      </c>
      <c r="C261" s="675" t="s">
        <v>706</v>
      </c>
      <c r="D261" s="675" t="s">
        <v>21</v>
      </c>
      <c r="E261" s="675" t="s">
        <v>514</v>
      </c>
      <c r="F261" s="675" t="s">
        <v>515</v>
      </c>
      <c r="G261" s="675"/>
      <c r="H261" s="675"/>
      <c r="I261" s="675"/>
      <c r="J261" s="675"/>
      <c r="K261" s="675"/>
      <c r="L261" s="675"/>
      <c r="M261" s="675"/>
    </row>
    <row r="262" spans="1:13" x14ac:dyDescent="0.25">
      <c r="A262" s="675" t="s">
        <v>705</v>
      </c>
      <c r="B262" s="675" t="s">
        <v>512</v>
      </c>
      <c r="C262" s="675" t="s">
        <v>513</v>
      </c>
      <c r="D262" s="675" t="s">
        <v>21</v>
      </c>
      <c r="E262" s="675" t="s">
        <v>514</v>
      </c>
      <c r="F262" s="675" t="s">
        <v>515</v>
      </c>
      <c r="G262" s="675"/>
      <c r="H262" s="675"/>
      <c r="I262" s="675"/>
      <c r="J262" s="675"/>
      <c r="K262" s="675"/>
      <c r="L262" s="675"/>
      <c r="M262" s="675"/>
    </row>
    <row r="263" spans="1:13" x14ac:dyDescent="0.25">
      <c r="A263" s="675" t="s">
        <v>705</v>
      </c>
      <c r="B263" s="675" t="s">
        <v>512</v>
      </c>
      <c r="C263" s="675" t="s">
        <v>707</v>
      </c>
      <c r="D263" s="675" t="s">
        <v>21</v>
      </c>
      <c r="E263" s="675" t="s">
        <v>514</v>
      </c>
      <c r="F263" s="675" t="s">
        <v>515</v>
      </c>
      <c r="G263" s="675"/>
      <c r="H263" s="675"/>
      <c r="I263" s="675"/>
      <c r="J263" s="675"/>
      <c r="K263" s="675"/>
      <c r="L263" s="675"/>
      <c r="M263" s="675"/>
    </row>
    <row r="264" spans="1:13" x14ac:dyDescent="0.25">
      <c r="A264" s="675" t="s">
        <v>705</v>
      </c>
      <c r="B264" s="675" t="s">
        <v>512</v>
      </c>
      <c r="C264" s="675" t="s">
        <v>708</v>
      </c>
      <c r="D264" s="675" t="s">
        <v>21</v>
      </c>
      <c r="E264" s="675" t="s">
        <v>514</v>
      </c>
      <c r="F264" s="675" t="s">
        <v>515</v>
      </c>
      <c r="G264" s="675"/>
      <c r="H264" s="675"/>
      <c r="I264" s="675"/>
      <c r="J264" s="675"/>
      <c r="K264" s="675"/>
      <c r="L264" s="675"/>
      <c r="M264" s="675"/>
    </row>
    <row r="265" spans="1:13" x14ac:dyDescent="0.25">
      <c r="A265" s="675" t="s">
        <v>705</v>
      </c>
      <c r="B265" s="675" t="s">
        <v>512</v>
      </c>
      <c r="C265" s="675" t="s">
        <v>709</v>
      </c>
      <c r="D265" s="675" t="s">
        <v>21</v>
      </c>
      <c r="E265" s="675" t="s">
        <v>514</v>
      </c>
      <c r="F265" s="675" t="s">
        <v>515</v>
      </c>
      <c r="G265" s="675"/>
      <c r="H265" s="675"/>
      <c r="I265" s="675"/>
      <c r="J265" s="675"/>
      <c r="K265" s="675"/>
      <c r="L265" s="675"/>
      <c r="M265" s="675"/>
    </row>
    <row r="266" spans="1:13" x14ac:dyDescent="0.25">
      <c r="A266" s="675" t="s">
        <v>705</v>
      </c>
      <c r="B266" s="675" t="s">
        <v>512</v>
      </c>
      <c r="C266" s="675" t="s">
        <v>710</v>
      </c>
      <c r="D266" s="675" t="s">
        <v>21</v>
      </c>
      <c r="E266" s="675" t="s">
        <v>514</v>
      </c>
      <c r="F266" s="675" t="s">
        <v>515</v>
      </c>
      <c r="G266" s="675"/>
      <c r="H266" s="675"/>
      <c r="I266" s="675"/>
      <c r="J266" s="675"/>
      <c r="K266" s="675"/>
      <c r="L266" s="675"/>
      <c r="M266" s="675"/>
    </row>
    <row r="267" spans="1:13" x14ac:dyDescent="0.25">
      <c r="A267" s="675" t="s">
        <v>705</v>
      </c>
      <c r="B267" s="675" t="s">
        <v>512</v>
      </c>
      <c r="C267" s="675" t="s">
        <v>664</v>
      </c>
      <c r="D267" s="675" t="s">
        <v>21</v>
      </c>
      <c r="E267" s="675" t="s">
        <v>514</v>
      </c>
      <c r="F267" s="675" t="s">
        <v>515</v>
      </c>
      <c r="G267" s="675"/>
      <c r="H267" s="675"/>
      <c r="I267" s="675"/>
      <c r="J267" s="675"/>
      <c r="K267" s="675"/>
      <c r="L267" s="675"/>
      <c r="M267" s="675"/>
    </row>
    <row r="268" spans="1:13" x14ac:dyDescent="0.25">
      <c r="A268" s="678" t="s">
        <v>705</v>
      </c>
      <c r="B268" s="678" t="s">
        <v>512</v>
      </c>
      <c r="C268" s="678" t="s">
        <v>711</v>
      </c>
      <c r="D268" s="678" t="s">
        <v>21</v>
      </c>
      <c r="E268" s="678" t="s">
        <v>514</v>
      </c>
      <c r="F268" s="678" t="s">
        <v>596</v>
      </c>
      <c r="G268" s="675"/>
      <c r="H268" s="675"/>
      <c r="I268" s="675"/>
      <c r="J268" s="675"/>
      <c r="K268" s="675"/>
      <c r="L268" s="675"/>
      <c r="M268" s="675"/>
    </row>
    <row r="269" spans="1:13" x14ac:dyDescent="0.25">
      <c r="A269" s="675" t="s">
        <v>705</v>
      </c>
      <c r="B269" s="675" t="s">
        <v>512</v>
      </c>
      <c r="C269" s="675" t="s">
        <v>712</v>
      </c>
      <c r="D269" s="675" t="s">
        <v>21</v>
      </c>
      <c r="E269" s="675" t="s">
        <v>514</v>
      </c>
      <c r="F269" s="675" t="s">
        <v>515</v>
      </c>
      <c r="G269" s="675"/>
      <c r="H269" s="675"/>
      <c r="I269" s="675"/>
      <c r="J269" s="675"/>
      <c r="K269" s="675"/>
      <c r="L269" s="675"/>
      <c r="M269" s="675"/>
    </row>
    <row r="270" spans="1:13" x14ac:dyDescent="0.25">
      <c r="A270" s="675" t="s">
        <v>705</v>
      </c>
      <c r="B270" s="675" t="s">
        <v>512</v>
      </c>
      <c r="C270" s="675" t="s">
        <v>713</v>
      </c>
      <c r="D270" s="675" t="s">
        <v>21</v>
      </c>
      <c r="E270" s="675" t="s">
        <v>514</v>
      </c>
      <c r="F270" s="675" t="s">
        <v>515</v>
      </c>
      <c r="G270" s="675"/>
      <c r="H270" s="675"/>
      <c r="I270" s="675"/>
      <c r="J270" s="675"/>
      <c r="K270" s="675"/>
      <c r="L270" s="675"/>
      <c r="M270" s="675"/>
    </row>
    <row r="271" spans="1:13" x14ac:dyDescent="0.25">
      <c r="A271" s="675" t="s">
        <v>705</v>
      </c>
      <c r="B271" s="675" t="s">
        <v>512</v>
      </c>
      <c r="C271" s="675" t="s">
        <v>714</v>
      </c>
      <c r="D271" s="675" t="s">
        <v>21</v>
      </c>
      <c r="E271" s="675" t="s">
        <v>514</v>
      </c>
      <c r="F271" s="675" t="s">
        <v>515</v>
      </c>
      <c r="G271" s="675"/>
      <c r="H271" s="675"/>
      <c r="I271" s="675"/>
      <c r="J271" s="675"/>
      <c r="K271" s="675"/>
      <c r="L271" s="675"/>
      <c r="M271" s="675"/>
    </row>
    <row r="272" spans="1:13" x14ac:dyDescent="0.25">
      <c r="A272" s="675" t="s">
        <v>705</v>
      </c>
      <c r="B272" s="675" t="s">
        <v>512</v>
      </c>
      <c r="C272" s="675" t="s">
        <v>715</v>
      </c>
      <c r="D272" s="675" t="s">
        <v>21</v>
      </c>
      <c r="E272" s="675" t="s">
        <v>514</v>
      </c>
      <c r="F272" s="675" t="s">
        <v>515</v>
      </c>
      <c r="G272" s="675"/>
      <c r="H272" s="675"/>
      <c r="I272" s="675"/>
      <c r="J272" s="675"/>
      <c r="K272" s="675"/>
      <c r="L272" s="675"/>
      <c r="M272" s="675"/>
    </row>
    <row r="273" spans="1:13" x14ac:dyDescent="0.25">
      <c r="A273" s="675" t="s">
        <v>705</v>
      </c>
      <c r="B273" s="675" t="s">
        <v>512</v>
      </c>
      <c r="C273" s="675" t="s">
        <v>716</v>
      </c>
      <c r="D273" s="675" t="s">
        <v>21</v>
      </c>
      <c r="E273" s="675" t="s">
        <v>514</v>
      </c>
      <c r="F273" s="675" t="s">
        <v>515</v>
      </c>
      <c r="G273" s="675"/>
      <c r="H273" s="675"/>
      <c r="I273" s="675"/>
      <c r="J273" s="675"/>
      <c r="K273" s="675"/>
      <c r="L273" s="675"/>
      <c r="M273" s="675"/>
    </row>
    <row r="274" spans="1:13" x14ac:dyDescent="0.25">
      <c r="A274" s="675" t="s">
        <v>705</v>
      </c>
      <c r="B274" s="675" t="s">
        <v>512</v>
      </c>
      <c r="C274" s="675" t="s">
        <v>717</v>
      </c>
      <c r="D274" s="675" t="s">
        <v>21</v>
      </c>
      <c r="E274" s="675" t="s">
        <v>514</v>
      </c>
      <c r="F274" s="675" t="s">
        <v>515</v>
      </c>
      <c r="G274" s="675"/>
      <c r="H274" s="675"/>
      <c r="I274" s="675"/>
      <c r="J274" s="675"/>
      <c r="K274" s="675"/>
      <c r="L274" s="675"/>
      <c r="M274" s="675"/>
    </row>
    <row r="275" spans="1:13" x14ac:dyDescent="0.25">
      <c r="A275" s="678" t="s">
        <v>705</v>
      </c>
      <c r="B275" s="678" t="s">
        <v>512</v>
      </c>
      <c r="C275" s="678" t="s">
        <v>718</v>
      </c>
      <c r="D275" s="678" t="s">
        <v>21</v>
      </c>
      <c r="E275" s="678" t="s">
        <v>514</v>
      </c>
      <c r="F275" s="678" t="s">
        <v>596</v>
      </c>
      <c r="G275" s="675"/>
      <c r="H275" s="675"/>
      <c r="I275" s="675"/>
      <c r="J275" s="675"/>
      <c r="K275" s="675"/>
      <c r="L275" s="675"/>
      <c r="M275" s="675"/>
    </row>
    <row r="276" spans="1:13" x14ac:dyDescent="0.25">
      <c r="A276" s="675" t="s">
        <v>705</v>
      </c>
      <c r="B276" s="675" t="s">
        <v>512</v>
      </c>
      <c r="C276" s="675" t="s">
        <v>719</v>
      </c>
      <c r="D276" s="675" t="s">
        <v>21</v>
      </c>
      <c r="E276" s="675" t="s">
        <v>514</v>
      </c>
      <c r="F276" s="675" t="s">
        <v>515</v>
      </c>
      <c r="G276" s="675"/>
      <c r="H276" s="675"/>
      <c r="I276" s="675"/>
      <c r="J276" s="675"/>
      <c r="K276" s="675"/>
      <c r="L276" s="675"/>
      <c r="M276" s="675"/>
    </row>
    <row r="277" spans="1:13" x14ac:dyDescent="0.25">
      <c r="A277" s="675" t="s">
        <v>705</v>
      </c>
      <c r="B277" s="675" t="s">
        <v>512</v>
      </c>
      <c r="C277" s="675" t="s">
        <v>720</v>
      </c>
      <c r="D277" s="675" t="s">
        <v>21</v>
      </c>
      <c r="E277" s="675" t="s">
        <v>514</v>
      </c>
      <c r="F277" s="675" t="s">
        <v>515</v>
      </c>
      <c r="G277" s="675"/>
      <c r="H277" s="675"/>
      <c r="I277" s="675"/>
      <c r="J277" s="675"/>
      <c r="K277" s="675"/>
      <c r="L277" s="675"/>
      <c r="M277" s="675"/>
    </row>
    <row r="278" spans="1:13" x14ac:dyDescent="0.25">
      <c r="A278" s="675" t="s">
        <v>705</v>
      </c>
      <c r="B278" s="675" t="s">
        <v>545</v>
      </c>
      <c r="C278" s="675" t="s">
        <v>721</v>
      </c>
      <c r="D278" s="675" t="s">
        <v>21</v>
      </c>
      <c r="E278" s="675" t="s">
        <v>514</v>
      </c>
      <c r="F278" s="675" t="s">
        <v>515</v>
      </c>
      <c r="G278" s="675"/>
      <c r="H278" s="675"/>
      <c r="I278" s="675"/>
      <c r="J278" s="675"/>
      <c r="K278" s="675"/>
      <c r="L278" s="675"/>
      <c r="M278" s="675"/>
    </row>
    <row r="279" spans="1:13" x14ac:dyDescent="0.25">
      <c r="A279" s="675" t="s">
        <v>705</v>
      </c>
      <c r="B279" s="675" t="s">
        <v>545</v>
      </c>
      <c r="C279" s="675" t="s">
        <v>722</v>
      </c>
      <c r="D279" s="675" t="s">
        <v>21</v>
      </c>
      <c r="E279" s="675" t="s">
        <v>514</v>
      </c>
      <c r="F279" s="675" t="s">
        <v>515</v>
      </c>
      <c r="G279" s="675"/>
      <c r="H279" s="675"/>
      <c r="I279" s="675"/>
      <c r="J279" s="675"/>
      <c r="K279" s="675"/>
      <c r="L279" s="675"/>
      <c r="M279" s="675"/>
    </row>
    <row r="280" spans="1:13" x14ac:dyDescent="0.25">
      <c r="A280" s="675" t="s">
        <v>705</v>
      </c>
      <c r="B280" s="675" t="s">
        <v>545</v>
      </c>
      <c r="C280" s="675" t="s">
        <v>723</v>
      </c>
      <c r="D280" s="675" t="s">
        <v>21</v>
      </c>
      <c r="E280" s="675" t="s">
        <v>514</v>
      </c>
      <c r="F280" s="675" t="s">
        <v>515</v>
      </c>
      <c r="G280" s="675"/>
      <c r="H280" s="675"/>
      <c r="I280" s="675"/>
      <c r="J280" s="675"/>
      <c r="K280" s="675"/>
      <c r="L280" s="675"/>
      <c r="M280" s="675"/>
    </row>
    <row r="281" spans="1:13" x14ac:dyDescent="0.25">
      <c r="A281" s="675" t="s">
        <v>705</v>
      </c>
      <c r="B281" s="675" t="s">
        <v>545</v>
      </c>
      <c r="C281" s="675" t="s">
        <v>724</v>
      </c>
      <c r="D281" s="675" t="s">
        <v>21</v>
      </c>
      <c r="E281" s="675" t="s">
        <v>514</v>
      </c>
      <c r="F281" s="675" t="s">
        <v>515</v>
      </c>
      <c r="G281" s="675"/>
      <c r="H281" s="675"/>
      <c r="I281" s="675"/>
      <c r="J281" s="675"/>
      <c r="K281" s="675"/>
      <c r="L281" s="675"/>
      <c r="M281" s="675"/>
    </row>
    <row r="282" spans="1:13" x14ac:dyDescent="0.25">
      <c r="A282" s="675" t="s">
        <v>705</v>
      </c>
      <c r="B282" s="675" t="s">
        <v>545</v>
      </c>
      <c r="C282" s="675" t="s">
        <v>725</v>
      </c>
      <c r="D282" s="675" t="s">
        <v>21</v>
      </c>
      <c r="E282" s="675" t="s">
        <v>514</v>
      </c>
      <c r="F282" s="675" t="s">
        <v>515</v>
      </c>
      <c r="G282" s="675"/>
      <c r="H282" s="675"/>
      <c r="I282" s="675"/>
      <c r="J282" s="675"/>
      <c r="K282" s="675"/>
      <c r="L282" s="675"/>
      <c r="M282" s="675"/>
    </row>
    <row r="283" spans="1:13" x14ac:dyDescent="0.25">
      <c r="A283" s="675" t="s">
        <v>705</v>
      </c>
      <c r="B283" s="675" t="s">
        <v>545</v>
      </c>
      <c r="C283" s="675" t="s">
        <v>726</v>
      </c>
      <c r="D283" s="675" t="s">
        <v>21</v>
      </c>
      <c r="E283" s="675" t="s">
        <v>514</v>
      </c>
      <c r="F283" s="675" t="s">
        <v>515</v>
      </c>
      <c r="G283" s="675"/>
      <c r="H283" s="675"/>
      <c r="I283" s="675"/>
      <c r="J283" s="675"/>
      <c r="K283" s="675"/>
      <c r="L283" s="675"/>
      <c r="M283" s="675"/>
    </row>
    <row r="284" spans="1:13" x14ac:dyDescent="0.25">
      <c r="A284" s="675" t="s">
        <v>705</v>
      </c>
      <c r="B284" s="675" t="s">
        <v>545</v>
      </c>
      <c r="C284" s="675" t="s">
        <v>727</v>
      </c>
      <c r="D284" s="675" t="s">
        <v>21</v>
      </c>
      <c r="E284" s="675" t="s">
        <v>514</v>
      </c>
      <c r="F284" s="675" t="s">
        <v>515</v>
      </c>
      <c r="G284" s="675"/>
      <c r="H284" s="675"/>
      <c r="I284" s="675"/>
      <c r="J284" s="675"/>
      <c r="K284" s="675"/>
      <c r="L284" s="675"/>
      <c r="M284" s="675"/>
    </row>
    <row r="285" spans="1:13" x14ac:dyDescent="0.25">
      <c r="A285" s="675" t="s">
        <v>705</v>
      </c>
      <c r="B285" s="675" t="s">
        <v>564</v>
      </c>
      <c r="C285" s="675" t="s">
        <v>728</v>
      </c>
      <c r="D285" s="675" t="s">
        <v>21</v>
      </c>
      <c r="E285" s="675" t="s">
        <v>514</v>
      </c>
      <c r="F285" s="675" t="s">
        <v>515</v>
      </c>
      <c r="G285" s="675"/>
      <c r="H285" s="675"/>
      <c r="I285" s="675"/>
      <c r="J285" s="675"/>
      <c r="K285" s="675"/>
      <c r="L285" s="675"/>
      <c r="M285" s="675"/>
    </row>
    <row r="286" spans="1:13" x14ac:dyDescent="0.25">
      <c r="A286" s="675" t="s">
        <v>705</v>
      </c>
      <c r="B286" s="675" t="s">
        <v>564</v>
      </c>
      <c r="C286" s="675" t="s">
        <v>729</v>
      </c>
      <c r="D286" s="675" t="s">
        <v>21</v>
      </c>
      <c r="E286" s="675" t="s">
        <v>514</v>
      </c>
      <c r="F286" s="675" t="s">
        <v>515</v>
      </c>
      <c r="G286" s="675"/>
      <c r="H286" s="675"/>
      <c r="I286" s="675"/>
      <c r="J286" s="675"/>
      <c r="K286" s="675"/>
      <c r="L286" s="675"/>
      <c r="M286" s="675"/>
    </row>
    <row r="287" spans="1:13" x14ac:dyDescent="0.25">
      <c r="A287" s="675" t="s">
        <v>705</v>
      </c>
      <c r="B287" s="675" t="s">
        <v>564</v>
      </c>
      <c r="C287" s="675" t="s">
        <v>730</v>
      </c>
      <c r="D287" s="675" t="s">
        <v>21</v>
      </c>
      <c r="E287" s="675" t="s">
        <v>514</v>
      </c>
      <c r="F287" s="675" t="s">
        <v>515</v>
      </c>
      <c r="G287" s="675"/>
      <c r="H287" s="675"/>
      <c r="I287" s="675"/>
      <c r="J287" s="675"/>
      <c r="K287" s="675"/>
      <c r="L287" s="675"/>
      <c r="M287" s="675"/>
    </row>
    <row r="288" spans="1:13" x14ac:dyDescent="0.25">
      <c r="A288" s="675" t="s">
        <v>705</v>
      </c>
      <c r="B288" s="675" t="s">
        <v>564</v>
      </c>
      <c r="C288" s="675" t="s">
        <v>731</v>
      </c>
      <c r="D288" s="675" t="s">
        <v>21</v>
      </c>
      <c r="E288" s="675" t="s">
        <v>514</v>
      </c>
      <c r="F288" s="675" t="s">
        <v>515</v>
      </c>
      <c r="G288" s="675"/>
      <c r="H288" s="675"/>
      <c r="I288" s="675"/>
      <c r="J288" s="675"/>
      <c r="K288" s="675"/>
      <c r="L288" s="675"/>
      <c r="M288" s="675"/>
    </row>
    <row r="289" spans="1:13" x14ac:dyDescent="0.25">
      <c r="A289" s="675" t="s">
        <v>705</v>
      </c>
      <c r="B289" s="675" t="s">
        <v>564</v>
      </c>
      <c r="C289" s="675" t="s">
        <v>732</v>
      </c>
      <c r="D289" s="675" t="s">
        <v>21</v>
      </c>
      <c r="E289" s="675" t="s">
        <v>514</v>
      </c>
      <c r="F289" s="675" t="s">
        <v>515</v>
      </c>
      <c r="G289" s="675"/>
      <c r="H289" s="675"/>
      <c r="I289" s="675"/>
      <c r="J289" s="675"/>
      <c r="K289" s="675"/>
      <c r="L289" s="675"/>
      <c r="M289" s="675"/>
    </row>
    <row r="290" spans="1:13" x14ac:dyDescent="0.25">
      <c r="A290" s="675" t="s">
        <v>705</v>
      </c>
      <c r="B290" s="675" t="s">
        <v>564</v>
      </c>
      <c r="C290" s="675" t="s">
        <v>733</v>
      </c>
      <c r="D290" s="675" t="s">
        <v>21</v>
      </c>
      <c r="E290" s="675" t="s">
        <v>514</v>
      </c>
      <c r="F290" s="675" t="s">
        <v>515</v>
      </c>
      <c r="G290" s="675"/>
      <c r="H290" s="675"/>
      <c r="I290" s="675"/>
      <c r="J290" s="675"/>
      <c r="K290" s="675"/>
      <c r="L290" s="675"/>
      <c r="M290" s="675"/>
    </row>
    <row r="291" spans="1:13" x14ac:dyDescent="0.25">
      <c r="A291" s="675" t="s">
        <v>705</v>
      </c>
      <c r="B291" s="675" t="s">
        <v>564</v>
      </c>
      <c r="C291" s="675" t="s">
        <v>734</v>
      </c>
      <c r="D291" s="675" t="s">
        <v>21</v>
      </c>
      <c r="E291" s="675" t="s">
        <v>514</v>
      </c>
      <c r="F291" s="675" t="s">
        <v>515</v>
      </c>
      <c r="G291" s="675"/>
      <c r="H291" s="675"/>
      <c r="I291" s="675"/>
      <c r="J291" s="675"/>
      <c r="K291" s="675"/>
      <c r="L291" s="675"/>
      <c r="M291" s="675"/>
    </row>
    <row r="292" spans="1:13" x14ac:dyDescent="0.25">
      <c r="A292" s="675" t="s">
        <v>705</v>
      </c>
      <c r="B292" s="675" t="s">
        <v>564</v>
      </c>
      <c r="C292" s="675" t="s">
        <v>735</v>
      </c>
      <c r="D292" s="675" t="s">
        <v>21</v>
      </c>
      <c r="E292" s="675" t="s">
        <v>514</v>
      </c>
      <c r="F292" s="675" t="s">
        <v>515</v>
      </c>
      <c r="G292" s="675"/>
      <c r="H292" s="675"/>
      <c r="I292" s="675"/>
      <c r="J292" s="675"/>
      <c r="K292" s="675"/>
      <c r="L292" s="675"/>
      <c r="M292" s="675"/>
    </row>
    <row r="293" spans="1:13" x14ac:dyDescent="0.25">
      <c r="A293" s="675" t="s">
        <v>705</v>
      </c>
      <c r="B293" s="675" t="s">
        <v>564</v>
      </c>
      <c r="C293" s="675" t="s">
        <v>736</v>
      </c>
      <c r="D293" s="675" t="s">
        <v>21</v>
      </c>
      <c r="E293" s="675" t="s">
        <v>514</v>
      </c>
      <c r="F293" s="675" t="s">
        <v>515</v>
      </c>
      <c r="G293" s="675"/>
      <c r="H293" s="675"/>
      <c r="I293" s="675"/>
      <c r="J293" s="675"/>
      <c r="K293" s="675"/>
      <c r="L293" s="675"/>
      <c r="M293" s="675"/>
    </row>
    <row r="294" spans="1:13" x14ac:dyDescent="0.25">
      <c r="A294" s="675" t="s">
        <v>705</v>
      </c>
      <c r="B294" s="675" t="s">
        <v>564</v>
      </c>
      <c r="C294" s="675" t="s">
        <v>737</v>
      </c>
      <c r="D294" s="675" t="s">
        <v>21</v>
      </c>
      <c r="E294" s="675" t="s">
        <v>514</v>
      </c>
      <c r="F294" s="675" t="s">
        <v>515</v>
      </c>
      <c r="G294" s="675"/>
      <c r="H294" s="675"/>
      <c r="I294" s="675"/>
      <c r="J294" s="675"/>
      <c r="K294" s="675"/>
      <c r="L294" s="675"/>
      <c r="M294" s="675"/>
    </row>
    <row r="295" spans="1:13" x14ac:dyDescent="0.25">
      <c r="A295" s="675" t="s">
        <v>705</v>
      </c>
      <c r="B295" s="675" t="s">
        <v>564</v>
      </c>
      <c r="C295" s="675" t="s">
        <v>738</v>
      </c>
      <c r="D295" s="675" t="s">
        <v>21</v>
      </c>
      <c r="E295" s="675" t="s">
        <v>514</v>
      </c>
      <c r="F295" s="675" t="s">
        <v>515</v>
      </c>
      <c r="G295" s="675"/>
      <c r="H295" s="675"/>
      <c r="I295" s="675"/>
      <c r="J295" s="675"/>
      <c r="K295" s="675"/>
      <c r="L295" s="675"/>
      <c r="M295" s="675"/>
    </row>
    <row r="296" spans="1:13" x14ac:dyDescent="0.25">
      <c r="A296" s="675" t="s">
        <v>705</v>
      </c>
      <c r="B296" s="675" t="s">
        <v>564</v>
      </c>
      <c r="C296" s="675" t="s">
        <v>739</v>
      </c>
      <c r="D296" s="675" t="s">
        <v>21</v>
      </c>
      <c r="E296" s="675" t="s">
        <v>514</v>
      </c>
      <c r="F296" s="675" t="s">
        <v>515</v>
      </c>
      <c r="G296" s="675"/>
      <c r="H296" s="675"/>
      <c r="I296" s="675"/>
      <c r="J296" s="675"/>
      <c r="K296" s="675"/>
      <c r="L296" s="675"/>
      <c r="M296" s="675"/>
    </row>
    <row r="297" spans="1:13" x14ac:dyDescent="0.25">
      <c r="A297" s="675" t="s">
        <v>705</v>
      </c>
      <c r="B297" s="675" t="s">
        <v>564</v>
      </c>
      <c r="C297" s="675" t="s">
        <v>740</v>
      </c>
      <c r="D297" s="675" t="s">
        <v>21</v>
      </c>
      <c r="E297" s="675" t="s">
        <v>514</v>
      </c>
      <c r="F297" s="675" t="s">
        <v>515</v>
      </c>
      <c r="G297" s="675"/>
      <c r="H297" s="675"/>
      <c r="I297" s="675"/>
      <c r="J297" s="675"/>
      <c r="K297" s="675"/>
      <c r="L297" s="675"/>
      <c r="M297" s="675"/>
    </row>
    <row r="298" spans="1:13" x14ac:dyDescent="0.25">
      <c r="A298" s="675" t="s">
        <v>741</v>
      </c>
      <c r="B298" s="675" t="s">
        <v>512</v>
      </c>
      <c r="C298" s="675" t="s">
        <v>742</v>
      </c>
      <c r="D298" s="675" t="s">
        <v>21</v>
      </c>
      <c r="E298" s="702"/>
      <c r="F298" s="702"/>
      <c r="G298" s="675"/>
      <c r="H298" s="675"/>
      <c r="I298" s="675"/>
      <c r="J298" s="675"/>
      <c r="K298" s="675"/>
      <c r="L298" s="675"/>
      <c r="M298" s="675"/>
    </row>
    <row r="299" spans="1:13" x14ac:dyDescent="0.25">
      <c r="A299" s="675" t="s">
        <v>741</v>
      </c>
      <c r="B299" s="675" t="s">
        <v>512</v>
      </c>
      <c r="C299" s="675" t="s">
        <v>743</v>
      </c>
      <c r="D299" s="675" t="s">
        <v>21</v>
      </c>
      <c r="E299" s="702"/>
      <c r="F299" s="702"/>
      <c r="G299" s="675"/>
      <c r="H299" s="675"/>
      <c r="I299" s="675"/>
      <c r="J299" s="675"/>
      <c r="K299" s="675"/>
      <c r="L299" s="675"/>
      <c r="M299" s="675"/>
    </row>
    <row r="300" spans="1:13" x14ac:dyDescent="0.25">
      <c r="A300" s="675" t="s">
        <v>741</v>
      </c>
      <c r="B300" s="675" t="s">
        <v>512</v>
      </c>
      <c r="C300" s="675" t="s">
        <v>744</v>
      </c>
      <c r="D300" s="675" t="s">
        <v>21</v>
      </c>
      <c r="E300" s="702"/>
      <c r="F300" s="702"/>
      <c r="G300" s="675"/>
      <c r="H300" s="675"/>
      <c r="I300" s="675"/>
      <c r="J300" s="675"/>
      <c r="K300" s="675"/>
      <c r="L300" s="675"/>
      <c r="M300" s="675"/>
    </row>
    <row r="301" spans="1:13" x14ac:dyDescent="0.25">
      <c r="A301" s="675" t="s">
        <v>741</v>
      </c>
      <c r="B301" s="675" t="s">
        <v>512</v>
      </c>
      <c r="C301" s="675" t="s">
        <v>745</v>
      </c>
      <c r="D301" s="675" t="s">
        <v>21</v>
      </c>
      <c r="E301" s="702"/>
      <c r="F301" s="702"/>
      <c r="G301" s="675"/>
      <c r="H301" s="675"/>
      <c r="I301" s="675"/>
      <c r="J301" s="675"/>
      <c r="K301" s="675"/>
      <c r="L301" s="675"/>
      <c r="M301" s="675"/>
    </row>
    <row r="302" spans="1:13" x14ac:dyDescent="0.25">
      <c r="A302" s="675" t="s">
        <v>741</v>
      </c>
      <c r="B302" s="675" t="s">
        <v>512</v>
      </c>
      <c r="C302" s="675" t="s">
        <v>746</v>
      </c>
      <c r="D302" s="675" t="s">
        <v>21</v>
      </c>
      <c r="E302" s="702"/>
      <c r="F302" s="702"/>
      <c r="G302" s="675"/>
      <c r="H302" s="675"/>
      <c r="I302" s="675"/>
      <c r="J302" s="675"/>
      <c r="K302" s="675"/>
      <c r="L302" s="675"/>
      <c r="M302" s="675"/>
    </row>
    <row r="303" spans="1:13" x14ac:dyDescent="0.25">
      <c r="A303" s="675" t="s">
        <v>741</v>
      </c>
      <c r="B303" s="675" t="s">
        <v>545</v>
      </c>
      <c r="C303" s="675" t="s">
        <v>747</v>
      </c>
      <c r="D303" s="675" t="s">
        <v>21</v>
      </c>
      <c r="E303" s="702"/>
      <c r="F303" s="702"/>
      <c r="G303" s="675"/>
      <c r="H303" s="675"/>
      <c r="I303" s="675"/>
      <c r="J303" s="675"/>
      <c r="K303" s="675"/>
      <c r="L303" s="675"/>
      <c r="M303" s="675"/>
    </row>
    <row r="304" spans="1:13" x14ac:dyDescent="0.25">
      <c r="A304" s="675" t="s">
        <v>741</v>
      </c>
      <c r="B304" s="675" t="s">
        <v>545</v>
      </c>
      <c r="C304" s="675" t="s">
        <v>748</v>
      </c>
      <c r="D304" s="675" t="s">
        <v>21</v>
      </c>
      <c r="E304" s="702"/>
      <c r="F304" s="702"/>
      <c r="G304" s="675"/>
      <c r="H304" s="675"/>
      <c r="I304" s="675"/>
      <c r="J304" s="675"/>
      <c r="K304" s="675"/>
      <c r="L304" s="675"/>
      <c r="M304" s="675"/>
    </row>
    <row r="305" spans="1:13" x14ac:dyDescent="0.25">
      <c r="A305" s="675" t="s">
        <v>741</v>
      </c>
      <c r="B305" s="675" t="s">
        <v>545</v>
      </c>
      <c r="C305" s="675" t="s">
        <v>749</v>
      </c>
      <c r="D305" s="675" t="s">
        <v>21</v>
      </c>
      <c r="E305" s="702"/>
      <c r="F305" s="702"/>
      <c r="G305" s="675"/>
      <c r="H305" s="675"/>
      <c r="I305" s="675"/>
      <c r="J305" s="675"/>
      <c r="K305" s="675"/>
      <c r="L305" s="675"/>
      <c r="M305" s="675"/>
    </row>
    <row r="306" spans="1:13" x14ac:dyDescent="0.25">
      <c r="A306" s="675" t="s">
        <v>741</v>
      </c>
      <c r="B306" s="675" t="s">
        <v>545</v>
      </c>
      <c r="C306" s="675" t="s">
        <v>750</v>
      </c>
      <c r="D306" s="675" t="s">
        <v>21</v>
      </c>
      <c r="E306" s="702"/>
      <c r="F306" s="702"/>
      <c r="G306" s="675"/>
      <c r="H306" s="675"/>
      <c r="I306" s="675"/>
      <c r="J306" s="675"/>
      <c r="K306" s="675"/>
      <c r="L306" s="675"/>
      <c r="M306" s="675"/>
    </row>
    <row r="307" spans="1:13" x14ac:dyDescent="0.25">
      <c r="A307" s="675" t="s">
        <v>741</v>
      </c>
      <c r="B307" s="675" t="s">
        <v>545</v>
      </c>
      <c r="C307" s="675" t="s">
        <v>751</v>
      </c>
      <c r="D307" s="675" t="s">
        <v>21</v>
      </c>
      <c r="E307" s="702"/>
      <c r="F307" s="702"/>
      <c r="G307" s="675"/>
      <c r="H307" s="675"/>
      <c r="I307" s="675"/>
      <c r="J307" s="675"/>
      <c r="K307" s="675"/>
      <c r="L307" s="675"/>
      <c r="M307" s="675"/>
    </row>
    <row r="308" spans="1:13" x14ac:dyDescent="0.25">
      <c r="A308" s="675" t="s">
        <v>741</v>
      </c>
      <c r="B308" s="675" t="s">
        <v>564</v>
      </c>
      <c r="C308" s="675" t="s">
        <v>752</v>
      </c>
      <c r="D308" s="675" t="s">
        <v>21</v>
      </c>
      <c r="E308" s="702"/>
      <c r="F308" s="702"/>
      <c r="G308" s="675"/>
      <c r="H308" s="675"/>
      <c r="I308" s="675"/>
      <c r="J308" s="675"/>
      <c r="K308" s="675"/>
      <c r="L308" s="675"/>
      <c r="M308" s="675"/>
    </row>
    <row r="309" spans="1:13" x14ac:dyDescent="0.25">
      <c r="A309" s="675" t="s">
        <v>741</v>
      </c>
      <c r="B309" s="675" t="s">
        <v>564</v>
      </c>
      <c r="C309" s="675" t="s">
        <v>753</v>
      </c>
      <c r="D309" s="675" t="s">
        <v>21</v>
      </c>
      <c r="E309" s="702"/>
      <c r="F309" s="702"/>
      <c r="G309" s="675"/>
      <c r="H309" s="675"/>
      <c r="I309" s="675"/>
      <c r="J309" s="675"/>
      <c r="K309" s="675"/>
      <c r="L309" s="675"/>
      <c r="M309" s="675"/>
    </row>
    <row r="310" spans="1:13" x14ac:dyDescent="0.25">
      <c r="A310" s="675" t="s">
        <v>741</v>
      </c>
      <c r="B310" s="675" t="s">
        <v>564</v>
      </c>
      <c r="C310" s="675" t="s">
        <v>754</v>
      </c>
      <c r="D310" s="675" t="s">
        <v>21</v>
      </c>
      <c r="E310" s="702"/>
      <c r="F310" s="702"/>
      <c r="G310" s="675"/>
      <c r="H310" s="675"/>
      <c r="I310" s="675"/>
      <c r="J310" s="675"/>
      <c r="K310" s="675"/>
      <c r="L310" s="675"/>
      <c r="M310" s="675"/>
    </row>
    <row r="311" spans="1:13" x14ac:dyDescent="0.25">
      <c r="A311" s="675" t="s">
        <v>741</v>
      </c>
      <c r="B311" s="675" t="s">
        <v>564</v>
      </c>
      <c r="C311" s="675" t="s">
        <v>755</v>
      </c>
      <c r="D311" s="675" t="s">
        <v>21</v>
      </c>
      <c r="E311" s="702"/>
      <c r="F311" s="702"/>
      <c r="G311" s="675"/>
      <c r="H311" s="675"/>
      <c r="I311" s="675"/>
      <c r="J311" s="675"/>
      <c r="K311" s="675"/>
      <c r="L311" s="675"/>
      <c r="M311" s="675"/>
    </row>
    <row r="312" spans="1:13" x14ac:dyDescent="0.25">
      <c r="A312" s="675" t="s">
        <v>741</v>
      </c>
      <c r="B312" s="675" t="s">
        <v>564</v>
      </c>
      <c r="C312" s="675" t="s">
        <v>756</v>
      </c>
      <c r="D312" s="675" t="s">
        <v>21</v>
      </c>
      <c r="E312" s="702"/>
      <c r="F312" s="702"/>
      <c r="G312" s="675"/>
      <c r="H312" s="675"/>
      <c r="I312" s="675"/>
      <c r="J312" s="675"/>
      <c r="K312" s="675"/>
      <c r="L312" s="675"/>
      <c r="M312" s="675"/>
    </row>
    <row r="313" spans="1:13" x14ac:dyDescent="0.25">
      <c r="A313" s="675" t="s">
        <v>757</v>
      </c>
      <c r="B313" s="675" t="s">
        <v>512</v>
      </c>
      <c r="C313" s="675" t="s">
        <v>758</v>
      </c>
      <c r="D313" s="675" t="s">
        <v>21</v>
      </c>
      <c r="E313" s="702"/>
      <c r="F313" s="702"/>
      <c r="G313" s="675"/>
      <c r="H313" s="675"/>
      <c r="I313" s="675"/>
      <c r="J313" s="675"/>
      <c r="K313" s="675"/>
      <c r="L313" s="675"/>
      <c r="M313" s="675"/>
    </row>
    <row r="314" spans="1:13" x14ac:dyDescent="0.25">
      <c r="A314" s="675" t="s">
        <v>757</v>
      </c>
      <c r="B314" s="675" t="s">
        <v>512</v>
      </c>
      <c r="C314" s="675" t="s">
        <v>759</v>
      </c>
      <c r="D314" s="675" t="s">
        <v>21</v>
      </c>
      <c r="E314" s="702"/>
      <c r="F314" s="702"/>
      <c r="G314" s="675"/>
      <c r="H314" s="675"/>
      <c r="I314" s="675"/>
      <c r="J314" s="675"/>
      <c r="K314" s="675"/>
      <c r="L314" s="675"/>
      <c r="M314" s="675"/>
    </row>
    <row r="315" spans="1:13" x14ac:dyDescent="0.25">
      <c r="A315" s="675" t="s">
        <v>757</v>
      </c>
      <c r="B315" s="675" t="s">
        <v>512</v>
      </c>
      <c r="C315" s="675" t="s">
        <v>760</v>
      </c>
      <c r="D315" s="675" t="s">
        <v>21</v>
      </c>
      <c r="E315" s="702"/>
      <c r="F315" s="702"/>
      <c r="G315" s="675"/>
      <c r="H315" s="675"/>
      <c r="I315" s="675"/>
      <c r="J315" s="675"/>
      <c r="K315" s="675"/>
      <c r="L315" s="675"/>
      <c r="M315" s="675"/>
    </row>
    <row r="316" spans="1:13" x14ac:dyDescent="0.25">
      <c r="A316" s="675" t="s">
        <v>757</v>
      </c>
      <c r="B316" s="675" t="s">
        <v>512</v>
      </c>
      <c r="C316" s="675" t="s">
        <v>761</v>
      </c>
      <c r="D316" s="675" t="s">
        <v>21</v>
      </c>
      <c r="E316" s="702"/>
      <c r="F316" s="702"/>
      <c r="G316" s="675"/>
      <c r="H316" s="675"/>
      <c r="I316" s="675"/>
      <c r="J316" s="675"/>
      <c r="K316" s="675"/>
      <c r="L316" s="675"/>
      <c r="M316" s="675"/>
    </row>
    <row r="317" spans="1:13" x14ac:dyDescent="0.25">
      <c r="A317" s="675" t="s">
        <v>757</v>
      </c>
      <c r="B317" s="675" t="s">
        <v>512</v>
      </c>
      <c r="C317" s="675" t="s">
        <v>762</v>
      </c>
      <c r="D317" s="675" t="s">
        <v>21</v>
      </c>
      <c r="E317" s="702"/>
      <c r="F317" s="702"/>
      <c r="G317" s="675"/>
      <c r="H317" s="675"/>
      <c r="I317" s="675"/>
      <c r="J317" s="675"/>
      <c r="K317" s="675"/>
      <c r="L317" s="675"/>
      <c r="M317" s="675"/>
    </row>
    <row r="318" spans="1:13" x14ac:dyDescent="0.25">
      <c r="A318" s="675" t="s">
        <v>757</v>
      </c>
      <c r="B318" s="675" t="s">
        <v>545</v>
      </c>
      <c r="C318" s="675" t="s">
        <v>763</v>
      </c>
      <c r="D318" s="675" t="s">
        <v>21</v>
      </c>
      <c r="E318" s="702"/>
      <c r="F318" s="702"/>
      <c r="G318" s="675"/>
      <c r="H318" s="675"/>
      <c r="I318" s="675"/>
      <c r="J318" s="675"/>
      <c r="K318" s="675"/>
      <c r="L318" s="675"/>
      <c r="M318" s="675"/>
    </row>
    <row r="319" spans="1:13" x14ac:dyDescent="0.25">
      <c r="A319" s="675" t="s">
        <v>757</v>
      </c>
      <c r="B319" s="675" t="s">
        <v>545</v>
      </c>
      <c r="C319" s="675" t="s">
        <v>764</v>
      </c>
      <c r="D319" s="675" t="s">
        <v>21</v>
      </c>
      <c r="E319" s="702"/>
      <c r="F319" s="702"/>
      <c r="G319" s="675"/>
      <c r="H319" s="675"/>
      <c r="I319" s="675"/>
      <c r="J319" s="675"/>
      <c r="K319" s="675"/>
      <c r="L319" s="675"/>
      <c r="M319" s="675"/>
    </row>
    <row r="320" spans="1:13" x14ac:dyDescent="0.25">
      <c r="A320" s="675" t="s">
        <v>757</v>
      </c>
      <c r="B320" s="675" t="s">
        <v>545</v>
      </c>
      <c r="C320" s="675" t="s">
        <v>765</v>
      </c>
      <c r="D320" s="675" t="s">
        <v>21</v>
      </c>
      <c r="E320" s="702"/>
      <c r="F320" s="702"/>
      <c r="G320" s="675"/>
      <c r="H320" s="675"/>
      <c r="I320" s="675"/>
      <c r="J320" s="675"/>
      <c r="K320" s="675"/>
      <c r="L320" s="675"/>
      <c r="M320" s="675"/>
    </row>
    <row r="321" spans="1:13" x14ac:dyDescent="0.25">
      <c r="A321" s="675" t="s">
        <v>757</v>
      </c>
      <c r="B321" s="675" t="s">
        <v>545</v>
      </c>
      <c r="C321" s="675" t="s">
        <v>766</v>
      </c>
      <c r="D321" s="675" t="s">
        <v>21</v>
      </c>
      <c r="E321" s="702"/>
      <c r="F321" s="702"/>
      <c r="G321" s="675"/>
      <c r="H321" s="675"/>
      <c r="I321" s="675"/>
      <c r="J321" s="675"/>
      <c r="K321" s="675"/>
      <c r="L321" s="675"/>
      <c r="M321" s="675"/>
    </row>
    <row r="322" spans="1:13" x14ac:dyDescent="0.25">
      <c r="A322" s="675" t="s">
        <v>757</v>
      </c>
      <c r="B322" s="675" t="s">
        <v>545</v>
      </c>
      <c r="C322" s="675" t="s">
        <v>767</v>
      </c>
      <c r="D322" s="675" t="s">
        <v>21</v>
      </c>
      <c r="E322" s="702"/>
      <c r="F322" s="702"/>
      <c r="G322" s="675"/>
      <c r="H322" s="675"/>
      <c r="I322" s="675"/>
      <c r="J322" s="675"/>
      <c r="K322" s="675"/>
      <c r="L322" s="675"/>
      <c r="M322" s="675"/>
    </row>
    <row r="323" spans="1:13" x14ac:dyDescent="0.25">
      <c r="A323" s="675" t="s">
        <v>757</v>
      </c>
      <c r="B323" s="675" t="s">
        <v>564</v>
      </c>
      <c r="C323" s="675" t="s">
        <v>768</v>
      </c>
      <c r="D323" s="675" t="s">
        <v>21</v>
      </c>
      <c r="E323" s="702"/>
      <c r="F323" s="702"/>
      <c r="G323" s="675"/>
      <c r="H323" s="675"/>
      <c r="I323" s="675"/>
      <c r="J323" s="675"/>
      <c r="K323" s="675"/>
      <c r="L323" s="675"/>
      <c r="M323" s="675"/>
    </row>
    <row r="324" spans="1:13" x14ac:dyDescent="0.25">
      <c r="A324" s="675" t="s">
        <v>757</v>
      </c>
      <c r="B324" s="675" t="s">
        <v>564</v>
      </c>
      <c r="C324" s="675" t="s">
        <v>769</v>
      </c>
      <c r="D324" s="675" t="s">
        <v>21</v>
      </c>
      <c r="E324" s="702"/>
      <c r="F324" s="702"/>
      <c r="G324" s="675"/>
      <c r="H324" s="675"/>
      <c r="I324" s="675"/>
      <c r="J324" s="675"/>
      <c r="K324" s="675"/>
      <c r="L324" s="675"/>
      <c r="M324" s="675"/>
    </row>
    <row r="325" spans="1:13" x14ac:dyDescent="0.25">
      <c r="A325" s="675" t="s">
        <v>757</v>
      </c>
      <c r="B325" s="675" t="s">
        <v>564</v>
      </c>
      <c r="C325" s="675" t="s">
        <v>770</v>
      </c>
      <c r="D325" s="675" t="s">
        <v>21</v>
      </c>
      <c r="E325" s="702"/>
      <c r="F325" s="702"/>
      <c r="G325" s="675"/>
      <c r="H325" s="675"/>
      <c r="I325" s="675"/>
      <c r="J325" s="675"/>
      <c r="K325" s="675"/>
      <c r="L325" s="675"/>
      <c r="M325" s="675"/>
    </row>
    <row r="326" spans="1:13" x14ac:dyDescent="0.25">
      <c r="A326" s="675" t="s">
        <v>757</v>
      </c>
      <c r="B326" s="675" t="s">
        <v>564</v>
      </c>
      <c r="C326" s="675" t="s">
        <v>771</v>
      </c>
      <c r="D326" s="675" t="s">
        <v>21</v>
      </c>
      <c r="E326" s="702"/>
      <c r="F326" s="702"/>
      <c r="G326" s="675"/>
      <c r="H326" s="675"/>
      <c r="I326" s="675"/>
      <c r="J326" s="675"/>
      <c r="K326" s="675"/>
      <c r="L326" s="675"/>
      <c r="M326" s="675"/>
    </row>
    <row r="327" spans="1:13" x14ac:dyDescent="0.25">
      <c r="A327" s="675" t="s">
        <v>757</v>
      </c>
      <c r="B327" s="675" t="s">
        <v>564</v>
      </c>
      <c r="C327" s="675" t="s">
        <v>772</v>
      </c>
      <c r="D327" s="675" t="s">
        <v>21</v>
      </c>
      <c r="E327" s="702"/>
      <c r="F327" s="702"/>
      <c r="G327" s="675"/>
      <c r="H327" s="675"/>
      <c r="I327" s="675"/>
      <c r="J327" s="675"/>
      <c r="K327" s="675"/>
      <c r="L327" s="675"/>
      <c r="M327" s="675"/>
    </row>
    <row r="328" spans="1:13" x14ac:dyDescent="0.25">
      <c r="A328" s="675" t="s">
        <v>773</v>
      </c>
      <c r="B328" s="675" t="s">
        <v>512</v>
      </c>
      <c r="C328" s="675" t="s">
        <v>774</v>
      </c>
      <c r="D328" s="675" t="s">
        <v>21</v>
      </c>
      <c r="E328" s="702"/>
      <c r="F328" s="702"/>
      <c r="G328" s="675"/>
      <c r="H328" s="675"/>
      <c r="I328" s="675"/>
      <c r="J328" s="675"/>
      <c r="K328" s="675"/>
      <c r="L328" s="675"/>
      <c r="M328" s="675"/>
    </row>
    <row r="329" spans="1:13" x14ac:dyDescent="0.25">
      <c r="A329" s="675" t="s">
        <v>773</v>
      </c>
      <c r="B329" s="675" t="s">
        <v>512</v>
      </c>
      <c r="C329" s="675" t="s">
        <v>775</v>
      </c>
      <c r="D329" s="675" t="s">
        <v>21</v>
      </c>
      <c r="E329" s="702"/>
      <c r="F329" s="702"/>
      <c r="G329" s="675"/>
      <c r="H329" s="675"/>
      <c r="I329" s="675"/>
      <c r="J329" s="675"/>
      <c r="K329" s="675"/>
      <c r="L329" s="675"/>
      <c r="M329" s="675"/>
    </row>
    <row r="330" spans="1:13" x14ac:dyDescent="0.25">
      <c r="A330" s="675" t="s">
        <v>773</v>
      </c>
      <c r="B330" s="675" t="s">
        <v>512</v>
      </c>
      <c r="C330" s="675" t="s">
        <v>776</v>
      </c>
      <c r="D330" s="675" t="s">
        <v>21</v>
      </c>
      <c r="E330" s="702"/>
      <c r="F330" s="702"/>
      <c r="G330" s="675"/>
      <c r="H330" s="675"/>
      <c r="I330" s="675"/>
      <c r="J330" s="675"/>
      <c r="K330" s="675"/>
      <c r="L330" s="675"/>
      <c r="M330" s="675"/>
    </row>
    <row r="331" spans="1:13" x14ac:dyDescent="0.25">
      <c r="A331" s="675" t="s">
        <v>773</v>
      </c>
      <c r="B331" s="675" t="s">
        <v>512</v>
      </c>
      <c r="C331" s="675" t="s">
        <v>777</v>
      </c>
      <c r="D331" s="675" t="s">
        <v>21</v>
      </c>
      <c r="E331" s="702"/>
      <c r="F331" s="702"/>
      <c r="G331" s="675"/>
      <c r="H331" s="675"/>
      <c r="I331" s="675"/>
      <c r="J331" s="675"/>
      <c r="K331" s="675"/>
      <c r="L331" s="675"/>
      <c r="M331" s="675"/>
    </row>
    <row r="332" spans="1:13" x14ac:dyDescent="0.25">
      <c r="A332" s="675" t="s">
        <v>773</v>
      </c>
      <c r="B332" s="675" t="s">
        <v>512</v>
      </c>
      <c r="C332" s="675" t="s">
        <v>778</v>
      </c>
      <c r="D332" s="675" t="s">
        <v>21</v>
      </c>
      <c r="E332" s="702"/>
      <c r="F332" s="702"/>
      <c r="G332" s="675"/>
      <c r="H332" s="675"/>
      <c r="I332" s="675"/>
      <c r="J332" s="675"/>
      <c r="K332" s="675"/>
      <c r="L332" s="675"/>
      <c r="M332" s="675"/>
    </row>
    <row r="333" spans="1:13" x14ac:dyDescent="0.25">
      <c r="A333" s="675" t="s">
        <v>773</v>
      </c>
      <c r="B333" s="675" t="s">
        <v>545</v>
      </c>
      <c r="C333" s="675" t="s">
        <v>779</v>
      </c>
      <c r="D333" s="675" t="s">
        <v>21</v>
      </c>
      <c r="E333" s="702"/>
      <c r="F333" s="702"/>
      <c r="G333" s="675"/>
      <c r="H333" s="675"/>
      <c r="I333" s="675"/>
      <c r="J333" s="675"/>
      <c r="K333" s="675"/>
      <c r="L333" s="675"/>
      <c r="M333" s="675"/>
    </row>
    <row r="334" spans="1:13" x14ac:dyDescent="0.25">
      <c r="A334" s="675" t="s">
        <v>773</v>
      </c>
      <c r="B334" s="675" t="s">
        <v>545</v>
      </c>
      <c r="C334" s="675" t="s">
        <v>780</v>
      </c>
      <c r="D334" s="675" t="s">
        <v>21</v>
      </c>
      <c r="E334" s="702"/>
      <c r="F334" s="702"/>
      <c r="G334" s="675"/>
      <c r="H334" s="675"/>
      <c r="I334" s="675"/>
      <c r="J334" s="675"/>
      <c r="K334" s="675"/>
      <c r="L334" s="675"/>
      <c r="M334" s="675"/>
    </row>
    <row r="335" spans="1:13" x14ac:dyDescent="0.25">
      <c r="A335" s="675" t="s">
        <v>773</v>
      </c>
      <c r="B335" s="675" t="s">
        <v>545</v>
      </c>
      <c r="C335" s="675" t="s">
        <v>781</v>
      </c>
      <c r="D335" s="675" t="s">
        <v>21</v>
      </c>
      <c r="E335" s="702"/>
      <c r="F335" s="702"/>
      <c r="G335" s="675"/>
      <c r="H335" s="675"/>
      <c r="I335" s="675"/>
      <c r="J335" s="675"/>
      <c r="K335" s="675"/>
      <c r="L335" s="675"/>
      <c r="M335" s="675"/>
    </row>
    <row r="336" spans="1:13" x14ac:dyDescent="0.25">
      <c r="A336" s="675" t="s">
        <v>773</v>
      </c>
      <c r="B336" s="675" t="s">
        <v>545</v>
      </c>
      <c r="C336" s="675" t="s">
        <v>782</v>
      </c>
      <c r="D336" s="675" t="s">
        <v>21</v>
      </c>
      <c r="E336" s="702"/>
      <c r="F336" s="702"/>
      <c r="G336" s="675"/>
      <c r="H336" s="675"/>
      <c r="I336" s="675"/>
      <c r="J336" s="675"/>
      <c r="K336" s="675"/>
      <c r="L336" s="675"/>
      <c r="M336" s="675"/>
    </row>
    <row r="337" spans="1:13" x14ac:dyDescent="0.25">
      <c r="A337" s="675" t="s">
        <v>773</v>
      </c>
      <c r="B337" s="675" t="s">
        <v>545</v>
      </c>
      <c r="C337" s="675" t="s">
        <v>783</v>
      </c>
      <c r="D337" s="675" t="s">
        <v>21</v>
      </c>
      <c r="E337" s="702"/>
      <c r="F337" s="702"/>
      <c r="G337" s="675"/>
      <c r="H337" s="675"/>
      <c r="I337" s="675"/>
      <c r="J337" s="675"/>
      <c r="K337" s="675"/>
      <c r="L337" s="675"/>
      <c r="M337" s="675"/>
    </row>
    <row r="338" spans="1:13" x14ac:dyDescent="0.25">
      <c r="A338" s="675" t="s">
        <v>773</v>
      </c>
      <c r="B338" s="675" t="s">
        <v>564</v>
      </c>
      <c r="C338" s="675" t="s">
        <v>784</v>
      </c>
      <c r="D338" s="675" t="s">
        <v>21</v>
      </c>
      <c r="E338" s="702"/>
      <c r="F338" s="702"/>
      <c r="G338" s="675"/>
      <c r="H338" s="675"/>
      <c r="I338" s="675"/>
      <c r="J338" s="675"/>
      <c r="K338" s="675"/>
      <c r="L338" s="675"/>
      <c r="M338" s="675"/>
    </row>
    <row r="339" spans="1:13" x14ac:dyDescent="0.25">
      <c r="A339" s="675" t="s">
        <v>773</v>
      </c>
      <c r="B339" s="675" t="s">
        <v>564</v>
      </c>
      <c r="C339" s="675" t="s">
        <v>785</v>
      </c>
      <c r="D339" s="675" t="s">
        <v>21</v>
      </c>
      <c r="E339" s="702"/>
      <c r="F339" s="702"/>
      <c r="G339" s="675"/>
      <c r="H339" s="675"/>
      <c r="I339" s="675"/>
      <c r="J339" s="675"/>
      <c r="K339" s="675"/>
      <c r="L339" s="675"/>
      <c r="M339" s="675"/>
    </row>
    <row r="340" spans="1:13" x14ac:dyDescent="0.25">
      <c r="A340" s="675" t="s">
        <v>773</v>
      </c>
      <c r="B340" s="675" t="s">
        <v>564</v>
      </c>
      <c r="C340" s="675" t="s">
        <v>786</v>
      </c>
      <c r="D340" s="675" t="s">
        <v>21</v>
      </c>
      <c r="E340" s="702"/>
      <c r="F340" s="702"/>
      <c r="G340" s="675"/>
      <c r="H340" s="675"/>
      <c r="I340" s="675"/>
      <c r="J340" s="675"/>
      <c r="K340" s="675"/>
      <c r="L340" s="675"/>
      <c r="M340" s="675"/>
    </row>
    <row r="341" spans="1:13" x14ac:dyDescent="0.25">
      <c r="A341" s="675" t="s">
        <v>773</v>
      </c>
      <c r="B341" s="675" t="s">
        <v>564</v>
      </c>
      <c r="C341" s="675" t="s">
        <v>787</v>
      </c>
      <c r="D341" s="675" t="s">
        <v>21</v>
      </c>
      <c r="E341" s="702"/>
      <c r="F341" s="702"/>
      <c r="G341" s="675"/>
      <c r="H341" s="675"/>
      <c r="I341" s="675"/>
      <c r="J341" s="675"/>
      <c r="K341" s="675"/>
      <c r="L341" s="675"/>
      <c r="M341" s="675"/>
    </row>
    <row r="342" spans="1:13" x14ac:dyDescent="0.25">
      <c r="A342" s="675" t="s">
        <v>773</v>
      </c>
      <c r="B342" s="675" t="s">
        <v>564</v>
      </c>
      <c r="C342" s="675" t="s">
        <v>788</v>
      </c>
      <c r="D342" s="675" t="s">
        <v>21</v>
      </c>
      <c r="E342" s="702"/>
      <c r="F342" s="702"/>
      <c r="G342" s="675"/>
      <c r="H342" s="675"/>
      <c r="I342" s="675"/>
      <c r="J342" s="675"/>
      <c r="K342" s="675"/>
      <c r="L342" s="675"/>
      <c r="M342" s="675"/>
    </row>
    <row r="343" spans="1:13" x14ac:dyDescent="0.25">
      <c r="A343" s="675" t="s">
        <v>789</v>
      </c>
      <c r="B343" s="675" t="s">
        <v>512</v>
      </c>
      <c r="C343" s="675" t="s">
        <v>706</v>
      </c>
      <c r="D343" s="675" t="s">
        <v>21</v>
      </c>
      <c r="E343" s="675" t="s">
        <v>514</v>
      </c>
      <c r="F343" s="675" t="s">
        <v>515</v>
      </c>
      <c r="G343" s="675"/>
      <c r="H343" s="675"/>
      <c r="I343" s="675"/>
      <c r="J343" s="675"/>
      <c r="K343" s="675"/>
      <c r="L343" s="675"/>
      <c r="M343" s="675"/>
    </row>
    <row r="344" spans="1:13" x14ac:dyDescent="0.25">
      <c r="A344" s="675" t="s">
        <v>789</v>
      </c>
      <c r="B344" s="675" t="s">
        <v>512</v>
      </c>
      <c r="C344" s="675" t="s">
        <v>513</v>
      </c>
      <c r="D344" s="675" t="s">
        <v>21</v>
      </c>
      <c r="E344" s="675" t="s">
        <v>514</v>
      </c>
      <c r="F344" s="675" t="s">
        <v>515</v>
      </c>
      <c r="G344" s="675"/>
      <c r="H344" s="675"/>
      <c r="I344" s="675"/>
      <c r="J344" s="675"/>
      <c r="K344" s="675"/>
      <c r="L344" s="675"/>
      <c r="M344" s="675"/>
    </row>
    <row r="345" spans="1:13" x14ac:dyDescent="0.25">
      <c r="A345" s="675" t="s">
        <v>789</v>
      </c>
      <c r="B345" s="675" t="s">
        <v>512</v>
      </c>
      <c r="C345" s="675" t="s">
        <v>790</v>
      </c>
      <c r="D345" s="675" t="s">
        <v>21</v>
      </c>
      <c r="E345" s="675" t="s">
        <v>514</v>
      </c>
      <c r="F345" s="675" t="s">
        <v>515</v>
      </c>
      <c r="G345" s="675"/>
      <c r="H345" s="675"/>
      <c r="I345" s="675"/>
      <c r="J345" s="675"/>
      <c r="K345" s="675"/>
      <c r="L345" s="675"/>
      <c r="M345" s="675"/>
    </row>
    <row r="346" spans="1:13" x14ac:dyDescent="0.25">
      <c r="A346" s="675" t="s">
        <v>789</v>
      </c>
      <c r="B346" s="675" t="s">
        <v>512</v>
      </c>
      <c r="C346" s="675" t="s">
        <v>791</v>
      </c>
      <c r="D346" s="675" t="s">
        <v>21</v>
      </c>
      <c r="E346" s="675" t="s">
        <v>514</v>
      </c>
      <c r="F346" s="675" t="s">
        <v>515</v>
      </c>
      <c r="G346" s="675"/>
      <c r="H346" s="675"/>
      <c r="I346" s="675"/>
      <c r="J346" s="675"/>
      <c r="K346" s="675"/>
      <c r="L346" s="675"/>
      <c r="M346" s="675"/>
    </row>
    <row r="347" spans="1:13" x14ac:dyDescent="0.25">
      <c r="A347" s="675" t="s">
        <v>789</v>
      </c>
      <c r="B347" s="675" t="s">
        <v>512</v>
      </c>
      <c r="C347" s="675" t="s">
        <v>792</v>
      </c>
      <c r="D347" s="675" t="s">
        <v>21</v>
      </c>
      <c r="E347" s="675" t="s">
        <v>514</v>
      </c>
      <c r="F347" s="675" t="s">
        <v>515</v>
      </c>
      <c r="G347" s="675"/>
      <c r="H347" s="675"/>
      <c r="I347" s="675"/>
      <c r="J347" s="675"/>
      <c r="K347" s="675"/>
      <c r="L347" s="675"/>
      <c r="M347" s="675"/>
    </row>
    <row r="348" spans="1:13" x14ac:dyDescent="0.25">
      <c r="A348" s="675" t="s">
        <v>789</v>
      </c>
      <c r="B348" s="675" t="s">
        <v>512</v>
      </c>
      <c r="C348" s="675" t="s">
        <v>793</v>
      </c>
      <c r="D348" s="675" t="s">
        <v>21</v>
      </c>
      <c r="E348" s="675" t="s">
        <v>514</v>
      </c>
      <c r="F348" s="675" t="s">
        <v>515</v>
      </c>
      <c r="G348" s="675"/>
      <c r="H348" s="675"/>
      <c r="I348" s="675"/>
      <c r="J348" s="675"/>
      <c r="K348" s="675"/>
      <c r="L348" s="675"/>
      <c r="M348" s="675"/>
    </row>
    <row r="349" spans="1:13" x14ac:dyDescent="0.25">
      <c r="A349" s="675" t="s">
        <v>789</v>
      </c>
      <c r="B349" s="675" t="s">
        <v>512</v>
      </c>
      <c r="C349" s="675" t="s">
        <v>794</v>
      </c>
      <c r="D349" s="675" t="s">
        <v>21</v>
      </c>
      <c r="E349" s="675" t="s">
        <v>514</v>
      </c>
      <c r="F349" s="675" t="s">
        <v>515</v>
      </c>
      <c r="G349" s="675"/>
      <c r="H349" s="675"/>
      <c r="I349" s="675"/>
      <c r="J349" s="675"/>
      <c r="K349" s="675"/>
      <c r="L349" s="675"/>
      <c r="M349" s="675"/>
    </row>
    <row r="350" spans="1:13" x14ac:dyDescent="0.25">
      <c r="A350" s="675" t="s">
        <v>789</v>
      </c>
      <c r="B350" s="675" t="s">
        <v>512</v>
      </c>
      <c r="C350" s="675" t="s">
        <v>664</v>
      </c>
      <c r="D350" s="675" t="s">
        <v>21</v>
      </c>
      <c r="E350" s="675" t="s">
        <v>514</v>
      </c>
      <c r="F350" s="675" t="s">
        <v>515</v>
      </c>
      <c r="G350" s="675"/>
      <c r="H350" s="675"/>
      <c r="I350" s="675"/>
      <c r="J350" s="675"/>
      <c r="K350" s="675"/>
      <c r="L350" s="675"/>
      <c r="M350" s="675"/>
    </row>
    <row r="351" spans="1:13" x14ac:dyDescent="0.25">
      <c r="A351" s="678" t="s">
        <v>789</v>
      </c>
      <c r="B351" s="678" t="s">
        <v>512</v>
      </c>
      <c r="C351" s="678" t="s">
        <v>665</v>
      </c>
      <c r="D351" s="678" t="s">
        <v>21</v>
      </c>
      <c r="E351" s="678" t="s">
        <v>514</v>
      </c>
      <c r="F351" s="678" t="s">
        <v>596</v>
      </c>
      <c r="G351" s="675"/>
      <c r="H351" s="675"/>
      <c r="I351" s="675"/>
      <c r="J351" s="675"/>
      <c r="K351" s="675"/>
      <c r="L351" s="675"/>
      <c r="M351" s="675"/>
    </row>
    <row r="352" spans="1:13" x14ac:dyDescent="0.25">
      <c r="A352" s="675" t="s">
        <v>789</v>
      </c>
      <c r="B352" s="675" t="s">
        <v>545</v>
      </c>
      <c r="C352" s="675" t="s">
        <v>795</v>
      </c>
      <c r="D352" s="675" t="s">
        <v>21</v>
      </c>
      <c r="E352" s="675" t="s">
        <v>514</v>
      </c>
      <c r="F352" s="675" t="s">
        <v>515</v>
      </c>
      <c r="G352" s="675"/>
      <c r="H352" s="675"/>
      <c r="I352" s="675"/>
      <c r="J352" s="675"/>
      <c r="K352" s="675"/>
      <c r="L352" s="675"/>
      <c r="M352" s="675"/>
    </row>
    <row r="353" spans="1:13" x14ac:dyDescent="0.25">
      <c r="A353" s="675" t="s">
        <v>789</v>
      </c>
      <c r="B353" s="675" t="s">
        <v>545</v>
      </c>
      <c r="C353" s="675" t="s">
        <v>796</v>
      </c>
      <c r="D353" s="675" t="s">
        <v>21</v>
      </c>
      <c r="E353" s="675" t="s">
        <v>514</v>
      </c>
      <c r="F353" s="675" t="s">
        <v>515</v>
      </c>
      <c r="G353" s="675"/>
      <c r="H353" s="675"/>
      <c r="I353" s="675"/>
      <c r="J353" s="675"/>
      <c r="K353" s="675"/>
      <c r="L353" s="675"/>
      <c r="M353" s="675"/>
    </row>
    <row r="354" spans="1:13" x14ac:dyDescent="0.25">
      <c r="A354" s="675" t="s">
        <v>789</v>
      </c>
      <c r="B354" s="675" t="s">
        <v>545</v>
      </c>
      <c r="C354" s="675" t="s">
        <v>797</v>
      </c>
      <c r="D354" s="675" t="s">
        <v>21</v>
      </c>
      <c r="E354" s="675" t="s">
        <v>514</v>
      </c>
      <c r="F354" s="675" t="s">
        <v>515</v>
      </c>
      <c r="G354" s="675"/>
      <c r="H354" s="675"/>
      <c r="I354" s="675"/>
      <c r="J354" s="675"/>
      <c r="K354" s="675"/>
      <c r="L354" s="675"/>
      <c r="M354" s="675"/>
    </row>
    <row r="355" spans="1:13" x14ac:dyDescent="0.25">
      <c r="A355" s="675" t="s">
        <v>789</v>
      </c>
      <c r="B355" s="675" t="s">
        <v>545</v>
      </c>
      <c r="C355" s="675" t="s">
        <v>798</v>
      </c>
      <c r="D355" s="675" t="s">
        <v>21</v>
      </c>
      <c r="E355" s="675" t="s">
        <v>514</v>
      </c>
      <c r="F355" s="675" t="s">
        <v>515</v>
      </c>
      <c r="G355" s="675"/>
      <c r="H355" s="675"/>
      <c r="I355" s="675"/>
      <c r="J355" s="675"/>
      <c r="K355" s="675"/>
      <c r="L355" s="675"/>
      <c r="M355" s="675"/>
    </row>
    <row r="356" spans="1:13" x14ac:dyDescent="0.25">
      <c r="A356" s="675" t="s">
        <v>789</v>
      </c>
      <c r="B356" s="675" t="s">
        <v>545</v>
      </c>
      <c r="C356" s="675" t="s">
        <v>799</v>
      </c>
      <c r="D356" s="675" t="s">
        <v>21</v>
      </c>
      <c r="E356" s="675" t="s">
        <v>514</v>
      </c>
      <c r="F356" s="675" t="s">
        <v>515</v>
      </c>
      <c r="G356" s="675"/>
      <c r="H356" s="675"/>
      <c r="I356" s="675"/>
      <c r="J356" s="675"/>
      <c r="K356" s="675"/>
      <c r="L356" s="675"/>
      <c r="M356" s="675"/>
    </row>
    <row r="357" spans="1:13" x14ac:dyDescent="0.25">
      <c r="A357" s="675" t="s">
        <v>789</v>
      </c>
      <c r="B357" s="675" t="s">
        <v>545</v>
      </c>
      <c r="C357" s="675" t="s">
        <v>800</v>
      </c>
      <c r="D357" s="675" t="s">
        <v>21</v>
      </c>
      <c r="E357" s="675" t="s">
        <v>514</v>
      </c>
      <c r="F357" s="675" t="s">
        <v>515</v>
      </c>
      <c r="G357" s="675"/>
      <c r="H357" s="675"/>
      <c r="I357" s="675"/>
      <c r="J357" s="675"/>
      <c r="K357" s="675"/>
      <c r="L357" s="675"/>
      <c r="M357" s="675"/>
    </row>
    <row r="358" spans="1:13" x14ac:dyDescent="0.25">
      <c r="A358" s="675" t="s">
        <v>789</v>
      </c>
      <c r="B358" s="675" t="s">
        <v>545</v>
      </c>
      <c r="C358" s="675" t="s">
        <v>801</v>
      </c>
      <c r="D358" s="675" t="s">
        <v>21</v>
      </c>
      <c r="E358" s="675" t="s">
        <v>514</v>
      </c>
      <c r="F358" s="675" t="s">
        <v>515</v>
      </c>
      <c r="G358" s="675"/>
      <c r="H358" s="675"/>
      <c r="I358" s="675"/>
      <c r="J358" s="675"/>
      <c r="K358" s="675"/>
      <c r="L358" s="675"/>
      <c r="M358" s="675"/>
    </row>
    <row r="359" spans="1:13" x14ac:dyDescent="0.25">
      <c r="A359" s="675" t="s">
        <v>789</v>
      </c>
      <c r="B359" s="675" t="s">
        <v>545</v>
      </c>
      <c r="C359" s="675" t="s">
        <v>802</v>
      </c>
      <c r="D359" s="675" t="s">
        <v>21</v>
      </c>
      <c r="E359" s="675" t="s">
        <v>514</v>
      </c>
      <c r="F359" s="675" t="s">
        <v>515</v>
      </c>
      <c r="G359" s="675"/>
      <c r="H359" s="675"/>
      <c r="I359" s="675"/>
      <c r="J359" s="675"/>
      <c r="K359" s="675"/>
      <c r="L359" s="675"/>
      <c r="M359" s="675"/>
    </row>
    <row r="360" spans="1:13" x14ac:dyDescent="0.25">
      <c r="A360" s="675" t="s">
        <v>789</v>
      </c>
      <c r="B360" s="675" t="s">
        <v>564</v>
      </c>
      <c r="C360" s="675" t="s">
        <v>728</v>
      </c>
      <c r="D360" s="675" t="s">
        <v>21</v>
      </c>
      <c r="E360" s="675" t="s">
        <v>514</v>
      </c>
      <c r="F360" s="675" t="s">
        <v>515</v>
      </c>
      <c r="G360" s="675"/>
      <c r="H360" s="675"/>
      <c r="I360" s="675"/>
      <c r="J360" s="675"/>
      <c r="K360" s="675"/>
      <c r="L360" s="675"/>
      <c r="M360" s="675"/>
    </row>
    <row r="361" spans="1:13" x14ac:dyDescent="0.25">
      <c r="A361" s="675" t="s">
        <v>789</v>
      </c>
      <c r="B361" s="675" t="s">
        <v>564</v>
      </c>
      <c r="C361" s="675" t="s">
        <v>730</v>
      </c>
      <c r="D361" s="675" t="s">
        <v>21</v>
      </c>
      <c r="E361" s="675" t="s">
        <v>514</v>
      </c>
      <c r="F361" s="675" t="s">
        <v>515</v>
      </c>
      <c r="G361" s="675"/>
      <c r="H361" s="675"/>
      <c r="I361" s="675"/>
      <c r="J361" s="675"/>
      <c r="K361" s="675"/>
      <c r="L361" s="675"/>
      <c r="M361" s="675"/>
    </row>
    <row r="362" spans="1:13" x14ac:dyDescent="0.25">
      <c r="A362" s="675" t="s">
        <v>789</v>
      </c>
      <c r="B362" s="675" t="s">
        <v>564</v>
      </c>
      <c r="C362" s="675" t="s">
        <v>803</v>
      </c>
      <c r="D362" s="675" t="s">
        <v>21</v>
      </c>
      <c r="E362" s="675" t="s">
        <v>514</v>
      </c>
      <c r="F362" s="675" t="s">
        <v>515</v>
      </c>
      <c r="G362" s="675"/>
      <c r="H362" s="675"/>
      <c r="I362" s="675"/>
      <c r="J362" s="675"/>
      <c r="K362" s="675"/>
      <c r="L362" s="675"/>
      <c r="M362" s="675"/>
    </row>
    <row r="363" spans="1:13" x14ac:dyDescent="0.25">
      <c r="A363" s="675" t="s">
        <v>789</v>
      </c>
      <c r="B363" s="675" t="s">
        <v>564</v>
      </c>
      <c r="C363" s="675" t="s">
        <v>734</v>
      </c>
      <c r="D363" s="675" t="s">
        <v>21</v>
      </c>
      <c r="E363" s="675" t="s">
        <v>514</v>
      </c>
      <c r="F363" s="675" t="s">
        <v>515</v>
      </c>
      <c r="G363" s="675"/>
      <c r="H363" s="675"/>
      <c r="I363" s="675"/>
      <c r="J363" s="675"/>
      <c r="K363" s="675"/>
      <c r="L363" s="675"/>
      <c r="M363" s="675"/>
    </row>
    <row r="364" spans="1:13" x14ac:dyDescent="0.25">
      <c r="A364" s="675" t="s">
        <v>789</v>
      </c>
      <c r="B364" s="675" t="s">
        <v>564</v>
      </c>
      <c r="C364" s="675" t="s">
        <v>804</v>
      </c>
      <c r="D364" s="675" t="s">
        <v>21</v>
      </c>
      <c r="E364" s="675" t="s">
        <v>514</v>
      </c>
      <c r="F364" s="675" t="s">
        <v>515</v>
      </c>
      <c r="G364" s="675"/>
      <c r="H364" s="675"/>
      <c r="I364" s="675"/>
      <c r="J364" s="675"/>
      <c r="K364" s="675"/>
      <c r="L364" s="675"/>
      <c r="M364" s="675"/>
    </row>
    <row r="365" spans="1:13" x14ac:dyDescent="0.25">
      <c r="A365" s="675" t="s">
        <v>805</v>
      </c>
      <c r="B365" s="675" t="s">
        <v>512</v>
      </c>
      <c r="C365" s="675" t="s">
        <v>806</v>
      </c>
      <c r="D365" s="675" t="s">
        <v>21</v>
      </c>
      <c r="E365" s="675" t="s">
        <v>514</v>
      </c>
      <c r="F365" s="675" t="s">
        <v>515</v>
      </c>
      <c r="G365" s="675"/>
      <c r="H365" s="675"/>
      <c r="I365" s="675"/>
      <c r="J365" s="675"/>
      <c r="K365" s="675"/>
      <c r="L365" s="675"/>
      <c r="M365" s="675"/>
    </row>
    <row r="366" spans="1:13" x14ac:dyDescent="0.25">
      <c r="A366" s="675" t="s">
        <v>805</v>
      </c>
      <c r="B366" s="675" t="s">
        <v>512</v>
      </c>
      <c r="C366" s="675" t="s">
        <v>807</v>
      </c>
      <c r="D366" s="675" t="s">
        <v>21</v>
      </c>
      <c r="E366" s="675" t="s">
        <v>514</v>
      </c>
      <c r="F366" s="675" t="s">
        <v>515</v>
      </c>
      <c r="G366" s="675"/>
      <c r="H366" s="675"/>
      <c r="I366" s="675"/>
      <c r="J366" s="675"/>
      <c r="K366" s="675"/>
      <c r="L366" s="675"/>
      <c r="M366" s="675"/>
    </row>
    <row r="367" spans="1:13" x14ac:dyDescent="0.25">
      <c r="A367" s="675" t="s">
        <v>805</v>
      </c>
      <c r="B367" s="675" t="s">
        <v>512</v>
      </c>
      <c r="C367" s="675" t="s">
        <v>808</v>
      </c>
      <c r="D367" s="675" t="s">
        <v>21</v>
      </c>
      <c r="E367" s="675" t="s">
        <v>514</v>
      </c>
      <c r="F367" s="675" t="s">
        <v>515</v>
      </c>
      <c r="G367" s="675"/>
      <c r="H367" s="675"/>
      <c r="I367" s="675"/>
      <c r="J367" s="675"/>
      <c r="K367" s="675"/>
      <c r="L367" s="675"/>
      <c r="M367" s="675"/>
    </row>
    <row r="368" spans="1:13" x14ac:dyDescent="0.25">
      <c r="A368" s="675" t="s">
        <v>805</v>
      </c>
      <c r="B368" s="675" t="s">
        <v>512</v>
      </c>
      <c r="C368" s="675" t="s">
        <v>809</v>
      </c>
      <c r="D368" s="675" t="s">
        <v>21</v>
      </c>
      <c r="E368" s="675" t="s">
        <v>514</v>
      </c>
      <c r="F368" s="675" t="s">
        <v>515</v>
      </c>
      <c r="G368" s="675"/>
      <c r="H368" s="675"/>
      <c r="I368" s="675"/>
      <c r="J368" s="675"/>
      <c r="K368" s="675"/>
      <c r="L368" s="675"/>
      <c r="M368" s="675"/>
    </row>
    <row r="369" spans="1:13" x14ac:dyDescent="0.25">
      <c r="A369" s="675" t="s">
        <v>805</v>
      </c>
      <c r="B369" s="675" t="s">
        <v>512</v>
      </c>
      <c r="C369" s="675" t="s">
        <v>810</v>
      </c>
      <c r="D369" s="675" t="s">
        <v>21</v>
      </c>
      <c r="E369" s="675" t="s">
        <v>514</v>
      </c>
      <c r="F369" s="675" t="s">
        <v>515</v>
      </c>
      <c r="G369" s="675"/>
      <c r="H369" s="675"/>
      <c r="I369" s="675"/>
      <c r="J369" s="675"/>
      <c r="K369" s="675"/>
      <c r="L369" s="675"/>
      <c r="M369" s="675"/>
    </row>
    <row r="370" spans="1:13" x14ac:dyDescent="0.25">
      <c r="A370" s="675" t="s">
        <v>805</v>
      </c>
      <c r="B370" s="675" t="s">
        <v>512</v>
      </c>
      <c r="C370" s="675" t="s">
        <v>811</v>
      </c>
      <c r="D370" s="675" t="s">
        <v>21</v>
      </c>
      <c r="E370" s="675" t="s">
        <v>514</v>
      </c>
      <c r="F370" s="675" t="s">
        <v>515</v>
      </c>
      <c r="G370" s="675"/>
      <c r="H370" s="675"/>
      <c r="I370" s="675"/>
      <c r="J370" s="675"/>
      <c r="K370" s="675"/>
      <c r="L370" s="675"/>
      <c r="M370" s="675"/>
    </row>
    <row r="371" spans="1:13" x14ac:dyDescent="0.25">
      <c r="A371" s="675" t="s">
        <v>805</v>
      </c>
      <c r="B371" s="675" t="s">
        <v>512</v>
      </c>
      <c r="C371" s="675" t="s">
        <v>812</v>
      </c>
      <c r="D371" s="675" t="s">
        <v>21</v>
      </c>
      <c r="E371" s="675" t="s">
        <v>514</v>
      </c>
      <c r="F371" s="675" t="s">
        <v>515</v>
      </c>
      <c r="G371" s="675"/>
      <c r="H371" s="675"/>
      <c r="I371" s="675"/>
      <c r="J371" s="675"/>
      <c r="K371" s="675"/>
      <c r="L371" s="675"/>
      <c r="M371" s="675"/>
    </row>
    <row r="372" spans="1:13" x14ac:dyDescent="0.25">
      <c r="A372" s="675" t="s">
        <v>805</v>
      </c>
      <c r="B372" s="675" t="s">
        <v>512</v>
      </c>
      <c r="C372" s="675" t="s">
        <v>813</v>
      </c>
      <c r="D372" s="675" t="s">
        <v>21</v>
      </c>
      <c r="E372" s="675" t="s">
        <v>514</v>
      </c>
      <c r="F372" s="675" t="s">
        <v>515</v>
      </c>
      <c r="G372" s="675"/>
      <c r="H372" s="675"/>
      <c r="I372" s="675"/>
      <c r="J372" s="675"/>
      <c r="K372" s="675"/>
      <c r="L372" s="675"/>
      <c r="M372" s="675"/>
    </row>
    <row r="373" spans="1:13" x14ac:dyDescent="0.25">
      <c r="A373" s="675" t="s">
        <v>805</v>
      </c>
      <c r="B373" s="675" t="s">
        <v>512</v>
      </c>
      <c r="C373" s="675" t="s">
        <v>814</v>
      </c>
      <c r="D373" s="675" t="s">
        <v>21</v>
      </c>
      <c r="E373" s="675" t="s">
        <v>514</v>
      </c>
      <c r="F373" s="675" t="s">
        <v>515</v>
      </c>
      <c r="G373" s="675"/>
      <c r="H373" s="675"/>
      <c r="I373" s="675"/>
      <c r="J373" s="675"/>
      <c r="K373" s="675"/>
      <c r="L373" s="675"/>
      <c r="M373" s="675"/>
    </row>
    <row r="374" spans="1:13" x14ac:dyDescent="0.25">
      <c r="A374" s="675" t="s">
        <v>805</v>
      </c>
      <c r="B374" s="675" t="s">
        <v>512</v>
      </c>
      <c r="C374" s="675" t="s">
        <v>815</v>
      </c>
      <c r="D374" s="675" t="s">
        <v>21</v>
      </c>
      <c r="E374" s="675" t="s">
        <v>514</v>
      </c>
      <c r="F374" s="675" t="s">
        <v>515</v>
      </c>
      <c r="G374" s="675"/>
      <c r="H374" s="675"/>
      <c r="I374" s="675"/>
      <c r="J374" s="675"/>
      <c r="K374" s="675"/>
      <c r="L374" s="675"/>
      <c r="M374" s="675"/>
    </row>
    <row r="375" spans="1:13" x14ac:dyDescent="0.25">
      <c r="A375" s="675" t="s">
        <v>805</v>
      </c>
      <c r="B375" s="675" t="s">
        <v>512</v>
      </c>
      <c r="C375" s="675" t="s">
        <v>816</v>
      </c>
      <c r="D375" s="675" t="s">
        <v>21</v>
      </c>
      <c r="E375" s="675" t="s">
        <v>514</v>
      </c>
      <c r="F375" s="675" t="s">
        <v>515</v>
      </c>
      <c r="G375" s="675"/>
      <c r="H375" s="675"/>
      <c r="I375" s="675"/>
      <c r="J375" s="675"/>
      <c r="K375" s="675"/>
      <c r="L375" s="675"/>
      <c r="M375" s="675"/>
    </row>
    <row r="376" spans="1:13" x14ac:dyDescent="0.25">
      <c r="A376" s="675" t="s">
        <v>805</v>
      </c>
      <c r="B376" s="675" t="s">
        <v>545</v>
      </c>
      <c r="C376" s="675" t="s">
        <v>817</v>
      </c>
      <c r="D376" s="675" t="s">
        <v>21</v>
      </c>
      <c r="E376" s="675" t="s">
        <v>514</v>
      </c>
      <c r="F376" s="675" t="s">
        <v>515</v>
      </c>
      <c r="G376" s="675"/>
      <c r="H376" s="675"/>
      <c r="I376" s="675"/>
      <c r="J376" s="675"/>
      <c r="K376" s="675"/>
      <c r="L376" s="675"/>
      <c r="M376" s="675"/>
    </row>
    <row r="377" spans="1:13" x14ac:dyDescent="0.25">
      <c r="A377" s="675" t="s">
        <v>805</v>
      </c>
      <c r="B377" s="675" t="s">
        <v>545</v>
      </c>
      <c r="C377" s="675" t="s">
        <v>818</v>
      </c>
      <c r="D377" s="675" t="s">
        <v>21</v>
      </c>
      <c r="E377" s="675" t="s">
        <v>514</v>
      </c>
      <c r="F377" s="675" t="s">
        <v>515</v>
      </c>
      <c r="G377" s="675"/>
      <c r="H377" s="675"/>
      <c r="I377" s="675"/>
      <c r="J377" s="675"/>
      <c r="K377" s="675"/>
      <c r="L377" s="675"/>
      <c r="M377" s="675"/>
    </row>
    <row r="378" spans="1:13" x14ac:dyDescent="0.25">
      <c r="A378" s="675" t="s">
        <v>805</v>
      </c>
      <c r="B378" s="675" t="s">
        <v>545</v>
      </c>
      <c r="C378" s="675" t="s">
        <v>819</v>
      </c>
      <c r="D378" s="675" t="s">
        <v>21</v>
      </c>
      <c r="E378" s="675" t="s">
        <v>514</v>
      </c>
      <c r="F378" s="675" t="s">
        <v>515</v>
      </c>
      <c r="G378" s="675"/>
      <c r="H378" s="675"/>
      <c r="I378" s="675"/>
      <c r="J378" s="675"/>
      <c r="K378" s="675"/>
      <c r="L378" s="675"/>
      <c r="M378" s="675"/>
    </row>
    <row r="379" spans="1:13" x14ac:dyDescent="0.25">
      <c r="A379" s="675" t="s">
        <v>805</v>
      </c>
      <c r="B379" s="675" t="s">
        <v>545</v>
      </c>
      <c r="C379" s="675" t="s">
        <v>820</v>
      </c>
      <c r="D379" s="675" t="s">
        <v>21</v>
      </c>
      <c r="E379" s="675" t="s">
        <v>514</v>
      </c>
      <c r="F379" s="675" t="s">
        <v>515</v>
      </c>
      <c r="G379" s="675"/>
      <c r="H379" s="675"/>
      <c r="I379" s="675"/>
      <c r="J379" s="675"/>
      <c r="K379" s="675"/>
      <c r="L379" s="675"/>
      <c r="M379" s="675"/>
    </row>
    <row r="380" spans="1:13" x14ac:dyDescent="0.25">
      <c r="A380" s="675" t="s">
        <v>821</v>
      </c>
      <c r="B380" s="675" t="s">
        <v>512</v>
      </c>
      <c r="C380" s="675" t="s">
        <v>806</v>
      </c>
      <c r="D380" s="675" t="s">
        <v>21</v>
      </c>
      <c r="E380" s="675" t="s">
        <v>514</v>
      </c>
      <c r="F380" s="675" t="s">
        <v>515</v>
      </c>
      <c r="G380" s="675"/>
      <c r="H380" s="675"/>
      <c r="I380" s="675"/>
      <c r="J380" s="675"/>
      <c r="K380" s="675"/>
      <c r="L380" s="675"/>
      <c r="M380" s="675"/>
    </row>
    <row r="381" spans="1:13" x14ac:dyDescent="0.25">
      <c r="A381" s="675" t="s">
        <v>821</v>
      </c>
      <c r="B381" s="675" t="s">
        <v>512</v>
      </c>
      <c r="C381" s="675" t="s">
        <v>822</v>
      </c>
      <c r="D381" s="675" t="s">
        <v>21</v>
      </c>
      <c r="E381" s="675" t="s">
        <v>514</v>
      </c>
      <c r="F381" s="675" t="s">
        <v>515</v>
      </c>
      <c r="G381" s="675"/>
      <c r="H381" s="675"/>
      <c r="I381" s="675"/>
      <c r="J381" s="675"/>
      <c r="K381" s="675"/>
      <c r="L381" s="675"/>
      <c r="M381" s="675"/>
    </row>
    <row r="382" spans="1:13" x14ac:dyDescent="0.25">
      <c r="A382" s="675" t="s">
        <v>821</v>
      </c>
      <c r="B382" s="675" t="s">
        <v>512</v>
      </c>
      <c r="C382" s="675" t="s">
        <v>807</v>
      </c>
      <c r="D382" s="675" t="s">
        <v>21</v>
      </c>
      <c r="E382" s="675" t="s">
        <v>514</v>
      </c>
      <c r="F382" s="675" t="s">
        <v>515</v>
      </c>
      <c r="G382" s="675"/>
      <c r="H382" s="675"/>
      <c r="I382" s="675"/>
      <c r="J382" s="675"/>
      <c r="K382" s="675"/>
      <c r="L382" s="675"/>
      <c r="M382" s="675"/>
    </row>
    <row r="383" spans="1:13" x14ac:dyDescent="0.25">
      <c r="A383" s="675" t="s">
        <v>821</v>
      </c>
      <c r="B383" s="675" t="s">
        <v>512</v>
      </c>
      <c r="C383" s="675" t="s">
        <v>629</v>
      </c>
      <c r="D383" s="675" t="s">
        <v>21</v>
      </c>
      <c r="E383" s="675" t="s">
        <v>514</v>
      </c>
      <c r="F383" s="675" t="s">
        <v>515</v>
      </c>
      <c r="G383" s="675"/>
      <c r="H383" s="675"/>
      <c r="I383" s="675"/>
      <c r="J383" s="675"/>
      <c r="K383" s="675"/>
      <c r="L383" s="675"/>
      <c r="M383" s="675"/>
    </row>
    <row r="384" spans="1:13" x14ac:dyDescent="0.25">
      <c r="A384" s="675" t="s">
        <v>821</v>
      </c>
      <c r="B384" s="675" t="s">
        <v>512</v>
      </c>
      <c r="C384" s="675" t="s">
        <v>808</v>
      </c>
      <c r="D384" s="675" t="s">
        <v>21</v>
      </c>
      <c r="E384" s="675" t="s">
        <v>514</v>
      </c>
      <c r="F384" s="675" t="s">
        <v>515</v>
      </c>
      <c r="G384" s="675"/>
      <c r="H384" s="675"/>
      <c r="I384" s="675"/>
      <c r="J384" s="675"/>
      <c r="K384" s="675"/>
      <c r="L384" s="675"/>
      <c r="M384" s="675"/>
    </row>
    <row r="385" spans="1:13" x14ac:dyDescent="0.25">
      <c r="A385" s="675" t="s">
        <v>821</v>
      </c>
      <c r="B385" s="675" t="s">
        <v>512</v>
      </c>
      <c r="C385" s="675" t="s">
        <v>809</v>
      </c>
      <c r="D385" s="675" t="s">
        <v>21</v>
      </c>
      <c r="E385" s="675" t="s">
        <v>514</v>
      </c>
      <c r="F385" s="675" t="s">
        <v>515</v>
      </c>
      <c r="G385" s="675"/>
      <c r="H385" s="675"/>
      <c r="I385" s="675"/>
      <c r="J385" s="675"/>
      <c r="K385" s="675"/>
      <c r="L385" s="675"/>
      <c r="M385" s="675"/>
    </row>
    <row r="386" spans="1:13" x14ac:dyDescent="0.25">
      <c r="A386" s="675" t="s">
        <v>821</v>
      </c>
      <c r="B386" s="675" t="s">
        <v>512</v>
      </c>
      <c r="C386" s="675" t="s">
        <v>811</v>
      </c>
      <c r="D386" s="675" t="s">
        <v>21</v>
      </c>
      <c r="E386" s="675" t="s">
        <v>514</v>
      </c>
      <c r="F386" s="675" t="s">
        <v>515</v>
      </c>
      <c r="G386" s="675"/>
      <c r="H386" s="675"/>
      <c r="I386" s="675"/>
      <c r="J386" s="675"/>
      <c r="K386" s="675"/>
      <c r="L386" s="675"/>
      <c r="M386" s="675"/>
    </row>
    <row r="387" spans="1:13" x14ac:dyDescent="0.25">
      <c r="A387" s="675" t="s">
        <v>821</v>
      </c>
      <c r="B387" s="675" t="s">
        <v>512</v>
      </c>
      <c r="C387" s="675" t="s">
        <v>812</v>
      </c>
      <c r="D387" s="675" t="s">
        <v>21</v>
      </c>
      <c r="E387" s="675" t="s">
        <v>514</v>
      </c>
      <c r="F387" s="675" t="s">
        <v>515</v>
      </c>
      <c r="G387" s="675"/>
      <c r="H387" s="675"/>
      <c r="I387" s="675"/>
      <c r="J387" s="675"/>
      <c r="K387" s="675"/>
      <c r="L387" s="675"/>
      <c r="M387" s="675"/>
    </row>
    <row r="388" spans="1:13" x14ac:dyDescent="0.25">
      <c r="A388" s="675" t="s">
        <v>821</v>
      </c>
      <c r="B388" s="675" t="s">
        <v>512</v>
      </c>
      <c r="C388" s="675" t="s">
        <v>823</v>
      </c>
      <c r="D388" s="675" t="s">
        <v>21</v>
      </c>
      <c r="E388" s="675" t="s">
        <v>514</v>
      </c>
      <c r="F388" s="675" t="s">
        <v>515</v>
      </c>
      <c r="G388" s="675"/>
      <c r="H388" s="675"/>
      <c r="I388" s="675"/>
      <c r="J388" s="675"/>
      <c r="K388" s="675"/>
      <c r="L388" s="675"/>
      <c r="M388" s="675"/>
    </row>
    <row r="389" spans="1:13" x14ac:dyDescent="0.25">
      <c r="A389" s="675" t="s">
        <v>821</v>
      </c>
      <c r="B389" s="675" t="s">
        <v>512</v>
      </c>
      <c r="C389" s="675" t="s">
        <v>824</v>
      </c>
      <c r="D389" s="675" t="s">
        <v>21</v>
      </c>
      <c r="E389" s="675" t="s">
        <v>514</v>
      </c>
      <c r="F389" s="675" t="s">
        <v>515</v>
      </c>
      <c r="G389" s="675"/>
      <c r="H389" s="675"/>
      <c r="I389" s="675"/>
      <c r="J389" s="675"/>
      <c r="K389" s="675"/>
      <c r="L389" s="675"/>
      <c r="M389" s="675"/>
    </row>
    <row r="390" spans="1:13" x14ac:dyDescent="0.25">
      <c r="A390" s="675" t="s">
        <v>821</v>
      </c>
      <c r="B390" s="675" t="s">
        <v>512</v>
      </c>
      <c r="C390" s="675" t="s">
        <v>813</v>
      </c>
      <c r="D390" s="675" t="s">
        <v>21</v>
      </c>
      <c r="E390" s="675" t="s">
        <v>514</v>
      </c>
      <c r="F390" s="675" t="s">
        <v>515</v>
      </c>
      <c r="G390" s="675"/>
      <c r="H390" s="675"/>
      <c r="I390" s="675"/>
      <c r="J390" s="675"/>
      <c r="K390" s="675"/>
      <c r="L390" s="675"/>
      <c r="M390" s="675"/>
    </row>
    <row r="391" spans="1:13" x14ac:dyDescent="0.25">
      <c r="A391" s="675" t="s">
        <v>821</v>
      </c>
      <c r="B391" s="675" t="s">
        <v>512</v>
      </c>
      <c r="C391" s="675" t="s">
        <v>633</v>
      </c>
      <c r="D391" s="675" t="s">
        <v>21</v>
      </c>
      <c r="E391" s="675" t="s">
        <v>514</v>
      </c>
      <c r="F391" s="675" t="s">
        <v>515</v>
      </c>
      <c r="G391" s="675"/>
      <c r="H391" s="675"/>
      <c r="I391" s="675"/>
      <c r="J391" s="675"/>
      <c r="K391" s="675"/>
      <c r="L391" s="675"/>
      <c r="M391" s="675"/>
    </row>
    <row r="392" spans="1:13" x14ac:dyDescent="0.25">
      <c r="A392" s="675" t="s">
        <v>821</v>
      </c>
      <c r="B392" s="675" t="s">
        <v>512</v>
      </c>
      <c r="C392" s="675" t="s">
        <v>825</v>
      </c>
      <c r="D392" s="675" t="s">
        <v>21</v>
      </c>
      <c r="E392" s="675" t="s">
        <v>514</v>
      </c>
      <c r="F392" s="675" t="s">
        <v>515</v>
      </c>
      <c r="G392" s="675"/>
      <c r="H392" s="675"/>
      <c r="I392" s="675"/>
      <c r="J392" s="675"/>
      <c r="K392" s="675"/>
      <c r="L392" s="675"/>
      <c r="M392" s="675"/>
    </row>
    <row r="393" spans="1:13" x14ac:dyDescent="0.25">
      <c r="A393" s="675" t="s">
        <v>821</v>
      </c>
      <c r="B393" s="675" t="s">
        <v>512</v>
      </c>
      <c r="C393" s="675" t="s">
        <v>814</v>
      </c>
      <c r="D393" s="675" t="s">
        <v>21</v>
      </c>
      <c r="E393" s="675" t="s">
        <v>514</v>
      </c>
      <c r="F393" s="675" t="s">
        <v>515</v>
      </c>
      <c r="G393" s="675"/>
      <c r="H393" s="675"/>
      <c r="I393" s="675"/>
      <c r="J393" s="675"/>
      <c r="K393" s="675"/>
      <c r="L393" s="675"/>
      <c r="M393" s="675"/>
    </row>
    <row r="394" spans="1:13" x14ac:dyDescent="0.25">
      <c r="A394" s="675" t="s">
        <v>821</v>
      </c>
      <c r="B394" s="675" t="s">
        <v>512</v>
      </c>
      <c r="C394" s="675" t="s">
        <v>815</v>
      </c>
      <c r="D394" s="675" t="s">
        <v>21</v>
      </c>
      <c r="E394" s="675" t="s">
        <v>514</v>
      </c>
      <c r="F394" s="675" t="s">
        <v>515</v>
      </c>
      <c r="G394" s="675"/>
      <c r="H394" s="675"/>
      <c r="I394" s="675"/>
      <c r="J394" s="675"/>
      <c r="K394" s="675"/>
      <c r="L394" s="675"/>
      <c r="M394" s="675"/>
    </row>
    <row r="395" spans="1:13" x14ac:dyDescent="0.25">
      <c r="A395" s="675" t="s">
        <v>821</v>
      </c>
      <c r="B395" s="675" t="s">
        <v>545</v>
      </c>
      <c r="C395" s="675" t="s">
        <v>826</v>
      </c>
      <c r="D395" s="675" t="s">
        <v>21</v>
      </c>
      <c r="E395" s="675" t="s">
        <v>514</v>
      </c>
      <c r="F395" s="675" t="s">
        <v>515</v>
      </c>
      <c r="G395" s="675"/>
      <c r="H395" s="675"/>
      <c r="I395" s="675"/>
      <c r="J395" s="675"/>
      <c r="K395" s="675"/>
      <c r="L395" s="675"/>
      <c r="M395" s="675"/>
    </row>
    <row r="396" spans="1:13" x14ac:dyDescent="0.25">
      <c r="A396" s="675" t="s">
        <v>821</v>
      </c>
      <c r="B396" s="675" t="s">
        <v>545</v>
      </c>
      <c r="C396" s="675" t="s">
        <v>827</v>
      </c>
      <c r="D396" s="675" t="s">
        <v>21</v>
      </c>
      <c r="E396" s="675" t="s">
        <v>514</v>
      </c>
      <c r="F396" s="675" t="s">
        <v>515</v>
      </c>
      <c r="G396" s="675"/>
      <c r="H396" s="675"/>
      <c r="I396" s="675"/>
      <c r="J396" s="675"/>
      <c r="K396" s="675"/>
      <c r="L396" s="675"/>
      <c r="M396" s="675"/>
    </row>
    <row r="397" spans="1:13" x14ac:dyDescent="0.25">
      <c r="A397" s="675" t="s">
        <v>821</v>
      </c>
      <c r="B397" s="675" t="s">
        <v>545</v>
      </c>
      <c r="C397" s="675" t="s">
        <v>828</v>
      </c>
      <c r="D397" s="675" t="s">
        <v>21</v>
      </c>
      <c r="E397" s="675" t="s">
        <v>514</v>
      </c>
      <c r="F397" s="675" t="s">
        <v>515</v>
      </c>
      <c r="G397" s="675"/>
      <c r="H397" s="675"/>
      <c r="I397" s="675"/>
      <c r="J397" s="675"/>
      <c r="K397" s="675"/>
      <c r="L397" s="675"/>
      <c r="M397" s="675"/>
    </row>
    <row r="398" spans="1:13" x14ac:dyDescent="0.25">
      <c r="A398" s="675" t="s">
        <v>821</v>
      </c>
      <c r="B398" s="675" t="s">
        <v>545</v>
      </c>
      <c r="C398" s="675" t="s">
        <v>829</v>
      </c>
      <c r="D398" s="675" t="s">
        <v>21</v>
      </c>
      <c r="E398" s="675" t="s">
        <v>514</v>
      </c>
      <c r="F398" s="675" t="s">
        <v>515</v>
      </c>
      <c r="G398" s="675"/>
      <c r="H398" s="675"/>
      <c r="I398" s="675"/>
      <c r="J398" s="675"/>
      <c r="K398" s="675"/>
      <c r="L398" s="675"/>
      <c r="M398" s="675"/>
    </row>
    <row r="399" spans="1:13" x14ac:dyDescent="0.25">
      <c r="A399" s="675" t="s">
        <v>821</v>
      </c>
      <c r="B399" s="675" t="s">
        <v>545</v>
      </c>
      <c r="C399" s="675" t="s">
        <v>819</v>
      </c>
      <c r="D399" s="675" t="s">
        <v>21</v>
      </c>
      <c r="E399" s="675" t="s">
        <v>514</v>
      </c>
      <c r="F399" s="675" t="s">
        <v>515</v>
      </c>
      <c r="G399" s="675"/>
      <c r="H399" s="675"/>
      <c r="I399" s="675"/>
      <c r="J399" s="675"/>
      <c r="K399" s="675"/>
      <c r="L399" s="675"/>
      <c r="M399" s="675"/>
    </row>
    <row r="400" spans="1:13" x14ac:dyDescent="0.25">
      <c r="A400" s="675" t="s">
        <v>821</v>
      </c>
      <c r="B400" s="675" t="s">
        <v>545</v>
      </c>
      <c r="C400" s="675" t="s">
        <v>820</v>
      </c>
      <c r="D400" s="675" t="s">
        <v>21</v>
      </c>
      <c r="E400" s="675" t="s">
        <v>514</v>
      </c>
      <c r="F400" s="675" t="s">
        <v>515</v>
      </c>
      <c r="G400" s="675"/>
      <c r="H400" s="675"/>
      <c r="I400" s="675"/>
      <c r="J400" s="675"/>
      <c r="K400" s="675"/>
      <c r="L400" s="675"/>
      <c r="M400" s="675"/>
    </row>
    <row r="401" spans="1:13" x14ac:dyDescent="0.25">
      <c r="A401" s="675" t="s">
        <v>830</v>
      </c>
      <c r="B401" s="675" t="s">
        <v>512</v>
      </c>
      <c r="C401" s="675" t="s">
        <v>831</v>
      </c>
      <c r="D401" s="675" t="s">
        <v>21</v>
      </c>
      <c r="E401" s="675" t="s">
        <v>514</v>
      </c>
      <c r="F401" s="675" t="s">
        <v>515</v>
      </c>
      <c r="G401" s="675"/>
      <c r="H401" s="675"/>
      <c r="I401" s="675"/>
      <c r="J401" s="675"/>
      <c r="K401" s="675"/>
      <c r="L401" s="675"/>
      <c r="M401" s="675"/>
    </row>
    <row r="402" spans="1:13" x14ac:dyDescent="0.25">
      <c r="A402" s="675" t="s">
        <v>830</v>
      </c>
      <c r="B402" s="675" t="s">
        <v>512</v>
      </c>
      <c r="C402" s="675" t="s">
        <v>832</v>
      </c>
      <c r="D402" s="675" t="s">
        <v>21</v>
      </c>
      <c r="E402" s="675" t="s">
        <v>514</v>
      </c>
      <c r="F402" s="675" t="s">
        <v>515</v>
      </c>
      <c r="G402" s="675"/>
      <c r="H402" s="675"/>
      <c r="I402" s="675"/>
      <c r="J402" s="675"/>
      <c r="K402" s="675"/>
      <c r="L402" s="675"/>
      <c r="M402" s="675"/>
    </row>
    <row r="403" spans="1:13" x14ac:dyDescent="0.25">
      <c r="A403" s="675" t="s">
        <v>830</v>
      </c>
      <c r="B403" s="675" t="s">
        <v>512</v>
      </c>
      <c r="C403" s="675" t="s">
        <v>833</v>
      </c>
      <c r="D403" s="675" t="s">
        <v>21</v>
      </c>
      <c r="E403" s="675" t="s">
        <v>514</v>
      </c>
      <c r="F403" s="675" t="s">
        <v>515</v>
      </c>
      <c r="G403" s="675"/>
      <c r="H403" s="675"/>
      <c r="I403" s="675"/>
      <c r="J403" s="675"/>
      <c r="K403" s="675"/>
      <c r="L403" s="675"/>
      <c r="M403" s="675"/>
    </row>
    <row r="404" spans="1:13" x14ac:dyDescent="0.25">
      <c r="A404" s="675" t="s">
        <v>830</v>
      </c>
      <c r="B404" s="675" t="s">
        <v>512</v>
      </c>
      <c r="C404" s="675" t="s">
        <v>834</v>
      </c>
      <c r="D404" s="675" t="s">
        <v>21</v>
      </c>
      <c r="E404" s="675" t="s">
        <v>514</v>
      </c>
      <c r="F404" s="675" t="s">
        <v>515</v>
      </c>
      <c r="G404" s="675"/>
      <c r="H404" s="675"/>
      <c r="I404" s="675"/>
      <c r="J404" s="675"/>
      <c r="K404" s="675"/>
      <c r="L404" s="675"/>
      <c r="M404" s="675"/>
    </row>
    <row r="405" spans="1:13" x14ac:dyDescent="0.25">
      <c r="A405" s="675" t="s">
        <v>830</v>
      </c>
      <c r="B405" s="675" t="s">
        <v>512</v>
      </c>
      <c r="C405" s="675" t="s">
        <v>835</v>
      </c>
      <c r="D405" s="675" t="s">
        <v>21</v>
      </c>
      <c r="E405" s="675" t="s">
        <v>514</v>
      </c>
      <c r="F405" s="675" t="s">
        <v>515</v>
      </c>
      <c r="G405" s="675"/>
      <c r="H405" s="675"/>
      <c r="I405" s="675"/>
      <c r="J405" s="675"/>
      <c r="K405" s="675"/>
      <c r="L405" s="675"/>
      <c r="M405" s="675"/>
    </row>
    <row r="406" spans="1:13" x14ac:dyDescent="0.25">
      <c r="A406" s="675" t="s">
        <v>830</v>
      </c>
      <c r="B406" s="675" t="s">
        <v>512</v>
      </c>
      <c r="C406" s="675" t="s">
        <v>809</v>
      </c>
      <c r="D406" s="675" t="s">
        <v>21</v>
      </c>
      <c r="E406" s="675" t="s">
        <v>514</v>
      </c>
      <c r="F406" s="675" t="s">
        <v>515</v>
      </c>
      <c r="G406" s="675"/>
      <c r="H406" s="675"/>
      <c r="I406" s="675"/>
      <c r="J406" s="675"/>
      <c r="K406" s="675"/>
      <c r="L406" s="675"/>
      <c r="M406" s="675"/>
    </row>
    <row r="407" spans="1:13" x14ac:dyDescent="0.25">
      <c r="A407" s="675" t="s">
        <v>830</v>
      </c>
      <c r="B407" s="675" t="s">
        <v>512</v>
      </c>
      <c r="C407" s="675" t="s">
        <v>836</v>
      </c>
      <c r="D407" s="675" t="s">
        <v>21</v>
      </c>
      <c r="E407" s="675" t="s">
        <v>514</v>
      </c>
      <c r="F407" s="675" t="s">
        <v>515</v>
      </c>
      <c r="G407" s="675"/>
      <c r="H407" s="675"/>
      <c r="I407" s="675"/>
      <c r="J407" s="675"/>
      <c r="K407" s="675"/>
      <c r="L407" s="675"/>
      <c r="M407" s="675"/>
    </row>
    <row r="408" spans="1:13" x14ac:dyDescent="0.25">
      <c r="A408" s="675" t="s">
        <v>830</v>
      </c>
      <c r="B408" s="675" t="s">
        <v>512</v>
      </c>
      <c r="C408" s="675" t="s">
        <v>811</v>
      </c>
      <c r="D408" s="675" t="s">
        <v>21</v>
      </c>
      <c r="E408" s="675" t="s">
        <v>514</v>
      </c>
      <c r="F408" s="675" t="s">
        <v>515</v>
      </c>
      <c r="G408" s="675"/>
      <c r="H408" s="675"/>
      <c r="I408" s="675"/>
      <c r="J408" s="675"/>
      <c r="K408" s="675"/>
      <c r="L408" s="675"/>
      <c r="M408" s="675"/>
    </row>
    <row r="409" spans="1:13" x14ac:dyDescent="0.25">
      <c r="A409" s="675" t="s">
        <v>830</v>
      </c>
      <c r="B409" s="675" t="s">
        <v>512</v>
      </c>
      <c r="C409" s="675" t="s">
        <v>837</v>
      </c>
      <c r="D409" s="675" t="s">
        <v>21</v>
      </c>
      <c r="E409" s="675" t="s">
        <v>514</v>
      </c>
      <c r="F409" s="675" t="s">
        <v>515</v>
      </c>
      <c r="G409" s="675"/>
      <c r="H409" s="675"/>
      <c r="I409" s="675"/>
      <c r="J409" s="675"/>
      <c r="K409" s="675"/>
      <c r="L409" s="675"/>
      <c r="M409" s="675"/>
    </row>
    <row r="410" spans="1:13" x14ac:dyDescent="0.25">
      <c r="A410" s="675" t="s">
        <v>830</v>
      </c>
      <c r="B410" s="675" t="s">
        <v>512</v>
      </c>
      <c r="C410" s="675" t="s">
        <v>838</v>
      </c>
      <c r="D410" s="675" t="s">
        <v>21</v>
      </c>
      <c r="E410" s="675" t="s">
        <v>514</v>
      </c>
      <c r="F410" s="675" t="s">
        <v>515</v>
      </c>
      <c r="G410" s="675"/>
      <c r="H410" s="675"/>
      <c r="I410" s="675"/>
      <c r="J410" s="675"/>
      <c r="K410" s="675"/>
      <c r="L410" s="675"/>
      <c r="M410" s="675"/>
    </row>
    <row r="411" spans="1:13" x14ac:dyDescent="0.25">
      <c r="A411" s="675" t="s">
        <v>830</v>
      </c>
      <c r="B411" s="675" t="s">
        <v>512</v>
      </c>
      <c r="C411" s="675" t="s">
        <v>839</v>
      </c>
      <c r="D411" s="675" t="s">
        <v>21</v>
      </c>
      <c r="E411" s="675" t="s">
        <v>514</v>
      </c>
      <c r="F411" s="675" t="s">
        <v>515</v>
      </c>
      <c r="G411" s="675"/>
      <c r="H411" s="675"/>
      <c r="I411" s="675"/>
      <c r="J411" s="675"/>
      <c r="K411" s="675"/>
      <c r="L411" s="675"/>
      <c r="M411" s="675"/>
    </row>
    <row r="412" spans="1:13" x14ac:dyDescent="0.25">
      <c r="A412" s="675" t="s">
        <v>830</v>
      </c>
      <c r="B412" s="675" t="s">
        <v>512</v>
      </c>
      <c r="C412" s="675" t="s">
        <v>664</v>
      </c>
      <c r="D412" s="675" t="s">
        <v>21</v>
      </c>
      <c r="E412" s="675" t="s">
        <v>514</v>
      </c>
      <c r="F412" s="675" t="s">
        <v>515</v>
      </c>
      <c r="G412" s="675"/>
      <c r="H412" s="675"/>
      <c r="I412" s="675"/>
      <c r="J412" s="675"/>
      <c r="K412" s="675"/>
      <c r="L412" s="675"/>
      <c r="M412" s="675"/>
    </row>
    <row r="413" spans="1:13" x14ac:dyDescent="0.25">
      <c r="A413" s="675" t="s">
        <v>830</v>
      </c>
      <c r="B413" s="675" t="s">
        <v>512</v>
      </c>
      <c r="C413" s="675" t="s">
        <v>840</v>
      </c>
      <c r="D413" s="675" t="s">
        <v>21</v>
      </c>
      <c r="E413" s="675" t="s">
        <v>514</v>
      </c>
      <c r="F413" s="675" t="s">
        <v>515</v>
      </c>
      <c r="G413" s="675"/>
      <c r="H413" s="675"/>
      <c r="I413" s="675"/>
      <c r="J413" s="675"/>
      <c r="K413" s="675"/>
      <c r="L413" s="675"/>
      <c r="M413" s="675"/>
    </row>
    <row r="414" spans="1:13" x14ac:dyDescent="0.25">
      <c r="A414" s="675" t="s">
        <v>830</v>
      </c>
      <c r="B414" s="675" t="s">
        <v>512</v>
      </c>
      <c r="C414" s="675" t="s">
        <v>841</v>
      </c>
      <c r="D414" s="675" t="s">
        <v>21</v>
      </c>
      <c r="E414" s="675" t="s">
        <v>514</v>
      </c>
      <c r="F414" s="675" t="s">
        <v>515</v>
      </c>
      <c r="G414" s="675"/>
      <c r="H414" s="675"/>
      <c r="I414" s="675"/>
      <c r="J414" s="675"/>
      <c r="K414" s="675"/>
      <c r="L414" s="675"/>
      <c r="M414" s="675"/>
    </row>
    <row r="415" spans="1:13" x14ac:dyDescent="0.25">
      <c r="A415" s="675" t="s">
        <v>830</v>
      </c>
      <c r="B415" s="675" t="s">
        <v>512</v>
      </c>
      <c r="C415" s="675" t="s">
        <v>842</v>
      </c>
      <c r="D415" s="675" t="s">
        <v>21</v>
      </c>
      <c r="E415" s="675" t="s">
        <v>514</v>
      </c>
      <c r="F415" s="675" t="s">
        <v>515</v>
      </c>
      <c r="G415" s="675"/>
      <c r="H415" s="675"/>
      <c r="I415" s="675"/>
      <c r="J415" s="675"/>
      <c r="K415" s="675"/>
      <c r="L415" s="675"/>
      <c r="M415" s="675"/>
    </row>
    <row r="416" spans="1:13" x14ac:dyDescent="0.25">
      <c r="A416" s="675" t="s">
        <v>830</v>
      </c>
      <c r="B416" s="675" t="s">
        <v>512</v>
      </c>
      <c r="C416" s="675" t="s">
        <v>843</v>
      </c>
      <c r="D416" s="675" t="s">
        <v>21</v>
      </c>
      <c r="E416" s="675" t="s">
        <v>514</v>
      </c>
      <c r="F416" s="675" t="s">
        <v>515</v>
      </c>
      <c r="G416" s="675"/>
      <c r="H416" s="675"/>
      <c r="I416" s="675"/>
      <c r="J416" s="675"/>
      <c r="K416" s="675"/>
      <c r="L416" s="675"/>
      <c r="M416" s="675"/>
    </row>
    <row r="417" spans="1:13" x14ac:dyDescent="0.25">
      <c r="A417" s="675" t="s">
        <v>830</v>
      </c>
      <c r="B417" s="675" t="s">
        <v>512</v>
      </c>
      <c r="C417" s="675" t="s">
        <v>844</v>
      </c>
      <c r="D417" s="675" t="s">
        <v>21</v>
      </c>
      <c r="E417" s="675" t="s">
        <v>514</v>
      </c>
      <c r="F417" s="675" t="s">
        <v>515</v>
      </c>
      <c r="G417" s="675"/>
      <c r="H417" s="675"/>
      <c r="I417" s="675"/>
      <c r="J417" s="675"/>
      <c r="K417" s="675"/>
      <c r="L417" s="675"/>
      <c r="M417" s="675"/>
    </row>
    <row r="418" spans="1:13" x14ac:dyDescent="0.25">
      <c r="A418" s="675" t="s">
        <v>830</v>
      </c>
      <c r="B418" s="675" t="s">
        <v>512</v>
      </c>
      <c r="C418" s="675" t="s">
        <v>845</v>
      </c>
      <c r="D418" s="675" t="s">
        <v>21</v>
      </c>
      <c r="E418" s="675" t="s">
        <v>514</v>
      </c>
      <c r="F418" s="675" t="s">
        <v>515</v>
      </c>
      <c r="G418" s="675"/>
      <c r="H418" s="675"/>
      <c r="I418" s="675"/>
      <c r="J418" s="675"/>
      <c r="K418" s="675"/>
      <c r="L418" s="675"/>
      <c r="M418" s="675"/>
    </row>
    <row r="419" spans="1:13" x14ac:dyDescent="0.25">
      <c r="A419" s="675" t="s">
        <v>830</v>
      </c>
      <c r="B419" s="675" t="s">
        <v>545</v>
      </c>
      <c r="C419" s="675" t="s">
        <v>846</v>
      </c>
      <c r="D419" s="675" t="s">
        <v>21</v>
      </c>
      <c r="E419" s="675" t="s">
        <v>514</v>
      </c>
      <c r="F419" s="675" t="s">
        <v>515</v>
      </c>
      <c r="G419" s="675"/>
      <c r="H419" s="675"/>
      <c r="I419" s="675"/>
      <c r="J419" s="675"/>
      <c r="K419" s="675"/>
      <c r="L419" s="675"/>
      <c r="M419" s="675"/>
    </row>
    <row r="420" spans="1:13" x14ac:dyDescent="0.25">
      <c r="A420" s="675" t="s">
        <v>830</v>
      </c>
      <c r="B420" s="675" t="s">
        <v>545</v>
      </c>
      <c r="C420" s="675" t="s">
        <v>847</v>
      </c>
      <c r="D420" s="675" t="s">
        <v>21</v>
      </c>
      <c r="E420" s="675" t="s">
        <v>514</v>
      </c>
      <c r="F420" s="675" t="s">
        <v>515</v>
      </c>
      <c r="G420" s="675"/>
      <c r="H420" s="675"/>
      <c r="I420" s="675"/>
      <c r="J420" s="675"/>
      <c r="K420" s="675"/>
      <c r="L420" s="675"/>
      <c r="M420" s="675"/>
    </row>
    <row r="421" spans="1:13" x14ac:dyDescent="0.25">
      <c r="A421" s="675" t="s">
        <v>830</v>
      </c>
      <c r="B421" s="675" t="s">
        <v>545</v>
      </c>
      <c r="C421" s="675" t="s">
        <v>848</v>
      </c>
      <c r="D421" s="675" t="s">
        <v>21</v>
      </c>
      <c r="E421" s="675" t="s">
        <v>514</v>
      </c>
      <c r="F421" s="675" t="s">
        <v>515</v>
      </c>
      <c r="G421" s="675"/>
      <c r="H421" s="675"/>
      <c r="I421" s="675"/>
      <c r="J421" s="675"/>
      <c r="K421" s="675"/>
      <c r="L421" s="675"/>
      <c r="M421" s="675"/>
    </row>
    <row r="422" spans="1:13" x14ac:dyDescent="0.25">
      <c r="A422" s="675" t="s">
        <v>830</v>
      </c>
      <c r="B422" s="675" t="s">
        <v>545</v>
      </c>
      <c r="C422" s="675" t="s">
        <v>849</v>
      </c>
      <c r="D422" s="675" t="s">
        <v>21</v>
      </c>
      <c r="E422" s="675" t="s">
        <v>514</v>
      </c>
      <c r="F422" s="675" t="s">
        <v>515</v>
      </c>
      <c r="G422" s="675"/>
      <c r="H422" s="675"/>
      <c r="I422" s="675"/>
      <c r="J422" s="675"/>
      <c r="K422" s="675"/>
      <c r="L422" s="675"/>
      <c r="M422" s="675"/>
    </row>
    <row r="423" spans="1:13" x14ac:dyDescent="0.25">
      <c r="A423" s="675" t="s">
        <v>830</v>
      </c>
      <c r="B423" s="675" t="s">
        <v>545</v>
      </c>
      <c r="C423" s="675" t="s">
        <v>850</v>
      </c>
      <c r="D423" s="675" t="s">
        <v>21</v>
      </c>
      <c r="E423" s="675" t="s">
        <v>514</v>
      </c>
      <c r="F423" s="675" t="s">
        <v>515</v>
      </c>
      <c r="G423" s="675"/>
      <c r="H423" s="675"/>
      <c r="I423" s="675"/>
      <c r="J423" s="675"/>
      <c r="K423" s="675"/>
      <c r="L423" s="675"/>
      <c r="M423" s="675"/>
    </row>
    <row r="424" spans="1:13" x14ac:dyDescent="0.25">
      <c r="A424" s="675" t="s">
        <v>830</v>
      </c>
      <c r="B424" s="675" t="s">
        <v>545</v>
      </c>
      <c r="C424" s="675" t="s">
        <v>851</v>
      </c>
      <c r="D424" s="675" t="s">
        <v>21</v>
      </c>
      <c r="E424" s="675" t="s">
        <v>514</v>
      </c>
      <c r="F424" s="675" t="s">
        <v>515</v>
      </c>
      <c r="G424" s="675"/>
      <c r="H424" s="675"/>
      <c r="I424" s="675"/>
      <c r="J424" s="675"/>
      <c r="K424" s="675"/>
      <c r="L424" s="675"/>
      <c r="M424" s="675"/>
    </row>
    <row r="425" spans="1:13" x14ac:dyDescent="0.25">
      <c r="A425" s="675" t="s">
        <v>830</v>
      </c>
      <c r="B425" s="675" t="s">
        <v>545</v>
      </c>
      <c r="C425" s="675" t="s">
        <v>852</v>
      </c>
      <c r="D425" s="675" t="s">
        <v>21</v>
      </c>
      <c r="E425" s="675" t="s">
        <v>514</v>
      </c>
      <c r="F425" s="675" t="s">
        <v>515</v>
      </c>
      <c r="G425" s="675"/>
      <c r="H425" s="675"/>
      <c r="I425" s="675"/>
      <c r="J425" s="675"/>
      <c r="K425" s="675"/>
      <c r="L425" s="675"/>
      <c r="M425" s="675"/>
    </row>
    <row r="426" spans="1:13" x14ac:dyDescent="0.25">
      <c r="A426" s="675" t="s">
        <v>830</v>
      </c>
      <c r="B426" s="675" t="s">
        <v>564</v>
      </c>
      <c r="C426" s="675" t="s">
        <v>853</v>
      </c>
      <c r="D426" s="675" t="s">
        <v>21</v>
      </c>
      <c r="E426" s="675" t="s">
        <v>514</v>
      </c>
      <c r="F426" s="675" t="s">
        <v>515</v>
      </c>
      <c r="G426" s="675"/>
      <c r="H426" s="675"/>
      <c r="I426" s="675"/>
      <c r="J426" s="675"/>
      <c r="K426" s="675"/>
      <c r="L426" s="675"/>
      <c r="M426" s="675"/>
    </row>
    <row r="427" spans="1:13" x14ac:dyDescent="0.25">
      <c r="A427" s="675" t="s">
        <v>830</v>
      </c>
      <c r="B427" s="675" t="s">
        <v>564</v>
      </c>
      <c r="C427" s="675" t="s">
        <v>854</v>
      </c>
      <c r="D427" s="675" t="s">
        <v>21</v>
      </c>
      <c r="E427" s="675" t="s">
        <v>514</v>
      </c>
      <c r="F427" s="675" t="s">
        <v>515</v>
      </c>
      <c r="G427" s="675"/>
      <c r="H427" s="675"/>
      <c r="I427" s="675"/>
      <c r="J427" s="675"/>
      <c r="K427" s="675"/>
      <c r="L427" s="675"/>
      <c r="M427" s="675"/>
    </row>
    <row r="428" spans="1:13" x14ac:dyDescent="0.25">
      <c r="A428" s="675" t="s">
        <v>830</v>
      </c>
      <c r="B428" s="675" t="s">
        <v>564</v>
      </c>
      <c r="C428" s="675" t="s">
        <v>855</v>
      </c>
      <c r="D428" s="675" t="s">
        <v>21</v>
      </c>
      <c r="E428" s="675" t="s">
        <v>514</v>
      </c>
      <c r="F428" s="675" t="s">
        <v>515</v>
      </c>
      <c r="G428" s="675"/>
      <c r="H428" s="675"/>
      <c r="I428" s="675"/>
      <c r="J428" s="675"/>
      <c r="K428" s="675"/>
      <c r="L428" s="675"/>
      <c r="M428" s="675"/>
    </row>
    <row r="429" spans="1:13" x14ac:dyDescent="0.25">
      <c r="A429" s="675" t="s">
        <v>830</v>
      </c>
      <c r="B429" s="675" t="s">
        <v>564</v>
      </c>
      <c r="C429" s="675" t="s">
        <v>856</v>
      </c>
      <c r="D429" s="675" t="s">
        <v>21</v>
      </c>
      <c r="E429" s="675" t="s">
        <v>514</v>
      </c>
      <c r="F429" s="675" t="s">
        <v>515</v>
      </c>
      <c r="G429" s="675"/>
      <c r="H429" s="675"/>
      <c r="I429" s="675"/>
      <c r="J429" s="675"/>
      <c r="K429" s="675"/>
      <c r="L429" s="675"/>
      <c r="M429" s="675"/>
    </row>
    <row r="430" spans="1:13" x14ac:dyDescent="0.25">
      <c r="A430" s="675" t="s">
        <v>857</v>
      </c>
      <c r="B430" s="675" t="s">
        <v>512</v>
      </c>
      <c r="C430" s="675" t="s">
        <v>858</v>
      </c>
      <c r="D430" s="675" t="s">
        <v>21</v>
      </c>
      <c r="E430" s="675" t="s">
        <v>514</v>
      </c>
      <c r="F430" s="675" t="s">
        <v>515</v>
      </c>
      <c r="G430" s="675"/>
      <c r="H430" s="675"/>
      <c r="I430" s="675"/>
      <c r="J430" s="675"/>
      <c r="K430" s="675"/>
      <c r="L430" s="675"/>
      <c r="M430" s="675"/>
    </row>
    <row r="431" spans="1:13" x14ac:dyDescent="0.25">
      <c r="A431" s="675" t="s">
        <v>857</v>
      </c>
      <c r="B431" s="675" t="s">
        <v>512</v>
      </c>
      <c r="C431" s="675" t="s">
        <v>859</v>
      </c>
      <c r="D431" s="675" t="s">
        <v>21</v>
      </c>
      <c r="E431" s="675" t="s">
        <v>514</v>
      </c>
      <c r="F431" s="675" t="s">
        <v>515</v>
      </c>
      <c r="G431" s="675"/>
      <c r="H431" s="675"/>
      <c r="I431" s="675"/>
      <c r="J431" s="675"/>
      <c r="K431" s="675"/>
      <c r="L431" s="675"/>
      <c r="M431" s="675"/>
    </row>
    <row r="432" spans="1:13" x14ac:dyDescent="0.25">
      <c r="A432" s="675" t="s">
        <v>857</v>
      </c>
      <c r="B432" s="675" t="s">
        <v>512</v>
      </c>
      <c r="C432" s="675" t="s">
        <v>860</v>
      </c>
      <c r="D432" s="675" t="s">
        <v>21</v>
      </c>
      <c r="E432" s="675" t="s">
        <v>514</v>
      </c>
      <c r="F432" s="675" t="s">
        <v>515</v>
      </c>
      <c r="G432" s="675"/>
      <c r="H432" s="675"/>
      <c r="I432" s="675"/>
      <c r="J432" s="675"/>
      <c r="K432" s="675"/>
      <c r="L432" s="675"/>
      <c r="M432" s="675"/>
    </row>
    <row r="433" spans="1:13" x14ac:dyDescent="0.25">
      <c r="A433" s="675" t="s">
        <v>857</v>
      </c>
      <c r="B433" s="675" t="s">
        <v>512</v>
      </c>
      <c r="C433" s="675" t="s">
        <v>861</v>
      </c>
      <c r="D433" s="675" t="s">
        <v>21</v>
      </c>
      <c r="E433" s="675" t="s">
        <v>514</v>
      </c>
      <c r="F433" s="675" t="s">
        <v>515</v>
      </c>
      <c r="G433" s="675"/>
      <c r="H433" s="675"/>
      <c r="I433" s="675"/>
      <c r="J433" s="675"/>
      <c r="K433" s="675"/>
      <c r="L433" s="675"/>
      <c r="M433" s="675"/>
    </row>
    <row r="434" spans="1:13" x14ac:dyDescent="0.25">
      <c r="A434" s="675" t="s">
        <v>857</v>
      </c>
      <c r="B434" s="675" t="s">
        <v>512</v>
      </c>
      <c r="C434" s="675" t="s">
        <v>862</v>
      </c>
      <c r="D434" s="675" t="s">
        <v>21</v>
      </c>
      <c r="E434" s="675" t="s">
        <v>514</v>
      </c>
      <c r="F434" s="675" t="s">
        <v>515</v>
      </c>
      <c r="G434" s="675"/>
      <c r="H434" s="675"/>
      <c r="I434" s="675"/>
      <c r="J434" s="675"/>
      <c r="K434" s="675"/>
      <c r="L434" s="675"/>
      <c r="M434" s="675"/>
    </row>
    <row r="435" spans="1:13" x14ac:dyDescent="0.25">
      <c r="A435" s="675" t="s">
        <v>857</v>
      </c>
      <c r="B435" s="675" t="s">
        <v>545</v>
      </c>
      <c r="C435" s="675" t="s">
        <v>863</v>
      </c>
      <c r="D435" s="675" t="s">
        <v>21</v>
      </c>
      <c r="E435" s="675" t="s">
        <v>514</v>
      </c>
      <c r="F435" s="675" t="s">
        <v>515</v>
      </c>
      <c r="G435" s="675"/>
      <c r="H435" s="675"/>
      <c r="I435" s="675"/>
      <c r="J435" s="675"/>
      <c r="K435" s="675"/>
      <c r="L435" s="675"/>
      <c r="M435" s="675"/>
    </row>
    <row r="436" spans="1:13" x14ac:dyDescent="0.25">
      <c r="A436" s="675" t="s">
        <v>857</v>
      </c>
      <c r="B436" s="675" t="s">
        <v>545</v>
      </c>
      <c r="C436" s="675" t="s">
        <v>864</v>
      </c>
      <c r="D436" s="675" t="s">
        <v>21</v>
      </c>
      <c r="E436" s="675" t="s">
        <v>514</v>
      </c>
      <c r="F436" s="675" t="s">
        <v>515</v>
      </c>
      <c r="G436" s="675"/>
      <c r="H436" s="675"/>
      <c r="I436" s="675"/>
      <c r="J436" s="675"/>
      <c r="K436" s="675"/>
      <c r="L436" s="675"/>
      <c r="M436" s="675"/>
    </row>
    <row r="437" spans="1:13" x14ac:dyDescent="0.25">
      <c r="A437" s="675" t="s">
        <v>857</v>
      </c>
      <c r="B437" s="675" t="s">
        <v>545</v>
      </c>
      <c r="C437" s="675" t="s">
        <v>865</v>
      </c>
      <c r="D437" s="675" t="s">
        <v>21</v>
      </c>
      <c r="E437" s="675" t="s">
        <v>514</v>
      </c>
      <c r="F437" s="675" t="s">
        <v>515</v>
      </c>
      <c r="G437" s="675"/>
      <c r="H437" s="675"/>
      <c r="I437" s="675"/>
      <c r="J437" s="675"/>
      <c r="K437" s="675"/>
      <c r="L437" s="675"/>
      <c r="M437" s="675"/>
    </row>
    <row r="438" spans="1:13" x14ac:dyDescent="0.25">
      <c r="A438" s="675" t="s">
        <v>857</v>
      </c>
      <c r="B438" s="675" t="s">
        <v>545</v>
      </c>
      <c r="C438" s="675" t="s">
        <v>866</v>
      </c>
      <c r="D438" s="675" t="s">
        <v>21</v>
      </c>
      <c r="E438" s="675" t="s">
        <v>514</v>
      </c>
      <c r="F438" s="675" t="s">
        <v>515</v>
      </c>
      <c r="G438" s="675"/>
      <c r="H438" s="675"/>
      <c r="I438" s="675"/>
      <c r="J438" s="675"/>
      <c r="K438" s="675"/>
      <c r="L438" s="675"/>
      <c r="M438" s="675"/>
    </row>
    <row r="439" spans="1:13" x14ac:dyDescent="0.25">
      <c r="A439" s="675" t="s">
        <v>857</v>
      </c>
      <c r="B439" s="675" t="s">
        <v>545</v>
      </c>
      <c r="C439" s="675" t="s">
        <v>867</v>
      </c>
      <c r="D439" s="675" t="s">
        <v>21</v>
      </c>
      <c r="E439" s="675" t="s">
        <v>514</v>
      </c>
      <c r="F439" s="675" t="s">
        <v>515</v>
      </c>
      <c r="G439" s="675"/>
      <c r="H439" s="675"/>
      <c r="I439" s="675"/>
      <c r="J439" s="675"/>
      <c r="K439" s="675"/>
      <c r="L439" s="675"/>
      <c r="M439" s="675"/>
    </row>
    <row r="440" spans="1:13" x14ac:dyDescent="0.25">
      <c r="A440" s="675" t="s">
        <v>857</v>
      </c>
      <c r="B440" s="675" t="s">
        <v>564</v>
      </c>
      <c r="C440" s="675" t="s">
        <v>868</v>
      </c>
      <c r="D440" s="675" t="s">
        <v>21</v>
      </c>
      <c r="E440" s="675" t="s">
        <v>514</v>
      </c>
      <c r="F440" s="675" t="s">
        <v>515</v>
      </c>
      <c r="G440" s="675"/>
      <c r="H440" s="675"/>
      <c r="I440" s="675"/>
      <c r="J440" s="675"/>
      <c r="K440" s="675"/>
      <c r="L440" s="675"/>
      <c r="M440" s="675"/>
    </row>
    <row r="441" spans="1:13" x14ac:dyDescent="0.25">
      <c r="A441" s="675" t="s">
        <v>857</v>
      </c>
      <c r="B441" s="675" t="s">
        <v>564</v>
      </c>
      <c r="C441" s="675" t="s">
        <v>869</v>
      </c>
      <c r="D441" s="675" t="s">
        <v>21</v>
      </c>
      <c r="E441" s="675" t="s">
        <v>514</v>
      </c>
      <c r="F441" s="675" t="s">
        <v>515</v>
      </c>
      <c r="G441" s="675"/>
      <c r="H441" s="675"/>
      <c r="I441" s="675"/>
      <c r="J441" s="675"/>
      <c r="K441" s="675"/>
      <c r="L441" s="675"/>
      <c r="M441" s="675"/>
    </row>
    <row r="442" spans="1:13" x14ac:dyDescent="0.25">
      <c r="A442" s="675" t="s">
        <v>870</v>
      </c>
      <c r="B442" s="675" t="s">
        <v>512</v>
      </c>
      <c r="C442" s="675" t="s">
        <v>871</v>
      </c>
      <c r="D442" s="675" t="s">
        <v>21</v>
      </c>
      <c r="E442" s="675" t="s">
        <v>514</v>
      </c>
      <c r="F442" s="675" t="s">
        <v>515</v>
      </c>
      <c r="G442" s="675"/>
      <c r="H442" s="675"/>
      <c r="I442" s="675"/>
      <c r="J442" s="675"/>
      <c r="K442" s="675"/>
      <c r="L442" s="675"/>
      <c r="M442" s="675"/>
    </row>
    <row r="443" spans="1:13" x14ac:dyDescent="0.25">
      <c r="A443" s="675" t="s">
        <v>870</v>
      </c>
      <c r="B443" s="675" t="s">
        <v>512</v>
      </c>
      <c r="C443" s="675" t="s">
        <v>872</v>
      </c>
      <c r="D443" s="675" t="s">
        <v>21</v>
      </c>
      <c r="E443" s="675" t="s">
        <v>514</v>
      </c>
      <c r="F443" s="675" t="s">
        <v>515</v>
      </c>
      <c r="G443" s="675"/>
      <c r="H443" s="675"/>
      <c r="I443" s="675"/>
      <c r="J443" s="675"/>
      <c r="K443" s="675"/>
      <c r="L443" s="675"/>
      <c r="M443" s="675"/>
    </row>
    <row r="444" spans="1:13" x14ac:dyDescent="0.25">
      <c r="A444" s="675" t="s">
        <v>870</v>
      </c>
      <c r="B444" s="675" t="s">
        <v>512</v>
      </c>
      <c r="C444" s="675" t="s">
        <v>873</v>
      </c>
      <c r="D444" s="675" t="s">
        <v>21</v>
      </c>
      <c r="E444" s="675" t="s">
        <v>514</v>
      </c>
      <c r="F444" s="675" t="s">
        <v>515</v>
      </c>
      <c r="G444" s="675"/>
      <c r="H444" s="675"/>
      <c r="I444" s="675"/>
      <c r="J444" s="675"/>
      <c r="K444" s="675"/>
      <c r="L444" s="675"/>
      <c r="M444" s="675"/>
    </row>
    <row r="445" spans="1:13" x14ac:dyDescent="0.25">
      <c r="A445" s="675" t="s">
        <v>870</v>
      </c>
      <c r="B445" s="675" t="s">
        <v>512</v>
      </c>
      <c r="C445" s="675" t="s">
        <v>874</v>
      </c>
      <c r="D445" s="675" t="s">
        <v>21</v>
      </c>
      <c r="E445" s="675" t="s">
        <v>514</v>
      </c>
      <c r="F445" s="675" t="s">
        <v>515</v>
      </c>
      <c r="G445" s="675"/>
      <c r="H445" s="675"/>
      <c r="I445" s="675"/>
      <c r="J445" s="675"/>
      <c r="K445" s="675"/>
      <c r="L445" s="675"/>
      <c r="M445" s="675"/>
    </row>
    <row r="446" spans="1:13" x14ac:dyDescent="0.25">
      <c r="A446" s="675" t="s">
        <v>870</v>
      </c>
      <c r="B446" s="675" t="s">
        <v>512</v>
      </c>
      <c r="C446" s="675" t="s">
        <v>875</v>
      </c>
      <c r="D446" s="675" t="s">
        <v>21</v>
      </c>
      <c r="E446" s="675" t="s">
        <v>514</v>
      </c>
      <c r="F446" s="675" t="s">
        <v>515</v>
      </c>
      <c r="G446" s="675"/>
      <c r="H446" s="675"/>
      <c r="I446" s="675"/>
      <c r="J446" s="675"/>
      <c r="K446" s="675"/>
      <c r="L446" s="675"/>
      <c r="M446" s="675"/>
    </row>
    <row r="447" spans="1:13" x14ac:dyDescent="0.25">
      <c r="A447" s="675" t="s">
        <v>870</v>
      </c>
      <c r="B447" s="675" t="s">
        <v>512</v>
      </c>
      <c r="C447" s="675" t="s">
        <v>876</v>
      </c>
      <c r="D447" s="675" t="s">
        <v>21</v>
      </c>
      <c r="E447" s="675" t="s">
        <v>514</v>
      </c>
      <c r="F447" s="675" t="s">
        <v>515</v>
      </c>
      <c r="G447" s="675"/>
      <c r="H447" s="675"/>
      <c r="I447" s="675"/>
      <c r="J447" s="675"/>
      <c r="K447" s="675"/>
      <c r="L447" s="675"/>
      <c r="M447" s="675"/>
    </row>
    <row r="448" spans="1:13" x14ac:dyDescent="0.25">
      <c r="A448" s="675" t="s">
        <v>870</v>
      </c>
      <c r="B448" s="675" t="s">
        <v>512</v>
      </c>
      <c r="C448" s="675" t="s">
        <v>877</v>
      </c>
      <c r="D448" s="675" t="s">
        <v>21</v>
      </c>
      <c r="E448" s="675" t="s">
        <v>514</v>
      </c>
      <c r="F448" s="675" t="s">
        <v>515</v>
      </c>
      <c r="G448" s="675"/>
      <c r="H448" s="675"/>
      <c r="I448" s="675"/>
      <c r="J448" s="675"/>
      <c r="K448" s="675"/>
      <c r="L448" s="675"/>
      <c r="M448" s="675"/>
    </row>
    <row r="449" spans="1:13" x14ac:dyDescent="0.25">
      <c r="A449" s="675" t="s">
        <v>870</v>
      </c>
      <c r="B449" s="675" t="s">
        <v>512</v>
      </c>
      <c r="C449" s="675" t="s">
        <v>878</v>
      </c>
      <c r="D449" s="675" t="s">
        <v>21</v>
      </c>
      <c r="E449" s="675" t="s">
        <v>514</v>
      </c>
      <c r="F449" s="675" t="s">
        <v>515</v>
      </c>
      <c r="G449" s="675"/>
      <c r="H449" s="675"/>
      <c r="I449" s="675"/>
      <c r="J449" s="675"/>
      <c r="K449" s="675"/>
      <c r="L449" s="675"/>
      <c r="M449" s="675"/>
    </row>
    <row r="450" spans="1:13" x14ac:dyDescent="0.25">
      <c r="A450" s="675" t="s">
        <v>870</v>
      </c>
      <c r="B450" s="675" t="s">
        <v>512</v>
      </c>
      <c r="C450" s="675" t="s">
        <v>879</v>
      </c>
      <c r="D450" s="675" t="s">
        <v>21</v>
      </c>
      <c r="E450" s="675" t="s">
        <v>514</v>
      </c>
      <c r="F450" s="675" t="s">
        <v>515</v>
      </c>
      <c r="G450" s="675"/>
      <c r="H450" s="675"/>
      <c r="I450" s="675"/>
      <c r="J450" s="675"/>
      <c r="K450" s="675"/>
      <c r="L450" s="675"/>
      <c r="M450" s="675"/>
    </row>
    <row r="451" spans="1:13" x14ac:dyDescent="0.25">
      <c r="A451" s="675" t="s">
        <v>870</v>
      </c>
      <c r="B451" s="675" t="s">
        <v>512</v>
      </c>
      <c r="C451" s="675" t="s">
        <v>880</v>
      </c>
      <c r="D451" s="675" t="s">
        <v>21</v>
      </c>
      <c r="E451" s="675" t="s">
        <v>514</v>
      </c>
      <c r="F451" s="675" t="s">
        <v>515</v>
      </c>
      <c r="G451" s="675"/>
      <c r="H451" s="675"/>
      <c r="I451" s="675"/>
      <c r="J451" s="675"/>
      <c r="K451" s="675"/>
      <c r="L451" s="675"/>
      <c r="M451" s="675"/>
    </row>
    <row r="452" spans="1:13" x14ac:dyDescent="0.25">
      <c r="A452" s="675" t="s">
        <v>870</v>
      </c>
      <c r="B452" s="675" t="s">
        <v>512</v>
      </c>
      <c r="C452" s="675" t="s">
        <v>881</v>
      </c>
      <c r="D452" s="675" t="s">
        <v>21</v>
      </c>
      <c r="E452" s="675" t="s">
        <v>514</v>
      </c>
      <c r="F452" s="675" t="s">
        <v>515</v>
      </c>
      <c r="G452" s="675"/>
      <c r="H452" s="675"/>
      <c r="I452" s="675"/>
      <c r="J452" s="675"/>
      <c r="K452" s="675"/>
      <c r="L452" s="675"/>
      <c r="M452" s="675"/>
    </row>
    <row r="453" spans="1:13" x14ac:dyDescent="0.25">
      <c r="A453" s="675" t="s">
        <v>870</v>
      </c>
      <c r="B453" s="675" t="s">
        <v>512</v>
      </c>
      <c r="C453" s="675" t="s">
        <v>882</v>
      </c>
      <c r="D453" s="675" t="s">
        <v>21</v>
      </c>
      <c r="E453" s="675" t="s">
        <v>514</v>
      </c>
      <c r="F453" s="675" t="s">
        <v>515</v>
      </c>
      <c r="G453" s="675"/>
      <c r="H453" s="675"/>
      <c r="I453" s="675"/>
      <c r="J453" s="675"/>
      <c r="K453" s="675"/>
      <c r="L453" s="675"/>
      <c r="M453" s="675"/>
    </row>
    <row r="454" spans="1:13" x14ac:dyDescent="0.25">
      <c r="A454" s="675" t="s">
        <v>870</v>
      </c>
      <c r="B454" s="675" t="s">
        <v>512</v>
      </c>
      <c r="C454" s="675" t="s">
        <v>883</v>
      </c>
      <c r="D454" s="675" t="s">
        <v>21</v>
      </c>
      <c r="E454" s="675" t="s">
        <v>514</v>
      </c>
      <c r="F454" s="675" t="s">
        <v>515</v>
      </c>
      <c r="G454" s="675"/>
      <c r="H454" s="675"/>
      <c r="I454" s="675"/>
      <c r="J454" s="675"/>
      <c r="K454" s="675"/>
      <c r="L454" s="675"/>
      <c r="M454" s="675"/>
    </row>
    <row r="455" spans="1:13" x14ac:dyDescent="0.25">
      <c r="A455" s="675" t="s">
        <v>870</v>
      </c>
      <c r="B455" s="675" t="s">
        <v>512</v>
      </c>
      <c r="C455" s="675" t="s">
        <v>884</v>
      </c>
      <c r="D455" s="675" t="s">
        <v>21</v>
      </c>
      <c r="E455" s="675" t="s">
        <v>514</v>
      </c>
      <c r="F455" s="675" t="s">
        <v>515</v>
      </c>
      <c r="G455" s="675"/>
      <c r="H455" s="675"/>
      <c r="I455" s="675"/>
      <c r="J455" s="675"/>
      <c r="K455" s="675"/>
      <c r="L455" s="675"/>
      <c r="M455" s="675"/>
    </row>
    <row r="456" spans="1:13" x14ac:dyDescent="0.25">
      <c r="A456" s="675" t="s">
        <v>870</v>
      </c>
      <c r="B456" s="675" t="s">
        <v>512</v>
      </c>
      <c r="C456" s="675" t="s">
        <v>885</v>
      </c>
      <c r="D456" s="675" t="s">
        <v>21</v>
      </c>
      <c r="E456" s="675" t="s">
        <v>514</v>
      </c>
      <c r="F456" s="675" t="s">
        <v>515</v>
      </c>
      <c r="G456" s="675"/>
      <c r="H456" s="675"/>
      <c r="I456" s="675"/>
      <c r="J456" s="675"/>
      <c r="K456" s="675"/>
      <c r="L456" s="675"/>
      <c r="M456" s="675"/>
    </row>
    <row r="457" spans="1:13" x14ac:dyDescent="0.25">
      <c r="A457" s="675" t="s">
        <v>870</v>
      </c>
      <c r="B457" s="675" t="s">
        <v>512</v>
      </c>
      <c r="C457" s="675" t="s">
        <v>886</v>
      </c>
      <c r="D457" s="675" t="s">
        <v>21</v>
      </c>
      <c r="E457" s="675" t="s">
        <v>514</v>
      </c>
      <c r="F457" s="675" t="s">
        <v>515</v>
      </c>
      <c r="G457" s="675"/>
      <c r="H457" s="675"/>
      <c r="I457" s="675"/>
      <c r="J457" s="675"/>
      <c r="K457" s="675"/>
      <c r="L457" s="675"/>
      <c r="M457" s="675"/>
    </row>
    <row r="458" spans="1:13" x14ac:dyDescent="0.25">
      <c r="A458" s="675" t="s">
        <v>870</v>
      </c>
      <c r="B458" s="675" t="s">
        <v>512</v>
      </c>
      <c r="C458" s="675" t="s">
        <v>887</v>
      </c>
      <c r="D458" s="675" t="s">
        <v>21</v>
      </c>
      <c r="E458" s="675" t="s">
        <v>514</v>
      </c>
      <c r="F458" s="675" t="s">
        <v>515</v>
      </c>
      <c r="G458" s="675"/>
      <c r="H458" s="675"/>
      <c r="I458" s="675"/>
      <c r="J458" s="675"/>
      <c r="K458" s="675"/>
      <c r="L458" s="675"/>
      <c r="M458" s="675"/>
    </row>
    <row r="459" spans="1:13" x14ac:dyDescent="0.25">
      <c r="A459" s="675" t="s">
        <v>870</v>
      </c>
      <c r="B459" s="675" t="s">
        <v>512</v>
      </c>
      <c r="C459" s="675" t="s">
        <v>888</v>
      </c>
      <c r="D459" s="675" t="s">
        <v>21</v>
      </c>
      <c r="E459" s="675" t="s">
        <v>514</v>
      </c>
      <c r="F459" s="675" t="s">
        <v>515</v>
      </c>
      <c r="G459" s="675"/>
      <c r="H459" s="675"/>
      <c r="I459" s="675"/>
      <c r="J459" s="675"/>
      <c r="K459" s="675"/>
      <c r="L459" s="675"/>
      <c r="M459" s="675"/>
    </row>
    <row r="460" spans="1:13" x14ac:dyDescent="0.25">
      <c r="A460" s="675" t="s">
        <v>870</v>
      </c>
      <c r="B460" s="675" t="s">
        <v>512</v>
      </c>
      <c r="C460" s="675" t="s">
        <v>889</v>
      </c>
      <c r="D460" s="675" t="s">
        <v>21</v>
      </c>
      <c r="E460" s="675" t="s">
        <v>514</v>
      </c>
      <c r="F460" s="675" t="s">
        <v>515</v>
      </c>
      <c r="G460" s="675"/>
      <c r="H460" s="675"/>
      <c r="I460" s="675"/>
      <c r="J460" s="675"/>
      <c r="K460" s="675"/>
      <c r="L460" s="675"/>
      <c r="M460" s="675"/>
    </row>
    <row r="461" spans="1:13" x14ac:dyDescent="0.25">
      <c r="A461" s="675" t="s">
        <v>870</v>
      </c>
      <c r="B461" s="675" t="s">
        <v>512</v>
      </c>
      <c r="C461" s="675" t="s">
        <v>890</v>
      </c>
      <c r="D461" s="675" t="s">
        <v>21</v>
      </c>
      <c r="E461" s="675" t="s">
        <v>514</v>
      </c>
      <c r="F461" s="675" t="s">
        <v>515</v>
      </c>
      <c r="G461" s="675"/>
      <c r="H461" s="675"/>
      <c r="I461" s="675"/>
      <c r="J461" s="675"/>
      <c r="K461" s="675"/>
      <c r="L461" s="675"/>
      <c r="M461" s="675"/>
    </row>
    <row r="462" spans="1:13" x14ac:dyDescent="0.25">
      <c r="A462" s="675" t="s">
        <v>870</v>
      </c>
      <c r="B462" s="675" t="s">
        <v>512</v>
      </c>
      <c r="C462" s="675" t="s">
        <v>891</v>
      </c>
      <c r="D462" s="675" t="s">
        <v>21</v>
      </c>
      <c r="E462" s="675" t="s">
        <v>514</v>
      </c>
      <c r="F462" s="675" t="s">
        <v>515</v>
      </c>
      <c r="G462" s="675"/>
      <c r="H462" s="675"/>
      <c r="I462" s="675"/>
      <c r="J462" s="675"/>
      <c r="K462" s="675"/>
      <c r="L462" s="675"/>
      <c r="M462" s="675"/>
    </row>
    <row r="463" spans="1:13" x14ac:dyDescent="0.25">
      <c r="A463" s="675" t="s">
        <v>870</v>
      </c>
      <c r="B463" s="675" t="s">
        <v>512</v>
      </c>
      <c r="C463" s="675" t="s">
        <v>892</v>
      </c>
      <c r="D463" s="675" t="s">
        <v>21</v>
      </c>
      <c r="E463" s="675" t="s">
        <v>514</v>
      </c>
      <c r="F463" s="675" t="s">
        <v>515</v>
      </c>
      <c r="G463" s="675"/>
      <c r="H463" s="675"/>
      <c r="I463" s="675"/>
      <c r="J463" s="675"/>
      <c r="K463" s="675"/>
      <c r="L463" s="675"/>
      <c r="M463" s="675"/>
    </row>
    <row r="464" spans="1:13" x14ac:dyDescent="0.25">
      <c r="A464" s="675" t="s">
        <v>870</v>
      </c>
      <c r="B464" s="675" t="s">
        <v>512</v>
      </c>
      <c r="C464" s="675" t="s">
        <v>893</v>
      </c>
      <c r="D464" s="675" t="s">
        <v>21</v>
      </c>
      <c r="E464" s="675" t="s">
        <v>514</v>
      </c>
      <c r="F464" s="675" t="s">
        <v>515</v>
      </c>
      <c r="G464" s="675"/>
      <c r="H464" s="675"/>
      <c r="I464" s="675"/>
      <c r="J464" s="675"/>
      <c r="K464" s="675"/>
      <c r="L464" s="675"/>
      <c r="M464" s="675"/>
    </row>
    <row r="465" spans="1:13" x14ac:dyDescent="0.25">
      <c r="A465" s="675" t="s">
        <v>870</v>
      </c>
      <c r="B465" s="675" t="s">
        <v>512</v>
      </c>
      <c r="C465" s="675" t="s">
        <v>894</v>
      </c>
      <c r="D465" s="675" t="s">
        <v>21</v>
      </c>
      <c r="E465" s="675" t="s">
        <v>514</v>
      </c>
      <c r="F465" s="675" t="s">
        <v>515</v>
      </c>
      <c r="G465" s="675"/>
      <c r="H465" s="675"/>
      <c r="I465" s="675"/>
      <c r="J465" s="675"/>
      <c r="K465" s="675"/>
      <c r="L465" s="675"/>
      <c r="M465" s="675"/>
    </row>
    <row r="466" spans="1:13" x14ac:dyDescent="0.25">
      <c r="A466" s="675" t="s">
        <v>870</v>
      </c>
      <c r="B466" s="675" t="s">
        <v>512</v>
      </c>
      <c r="C466" s="675" t="s">
        <v>895</v>
      </c>
      <c r="D466" s="675" t="s">
        <v>21</v>
      </c>
      <c r="E466" s="675" t="s">
        <v>514</v>
      </c>
      <c r="F466" s="675" t="s">
        <v>515</v>
      </c>
      <c r="G466" s="675"/>
      <c r="H466" s="675"/>
      <c r="I466" s="675"/>
      <c r="J466" s="675"/>
      <c r="K466" s="675"/>
      <c r="L466" s="675"/>
      <c r="M466" s="675"/>
    </row>
    <row r="467" spans="1:13" x14ac:dyDescent="0.25">
      <c r="A467" s="675" t="s">
        <v>870</v>
      </c>
      <c r="B467" s="675" t="s">
        <v>512</v>
      </c>
      <c r="C467" s="675" t="s">
        <v>896</v>
      </c>
      <c r="D467" s="675" t="s">
        <v>21</v>
      </c>
      <c r="E467" s="675" t="s">
        <v>514</v>
      </c>
      <c r="F467" s="675" t="s">
        <v>515</v>
      </c>
      <c r="G467" s="675"/>
      <c r="H467" s="675"/>
      <c r="I467" s="675"/>
      <c r="J467" s="675"/>
      <c r="K467" s="675"/>
      <c r="L467" s="675"/>
      <c r="M467" s="675"/>
    </row>
    <row r="468" spans="1:13" x14ac:dyDescent="0.25">
      <c r="A468" s="675" t="s">
        <v>870</v>
      </c>
      <c r="B468" s="675" t="s">
        <v>512</v>
      </c>
      <c r="C468" s="675" t="s">
        <v>897</v>
      </c>
      <c r="D468" s="675" t="s">
        <v>21</v>
      </c>
      <c r="E468" s="675" t="s">
        <v>514</v>
      </c>
      <c r="F468" s="675" t="s">
        <v>515</v>
      </c>
      <c r="G468" s="675"/>
      <c r="H468" s="675"/>
      <c r="I468" s="675"/>
      <c r="J468" s="675"/>
      <c r="K468" s="675"/>
      <c r="L468" s="675"/>
      <c r="M468" s="675"/>
    </row>
    <row r="469" spans="1:13" x14ac:dyDescent="0.25">
      <c r="A469" s="675" t="s">
        <v>870</v>
      </c>
      <c r="B469" s="675" t="s">
        <v>512</v>
      </c>
      <c r="C469" s="675" t="s">
        <v>898</v>
      </c>
      <c r="D469" s="675" t="s">
        <v>21</v>
      </c>
      <c r="E469" s="675" t="s">
        <v>514</v>
      </c>
      <c r="F469" s="675" t="s">
        <v>515</v>
      </c>
      <c r="G469" s="675"/>
      <c r="H469" s="675"/>
      <c r="I469" s="675"/>
      <c r="J469" s="675"/>
      <c r="K469" s="675"/>
      <c r="L469" s="675"/>
      <c r="M469" s="675"/>
    </row>
    <row r="470" spans="1:13" x14ac:dyDescent="0.25">
      <c r="A470" s="675" t="s">
        <v>870</v>
      </c>
      <c r="B470" s="675" t="s">
        <v>512</v>
      </c>
      <c r="C470" s="675" t="s">
        <v>899</v>
      </c>
      <c r="D470" s="675" t="s">
        <v>21</v>
      </c>
      <c r="E470" s="675" t="s">
        <v>514</v>
      </c>
      <c r="F470" s="675" t="s">
        <v>515</v>
      </c>
      <c r="G470" s="675"/>
      <c r="H470" s="675"/>
      <c r="I470" s="675"/>
      <c r="J470" s="675"/>
      <c r="K470" s="675"/>
      <c r="L470" s="675"/>
      <c r="M470" s="675"/>
    </row>
    <row r="471" spans="1:13" x14ac:dyDescent="0.25">
      <c r="A471" s="675" t="s">
        <v>870</v>
      </c>
      <c r="B471" s="675" t="s">
        <v>512</v>
      </c>
      <c r="C471" s="675" t="s">
        <v>900</v>
      </c>
      <c r="D471" s="675" t="s">
        <v>21</v>
      </c>
      <c r="E471" s="675" t="s">
        <v>514</v>
      </c>
      <c r="F471" s="675" t="s">
        <v>515</v>
      </c>
      <c r="G471" s="675"/>
      <c r="H471" s="675"/>
      <c r="I471" s="675"/>
      <c r="J471" s="675"/>
      <c r="K471" s="675"/>
      <c r="L471" s="675"/>
      <c r="M471" s="675"/>
    </row>
    <row r="472" spans="1:13" x14ac:dyDescent="0.25">
      <c r="A472" s="675" t="s">
        <v>870</v>
      </c>
      <c r="B472" s="675" t="s">
        <v>512</v>
      </c>
      <c r="C472" s="675" t="s">
        <v>901</v>
      </c>
      <c r="D472" s="675" t="s">
        <v>21</v>
      </c>
      <c r="E472" s="675" t="s">
        <v>514</v>
      </c>
      <c r="F472" s="675" t="s">
        <v>515</v>
      </c>
      <c r="G472" s="675"/>
      <c r="H472" s="675"/>
      <c r="I472" s="675"/>
      <c r="J472" s="675"/>
      <c r="K472" s="675"/>
      <c r="L472" s="675"/>
      <c r="M472" s="675"/>
    </row>
    <row r="473" spans="1:13" x14ac:dyDescent="0.25">
      <c r="A473" s="675" t="s">
        <v>870</v>
      </c>
      <c r="B473" s="675" t="s">
        <v>512</v>
      </c>
      <c r="C473" s="675" t="s">
        <v>902</v>
      </c>
      <c r="D473" s="675" t="s">
        <v>21</v>
      </c>
      <c r="E473" s="675" t="s">
        <v>514</v>
      </c>
      <c r="F473" s="675" t="s">
        <v>515</v>
      </c>
      <c r="G473" s="675"/>
      <c r="H473" s="675"/>
      <c r="I473" s="675"/>
      <c r="J473" s="675"/>
      <c r="K473" s="675"/>
      <c r="L473" s="675"/>
      <c r="M473" s="675"/>
    </row>
    <row r="474" spans="1:13" x14ac:dyDescent="0.25">
      <c r="A474" s="675" t="s">
        <v>870</v>
      </c>
      <c r="B474" s="675" t="s">
        <v>512</v>
      </c>
      <c r="C474" s="675" t="s">
        <v>903</v>
      </c>
      <c r="D474" s="675" t="s">
        <v>21</v>
      </c>
      <c r="E474" s="675" t="s">
        <v>514</v>
      </c>
      <c r="F474" s="675" t="s">
        <v>515</v>
      </c>
      <c r="G474" s="675"/>
      <c r="H474" s="675"/>
      <c r="I474" s="675"/>
      <c r="J474" s="675"/>
      <c r="K474" s="675"/>
      <c r="L474" s="675"/>
      <c r="M474" s="675"/>
    </row>
    <row r="475" spans="1:13" x14ac:dyDescent="0.25">
      <c r="A475" s="675" t="s">
        <v>870</v>
      </c>
      <c r="B475" s="675" t="s">
        <v>512</v>
      </c>
      <c r="C475" s="675" t="s">
        <v>904</v>
      </c>
      <c r="D475" s="675" t="s">
        <v>21</v>
      </c>
      <c r="E475" s="675" t="s">
        <v>514</v>
      </c>
      <c r="F475" s="675" t="s">
        <v>515</v>
      </c>
      <c r="G475" s="675"/>
      <c r="H475" s="675"/>
      <c r="I475" s="675"/>
      <c r="J475" s="675"/>
      <c r="K475" s="675"/>
      <c r="L475" s="675"/>
      <c r="M475" s="675"/>
    </row>
    <row r="476" spans="1:13" x14ac:dyDescent="0.25">
      <c r="A476" s="675" t="s">
        <v>870</v>
      </c>
      <c r="B476" s="675" t="s">
        <v>512</v>
      </c>
      <c r="C476" s="675" t="s">
        <v>905</v>
      </c>
      <c r="D476" s="675" t="s">
        <v>21</v>
      </c>
      <c r="E476" s="675" t="s">
        <v>514</v>
      </c>
      <c r="F476" s="675" t="s">
        <v>515</v>
      </c>
      <c r="G476" s="675"/>
      <c r="H476" s="675"/>
      <c r="I476" s="675"/>
      <c r="J476" s="675"/>
      <c r="K476" s="675"/>
      <c r="L476" s="675"/>
      <c r="M476" s="675"/>
    </row>
    <row r="477" spans="1:13" x14ac:dyDescent="0.25">
      <c r="A477" s="675" t="s">
        <v>870</v>
      </c>
      <c r="B477" s="675" t="s">
        <v>512</v>
      </c>
      <c r="C477" s="675" t="s">
        <v>906</v>
      </c>
      <c r="D477" s="675" t="s">
        <v>21</v>
      </c>
      <c r="E477" s="675" t="s">
        <v>514</v>
      </c>
      <c r="F477" s="675" t="s">
        <v>515</v>
      </c>
      <c r="G477" s="675"/>
      <c r="H477" s="675"/>
      <c r="I477" s="675"/>
      <c r="J477" s="675"/>
      <c r="K477" s="675"/>
      <c r="L477" s="675"/>
      <c r="M477" s="675"/>
    </row>
    <row r="478" spans="1:13" x14ac:dyDescent="0.25">
      <c r="A478" s="675" t="s">
        <v>870</v>
      </c>
      <c r="B478" s="675" t="s">
        <v>545</v>
      </c>
      <c r="C478" s="675" t="s">
        <v>907</v>
      </c>
      <c r="D478" s="675" t="s">
        <v>21</v>
      </c>
      <c r="E478" s="675" t="s">
        <v>514</v>
      </c>
      <c r="F478" s="675" t="s">
        <v>515</v>
      </c>
      <c r="G478" s="675"/>
      <c r="H478" s="675"/>
      <c r="I478" s="675"/>
      <c r="J478" s="675"/>
      <c r="K478" s="675"/>
      <c r="L478" s="675"/>
      <c r="M478" s="675"/>
    </row>
    <row r="479" spans="1:13" x14ac:dyDescent="0.25">
      <c r="A479" s="675" t="s">
        <v>870</v>
      </c>
      <c r="B479" s="675" t="s">
        <v>545</v>
      </c>
      <c r="C479" s="675" t="s">
        <v>908</v>
      </c>
      <c r="D479" s="675" t="s">
        <v>21</v>
      </c>
      <c r="E479" s="675" t="s">
        <v>514</v>
      </c>
      <c r="F479" s="675" t="s">
        <v>515</v>
      </c>
      <c r="G479" s="675"/>
      <c r="H479" s="675"/>
      <c r="I479" s="675"/>
      <c r="J479" s="675"/>
      <c r="K479" s="675"/>
      <c r="L479" s="675"/>
      <c r="M479" s="675"/>
    </row>
    <row r="480" spans="1:13" x14ac:dyDescent="0.25">
      <c r="A480" s="675" t="s">
        <v>870</v>
      </c>
      <c r="B480" s="675" t="s">
        <v>545</v>
      </c>
      <c r="C480" s="675" t="s">
        <v>909</v>
      </c>
      <c r="D480" s="675" t="s">
        <v>21</v>
      </c>
      <c r="E480" s="675" t="s">
        <v>514</v>
      </c>
      <c r="F480" s="675" t="s">
        <v>515</v>
      </c>
      <c r="G480" s="675"/>
      <c r="H480" s="675"/>
      <c r="I480" s="675"/>
      <c r="J480" s="675"/>
      <c r="K480" s="675"/>
      <c r="L480" s="675"/>
      <c r="M480" s="675"/>
    </row>
    <row r="481" spans="1:13" x14ac:dyDescent="0.25">
      <c r="A481" s="675" t="s">
        <v>870</v>
      </c>
      <c r="B481" s="675" t="s">
        <v>545</v>
      </c>
      <c r="C481" s="675" t="s">
        <v>910</v>
      </c>
      <c r="D481" s="675" t="s">
        <v>21</v>
      </c>
      <c r="E481" s="675" t="s">
        <v>514</v>
      </c>
      <c r="F481" s="675" t="s">
        <v>515</v>
      </c>
      <c r="G481" s="675"/>
      <c r="H481" s="675"/>
      <c r="I481" s="675"/>
      <c r="J481" s="675"/>
      <c r="K481" s="675"/>
      <c r="L481" s="675"/>
      <c r="M481" s="675"/>
    </row>
    <row r="482" spans="1:13" x14ac:dyDescent="0.25">
      <c r="A482" s="675" t="s">
        <v>870</v>
      </c>
      <c r="B482" s="675" t="s">
        <v>545</v>
      </c>
      <c r="C482" s="675" t="s">
        <v>911</v>
      </c>
      <c r="D482" s="675" t="s">
        <v>21</v>
      </c>
      <c r="E482" s="675" t="s">
        <v>514</v>
      </c>
      <c r="F482" s="675" t="s">
        <v>515</v>
      </c>
      <c r="G482" s="675"/>
      <c r="H482" s="675"/>
      <c r="I482" s="675"/>
      <c r="J482" s="675"/>
      <c r="K482" s="675"/>
      <c r="L482" s="675"/>
      <c r="M482" s="675"/>
    </row>
    <row r="483" spans="1:13" x14ac:dyDescent="0.25">
      <c r="A483" s="675" t="s">
        <v>870</v>
      </c>
      <c r="B483" s="675" t="s">
        <v>545</v>
      </c>
      <c r="C483" s="675" t="s">
        <v>912</v>
      </c>
      <c r="D483" s="675" t="s">
        <v>21</v>
      </c>
      <c r="E483" s="675" t="s">
        <v>514</v>
      </c>
      <c r="F483" s="675" t="s">
        <v>515</v>
      </c>
      <c r="G483" s="675"/>
      <c r="H483" s="675"/>
      <c r="I483" s="675"/>
      <c r="J483" s="675"/>
      <c r="K483" s="675"/>
      <c r="L483" s="675"/>
      <c r="M483" s="675"/>
    </row>
    <row r="484" spans="1:13" x14ac:dyDescent="0.25">
      <c r="A484" s="675" t="s">
        <v>870</v>
      </c>
      <c r="B484" s="675" t="s">
        <v>545</v>
      </c>
      <c r="C484" s="675" t="s">
        <v>913</v>
      </c>
      <c r="D484" s="675" t="s">
        <v>21</v>
      </c>
      <c r="E484" s="675" t="s">
        <v>514</v>
      </c>
      <c r="F484" s="675" t="s">
        <v>515</v>
      </c>
      <c r="G484" s="675"/>
      <c r="H484" s="675"/>
      <c r="I484" s="675"/>
      <c r="J484" s="675"/>
      <c r="K484" s="675"/>
      <c r="L484" s="675"/>
      <c r="M484" s="675"/>
    </row>
    <row r="485" spans="1:13" x14ac:dyDescent="0.25">
      <c r="A485" s="675" t="s">
        <v>870</v>
      </c>
      <c r="B485" s="675" t="s">
        <v>545</v>
      </c>
      <c r="C485" s="675" t="s">
        <v>914</v>
      </c>
      <c r="D485" s="675" t="s">
        <v>21</v>
      </c>
      <c r="E485" s="675" t="s">
        <v>514</v>
      </c>
      <c r="F485" s="675" t="s">
        <v>515</v>
      </c>
      <c r="G485" s="675"/>
      <c r="H485" s="675"/>
      <c r="I485" s="675"/>
      <c r="J485" s="675"/>
      <c r="K485" s="675"/>
      <c r="L485" s="675"/>
      <c r="M485" s="675"/>
    </row>
    <row r="486" spans="1:13" x14ac:dyDescent="0.25">
      <c r="A486" s="675" t="s">
        <v>870</v>
      </c>
      <c r="B486" s="675" t="s">
        <v>545</v>
      </c>
      <c r="C486" s="675" t="s">
        <v>915</v>
      </c>
      <c r="D486" s="675" t="s">
        <v>21</v>
      </c>
      <c r="E486" s="675" t="s">
        <v>514</v>
      </c>
      <c r="F486" s="675" t="s">
        <v>515</v>
      </c>
      <c r="G486" s="675"/>
      <c r="H486" s="675"/>
      <c r="I486" s="675"/>
      <c r="J486" s="675"/>
      <c r="K486" s="675"/>
      <c r="L486" s="675"/>
      <c r="M486" s="675"/>
    </row>
    <row r="487" spans="1:13" x14ac:dyDescent="0.25">
      <c r="A487" s="675" t="s">
        <v>916</v>
      </c>
      <c r="B487" s="675" t="s">
        <v>512</v>
      </c>
      <c r="C487" s="675" t="s">
        <v>811</v>
      </c>
      <c r="D487" s="675" t="s">
        <v>21</v>
      </c>
      <c r="E487" s="675" t="s">
        <v>514</v>
      </c>
      <c r="F487" s="675" t="s">
        <v>515</v>
      </c>
      <c r="G487" s="675"/>
      <c r="H487" s="675"/>
      <c r="I487" s="675"/>
      <c r="J487" s="675"/>
      <c r="K487" s="675"/>
      <c r="L487" s="675"/>
      <c r="M487" s="675"/>
    </row>
    <row r="488" spans="1:13" x14ac:dyDescent="0.25">
      <c r="A488" s="675" t="s">
        <v>916</v>
      </c>
      <c r="B488" s="675" t="s">
        <v>545</v>
      </c>
      <c r="C488" s="675" t="s">
        <v>917</v>
      </c>
      <c r="D488" s="675" t="s">
        <v>21</v>
      </c>
      <c r="E488" s="675" t="s">
        <v>514</v>
      </c>
      <c r="F488" s="675" t="s">
        <v>515</v>
      </c>
      <c r="G488" s="675"/>
      <c r="H488" s="675"/>
      <c r="I488" s="675"/>
      <c r="J488" s="675"/>
      <c r="K488" s="675"/>
      <c r="L488" s="675"/>
      <c r="M488" s="675"/>
    </row>
    <row r="489" spans="1:13" x14ac:dyDescent="0.25">
      <c r="A489" s="675" t="s">
        <v>916</v>
      </c>
      <c r="B489" s="675" t="s">
        <v>545</v>
      </c>
      <c r="C489" s="675" t="s">
        <v>918</v>
      </c>
      <c r="D489" s="675" t="s">
        <v>21</v>
      </c>
      <c r="E489" s="675" t="s">
        <v>514</v>
      </c>
      <c r="F489" s="675" t="s">
        <v>515</v>
      </c>
      <c r="G489" s="675"/>
      <c r="H489" s="675"/>
      <c r="I489" s="675"/>
      <c r="J489" s="675"/>
      <c r="K489" s="675"/>
      <c r="L489" s="675"/>
      <c r="M489" s="675"/>
    </row>
    <row r="490" spans="1:13" x14ac:dyDescent="0.25">
      <c r="A490" s="675" t="s">
        <v>916</v>
      </c>
      <c r="B490" s="675" t="s">
        <v>545</v>
      </c>
      <c r="C490" s="675" t="s">
        <v>819</v>
      </c>
      <c r="D490" s="675" t="s">
        <v>21</v>
      </c>
      <c r="E490" s="675" t="s">
        <v>514</v>
      </c>
      <c r="F490" s="675" t="s">
        <v>515</v>
      </c>
      <c r="G490" s="675"/>
      <c r="H490" s="675"/>
      <c r="I490" s="675"/>
      <c r="J490" s="675"/>
      <c r="K490" s="675"/>
      <c r="L490" s="675"/>
      <c r="M490" s="675"/>
    </row>
    <row r="491" spans="1:13" x14ac:dyDescent="0.25">
      <c r="A491" s="675" t="s">
        <v>916</v>
      </c>
      <c r="B491" s="675" t="s">
        <v>564</v>
      </c>
      <c r="C491" s="675" t="s">
        <v>919</v>
      </c>
      <c r="D491" s="675" t="s">
        <v>21</v>
      </c>
      <c r="E491" s="675" t="s">
        <v>514</v>
      </c>
      <c r="F491" s="675" t="s">
        <v>515</v>
      </c>
      <c r="G491" s="675"/>
      <c r="H491" s="675"/>
      <c r="I491" s="675"/>
      <c r="J491" s="675"/>
      <c r="K491" s="675"/>
      <c r="L491" s="675"/>
      <c r="M491" s="675"/>
    </row>
    <row r="492" spans="1:13" x14ac:dyDescent="0.25">
      <c r="A492" s="675" t="s">
        <v>920</v>
      </c>
      <c r="B492" s="675" t="s">
        <v>512</v>
      </c>
      <c r="C492" s="675" t="s">
        <v>921</v>
      </c>
      <c r="D492" s="675" t="s">
        <v>21</v>
      </c>
      <c r="E492" s="702"/>
      <c r="F492" s="702"/>
      <c r="G492" s="675"/>
      <c r="H492" s="675"/>
      <c r="I492" s="675"/>
      <c r="J492" s="675"/>
      <c r="K492" s="675"/>
      <c r="L492" s="675"/>
      <c r="M492" s="675"/>
    </row>
    <row r="493" spans="1:13" x14ac:dyDescent="0.25">
      <c r="A493" s="675" t="s">
        <v>920</v>
      </c>
      <c r="B493" s="675" t="s">
        <v>512</v>
      </c>
      <c r="C493" s="675" t="s">
        <v>922</v>
      </c>
      <c r="D493" s="675" t="s">
        <v>21</v>
      </c>
      <c r="E493" s="702"/>
      <c r="F493" s="702"/>
      <c r="G493" s="675"/>
      <c r="H493" s="675"/>
      <c r="I493" s="675"/>
      <c r="J493" s="675"/>
      <c r="K493" s="675"/>
      <c r="L493" s="675"/>
      <c r="M493" s="675"/>
    </row>
    <row r="494" spans="1:13" x14ac:dyDescent="0.25">
      <c r="A494" s="675" t="s">
        <v>920</v>
      </c>
      <c r="B494" s="675" t="s">
        <v>512</v>
      </c>
      <c r="C494" s="675" t="s">
        <v>923</v>
      </c>
      <c r="D494" s="675" t="s">
        <v>21</v>
      </c>
      <c r="E494" s="702"/>
      <c r="F494" s="702"/>
      <c r="G494" s="675"/>
      <c r="H494" s="675"/>
      <c r="I494" s="675"/>
      <c r="J494" s="675"/>
      <c r="K494" s="675"/>
      <c r="L494" s="675"/>
      <c r="M494" s="675"/>
    </row>
    <row r="495" spans="1:13" x14ac:dyDescent="0.25">
      <c r="A495" s="675" t="s">
        <v>920</v>
      </c>
      <c r="B495" s="675" t="s">
        <v>512</v>
      </c>
      <c r="C495" s="675" t="s">
        <v>924</v>
      </c>
      <c r="D495" s="675" t="s">
        <v>21</v>
      </c>
      <c r="E495" s="702"/>
      <c r="F495" s="702"/>
      <c r="G495" s="675"/>
      <c r="H495" s="675"/>
      <c r="I495" s="675"/>
      <c r="J495" s="675"/>
      <c r="K495" s="675"/>
      <c r="L495" s="675"/>
      <c r="M495" s="675"/>
    </row>
    <row r="496" spans="1:13" x14ac:dyDescent="0.25">
      <c r="A496" s="675" t="s">
        <v>920</v>
      </c>
      <c r="B496" s="675" t="s">
        <v>512</v>
      </c>
      <c r="C496" s="675" t="s">
        <v>925</v>
      </c>
      <c r="D496" s="675" t="s">
        <v>21</v>
      </c>
      <c r="E496" s="702"/>
      <c r="F496" s="702"/>
      <c r="G496" s="675"/>
      <c r="H496" s="675"/>
      <c r="I496" s="675"/>
      <c r="J496" s="675"/>
      <c r="K496" s="675"/>
      <c r="L496" s="675"/>
      <c r="M496" s="675"/>
    </row>
    <row r="497" spans="1:13" x14ac:dyDescent="0.25">
      <c r="A497" s="675" t="s">
        <v>920</v>
      </c>
      <c r="B497" s="675" t="s">
        <v>545</v>
      </c>
      <c r="C497" s="675" t="s">
        <v>926</v>
      </c>
      <c r="D497" s="675" t="s">
        <v>21</v>
      </c>
      <c r="E497" s="702"/>
      <c r="F497" s="702"/>
      <c r="G497" s="675"/>
      <c r="H497" s="675"/>
      <c r="I497" s="675"/>
      <c r="J497" s="675"/>
      <c r="K497" s="675"/>
      <c r="L497" s="675"/>
      <c r="M497" s="675"/>
    </row>
    <row r="498" spans="1:13" x14ac:dyDescent="0.25">
      <c r="A498" s="675" t="s">
        <v>920</v>
      </c>
      <c r="B498" s="675" t="s">
        <v>545</v>
      </c>
      <c r="C498" s="675" t="s">
        <v>927</v>
      </c>
      <c r="D498" s="675" t="s">
        <v>21</v>
      </c>
      <c r="E498" s="702"/>
      <c r="F498" s="702"/>
      <c r="G498" s="675"/>
      <c r="H498" s="675"/>
      <c r="I498" s="675"/>
      <c r="J498" s="675"/>
      <c r="K498" s="675"/>
      <c r="L498" s="675"/>
      <c r="M498" s="675"/>
    </row>
    <row r="499" spans="1:13" x14ac:dyDescent="0.25">
      <c r="A499" s="675" t="s">
        <v>920</v>
      </c>
      <c r="B499" s="675" t="s">
        <v>545</v>
      </c>
      <c r="C499" s="675" t="s">
        <v>928</v>
      </c>
      <c r="D499" s="675" t="s">
        <v>21</v>
      </c>
      <c r="E499" s="702"/>
      <c r="F499" s="702"/>
      <c r="G499" s="675"/>
      <c r="H499" s="675"/>
      <c r="I499" s="675"/>
      <c r="J499" s="675"/>
      <c r="K499" s="675"/>
      <c r="L499" s="675"/>
      <c r="M499" s="675"/>
    </row>
    <row r="500" spans="1:13" x14ac:dyDescent="0.25">
      <c r="A500" s="675" t="s">
        <v>920</v>
      </c>
      <c r="B500" s="675" t="s">
        <v>545</v>
      </c>
      <c r="C500" s="675" t="s">
        <v>929</v>
      </c>
      <c r="D500" s="675" t="s">
        <v>21</v>
      </c>
      <c r="E500" s="702"/>
      <c r="F500" s="702"/>
      <c r="G500" s="675"/>
      <c r="H500" s="675"/>
      <c r="I500" s="675"/>
      <c r="J500" s="675"/>
      <c r="K500" s="675"/>
      <c r="L500" s="675"/>
      <c r="M500" s="675"/>
    </row>
    <row r="501" spans="1:13" x14ac:dyDescent="0.25">
      <c r="A501" s="675" t="s">
        <v>920</v>
      </c>
      <c r="B501" s="675" t="s">
        <v>545</v>
      </c>
      <c r="C501" s="675" t="s">
        <v>930</v>
      </c>
      <c r="D501" s="675" t="s">
        <v>21</v>
      </c>
      <c r="E501" s="702"/>
      <c r="F501" s="702"/>
      <c r="G501" s="675"/>
      <c r="H501" s="675"/>
      <c r="I501" s="675"/>
      <c r="J501" s="675"/>
      <c r="K501" s="675"/>
      <c r="L501" s="675"/>
      <c r="M501" s="675"/>
    </row>
    <row r="502" spans="1:13" x14ac:dyDescent="0.25">
      <c r="A502" s="675" t="s">
        <v>920</v>
      </c>
      <c r="B502" s="675" t="s">
        <v>564</v>
      </c>
      <c r="C502" s="675" t="s">
        <v>931</v>
      </c>
      <c r="D502" s="675" t="s">
        <v>21</v>
      </c>
      <c r="E502" s="702"/>
      <c r="F502" s="702"/>
      <c r="G502" s="675"/>
      <c r="H502" s="675"/>
      <c r="I502" s="675"/>
      <c r="J502" s="675"/>
      <c r="K502" s="675"/>
      <c r="L502" s="675"/>
      <c r="M502" s="675"/>
    </row>
    <row r="503" spans="1:13" x14ac:dyDescent="0.25">
      <c r="A503" s="675" t="s">
        <v>920</v>
      </c>
      <c r="B503" s="675" t="s">
        <v>564</v>
      </c>
      <c r="C503" s="675" t="s">
        <v>932</v>
      </c>
      <c r="D503" s="675" t="s">
        <v>21</v>
      </c>
      <c r="E503" s="702"/>
      <c r="F503" s="702"/>
      <c r="G503" s="675"/>
      <c r="H503" s="675"/>
      <c r="I503" s="675"/>
      <c r="J503" s="675"/>
      <c r="K503" s="675"/>
      <c r="L503" s="675"/>
      <c r="M503" s="675"/>
    </row>
    <row r="504" spans="1:13" x14ac:dyDescent="0.25">
      <c r="A504" s="675" t="s">
        <v>920</v>
      </c>
      <c r="B504" s="675" t="s">
        <v>564</v>
      </c>
      <c r="C504" s="675" t="s">
        <v>933</v>
      </c>
      <c r="D504" s="675" t="s">
        <v>21</v>
      </c>
      <c r="E504" s="702"/>
      <c r="F504" s="702"/>
      <c r="G504" s="675"/>
      <c r="H504" s="675"/>
      <c r="I504" s="675"/>
      <c r="J504" s="675"/>
      <c r="K504" s="675"/>
      <c r="L504" s="675"/>
      <c r="M504" s="675"/>
    </row>
    <row r="505" spans="1:13" x14ac:dyDescent="0.25">
      <c r="A505" s="675" t="s">
        <v>920</v>
      </c>
      <c r="B505" s="675" t="s">
        <v>564</v>
      </c>
      <c r="C505" s="675" t="s">
        <v>934</v>
      </c>
      <c r="D505" s="675" t="s">
        <v>21</v>
      </c>
      <c r="E505" s="702"/>
      <c r="F505" s="702"/>
      <c r="G505" s="675"/>
      <c r="H505" s="675"/>
      <c r="I505" s="675"/>
      <c r="J505" s="675"/>
      <c r="K505" s="675"/>
      <c r="L505" s="675"/>
      <c r="M505" s="675"/>
    </row>
    <row r="506" spans="1:13" x14ac:dyDescent="0.25">
      <c r="A506" s="675" t="s">
        <v>920</v>
      </c>
      <c r="B506" s="675" t="s">
        <v>564</v>
      </c>
      <c r="C506" s="675" t="s">
        <v>935</v>
      </c>
      <c r="D506" s="675" t="s">
        <v>21</v>
      </c>
      <c r="E506" s="702"/>
      <c r="F506" s="702"/>
      <c r="G506" s="675"/>
      <c r="H506" s="675"/>
      <c r="I506" s="675"/>
      <c r="J506" s="675"/>
      <c r="K506" s="675"/>
      <c r="L506" s="675"/>
      <c r="M506" s="675"/>
    </row>
    <row r="507" spans="1:13" x14ac:dyDescent="0.25">
      <c r="A507" s="675" t="s">
        <v>936</v>
      </c>
      <c r="B507" s="675" t="s">
        <v>512</v>
      </c>
      <c r="C507" s="675" t="s">
        <v>937</v>
      </c>
      <c r="D507" s="675" t="s">
        <v>21</v>
      </c>
      <c r="E507" s="702"/>
      <c r="F507" s="702"/>
      <c r="G507" s="675"/>
      <c r="H507" s="675"/>
      <c r="I507" s="675"/>
      <c r="J507" s="675"/>
      <c r="K507" s="675"/>
      <c r="L507" s="675"/>
      <c r="M507" s="675"/>
    </row>
    <row r="508" spans="1:13" x14ac:dyDescent="0.25">
      <c r="A508" s="675" t="s">
        <v>936</v>
      </c>
      <c r="B508" s="675" t="s">
        <v>512</v>
      </c>
      <c r="C508" s="675" t="s">
        <v>938</v>
      </c>
      <c r="D508" s="675" t="s">
        <v>21</v>
      </c>
      <c r="E508" s="702"/>
      <c r="F508" s="702"/>
      <c r="G508" s="675"/>
      <c r="H508" s="675"/>
      <c r="I508" s="675"/>
      <c r="J508" s="675"/>
      <c r="K508" s="675"/>
      <c r="L508" s="675"/>
      <c r="M508" s="675"/>
    </row>
    <row r="509" spans="1:13" x14ac:dyDescent="0.25">
      <c r="A509" s="675" t="s">
        <v>936</v>
      </c>
      <c r="B509" s="675" t="s">
        <v>512</v>
      </c>
      <c r="C509" s="675" t="s">
        <v>939</v>
      </c>
      <c r="D509" s="675" t="s">
        <v>21</v>
      </c>
      <c r="E509" s="702"/>
      <c r="F509" s="702"/>
      <c r="G509" s="675"/>
      <c r="H509" s="675"/>
      <c r="I509" s="675"/>
      <c r="J509" s="675"/>
      <c r="K509" s="675"/>
      <c r="L509" s="675"/>
      <c r="M509" s="675"/>
    </row>
    <row r="510" spans="1:13" x14ac:dyDescent="0.25">
      <c r="A510" s="675" t="s">
        <v>936</v>
      </c>
      <c r="B510" s="675" t="s">
        <v>512</v>
      </c>
      <c r="C510" s="675" t="s">
        <v>940</v>
      </c>
      <c r="D510" s="675" t="s">
        <v>21</v>
      </c>
      <c r="E510" s="702"/>
      <c r="F510" s="702"/>
      <c r="G510" s="675"/>
      <c r="H510" s="675"/>
      <c r="I510" s="675"/>
      <c r="J510" s="675"/>
      <c r="K510" s="675"/>
      <c r="L510" s="675"/>
      <c r="M510" s="675"/>
    </row>
    <row r="511" spans="1:13" x14ac:dyDescent="0.25">
      <c r="A511" s="675" t="s">
        <v>936</v>
      </c>
      <c r="B511" s="675" t="s">
        <v>512</v>
      </c>
      <c r="C511" s="675" t="s">
        <v>941</v>
      </c>
      <c r="D511" s="675" t="s">
        <v>21</v>
      </c>
      <c r="E511" s="702"/>
      <c r="F511" s="702"/>
      <c r="G511" s="675"/>
      <c r="H511" s="675"/>
      <c r="I511" s="675"/>
      <c r="J511" s="675"/>
      <c r="K511" s="675"/>
      <c r="L511" s="675"/>
      <c r="M511" s="675"/>
    </row>
    <row r="512" spans="1:13" x14ac:dyDescent="0.25">
      <c r="A512" s="675" t="s">
        <v>936</v>
      </c>
      <c r="B512" s="675" t="s">
        <v>545</v>
      </c>
      <c r="C512" s="675" t="s">
        <v>942</v>
      </c>
      <c r="D512" s="675" t="s">
        <v>21</v>
      </c>
      <c r="E512" s="702"/>
      <c r="F512" s="702"/>
      <c r="G512" s="675"/>
      <c r="H512" s="675"/>
      <c r="I512" s="675"/>
      <c r="J512" s="675"/>
      <c r="K512" s="675"/>
      <c r="L512" s="675"/>
      <c r="M512" s="675"/>
    </row>
    <row r="513" spans="1:13" x14ac:dyDescent="0.25">
      <c r="A513" s="675" t="s">
        <v>936</v>
      </c>
      <c r="B513" s="675" t="s">
        <v>545</v>
      </c>
      <c r="C513" s="675" t="s">
        <v>943</v>
      </c>
      <c r="D513" s="675" t="s">
        <v>21</v>
      </c>
      <c r="E513" s="702"/>
      <c r="F513" s="702"/>
      <c r="G513" s="675"/>
      <c r="H513" s="675"/>
      <c r="I513" s="675"/>
      <c r="J513" s="675"/>
      <c r="K513" s="675"/>
      <c r="L513" s="675"/>
      <c r="M513" s="675"/>
    </row>
    <row r="514" spans="1:13" x14ac:dyDescent="0.25">
      <c r="A514" s="675" t="s">
        <v>936</v>
      </c>
      <c r="B514" s="675" t="s">
        <v>545</v>
      </c>
      <c r="C514" s="675" t="s">
        <v>944</v>
      </c>
      <c r="D514" s="675" t="s">
        <v>21</v>
      </c>
      <c r="E514" s="702"/>
      <c r="F514" s="702"/>
      <c r="G514" s="675"/>
      <c r="H514" s="675"/>
      <c r="I514" s="675"/>
      <c r="J514" s="675"/>
      <c r="K514" s="675"/>
      <c r="L514" s="675"/>
      <c r="M514" s="675"/>
    </row>
    <row r="515" spans="1:13" x14ac:dyDescent="0.25">
      <c r="A515" s="675" t="s">
        <v>936</v>
      </c>
      <c r="B515" s="675" t="s">
        <v>545</v>
      </c>
      <c r="C515" s="675" t="s">
        <v>945</v>
      </c>
      <c r="D515" s="675" t="s">
        <v>21</v>
      </c>
      <c r="E515" s="702"/>
      <c r="F515" s="702"/>
      <c r="G515" s="675"/>
      <c r="H515" s="675"/>
      <c r="I515" s="675"/>
      <c r="J515" s="675"/>
      <c r="K515" s="675"/>
      <c r="L515" s="675"/>
      <c r="M515" s="675"/>
    </row>
    <row r="516" spans="1:13" x14ac:dyDescent="0.25">
      <c r="A516" s="675" t="s">
        <v>936</v>
      </c>
      <c r="B516" s="675" t="s">
        <v>545</v>
      </c>
      <c r="C516" s="675" t="s">
        <v>946</v>
      </c>
      <c r="D516" s="675" t="s">
        <v>21</v>
      </c>
      <c r="E516" s="702"/>
      <c r="F516" s="702"/>
      <c r="G516" s="675"/>
      <c r="H516" s="675"/>
      <c r="I516" s="675"/>
      <c r="J516" s="675"/>
      <c r="K516" s="675"/>
      <c r="L516" s="675"/>
      <c r="M516" s="675"/>
    </row>
    <row r="517" spans="1:13" x14ac:dyDescent="0.25">
      <c r="A517" s="675" t="s">
        <v>936</v>
      </c>
      <c r="B517" s="675" t="s">
        <v>564</v>
      </c>
      <c r="C517" s="675" t="s">
        <v>947</v>
      </c>
      <c r="D517" s="675" t="s">
        <v>21</v>
      </c>
      <c r="E517" s="702"/>
      <c r="F517" s="702"/>
      <c r="G517" s="675"/>
      <c r="H517" s="675"/>
      <c r="I517" s="675"/>
      <c r="J517" s="675"/>
      <c r="K517" s="675"/>
      <c r="L517" s="675"/>
      <c r="M517" s="675"/>
    </row>
    <row r="518" spans="1:13" x14ac:dyDescent="0.25">
      <c r="A518" s="675" t="s">
        <v>936</v>
      </c>
      <c r="B518" s="675" t="s">
        <v>564</v>
      </c>
      <c r="C518" s="675" t="s">
        <v>948</v>
      </c>
      <c r="D518" s="675" t="s">
        <v>21</v>
      </c>
      <c r="E518" s="702"/>
      <c r="F518" s="702"/>
      <c r="G518" s="675"/>
      <c r="H518" s="675"/>
      <c r="I518" s="675"/>
      <c r="J518" s="675"/>
      <c r="K518" s="675"/>
      <c r="L518" s="675"/>
      <c r="M518" s="675"/>
    </row>
    <row r="519" spans="1:13" x14ac:dyDescent="0.25">
      <c r="A519" s="675" t="s">
        <v>936</v>
      </c>
      <c r="B519" s="675" t="s">
        <v>564</v>
      </c>
      <c r="C519" s="675" t="s">
        <v>949</v>
      </c>
      <c r="D519" s="675" t="s">
        <v>21</v>
      </c>
      <c r="E519" s="702"/>
      <c r="F519" s="702"/>
      <c r="G519" s="675"/>
      <c r="H519" s="675"/>
      <c r="I519" s="675"/>
      <c r="J519" s="675"/>
      <c r="K519" s="675"/>
      <c r="L519" s="675"/>
      <c r="M519" s="675"/>
    </row>
    <row r="520" spans="1:13" x14ac:dyDescent="0.25">
      <c r="A520" s="675" t="s">
        <v>936</v>
      </c>
      <c r="B520" s="675" t="s">
        <v>564</v>
      </c>
      <c r="C520" s="675" t="s">
        <v>950</v>
      </c>
      <c r="D520" s="675" t="s">
        <v>21</v>
      </c>
      <c r="E520" s="702"/>
      <c r="F520" s="702"/>
      <c r="G520" s="675"/>
      <c r="H520" s="675"/>
      <c r="I520" s="675"/>
      <c r="J520" s="675"/>
      <c r="K520" s="675"/>
      <c r="L520" s="675"/>
      <c r="M520" s="675"/>
    </row>
    <row r="521" spans="1:13" x14ac:dyDescent="0.25">
      <c r="A521" s="675" t="s">
        <v>936</v>
      </c>
      <c r="B521" s="675" t="s">
        <v>564</v>
      </c>
      <c r="C521" s="675" t="s">
        <v>951</v>
      </c>
      <c r="D521" s="675" t="s">
        <v>21</v>
      </c>
      <c r="E521" s="702"/>
      <c r="F521" s="702"/>
      <c r="G521" s="675"/>
      <c r="H521" s="675"/>
      <c r="I521" s="675"/>
      <c r="J521" s="675"/>
      <c r="K521" s="675"/>
      <c r="L521" s="675"/>
      <c r="M521" s="675"/>
    </row>
    <row r="522" spans="1:13" x14ac:dyDescent="0.25">
      <c r="A522" s="675" t="s">
        <v>952</v>
      </c>
      <c r="B522" s="675" t="s">
        <v>512</v>
      </c>
      <c r="C522" s="675" t="s">
        <v>953</v>
      </c>
      <c r="D522" s="675" t="s">
        <v>21</v>
      </c>
      <c r="E522" s="675" t="s">
        <v>514</v>
      </c>
      <c r="F522" s="675" t="s">
        <v>515</v>
      </c>
      <c r="G522" s="675"/>
      <c r="H522" s="675"/>
      <c r="I522" s="675"/>
      <c r="J522" s="675"/>
      <c r="K522" s="675"/>
      <c r="L522" s="675"/>
      <c r="M522" s="675"/>
    </row>
    <row r="523" spans="1:13" x14ac:dyDescent="0.25">
      <c r="A523" s="675" t="s">
        <v>952</v>
      </c>
      <c r="B523" s="675" t="s">
        <v>512</v>
      </c>
      <c r="C523" s="675" t="s">
        <v>954</v>
      </c>
      <c r="D523" s="675" t="s">
        <v>21</v>
      </c>
      <c r="E523" s="675" t="s">
        <v>514</v>
      </c>
      <c r="F523" s="675" t="s">
        <v>515</v>
      </c>
      <c r="G523" s="675"/>
      <c r="H523" s="675"/>
      <c r="I523" s="675"/>
      <c r="J523" s="675"/>
      <c r="K523" s="675"/>
      <c r="L523" s="675"/>
      <c r="M523" s="675"/>
    </row>
    <row r="524" spans="1:13" x14ac:dyDescent="0.25">
      <c r="A524" s="675" t="s">
        <v>952</v>
      </c>
      <c r="B524" s="675" t="s">
        <v>512</v>
      </c>
      <c r="C524" s="675" t="s">
        <v>882</v>
      </c>
      <c r="D524" s="675" t="s">
        <v>21</v>
      </c>
      <c r="E524" s="675" t="s">
        <v>514</v>
      </c>
      <c r="F524" s="675" t="s">
        <v>515</v>
      </c>
      <c r="G524" s="675"/>
      <c r="H524" s="675"/>
      <c r="I524" s="675"/>
      <c r="J524" s="675"/>
      <c r="K524" s="675"/>
      <c r="L524" s="675"/>
      <c r="M524" s="675"/>
    </row>
    <row r="525" spans="1:13" x14ac:dyDescent="0.25">
      <c r="A525" s="675" t="s">
        <v>952</v>
      </c>
      <c r="B525" s="675" t="s">
        <v>512</v>
      </c>
      <c r="C525" s="675" t="s">
        <v>955</v>
      </c>
      <c r="D525" s="675" t="s">
        <v>21</v>
      </c>
      <c r="E525" s="675" t="s">
        <v>514</v>
      </c>
      <c r="F525" s="675" t="s">
        <v>515</v>
      </c>
      <c r="G525" s="675"/>
      <c r="H525" s="675"/>
      <c r="I525" s="675"/>
      <c r="J525" s="675"/>
      <c r="K525" s="675"/>
      <c r="L525" s="675"/>
      <c r="M525" s="675"/>
    </row>
    <row r="526" spans="1:13" x14ac:dyDescent="0.25">
      <c r="A526" s="675" t="s">
        <v>952</v>
      </c>
      <c r="B526" s="675" t="s">
        <v>512</v>
      </c>
      <c r="C526" s="675" t="s">
        <v>956</v>
      </c>
      <c r="D526" s="675" t="s">
        <v>21</v>
      </c>
      <c r="E526" s="675" t="s">
        <v>514</v>
      </c>
      <c r="F526" s="675" t="s">
        <v>515</v>
      </c>
      <c r="G526" s="675"/>
      <c r="H526" s="675"/>
      <c r="I526" s="675"/>
      <c r="J526" s="675"/>
      <c r="K526" s="675"/>
      <c r="L526" s="675"/>
      <c r="M526" s="675"/>
    </row>
    <row r="527" spans="1:13" x14ac:dyDescent="0.25">
      <c r="A527" s="675" t="s">
        <v>952</v>
      </c>
      <c r="B527" s="675" t="s">
        <v>512</v>
      </c>
      <c r="C527" s="675" t="s">
        <v>957</v>
      </c>
      <c r="D527" s="675" t="s">
        <v>21</v>
      </c>
      <c r="E527" s="675" t="s">
        <v>514</v>
      </c>
      <c r="F527" s="675" t="s">
        <v>515</v>
      </c>
      <c r="G527" s="675"/>
      <c r="H527" s="675"/>
      <c r="I527" s="675"/>
      <c r="J527" s="675"/>
      <c r="K527" s="675"/>
      <c r="L527" s="675"/>
      <c r="M527" s="675"/>
    </row>
    <row r="528" spans="1:13" x14ac:dyDescent="0.25">
      <c r="A528" s="675" t="s">
        <v>952</v>
      </c>
      <c r="B528" s="675" t="s">
        <v>512</v>
      </c>
      <c r="C528" s="675" t="s">
        <v>903</v>
      </c>
      <c r="D528" s="675" t="s">
        <v>21</v>
      </c>
      <c r="E528" s="675" t="s">
        <v>514</v>
      </c>
      <c r="F528" s="675" t="s">
        <v>515</v>
      </c>
      <c r="G528" s="675"/>
      <c r="H528" s="675"/>
      <c r="I528" s="675"/>
      <c r="J528" s="675"/>
      <c r="K528" s="675"/>
      <c r="L528" s="675"/>
      <c r="M528" s="675"/>
    </row>
    <row r="529" spans="1:13" x14ac:dyDescent="0.25">
      <c r="A529" s="675" t="s">
        <v>952</v>
      </c>
      <c r="B529" s="675" t="s">
        <v>545</v>
      </c>
      <c r="C529" s="675" t="s">
        <v>958</v>
      </c>
      <c r="D529" s="675" t="s">
        <v>21</v>
      </c>
      <c r="E529" s="675" t="s">
        <v>514</v>
      </c>
      <c r="F529" s="675" t="s">
        <v>515</v>
      </c>
      <c r="G529" s="675"/>
      <c r="H529" s="675"/>
      <c r="I529" s="675"/>
      <c r="J529" s="675"/>
      <c r="K529" s="675"/>
      <c r="L529" s="675"/>
      <c r="M529" s="675"/>
    </row>
    <row r="530" spans="1:13" x14ac:dyDescent="0.25">
      <c r="A530" s="675" t="s">
        <v>952</v>
      </c>
      <c r="B530" s="675" t="s">
        <v>564</v>
      </c>
      <c r="C530" s="675" t="s">
        <v>959</v>
      </c>
      <c r="D530" s="675" t="s">
        <v>21</v>
      </c>
      <c r="E530" s="675" t="s">
        <v>514</v>
      </c>
      <c r="F530" s="675" t="s">
        <v>515</v>
      </c>
      <c r="G530" s="675"/>
      <c r="H530" s="675"/>
      <c r="I530" s="675"/>
      <c r="J530" s="675"/>
      <c r="K530" s="675"/>
      <c r="L530" s="675"/>
      <c r="M530" s="675"/>
    </row>
    <row r="531" spans="1:13" x14ac:dyDescent="0.25">
      <c r="A531" s="675" t="s">
        <v>952</v>
      </c>
      <c r="B531" s="675" t="s">
        <v>564</v>
      </c>
      <c r="C531" s="675" t="s">
        <v>960</v>
      </c>
      <c r="D531" s="675" t="s">
        <v>21</v>
      </c>
      <c r="E531" s="675" t="s">
        <v>514</v>
      </c>
      <c r="F531" s="675" t="s">
        <v>515</v>
      </c>
      <c r="G531" s="675"/>
      <c r="H531" s="675"/>
      <c r="I531" s="675"/>
      <c r="J531" s="675"/>
      <c r="K531" s="675"/>
      <c r="L531" s="675"/>
      <c r="M531" s="675"/>
    </row>
    <row r="532" spans="1:13" x14ac:dyDescent="0.25">
      <c r="A532" s="675" t="s">
        <v>952</v>
      </c>
      <c r="B532" s="675" t="s">
        <v>564</v>
      </c>
      <c r="C532" s="675" t="s">
        <v>961</v>
      </c>
      <c r="D532" s="675" t="s">
        <v>21</v>
      </c>
      <c r="E532" s="675" t="s">
        <v>514</v>
      </c>
      <c r="F532" s="675" t="s">
        <v>515</v>
      </c>
      <c r="G532" s="675"/>
      <c r="H532" s="675"/>
      <c r="I532" s="675"/>
      <c r="J532" s="675"/>
      <c r="K532" s="675"/>
      <c r="L532" s="675"/>
      <c r="M532" s="675"/>
    </row>
    <row r="533" spans="1:13" x14ac:dyDescent="0.25">
      <c r="A533" s="675" t="s">
        <v>962</v>
      </c>
      <c r="B533" s="675" t="s">
        <v>512</v>
      </c>
      <c r="C533" s="675" t="s">
        <v>953</v>
      </c>
      <c r="D533" s="675" t="s">
        <v>21</v>
      </c>
      <c r="E533" s="675" t="s">
        <v>514</v>
      </c>
      <c r="F533" s="675" t="s">
        <v>515</v>
      </c>
      <c r="G533" s="675"/>
      <c r="H533" s="675"/>
      <c r="I533" s="675"/>
      <c r="J533" s="675"/>
      <c r="K533" s="675"/>
      <c r="L533" s="675"/>
      <c r="M533" s="675"/>
    </row>
    <row r="534" spans="1:13" x14ac:dyDescent="0.25">
      <c r="A534" s="675" t="s">
        <v>962</v>
      </c>
      <c r="B534" s="675" t="s">
        <v>512</v>
      </c>
      <c r="C534" s="675" t="s">
        <v>963</v>
      </c>
      <c r="D534" s="675" t="s">
        <v>21</v>
      </c>
      <c r="E534" s="675" t="s">
        <v>514</v>
      </c>
      <c r="F534" s="675" t="s">
        <v>515</v>
      </c>
      <c r="G534" s="675"/>
      <c r="H534" s="675"/>
      <c r="I534" s="675"/>
      <c r="J534" s="675"/>
      <c r="K534" s="675"/>
      <c r="L534" s="675"/>
      <c r="M534" s="675"/>
    </row>
    <row r="535" spans="1:13" x14ac:dyDescent="0.25">
      <c r="A535" s="675" t="s">
        <v>962</v>
      </c>
      <c r="B535" s="675" t="s">
        <v>512</v>
      </c>
      <c r="C535" s="675" t="s">
        <v>964</v>
      </c>
      <c r="D535" s="675" t="s">
        <v>21</v>
      </c>
      <c r="E535" s="675" t="s">
        <v>514</v>
      </c>
      <c r="F535" s="675" t="s">
        <v>515</v>
      </c>
      <c r="G535" s="675"/>
      <c r="H535" s="675"/>
      <c r="I535" s="675"/>
      <c r="J535" s="675"/>
      <c r="K535" s="675"/>
      <c r="L535" s="675"/>
      <c r="M535" s="675"/>
    </row>
    <row r="536" spans="1:13" x14ac:dyDescent="0.25">
      <c r="A536" s="675" t="s">
        <v>962</v>
      </c>
      <c r="B536" s="675" t="s">
        <v>512</v>
      </c>
      <c r="C536" s="675" t="s">
        <v>965</v>
      </c>
      <c r="D536" s="675" t="s">
        <v>21</v>
      </c>
      <c r="E536" s="675" t="s">
        <v>514</v>
      </c>
      <c r="F536" s="675" t="s">
        <v>515</v>
      </c>
      <c r="G536" s="675"/>
      <c r="H536" s="675"/>
      <c r="I536" s="675"/>
      <c r="J536" s="675"/>
      <c r="K536" s="675"/>
      <c r="L536" s="675"/>
      <c r="M536" s="675"/>
    </row>
    <row r="537" spans="1:13" x14ac:dyDescent="0.25">
      <c r="A537" s="675" t="s">
        <v>962</v>
      </c>
      <c r="B537" s="675" t="s">
        <v>512</v>
      </c>
      <c r="C537" s="675" t="s">
        <v>966</v>
      </c>
      <c r="D537" s="675" t="s">
        <v>21</v>
      </c>
      <c r="E537" s="675" t="s">
        <v>514</v>
      </c>
      <c r="F537" s="675" t="s">
        <v>515</v>
      </c>
      <c r="G537" s="675"/>
      <c r="H537" s="675"/>
      <c r="I537" s="675"/>
      <c r="J537" s="675"/>
      <c r="K537" s="675"/>
      <c r="L537" s="675"/>
      <c r="M537" s="675"/>
    </row>
    <row r="538" spans="1:13" x14ac:dyDescent="0.25">
      <c r="A538" s="675" t="s">
        <v>962</v>
      </c>
      <c r="B538" s="675" t="s">
        <v>512</v>
      </c>
      <c r="C538" s="675" t="s">
        <v>956</v>
      </c>
      <c r="D538" s="675" t="s">
        <v>21</v>
      </c>
      <c r="E538" s="675" t="s">
        <v>514</v>
      </c>
      <c r="F538" s="675" t="s">
        <v>515</v>
      </c>
      <c r="G538" s="675"/>
      <c r="H538" s="675"/>
      <c r="I538" s="675"/>
      <c r="J538" s="675"/>
      <c r="K538" s="675"/>
      <c r="L538" s="675"/>
      <c r="M538" s="675"/>
    </row>
    <row r="539" spans="1:13" x14ac:dyDescent="0.25">
      <c r="A539" s="675" t="s">
        <v>962</v>
      </c>
      <c r="B539" s="675" t="s">
        <v>512</v>
      </c>
      <c r="C539" s="675" t="s">
        <v>957</v>
      </c>
      <c r="D539" s="675" t="s">
        <v>21</v>
      </c>
      <c r="E539" s="675" t="s">
        <v>514</v>
      </c>
      <c r="F539" s="675" t="s">
        <v>515</v>
      </c>
      <c r="G539" s="675"/>
      <c r="H539" s="675"/>
      <c r="I539" s="675"/>
      <c r="J539" s="675"/>
      <c r="K539" s="675"/>
      <c r="L539" s="675"/>
      <c r="M539" s="675"/>
    </row>
    <row r="540" spans="1:13" x14ac:dyDescent="0.25">
      <c r="A540" s="675" t="s">
        <v>962</v>
      </c>
      <c r="B540" s="675" t="s">
        <v>512</v>
      </c>
      <c r="C540" s="675" t="s">
        <v>967</v>
      </c>
      <c r="D540" s="675" t="s">
        <v>21</v>
      </c>
      <c r="E540" s="675" t="s">
        <v>514</v>
      </c>
      <c r="F540" s="675" t="s">
        <v>515</v>
      </c>
      <c r="G540" s="675"/>
      <c r="H540" s="675"/>
      <c r="I540" s="675"/>
      <c r="J540" s="675"/>
      <c r="K540" s="675"/>
      <c r="L540" s="675"/>
      <c r="M540" s="675"/>
    </row>
    <row r="541" spans="1:13" x14ac:dyDescent="0.25">
      <c r="A541" s="675" t="s">
        <v>962</v>
      </c>
      <c r="B541" s="675" t="s">
        <v>512</v>
      </c>
      <c r="C541" s="675" t="s">
        <v>968</v>
      </c>
      <c r="D541" s="675" t="s">
        <v>21</v>
      </c>
      <c r="E541" s="675" t="s">
        <v>514</v>
      </c>
      <c r="F541" s="675" t="s">
        <v>515</v>
      </c>
      <c r="G541" s="675"/>
      <c r="H541" s="675"/>
      <c r="I541" s="675"/>
      <c r="J541" s="675"/>
      <c r="K541" s="675"/>
      <c r="L541" s="675"/>
      <c r="M541" s="675"/>
    </row>
    <row r="542" spans="1:13" x14ac:dyDescent="0.25">
      <c r="A542" s="675" t="s">
        <v>962</v>
      </c>
      <c r="B542" s="675" t="s">
        <v>512</v>
      </c>
      <c r="C542" s="675" t="s">
        <v>896</v>
      </c>
      <c r="D542" s="675" t="s">
        <v>21</v>
      </c>
      <c r="E542" s="675" t="s">
        <v>514</v>
      </c>
      <c r="F542" s="675" t="s">
        <v>515</v>
      </c>
      <c r="G542" s="675"/>
      <c r="H542" s="675"/>
      <c r="I542" s="675"/>
      <c r="J542" s="675"/>
      <c r="K542" s="675"/>
      <c r="L542" s="675"/>
      <c r="M542" s="675"/>
    </row>
    <row r="543" spans="1:13" x14ac:dyDescent="0.25">
      <c r="A543" s="675" t="s">
        <v>962</v>
      </c>
      <c r="B543" s="675" t="s">
        <v>512</v>
      </c>
      <c r="C543" s="675" t="s">
        <v>903</v>
      </c>
      <c r="D543" s="675" t="s">
        <v>21</v>
      </c>
      <c r="E543" s="675" t="s">
        <v>514</v>
      </c>
      <c r="F543" s="675" t="s">
        <v>515</v>
      </c>
      <c r="G543" s="675"/>
      <c r="H543" s="675"/>
      <c r="I543" s="675"/>
      <c r="J543" s="675"/>
      <c r="K543" s="675"/>
      <c r="L543" s="675"/>
      <c r="M543" s="675"/>
    </row>
    <row r="544" spans="1:13" x14ac:dyDescent="0.25">
      <c r="A544" s="675" t="s">
        <v>962</v>
      </c>
      <c r="B544" s="675" t="s">
        <v>512</v>
      </c>
      <c r="C544" s="675" t="s">
        <v>969</v>
      </c>
      <c r="D544" s="675" t="s">
        <v>21</v>
      </c>
      <c r="E544" s="675" t="s">
        <v>514</v>
      </c>
      <c r="F544" s="675" t="s">
        <v>515</v>
      </c>
      <c r="G544" s="675"/>
      <c r="H544" s="675"/>
      <c r="I544" s="675"/>
      <c r="J544" s="675"/>
      <c r="K544" s="675"/>
      <c r="L544" s="675"/>
      <c r="M544" s="675"/>
    </row>
    <row r="545" spans="1:13" x14ac:dyDescent="0.25">
      <c r="A545" s="675" t="s">
        <v>962</v>
      </c>
      <c r="B545" s="675" t="s">
        <v>512</v>
      </c>
      <c r="C545" s="675" t="s">
        <v>906</v>
      </c>
      <c r="D545" s="675" t="s">
        <v>21</v>
      </c>
      <c r="E545" s="675" t="s">
        <v>514</v>
      </c>
      <c r="F545" s="675" t="s">
        <v>515</v>
      </c>
      <c r="G545" s="675"/>
      <c r="H545" s="675"/>
      <c r="I545" s="675"/>
      <c r="J545" s="675"/>
      <c r="K545" s="675"/>
      <c r="L545" s="675"/>
      <c r="M545" s="675"/>
    </row>
    <row r="546" spans="1:13" x14ac:dyDescent="0.25">
      <c r="A546" s="675" t="s">
        <v>962</v>
      </c>
      <c r="B546" s="675" t="s">
        <v>545</v>
      </c>
      <c r="C546" s="675" t="s">
        <v>970</v>
      </c>
      <c r="D546" s="675" t="s">
        <v>21</v>
      </c>
      <c r="E546" s="675" t="s">
        <v>514</v>
      </c>
      <c r="F546" s="675" t="s">
        <v>515</v>
      </c>
      <c r="G546" s="675"/>
      <c r="H546" s="675"/>
      <c r="I546" s="675"/>
      <c r="J546" s="675"/>
      <c r="K546" s="675"/>
      <c r="L546" s="675"/>
      <c r="M546" s="675"/>
    </row>
    <row r="547" spans="1:13" x14ac:dyDescent="0.25">
      <c r="A547" s="675" t="s">
        <v>962</v>
      </c>
      <c r="B547" s="675" t="s">
        <v>545</v>
      </c>
      <c r="C547" s="675" t="s">
        <v>971</v>
      </c>
      <c r="D547" s="675" t="s">
        <v>21</v>
      </c>
      <c r="E547" s="675" t="s">
        <v>514</v>
      </c>
      <c r="F547" s="675" t="s">
        <v>515</v>
      </c>
      <c r="G547" s="675"/>
      <c r="H547" s="675"/>
      <c r="I547" s="675"/>
      <c r="J547" s="675"/>
      <c r="K547" s="675"/>
      <c r="L547" s="675"/>
      <c r="M547" s="675"/>
    </row>
    <row r="548" spans="1:13" x14ac:dyDescent="0.25">
      <c r="A548" s="675" t="s">
        <v>962</v>
      </c>
      <c r="B548" s="675" t="s">
        <v>545</v>
      </c>
      <c r="C548" s="675" t="s">
        <v>960</v>
      </c>
      <c r="D548" s="675" t="s">
        <v>21</v>
      </c>
      <c r="E548" s="675" t="s">
        <v>514</v>
      </c>
      <c r="F548" s="675" t="s">
        <v>515</v>
      </c>
      <c r="G548" s="675"/>
      <c r="H548" s="675"/>
      <c r="I548" s="675"/>
      <c r="J548" s="675"/>
      <c r="K548" s="675"/>
      <c r="L548" s="675"/>
      <c r="M548" s="675"/>
    </row>
    <row r="549" spans="1:13" x14ac:dyDescent="0.25">
      <c r="A549" s="675" t="s">
        <v>962</v>
      </c>
      <c r="B549" s="675" t="s">
        <v>545</v>
      </c>
      <c r="C549" s="675" t="s">
        <v>972</v>
      </c>
      <c r="D549" s="675" t="s">
        <v>21</v>
      </c>
      <c r="E549" s="675" t="s">
        <v>514</v>
      </c>
      <c r="F549" s="675" t="s">
        <v>515</v>
      </c>
      <c r="G549" s="675"/>
      <c r="H549" s="675"/>
      <c r="I549" s="675"/>
      <c r="J549" s="675"/>
      <c r="K549" s="675"/>
      <c r="L549" s="675"/>
      <c r="M549" s="675"/>
    </row>
    <row r="550" spans="1:13" x14ac:dyDescent="0.25">
      <c r="A550" s="675" t="s">
        <v>962</v>
      </c>
      <c r="B550" s="675" t="s">
        <v>545</v>
      </c>
      <c r="C550" s="675" t="s">
        <v>973</v>
      </c>
      <c r="D550" s="675" t="s">
        <v>21</v>
      </c>
      <c r="E550" s="675" t="s">
        <v>514</v>
      </c>
      <c r="F550" s="675" t="s">
        <v>515</v>
      </c>
      <c r="G550" s="675"/>
      <c r="H550" s="675"/>
      <c r="I550" s="675"/>
      <c r="J550" s="675"/>
      <c r="K550" s="675"/>
      <c r="L550" s="675"/>
      <c r="M550" s="675"/>
    </row>
    <row r="551" spans="1:13" x14ac:dyDescent="0.25">
      <c r="A551" s="675" t="s">
        <v>962</v>
      </c>
      <c r="B551" s="675" t="s">
        <v>545</v>
      </c>
      <c r="C551" s="675" t="s">
        <v>974</v>
      </c>
      <c r="D551" s="675" t="s">
        <v>21</v>
      </c>
      <c r="E551" s="675" t="s">
        <v>514</v>
      </c>
      <c r="F551" s="675" t="s">
        <v>515</v>
      </c>
      <c r="G551" s="675"/>
      <c r="H551" s="675"/>
      <c r="I551" s="675"/>
      <c r="J551" s="675"/>
      <c r="K551" s="675"/>
      <c r="L551" s="675"/>
      <c r="M551" s="675"/>
    </row>
    <row r="552" spans="1:13" x14ac:dyDescent="0.25">
      <c r="A552" s="675" t="s">
        <v>962</v>
      </c>
      <c r="B552" s="675" t="s">
        <v>545</v>
      </c>
      <c r="C552" s="675" t="s">
        <v>961</v>
      </c>
      <c r="D552" s="675" t="s">
        <v>21</v>
      </c>
      <c r="E552" s="675" t="s">
        <v>514</v>
      </c>
      <c r="F552" s="675" t="s">
        <v>515</v>
      </c>
      <c r="G552" s="675"/>
      <c r="H552" s="675"/>
      <c r="I552" s="675"/>
      <c r="J552" s="675"/>
      <c r="K552" s="675"/>
      <c r="L552" s="675"/>
      <c r="M552" s="675"/>
    </row>
    <row r="553" spans="1:13" x14ac:dyDescent="0.25">
      <c r="A553" s="675" t="s">
        <v>962</v>
      </c>
      <c r="B553" s="675" t="s">
        <v>545</v>
      </c>
      <c r="C553" s="675" t="s">
        <v>975</v>
      </c>
      <c r="D553" s="675" t="s">
        <v>21</v>
      </c>
      <c r="E553" s="675" t="s">
        <v>514</v>
      </c>
      <c r="F553" s="675" t="s">
        <v>515</v>
      </c>
      <c r="G553" s="675"/>
      <c r="H553" s="675"/>
      <c r="I553" s="675"/>
      <c r="J553" s="675"/>
      <c r="K553" s="675"/>
      <c r="L553" s="675"/>
      <c r="M553" s="675"/>
    </row>
    <row r="554" spans="1:13" x14ac:dyDescent="0.25">
      <c r="A554" s="675" t="s">
        <v>962</v>
      </c>
      <c r="B554" s="675" t="s">
        <v>545</v>
      </c>
      <c r="C554" s="675" t="s">
        <v>976</v>
      </c>
      <c r="D554" s="675" t="s">
        <v>21</v>
      </c>
      <c r="E554" s="675" t="s">
        <v>514</v>
      </c>
      <c r="F554" s="675" t="s">
        <v>515</v>
      </c>
      <c r="G554" s="675"/>
      <c r="H554" s="675"/>
      <c r="I554" s="675"/>
      <c r="J554" s="675"/>
      <c r="K554" s="675"/>
      <c r="L554" s="675"/>
      <c r="M554" s="675"/>
    </row>
    <row r="555" spans="1:13" x14ac:dyDescent="0.25">
      <c r="A555" s="675" t="s">
        <v>962</v>
      </c>
      <c r="B555" s="675" t="s">
        <v>545</v>
      </c>
      <c r="C555" s="675" t="s">
        <v>977</v>
      </c>
      <c r="D555" s="675" t="s">
        <v>21</v>
      </c>
      <c r="E555" s="675" t="s">
        <v>514</v>
      </c>
      <c r="F555" s="675" t="s">
        <v>515</v>
      </c>
      <c r="G555" s="675"/>
      <c r="H555" s="675"/>
      <c r="I555" s="675"/>
      <c r="J555" s="675"/>
      <c r="K555" s="675"/>
      <c r="L555" s="675"/>
      <c r="M555" s="675"/>
    </row>
    <row r="556" spans="1:13" x14ac:dyDescent="0.25">
      <c r="A556" s="675" t="s">
        <v>962</v>
      </c>
      <c r="B556" s="675" t="s">
        <v>564</v>
      </c>
      <c r="C556" s="675" t="s">
        <v>978</v>
      </c>
      <c r="D556" s="675" t="s">
        <v>21</v>
      </c>
      <c r="E556" s="675" t="s">
        <v>514</v>
      </c>
      <c r="F556" s="675" t="s">
        <v>515</v>
      </c>
      <c r="G556" s="675"/>
      <c r="H556" s="675"/>
      <c r="I556" s="675"/>
      <c r="J556" s="675"/>
      <c r="K556" s="675"/>
      <c r="L556" s="675"/>
      <c r="M556" s="675"/>
    </row>
    <row r="557" spans="1:13" x14ac:dyDescent="0.25">
      <c r="A557" s="675" t="s">
        <v>962</v>
      </c>
      <c r="B557" s="675" t="s">
        <v>564</v>
      </c>
      <c r="C557" s="675" t="s">
        <v>979</v>
      </c>
      <c r="D557" s="675" t="s">
        <v>21</v>
      </c>
      <c r="E557" s="675" t="s">
        <v>514</v>
      </c>
      <c r="F557" s="675" t="s">
        <v>515</v>
      </c>
      <c r="G557" s="675"/>
      <c r="H557" s="675"/>
      <c r="I557" s="675"/>
      <c r="J557" s="675"/>
      <c r="K557" s="675"/>
      <c r="L557" s="675"/>
      <c r="M557" s="675"/>
    </row>
    <row r="558" spans="1:13" x14ac:dyDescent="0.25">
      <c r="A558" s="675" t="s">
        <v>962</v>
      </c>
      <c r="B558" s="675" t="s">
        <v>564</v>
      </c>
      <c r="C558" s="675" t="s">
        <v>980</v>
      </c>
      <c r="D558" s="675" t="s">
        <v>21</v>
      </c>
      <c r="E558" s="675" t="s">
        <v>514</v>
      </c>
      <c r="F558" s="675" t="s">
        <v>515</v>
      </c>
      <c r="G558" s="675"/>
      <c r="H558" s="675"/>
      <c r="I558" s="675"/>
      <c r="J558" s="675"/>
      <c r="K558" s="675"/>
      <c r="L558" s="675"/>
      <c r="M558" s="675"/>
    </row>
    <row r="559" spans="1:13" x14ac:dyDescent="0.25">
      <c r="A559" s="675" t="s">
        <v>962</v>
      </c>
      <c r="B559" s="675" t="s">
        <v>564</v>
      </c>
      <c r="C559" s="675" t="s">
        <v>981</v>
      </c>
      <c r="D559" s="675" t="s">
        <v>21</v>
      </c>
      <c r="E559" s="675" t="s">
        <v>514</v>
      </c>
      <c r="F559" s="675" t="s">
        <v>515</v>
      </c>
      <c r="G559" s="675"/>
      <c r="H559" s="675"/>
      <c r="I559" s="675"/>
      <c r="J559" s="675"/>
      <c r="K559" s="675"/>
      <c r="L559" s="675"/>
      <c r="M559" s="675"/>
    </row>
    <row r="560" spans="1:13" x14ac:dyDescent="0.25">
      <c r="A560" s="675" t="s">
        <v>962</v>
      </c>
      <c r="B560" s="675" t="s">
        <v>564</v>
      </c>
      <c r="C560" s="675" t="s">
        <v>960</v>
      </c>
      <c r="D560" s="675" t="s">
        <v>21</v>
      </c>
      <c r="E560" s="675" t="s">
        <v>514</v>
      </c>
      <c r="F560" s="675" t="s">
        <v>515</v>
      </c>
      <c r="G560" s="675"/>
      <c r="H560" s="675"/>
      <c r="I560" s="675"/>
      <c r="J560" s="675"/>
      <c r="K560" s="675"/>
      <c r="L560" s="675"/>
      <c r="M560" s="675"/>
    </row>
    <row r="561" spans="1:13" x14ac:dyDescent="0.25">
      <c r="A561" s="675" t="s">
        <v>982</v>
      </c>
      <c r="B561" s="675" t="s">
        <v>512</v>
      </c>
      <c r="C561" s="675" t="s">
        <v>806</v>
      </c>
      <c r="D561" s="675" t="s">
        <v>21</v>
      </c>
      <c r="E561" s="675" t="s">
        <v>514</v>
      </c>
      <c r="F561" s="675" t="s">
        <v>515</v>
      </c>
      <c r="G561" s="675"/>
      <c r="H561" s="675"/>
      <c r="I561" s="675"/>
      <c r="J561" s="675"/>
      <c r="K561" s="675"/>
      <c r="L561" s="675"/>
      <c r="M561" s="675"/>
    </row>
    <row r="562" spans="1:13" x14ac:dyDescent="0.25">
      <c r="A562" s="675" t="s">
        <v>982</v>
      </c>
      <c r="B562" s="675" t="s">
        <v>512</v>
      </c>
      <c r="C562" s="675" t="s">
        <v>807</v>
      </c>
      <c r="D562" s="675" t="s">
        <v>21</v>
      </c>
      <c r="E562" s="675" t="s">
        <v>514</v>
      </c>
      <c r="F562" s="675" t="s">
        <v>515</v>
      </c>
      <c r="G562" s="675"/>
      <c r="H562" s="675"/>
      <c r="I562" s="675"/>
      <c r="J562" s="675"/>
      <c r="K562" s="675"/>
      <c r="L562" s="675"/>
      <c r="M562" s="675"/>
    </row>
    <row r="563" spans="1:13" x14ac:dyDescent="0.25">
      <c r="A563" s="675" t="s">
        <v>982</v>
      </c>
      <c r="B563" s="675" t="s">
        <v>512</v>
      </c>
      <c r="C563" s="675" t="s">
        <v>808</v>
      </c>
      <c r="D563" s="675" t="s">
        <v>21</v>
      </c>
      <c r="E563" s="675" t="s">
        <v>514</v>
      </c>
      <c r="F563" s="675" t="s">
        <v>515</v>
      </c>
      <c r="G563" s="675"/>
      <c r="H563" s="675"/>
      <c r="I563" s="675"/>
      <c r="J563" s="675"/>
      <c r="K563" s="675"/>
      <c r="L563" s="675"/>
      <c r="M563" s="675"/>
    </row>
    <row r="564" spans="1:13" x14ac:dyDescent="0.25">
      <c r="A564" s="675" t="s">
        <v>982</v>
      </c>
      <c r="B564" s="675" t="s">
        <v>512</v>
      </c>
      <c r="C564" s="675" t="s">
        <v>809</v>
      </c>
      <c r="D564" s="675" t="s">
        <v>21</v>
      </c>
      <c r="E564" s="675" t="s">
        <v>514</v>
      </c>
      <c r="F564" s="675" t="s">
        <v>515</v>
      </c>
      <c r="G564" s="675"/>
      <c r="H564" s="675"/>
      <c r="I564" s="675"/>
      <c r="J564" s="675"/>
      <c r="K564" s="675"/>
      <c r="L564" s="675"/>
      <c r="M564" s="675"/>
    </row>
    <row r="565" spans="1:13" x14ac:dyDescent="0.25">
      <c r="A565" s="675" t="s">
        <v>982</v>
      </c>
      <c r="B565" s="675" t="s">
        <v>512</v>
      </c>
      <c r="C565" s="675" t="s">
        <v>811</v>
      </c>
      <c r="D565" s="675" t="s">
        <v>21</v>
      </c>
      <c r="E565" s="675" t="s">
        <v>514</v>
      </c>
      <c r="F565" s="675" t="s">
        <v>515</v>
      </c>
      <c r="G565" s="675"/>
      <c r="H565" s="675"/>
      <c r="I565" s="675"/>
      <c r="J565" s="675"/>
      <c r="K565" s="675"/>
      <c r="L565" s="675"/>
      <c r="M565" s="675"/>
    </row>
    <row r="566" spans="1:13" x14ac:dyDescent="0.25">
      <c r="A566" s="675" t="s">
        <v>982</v>
      </c>
      <c r="B566" s="675" t="s">
        <v>512</v>
      </c>
      <c r="C566" s="675" t="s">
        <v>983</v>
      </c>
      <c r="D566" s="675" t="s">
        <v>21</v>
      </c>
      <c r="E566" s="675" t="s">
        <v>514</v>
      </c>
      <c r="F566" s="675" t="s">
        <v>515</v>
      </c>
      <c r="G566" s="675"/>
      <c r="H566" s="675"/>
      <c r="I566" s="675"/>
      <c r="J566" s="675"/>
      <c r="K566" s="675"/>
      <c r="L566" s="675"/>
      <c r="M566" s="675"/>
    </row>
    <row r="567" spans="1:13" x14ac:dyDescent="0.25">
      <c r="A567" s="675" t="s">
        <v>982</v>
      </c>
      <c r="B567" s="675" t="s">
        <v>512</v>
      </c>
      <c r="C567" s="675" t="s">
        <v>812</v>
      </c>
      <c r="D567" s="675" t="s">
        <v>21</v>
      </c>
      <c r="E567" s="675" t="s">
        <v>514</v>
      </c>
      <c r="F567" s="675" t="s">
        <v>515</v>
      </c>
      <c r="G567" s="675"/>
      <c r="H567" s="675"/>
      <c r="I567" s="675"/>
      <c r="J567" s="675"/>
      <c r="K567" s="675"/>
      <c r="L567" s="675"/>
      <c r="M567" s="675"/>
    </row>
    <row r="568" spans="1:13" x14ac:dyDescent="0.25">
      <c r="A568" s="675" t="s">
        <v>982</v>
      </c>
      <c r="B568" s="675" t="s">
        <v>512</v>
      </c>
      <c r="C568" s="675" t="s">
        <v>813</v>
      </c>
      <c r="D568" s="675" t="s">
        <v>21</v>
      </c>
      <c r="E568" s="675" t="s">
        <v>514</v>
      </c>
      <c r="F568" s="675" t="s">
        <v>515</v>
      </c>
      <c r="G568" s="675"/>
      <c r="H568" s="675"/>
      <c r="I568" s="675"/>
      <c r="J568" s="675"/>
      <c r="K568" s="675"/>
      <c r="L568" s="675"/>
      <c r="M568" s="675"/>
    </row>
    <row r="569" spans="1:13" x14ac:dyDescent="0.25">
      <c r="A569" s="675" t="s">
        <v>982</v>
      </c>
      <c r="B569" s="675" t="s">
        <v>512</v>
      </c>
      <c r="C569" s="675" t="s">
        <v>984</v>
      </c>
      <c r="D569" s="675" t="s">
        <v>21</v>
      </c>
      <c r="E569" s="675" t="s">
        <v>514</v>
      </c>
      <c r="F569" s="675" t="s">
        <v>515</v>
      </c>
      <c r="G569" s="675"/>
      <c r="H569" s="675"/>
      <c r="I569" s="675"/>
      <c r="J569" s="675"/>
      <c r="K569" s="675"/>
      <c r="L569" s="675"/>
      <c r="M569" s="675"/>
    </row>
    <row r="570" spans="1:13" x14ac:dyDescent="0.25">
      <c r="A570" s="675" t="s">
        <v>982</v>
      </c>
      <c r="B570" s="675" t="s">
        <v>512</v>
      </c>
      <c r="C570" s="675" t="s">
        <v>815</v>
      </c>
      <c r="D570" s="675" t="s">
        <v>21</v>
      </c>
      <c r="E570" s="675" t="s">
        <v>514</v>
      </c>
      <c r="F570" s="675" t="s">
        <v>515</v>
      </c>
      <c r="G570" s="675"/>
      <c r="H570" s="675"/>
      <c r="I570" s="675"/>
      <c r="J570" s="675"/>
      <c r="K570" s="675"/>
      <c r="L570" s="675"/>
      <c r="M570" s="675"/>
    </row>
    <row r="571" spans="1:13" x14ac:dyDescent="0.25">
      <c r="A571" s="675" t="s">
        <v>982</v>
      </c>
      <c r="B571" s="675" t="s">
        <v>545</v>
      </c>
      <c r="C571" s="675" t="s">
        <v>985</v>
      </c>
      <c r="D571" s="675" t="s">
        <v>21</v>
      </c>
      <c r="E571" s="675" t="s">
        <v>514</v>
      </c>
      <c r="F571" s="675" t="s">
        <v>515</v>
      </c>
      <c r="G571" s="675"/>
      <c r="H571" s="675"/>
      <c r="I571" s="675"/>
      <c r="J571" s="675"/>
      <c r="K571" s="675"/>
      <c r="L571" s="675"/>
      <c r="M571" s="675"/>
    </row>
    <row r="572" spans="1:13" x14ac:dyDescent="0.25">
      <c r="A572" s="675" t="s">
        <v>982</v>
      </c>
      <c r="B572" s="675" t="s">
        <v>545</v>
      </c>
      <c r="C572" s="675" t="s">
        <v>819</v>
      </c>
      <c r="D572" s="675" t="s">
        <v>21</v>
      </c>
      <c r="E572" s="675" t="s">
        <v>514</v>
      </c>
      <c r="F572" s="675" t="s">
        <v>515</v>
      </c>
      <c r="G572" s="675"/>
      <c r="H572" s="675"/>
      <c r="I572" s="675"/>
      <c r="J572" s="675"/>
      <c r="K572" s="675"/>
      <c r="L572" s="675"/>
      <c r="M572" s="675"/>
    </row>
    <row r="573" spans="1:13" x14ac:dyDescent="0.25">
      <c r="A573" s="675" t="s">
        <v>982</v>
      </c>
      <c r="B573" s="675" t="s">
        <v>545</v>
      </c>
      <c r="C573" s="675" t="s">
        <v>986</v>
      </c>
      <c r="D573" s="675" t="s">
        <v>21</v>
      </c>
      <c r="E573" s="675" t="s">
        <v>514</v>
      </c>
      <c r="F573" s="675" t="s">
        <v>515</v>
      </c>
      <c r="G573" s="675"/>
      <c r="H573" s="675"/>
      <c r="I573" s="675"/>
      <c r="J573" s="675"/>
      <c r="K573" s="675"/>
      <c r="L573" s="675"/>
      <c r="M573" s="675"/>
    </row>
    <row r="574" spans="1:13" x14ac:dyDescent="0.25">
      <c r="A574" s="675" t="s">
        <v>987</v>
      </c>
      <c r="B574" s="675" t="s">
        <v>512</v>
      </c>
      <c r="C574" s="675" t="s">
        <v>808</v>
      </c>
      <c r="D574" s="675" t="s">
        <v>21</v>
      </c>
      <c r="E574" s="675" t="s">
        <v>514</v>
      </c>
      <c r="F574" s="675" t="s">
        <v>515</v>
      </c>
      <c r="G574" s="675"/>
      <c r="H574" s="675"/>
      <c r="I574" s="675"/>
      <c r="J574" s="675"/>
      <c r="K574" s="675"/>
      <c r="L574" s="675"/>
      <c r="M574" s="675"/>
    </row>
    <row r="575" spans="1:13" x14ac:dyDescent="0.25">
      <c r="A575" s="675" t="s">
        <v>987</v>
      </c>
      <c r="B575" s="675" t="s">
        <v>512</v>
      </c>
      <c r="C575" s="675" t="s">
        <v>809</v>
      </c>
      <c r="D575" s="675" t="s">
        <v>21</v>
      </c>
      <c r="E575" s="675" t="s">
        <v>514</v>
      </c>
      <c r="F575" s="675" t="s">
        <v>515</v>
      </c>
      <c r="G575" s="675"/>
      <c r="H575" s="675"/>
      <c r="I575" s="675"/>
      <c r="J575" s="675"/>
      <c r="K575" s="675"/>
      <c r="L575" s="675"/>
      <c r="M575" s="675"/>
    </row>
    <row r="576" spans="1:13" x14ac:dyDescent="0.25">
      <c r="A576" s="675" t="s">
        <v>987</v>
      </c>
      <c r="B576" s="675" t="s">
        <v>512</v>
      </c>
      <c r="C576" s="675" t="s">
        <v>988</v>
      </c>
      <c r="D576" s="675" t="s">
        <v>21</v>
      </c>
      <c r="E576" s="675" t="s">
        <v>514</v>
      </c>
      <c r="F576" s="675" t="s">
        <v>515</v>
      </c>
      <c r="G576" s="675"/>
      <c r="H576" s="675"/>
      <c r="I576" s="675"/>
      <c r="J576" s="675"/>
      <c r="K576" s="675"/>
      <c r="L576" s="675"/>
      <c r="M576" s="675"/>
    </row>
    <row r="577" spans="1:13" x14ac:dyDescent="0.25">
      <c r="A577" s="675" t="s">
        <v>987</v>
      </c>
      <c r="B577" s="675" t="s">
        <v>512</v>
      </c>
      <c r="C577" s="675" t="s">
        <v>811</v>
      </c>
      <c r="D577" s="675" t="s">
        <v>21</v>
      </c>
      <c r="E577" s="675" t="s">
        <v>514</v>
      </c>
      <c r="F577" s="675" t="s">
        <v>515</v>
      </c>
      <c r="G577" s="675"/>
      <c r="H577" s="675"/>
      <c r="I577" s="675"/>
      <c r="J577" s="675"/>
      <c r="K577" s="675"/>
      <c r="L577" s="675"/>
      <c r="M577" s="675"/>
    </row>
    <row r="578" spans="1:13" x14ac:dyDescent="0.25">
      <c r="A578" s="675" t="s">
        <v>987</v>
      </c>
      <c r="B578" s="675" t="s">
        <v>512</v>
      </c>
      <c r="C578" s="675" t="s">
        <v>989</v>
      </c>
      <c r="D578" s="675" t="s">
        <v>21</v>
      </c>
      <c r="E578" s="675" t="s">
        <v>514</v>
      </c>
      <c r="F578" s="675" t="s">
        <v>515</v>
      </c>
      <c r="G578" s="675"/>
      <c r="H578" s="675"/>
      <c r="I578" s="675"/>
      <c r="J578" s="675"/>
      <c r="K578" s="675"/>
      <c r="L578" s="675"/>
      <c r="M578" s="675"/>
    </row>
    <row r="579" spans="1:13" x14ac:dyDescent="0.25">
      <c r="A579" s="675" t="s">
        <v>987</v>
      </c>
      <c r="B579" s="675" t="s">
        <v>512</v>
      </c>
      <c r="C579" s="675" t="s">
        <v>990</v>
      </c>
      <c r="D579" s="675" t="s">
        <v>21</v>
      </c>
      <c r="E579" s="675" t="s">
        <v>514</v>
      </c>
      <c r="F579" s="675" t="s">
        <v>515</v>
      </c>
      <c r="G579" s="675"/>
      <c r="H579" s="675"/>
      <c r="I579" s="675"/>
      <c r="J579" s="675"/>
      <c r="K579" s="675"/>
      <c r="L579" s="675"/>
      <c r="M579" s="675"/>
    </row>
    <row r="580" spans="1:13" x14ac:dyDescent="0.25">
      <c r="A580" s="675" t="s">
        <v>987</v>
      </c>
      <c r="B580" s="675" t="s">
        <v>512</v>
      </c>
      <c r="C580" s="675" t="s">
        <v>895</v>
      </c>
      <c r="D580" s="675" t="s">
        <v>21</v>
      </c>
      <c r="E580" s="675" t="s">
        <v>514</v>
      </c>
      <c r="F580" s="675" t="s">
        <v>515</v>
      </c>
      <c r="G580" s="675"/>
      <c r="H580" s="675"/>
      <c r="I580" s="675"/>
      <c r="J580" s="675"/>
      <c r="K580" s="675"/>
      <c r="L580" s="675"/>
      <c r="M580" s="675"/>
    </row>
    <row r="581" spans="1:13" x14ac:dyDescent="0.25">
      <c r="A581" s="675" t="s">
        <v>987</v>
      </c>
      <c r="B581" s="675" t="s">
        <v>512</v>
      </c>
      <c r="C581" s="675" t="s">
        <v>896</v>
      </c>
      <c r="D581" s="675" t="s">
        <v>21</v>
      </c>
      <c r="E581" s="675" t="s">
        <v>514</v>
      </c>
      <c r="F581" s="675" t="s">
        <v>515</v>
      </c>
      <c r="G581" s="675"/>
      <c r="H581" s="675"/>
      <c r="I581" s="675"/>
      <c r="J581" s="675"/>
      <c r="K581" s="675"/>
      <c r="L581" s="675"/>
      <c r="M581" s="675"/>
    </row>
    <row r="582" spans="1:13" x14ac:dyDescent="0.25">
      <c r="A582" s="675" t="s">
        <v>987</v>
      </c>
      <c r="B582" s="675" t="s">
        <v>512</v>
      </c>
      <c r="C582" s="675" t="s">
        <v>898</v>
      </c>
      <c r="D582" s="675" t="s">
        <v>21</v>
      </c>
      <c r="E582" s="675" t="s">
        <v>514</v>
      </c>
      <c r="F582" s="675" t="s">
        <v>515</v>
      </c>
      <c r="G582" s="675"/>
      <c r="H582" s="675"/>
      <c r="I582" s="675"/>
      <c r="J582" s="675"/>
      <c r="K582" s="675"/>
      <c r="L582" s="675"/>
      <c r="M582" s="675"/>
    </row>
    <row r="583" spans="1:13" x14ac:dyDescent="0.25">
      <c r="A583" s="675" t="s">
        <v>987</v>
      </c>
      <c r="B583" s="675" t="s">
        <v>512</v>
      </c>
      <c r="C583" s="675" t="s">
        <v>900</v>
      </c>
      <c r="D583" s="675" t="s">
        <v>21</v>
      </c>
      <c r="E583" s="675" t="s">
        <v>514</v>
      </c>
      <c r="F583" s="675" t="s">
        <v>515</v>
      </c>
      <c r="G583" s="675"/>
      <c r="H583" s="675"/>
      <c r="I583" s="675"/>
      <c r="J583" s="675"/>
      <c r="K583" s="675"/>
      <c r="L583" s="675"/>
      <c r="M583" s="675"/>
    </row>
    <row r="584" spans="1:13" x14ac:dyDescent="0.25">
      <c r="A584" s="675" t="s">
        <v>987</v>
      </c>
      <c r="B584" s="675" t="s">
        <v>512</v>
      </c>
      <c r="C584" s="675" t="s">
        <v>991</v>
      </c>
      <c r="D584" s="675" t="s">
        <v>21</v>
      </c>
      <c r="E584" s="675" t="s">
        <v>514</v>
      </c>
      <c r="F584" s="675" t="s">
        <v>515</v>
      </c>
      <c r="G584" s="675"/>
      <c r="H584" s="675"/>
      <c r="I584" s="675"/>
      <c r="J584" s="675"/>
      <c r="K584" s="675"/>
      <c r="L584" s="675"/>
      <c r="M584" s="675"/>
    </row>
    <row r="585" spans="1:13" x14ac:dyDescent="0.25">
      <c r="A585" s="675" t="s">
        <v>987</v>
      </c>
      <c r="B585" s="675" t="s">
        <v>512</v>
      </c>
      <c r="C585" s="675" t="s">
        <v>902</v>
      </c>
      <c r="D585" s="675" t="s">
        <v>21</v>
      </c>
      <c r="E585" s="675" t="s">
        <v>514</v>
      </c>
      <c r="F585" s="675" t="s">
        <v>515</v>
      </c>
      <c r="G585" s="675"/>
      <c r="H585" s="675"/>
      <c r="I585" s="675"/>
      <c r="J585" s="675"/>
      <c r="K585" s="675"/>
      <c r="L585" s="675"/>
      <c r="M585" s="675"/>
    </row>
    <row r="586" spans="1:13" x14ac:dyDescent="0.25">
      <c r="A586" s="675" t="s">
        <v>987</v>
      </c>
      <c r="B586" s="675" t="s">
        <v>545</v>
      </c>
      <c r="C586" s="675" t="s">
        <v>907</v>
      </c>
      <c r="D586" s="675" t="s">
        <v>21</v>
      </c>
      <c r="E586" s="675" t="s">
        <v>514</v>
      </c>
      <c r="F586" s="675" t="s">
        <v>515</v>
      </c>
      <c r="G586" s="675"/>
      <c r="H586" s="675"/>
      <c r="I586" s="675"/>
      <c r="J586" s="675"/>
      <c r="K586" s="675"/>
      <c r="L586" s="675"/>
      <c r="M586" s="675"/>
    </row>
    <row r="587" spans="1:13" x14ac:dyDescent="0.25">
      <c r="A587" s="675" t="s">
        <v>987</v>
      </c>
      <c r="B587" s="675" t="s">
        <v>545</v>
      </c>
      <c r="C587" s="675" t="s">
        <v>908</v>
      </c>
      <c r="D587" s="675" t="s">
        <v>21</v>
      </c>
      <c r="E587" s="675" t="s">
        <v>514</v>
      </c>
      <c r="F587" s="675" t="s">
        <v>515</v>
      </c>
      <c r="G587" s="675"/>
      <c r="H587" s="675"/>
      <c r="I587" s="675"/>
      <c r="J587" s="675"/>
      <c r="K587" s="675"/>
      <c r="L587" s="675"/>
      <c r="M587" s="675"/>
    </row>
    <row r="588" spans="1:13" x14ac:dyDescent="0.25">
      <c r="A588" s="675" t="s">
        <v>987</v>
      </c>
      <c r="B588" s="675" t="s">
        <v>545</v>
      </c>
      <c r="C588" s="675" t="s">
        <v>992</v>
      </c>
      <c r="D588" s="675" t="s">
        <v>21</v>
      </c>
      <c r="E588" s="675" t="s">
        <v>514</v>
      </c>
      <c r="F588" s="675" t="s">
        <v>515</v>
      </c>
      <c r="G588" s="675"/>
      <c r="H588" s="675"/>
      <c r="I588" s="675"/>
      <c r="J588" s="675"/>
      <c r="K588" s="675"/>
      <c r="L588" s="675"/>
      <c r="M588" s="675"/>
    </row>
    <row r="589" spans="1:13" x14ac:dyDescent="0.25">
      <c r="A589" s="675" t="s">
        <v>987</v>
      </c>
      <c r="B589" s="675" t="s">
        <v>545</v>
      </c>
      <c r="C589" s="675" t="s">
        <v>913</v>
      </c>
      <c r="D589" s="675" t="s">
        <v>21</v>
      </c>
      <c r="E589" s="675" t="s">
        <v>514</v>
      </c>
      <c r="F589" s="675" t="s">
        <v>515</v>
      </c>
      <c r="G589" s="675"/>
      <c r="H589" s="675"/>
      <c r="I589" s="675"/>
      <c r="J589" s="675"/>
      <c r="K589" s="675"/>
      <c r="L589" s="675"/>
      <c r="M589" s="675"/>
    </row>
    <row r="590" spans="1:13" x14ac:dyDescent="0.25">
      <c r="A590" s="675" t="s">
        <v>987</v>
      </c>
      <c r="B590" s="675" t="s">
        <v>545</v>
      </c>
      <c r="C590" s="675" t="s">
        <v>993</v>
      </c>
      <c r="D590" s="675" t="s">
        <v>21</v>
      </c>
      <c r="E590" s="675" t="s">
        <v>514</v>
      </c>
      <c r="F590" s="675" t="s">
        <v>515</v>
      </c>
      <c r="G590" s="675"/>
      <c r="H590" s="675"/>
      <c r="I590" s="675"/>
      <c r="J590" s="675"/>
      <c r="K590" s="675"/>
      <c r="L590" s="675"/>
      <c r="M590" s="675"/>
    </row>
    <row r="591" spans="1:13" x14ac:dyDescent="0.25">
      <c r="A591" s="675" t="s">
        <v>994</v>
      </c>
      <c r="B591" s="675" t="s">
        <v>512</v>
      </c>
      <c r="C591" s="675" t="s">
        <v>995</v>
      </c>
      <c r="D591" s="675" t="s">
        <v>21</v>
      </c>
      <c r="E591" s="675" t="s">
        <v>514</v>
      </c>
      <c r="F591" s="675" t="s">
        <v>515</v>
      </c>
      <c r="G591" s="675"/>
      <c r="H591" s="675"/>
      <c r="I591" s="675"/>
      <c r="J591" s="675"/>
      <c r="K591" s="675"/>
      <c r="L591" s="675"/>
      <c r="M591" s="675"/>
    </row>
    <row r="592" spans="1:13" x14ac:dyDescent="0.25">
      <c r="A592" s="675" t="s">
        <v>994</v>
      </c>
      <c r="B592" s="675" t="s">
        <v>512</v>
      </c>
      <c r="C592" s="675" t="s">
        <v>996</v>
      </c>
      <c r="D592" s="675" t="s">
        <v>21</v>
      </c>
      <c r="E592" s="675" t="s">
        <v>514</v>
      </c>
      <c r="F592" s="675" t="s">
        <v>515</v>
      </c>
      <c r="G592" s="675"/>
      <c r="H592" s="675"/>
      <c r="I592" s="675"/>
      <c r="J592" s="675"/>
      <c r="K592" s="675"/>
      <c r="L592" s="675"/>
      <c r="M592" s="675"/>
    </row>
    <row r="593" spans="1:13" x14ac:dyDescent="0.25">
      <c r="A593" s="675" t="s">
        <v>994</v>
      </c>
      <c r="B593" s="675" t="s">
        <v>512</v>
      </c>
      <c r="C593" s="675" t="s">
        <v>997</v>
      </c>
      <c r="D593" s="675" t="s">
        <v>21</v>
      </c>
      <c r="E593" s="675" t="s">
        <v>514</v>
      </c>
      <c r="F593" s="675" t="s">
        <v>515</v>
      </c>
      <c r="G593" s="675"/>
      <c r="H593" s="675"/>
      <c r="I593" s="675"/>
      <c r="J593" s="675"/>
      <c r="K593" s="675"/>
      <c r="L593" s="675"/>
      <c r="M593" s="675"/>
    </row>
    <row r="594" spans="1:13" x14ac:dyDescent="0.25">
      <c r="A594" s="675" t="s">
        <v>994</v>
      </c>
      <c r="B594" s="675" t="s">
        <v>512</v>
      </c>
      <c r="C594" s="675" t="s">
        <v>998</v>
      </c>
      <c r="D594" s="675" t="s">
        <v>21</v>
      </c>
      <c r="E594" s="675" t="s">
        <v>514</v>
      </c>
      <c r="F594" s="675" t="s">
        <v>515</v>
      </c>
      <c r="G594" s="675"/>
      <c r="H594" s="675"/>
      <c r="I594" s="675"/>
      <c r="J594" s="675"/>
      <c r="K594" s="675"/>
      <c r="L594" s="675"/>
      <c r="M594" s="675"/>
    </row>
    <row r="595" spans="1:13" x14ac:dyDescent="0.25">
      <c r="A595" s="675" t="s">
        <v>994</v>
      </c>
      <c r="B595" s="675" t="s">
        <v>512</v>
      </c>
      <c r="C595" s="675" t="s">
        <v>999</v>
      </c>
      <c r="D595" s="675" t="s">
        <v>21</v>
      </c>
      <c r="E595" s="675" t="s">
        <v>514</v>
      </c>
      <c r="F595" s="675" t="s">
        <v>515</v>
      </c>
      <c r="G595" s="675"/>
      <c r="H595" s="675"/>
      <c r="I595" s="675"/>
      <c r="J595" s="675"/>
      <c r="K595" s="675"/>
      <c r="L595" s="675"/>
      <c r="M595" s="675"/>
    </row>
    <row r="596" spans="1:13" x14ac:dyDescent="0.25">
      <c r="A596" s="675" t="s">
        <v>994</v>
      </c>
      <c r="B596" s="675" t="s">
        <v>512</v>
      </c>
      <c r="C596" s="675" t="s">
        <v>1000</v>
      </c>
      <c r="D596" s="675" t="s">
        <v>21</v>
      </c>
      <c r="E596" s="675" t="s">
        <v>514</v>
      </c>
      <c r="F596" s="675" t="s">
        <v>515</v>
      </c>
      <c r="G596" s="675"/>
      <c r="H596" s="675"/>
      <c r="I596" s="675"/>
      <c r="J596" s="675"/>
      <c r="K596" s="675"/>
      <c r="L596" s="675"/>
      <c r="M596" s="675"/>
    </row>
    <row r="597" spans="1:13" x14ac:dyDescent="0.25">
      <c r="A597" s="675" t="s">
        <v>994</v>
      </c>
      <c r="B597" s="675" t="s">
        <v>512</v>
      </c>
      <c r="C597" s="675" t="s">
        <v>1001</v>
      </c>
      <c r="D597" s="675" t="s">
        <v>21</v>
      </c>
      <c r="E597" s="675" t="s">
        <v>514</v>
      </c>
      <c r="F597" s="675" t="s">
        <v>515</v>
      </c>
      <c r="G597" s="675"/>
      <c r="H597" s="675"/>
      <c r="I597" s="675"/>
      <c r="J597" s="675"/>
      <c r="K597" s="675"/>
      <c r="L597" s="675"/>
      <c r="M597" s="675"/>
    </row>
    <row r="598" spans="1:13" x14ac:dyDescent="0.25">
      <c r="A598" s="675" t="s">
        <v>1002</v>
      </c>
      <c r="B598" s="675" t="s">
        <v>512</v>
      </c>
      <c r="C598" s="675" t="s">
        <v>650</v>
      </c>
      <c r="D598" s="675" t="s">
        <v>21</v>
      </c>
      <c r="E598" s="675" t="s">
        <v>514</v>
      </c>
      <c r="F598" s="675" t="s">
        <v>515</v>
      </c>
      <c r="G598" s="675"/>
      <c r="H598" s="675"/>
      <c r="I598" s="675"/>
      <c r="J598" s="675"/>
      <c r="K598" s="675"/>
      <c r="L598" s="675"/>
      <c r="M598" s="675"/>
    </row>
    <row r="599" spans="1:13" x14ac:dyDescent="0.25">
      <c r="A599" s="675" t="s">
        <v>1002</v>
      </c>
      <c r="B599" s="675" t="s">
        <v>512</v>
      </c>
      <c r="C599" s="675" t="s">
        <v>523</v>
      </c>
      <c r="D599" s="675" t="s">
        <v>21</v>
      </c>
      <c r="E599" s="675" t="s">
        <v>514</v>
      </c>
      <c r="F599" s="675" t="s">
        <v>515</v>
      </c>
      <c r="G599" s="675"/>
      <c r="H599" s="675"/>
      <c r="I599" s="675"/>
      <c r="J599" s="675"/>
      <c r="K599" s="675"/>
      <c r="L599" s="675"/>
      <c r="M599" s="675"/>
    </row>
    <row r="600" spans="1:13" x14ac:dyDescent="0.25">
      <c r="A600" s="675" t="s">
        <v>1002</v>
      </c>
      <c r="B600" s="675" t="s">
        <v>512</v>
      </c>
      <c r="C600" s="675" t="s">
        <v>585</v>
      </c>
      <c r="D600" s="675" t="s">
        <v>21</v>
      </c>
      <c r="E600" s="675" t="s">
        <v>514</v>
      </c>
      <c r="F600" s="675" t="s">
        <v>515</v>
      </c>
      <c r="G600" s="675"/>
      <c r="H600" s="675"/>
      <c r="I600" s="675"/>
      <c r="J600" s="675"/>
      <c r="K600" s="675"/>
      <c r="L600" s="675"/>
      <c r="M600" s="675"/>
    </row>
    <row r="601" spans="1:13" x14ac:dyDescent="0.25">
      <c r="A601" s="675" t="s">
        <v>1002</v>
      </c>
      <c r="B601" s="675" t="s">
        <v>512</v>
      </c>
      <c r="C601" s="675" t="s">
        <v>1003</v>
      </c>
      <c r="D601" s="675" t="s">
        <v>21</v>
      </c>
      <c r="E601" s="675" t="s">
        <v>514</v>
      </c>
      <c r="F601" s="675" t="s">
        <v>515</v>
      </c>
      <c r="G601" s="675"/>
      <c r="H601" s="675"/>
      <c r="I601" s="675"/>
      <c r="J601" s="675"/>
      <c r="K601" s="675"/>
      <c r="L601" s="675"/>
      <c r="M601" s="675"/>
    </row>
    <row r="602" spans="1:13" x14ac:dyDescent="0.25">
      <c r="A602" s="675" t="s">
        <v>1002</v>
      </c>
      <c r="B602" s="675" t="s">
        <v>512</v>
      </c>
      <c r="C602" s="675" t="s">
        <v>1004</v>
      </c>
      <c r="D602" s="675" t="s">
        <v>21</v>
      </c>
      <c r="E602" s="675" t="s">
        <v>514</v>
      </c>
      <c r="F602" s="675" t="s">
        <v>515</v>
      </c>
      <c r="G602" s="675"/>
      <c r="H602" s="675"/>
      <c r="I602" s="675"/>
      <c r="J602" s="675"/>
      <c r="K602" s="675"/>
      <c r="L602" s="675"/>
      <c r="M602" s="675"/>
    </row>
    <row r="603" spans="1:13" x14ac:dyDescent="0.25">
      <c r="A603" s="675" t="s">
        <v>1002</v>
      </c>
      <c r="B603" s="675" t="s">
        <v>512</v>
      </c>
      <c r="C603" s="675" t="s">
        <v>1005</v>
      </c>
      <c r="D603" s="675" t="s">
        <v>21</v>
      </c>
      <c r="E603" s="675" t="s">
        <v>514</v>
      </c>
      <c r="F603" s="675" t="s">
        <v>515</v>
      </c>
      <c r="G603" s="675"/>
      <c r="H603" s="675"/>
      <c r="I603" s="675"/>
      <c r="J603" s="675"/>
      <c r="K603" s="675"/>
      <c r="L603" s="675"/>
      <c r="M603" s="675"/>
    </row>
    <row r="604" spans="1:13" x14ac:dyDescent="0.25">
      <c r="A604" s="675" t="s">
        <v>1002</v>
      </c>
      <c r="B604" s="675" t="s">
        <v>512</v>
      </c>
      <c r="C604" s="675" t="s">
        <v>1006</v>
      </c>
      <c r="D604" s="675" t="s">
        <v>21</v>
      </c>
      <c r="E604" s="675" t="s">
        <v>514</v>
      </c>
      <c r="F604" s="675" t="s">
        <v>515</v>
      </c>
      <c r="G604" s="675"/>
      <c r="H604" s="675"/>
      <c r="I604" s="675"/>
      <c r="J604" s="675"/>
      <c r="K604" s="675"/>
      <c r="L604" s="675"/>
      <c r="M604" s="675"/>
    </row>
    <row r="605" spans="1:13" x14ac:dyDescent="0.25">
      <c r="A605" s="675" t="s">
        <v>1002</v>
      </c>
      <c r="B605" s="675" t="s">
        <v>512</v>
      </c>
      <c r="C605" s="675" t="s">
        <v>1007</v>
      </c>
      <c r="D605" s="675" t="s">
        <v>21</v>
      </c>
      <c r="E605" s="675" t="s">
        <v>514</v>
      </c>
      <c r="F605" s="675" t="s">
        <v>515</v>
      </c>
      <c r="G605" s="675"/>
      <c r="H605" s="675"/>
      <c r="I605" s="675"/>
      <c r="J605" s="675"/>
      <c r="K605" s="675"/>
      <c r="L605" s="675"/>
      <c r="M605" s="675"/>
    </row>
    <row r="606" spans="1:13" x14ac:dyDescent="0.25">
      <c r="A606" s="675" t="s">
        <v>1002</v>
      </c>
      <c r="B606" s="675" t="s">
        <v>512</v>
      </c>
      <c r="C606" s="675" t="s">
        <v>1008</v>
      </c>
      <c r="D606" s="675" t="s">
        <v>21</v>
      </c>
      <c r="E606" s="675" t="s">
        <v>514</v>
      </c>
      <c r="F606" s="675" t="s">
        <v>515</v>
      </c>
      <c r="G606" s="675"/>
      <c r="H606" s="675"/>
      <c r="I606" s="675"/>
      <c r="J606" s="675"/>
      <c r="K606" s="675"/>
      <c r="L606" s="675"/>
      <c r="M606" s="675"/>
    </row>
    <row r="607" spans="1:13" x14ac:dyDescent="0.25">
      <c r="A607" s="675" t="s">
        <v>1002</v>
      </c>
      <c r="B607" s="675" t="s">
        <v>512</v>
      </c>
      <c r="C607" s="675" t="s">
        <v>542</v>
      </c>
      <c r="D607" s="675" t="s">
        <v>21</v>
      </c>
      <c r="E607" s="675" t="s">
        <v>514</v>
      </c>
      <c r="F607" s="675" t="s">
        <v>515</v>
      </c>
      <c r="G607" s="675"/>
      <c r="H607" s="675"/>
      <c r="I607" s="675"/>
      <c r="J607" s="675"/>
      <c r="K607" s="675"/>
      <c r="L607" s="675"/>
      <c r="M607" s="675"/>
    </row>
    <row r="608" spans="1:13" x14ac:dyDescent="0.25">
      <c r="A608" s="675" t="s">
        <v>1002</v>
      </c>
      <c r="B608" s="675" t="s">
        <v>512</v>
      </c>
      <c r="C608" s="675" t="s">
        <v>1009</v>
      </c>
      <c r="D608" s="675" t="s">
        <v>21</v>
      </c>
      <c r="E608" s="675" t="s">
        <v>514</v>
      </c>
      <c r="F608" s="675" t="s">
        <v>515</v>
      </c>
      <c r="G608" s="675"/>
      <c r="H608" s="675"/>
      <c r="I608" s="675"/>
      <c r="J608" s="675"/>
      <c r="K608" s="675"/>
      <c r="L608" s="675"/>
      <c r="M608" s="675"/>
    </row>
    <row r="609" spans="1:13" x14ac:dyDescent="0.25">
      <c r="A609" s="675" t="s">
        <v>1002</v>
      </c>
      <c r="B609" s="675" t="s">
        <v>512</v>
      </c>
      <c r="C609" s="675" t="s">
        <v>1010</v>
      </c>
      <c r="D609" s="675" t="s">
        <v>21</v>
      </c>
      <c r="E609" s="675" t="s">
        <v>514</v>
      </c>
      <c r="F609" s="675" t="s">
        <v>515</v>
      </c>
      <c r="G609" s="675"/>
      <c r="H609" s="675"/>
      <c r="I609" s="675"/>
      <c r="J609" s="675"/>
      <c r="K609" s="675"/>
      <c r="L609" s="675"/>
      <c r="M609" s="675"/>
    </row>
    <row r="610" spans="1:13" x14ac:dyDescent="0.25">
      <c r="A610" s="675" t="s">
        <v>1002</v>
      </c>
      <c r="B610" s="675" t="s">
        <v>512</v>
      </c>
      <c r="C610" s="675" t="s">
        <v>1011</v>
      </c>
      <c r="D610" s="675" t="s">
        <v>21</v>
      </c>
      <c r="E610" s="675" t="s">
        <v>514</v>
      </c>
      <c r="F610" s="675" t="s">
        <v>515</v>
      </c>
      <c r="G610" s="675"/>
      <c r="H610" s="675"/>
      <c r="I610" s="675"/>
      <c r="J610" s="675"/>
      <c r="K610" s="675"/>
      <c r="L610" s="675"/>
      <c r="M610" s="675"/>
    </row>
    <row r="611" spans="1:13" x14ac:dyDescent="0.25">
      <c r="A611" s="675" t="s">
        <v>1002</v>
      </c>
      <c r="B611" s="675" t="s">
        <v>545</v>
      </c>
      <c r="C611" s="675" t="s">
        <v>1012</v>
      </c>
      <c r="D611" s="675" t="s">
        <v>21</v>
      </c>
      <c r="E611" s="675" t="s">
        <v>514</v>
      </c>
      <c r="F611" s="675" t="s">
        <v>515</v>
      </c>
      <c r="G611" s="675"/>
      <c r="H611" s="675"/>
      <c r="I611" s="675"/>
      <c r="J611" s="675"/>
      <c r="K611" s="675"/>
      <c r="L611" s="675"/>
      <c r="M611" s="675"/>
    </row>
    <row r="612" spans="1:13" x14ac:dyDescent="0.25">
      <c r="A612" s="675" t="s">
        <v>1002</v>
      </c>
      <c r="B612" s="675" t="s">
        <v>545</v>
      </c>
      <c r="C612" s="675" t="s">
        <v>1013</v>
      </c>
      <c r="D612" s="675" t="s">
        <v>21</v>
      </c>
      <c r="E612" s="675" t="s">
        <v>514</v>
      </c>
      <c r="F612" s="675" t="s">
        <v>515</v>
      </c>
      <c r="G612" s="675"/>
      <c r="H612" s="675"/>
      <c r="I612" s="675"/>
      <c r="J612" s="675"/>
      <c r="K612" s="675"/>
      <c r="L612" s="675"/>
      <c r="M612" s="675"/>
    </row>
    <row r="613" spans="1:13" x14ac:dyDescent="0.25">
      <c r="A613" s="675" t="s">
        <v>1002</v>
      </c>
      <c r="B613" s="675" t="s">
        <v>545</v>
      </c>
      <c r="C613" s="675" t="s">
        <v>553</v>
      </c>
      <c r="D613" s="675" t="s">
        <v>21</v>
      </c>
      <c r="E613" s="675" t="s">
        <v>514</v>
      </c>
      <c r="F613" s="675" t="s">
        <v>515</v>
      </c>
      <c r="G613" s="675"/>
      <c r="H613" s="675"/>
      <c r="I613" s="675"/>
      <c r="J613" s="675"/>
      <c r="K613" s="675"/>
      <c r="L613" s="675"/>
      <c r="M613" s="675"/>
    </row>
    <row r="614" spans="1:13" x14ac:dyDescent="0.25">
      <c r="A614" s="675" t="s">
        <v>1002</v>
      </c>
      <c r="B614" s="675" t="s">
        <v>545</v>
      </c>
      <c r="C614" s="675" t="s">
        <v>1014</v>
      </c>
      <c r="D614" s="675" t="s">
        <v>21</v>
      </c>
      <c r="E614" s="675" t="s">
        <v>514</v>
      </c>
      <c r="F614" s="675" t="s">
        <v>515</v>
      </c>
      <c r="G614" s="675"/>
      <c r="H614" s="675"/>
      <c r="I614" s="675"/>
      <c r="J614" s="675"/>
      <c r="K614" s="675"/>
      <c r="L614" s="675"/>
      <c r="M614" s="675"/>
    </row>
    <row r="615" spans="1:13" x14ac:dyDescent="0.25">
      <c r="A615" s="675" t="s">
        <v>1002</v>
      </c>
      <c r="B615" s="675" t="s">
        <v>545</v>
      </c>
      <c r="C615" s="675" t="s">
        <v>1015</v>
      </c>
      <c r="D615" s="675" t="s">
        <v>21</v>
      </c>
      <c r="E615" s="675" t="s">
        <v>514</v>
      </c>
      <c r="F615" s="675" t="s">
        <v>515</v>
      </c>
      <c r="G615" s="675"/>
      <c r="H615" s="675"/>
      <c r="I615" s="675"/>
      <c r="J615" s="675"/>
      <c r="K615" s="675"/>
      <c r="L615" s="675"/>
      <c r="M615" s="675"/>
    </row>
    <row r="616" spans="1:13" x14ac:dyDescent="0.25">
      <c r="A616" s="675" t="s">
        <v>1002</v>
      </c>
      <c r="B616" s="675" t="s">
        <v>545</v>
      </c>
      <c r="C616" s="675" t="s">
        <v>1016</v>
      </c>
      <c r="D616" s="675" t="s">
        <v>21</v>
      </c>
      <c r="E616" s="675" t="s">
        <v>514</v>
      </c>
      <c r="F616" s="675" t="s">
        <v>515</v>
      </c>
      <c r="G616" s="675"/>
      <c r="H616" s="675"/>
      <c r="I616" s="675"/>
      <c r="J616" s="675"/>
      <c r="K616" s="675"/>
      <c r="L616" s="675"/>
      <c r="M616" s="675"/>
    </row>
    <row r="617" spans="1:13" x14ac:dyDescent="0.25">
      <c r="A617" s="675" t="s">
        <v>1002</v>
      </c>
      <c r="B617" s="675" t="s">
        <v>564</v>
      </c>
      <c r="C617" s="675" t="s">
        <v>1017</v>
      </c>
      <c r="D617" s="675" t="s">
        <v>21</v>
      </c>
      <c r="E617" s="675" t="s">
        <v>514</v>
      </c>
      <c r="F617" s="675" t="s">
        <v>515</v>
      </c>
      <c r="G617" s="675"/>
      <c r="H617" s="675"/>
      <c r="I617" s="675"/>
      <c r="J617" s="675"/>
      <c r="K617" s="675"/>
      <c r="L617" s="675"/>
      <c r="M617" s="675"/>
    </row>
    <row r="618" spans="1:13" x14ac:dyDescent="0.25">
      <c r="A618" s="675" t="s">
        <v>1002</v>
      </c>
      <c r="B618" s="675" t="s">
        <v>564</v>
      </c>
      <c r="C618" s="675" t="s">
        <v>1018</v>
      </c>
      <c r="D618" s="675" t="s">
        <v>21</v>
      </c>
      <c r="E618" s="675" t="s">
        <v>514</v>
      </c>
      <c r="F618" s="675" t="s">
        <v>515</v>
      </c>
      <c r="G618" s="675"/>
      <c r="H618" s="675"/>
      <c r="I618" s="675"/>
      <c r="J618" s="675"/>
      <c r="K618" s="675"/>
      <c r="L618" s="675"/>
      <c r="M618" s="675"/>
    </row>
    <row r="619" spans="1:13" x14ac:dyDescent="0.25">
      <c r="A619" s="675" t="s">
        <v>1002</v>
      </c>
      <c r="B619" s="675" t="s">
        <v>564</v>
      </c>
      <c r="C619" s="675" t="s">
        <v>1019</v>
      </c>
      <c r="D619" s="675" t="s">
        <v>21</v>
      </c>
      <c r="E619" s="675" t="s">
        <v>514</v>
      </c>
      <c r="F619" s="675" t="s">
        <v>515</v>
      </c>
      <c r="G619" s="675"/>
      <c r="H619" s="675"/>
      <c r="I619" s="675"/>
      <c r="J619" s="675"/>
      <c r="K619" s="675"/>
      <c r="L619" s="675"/>
      <c r="M619" s="675"/>
    </row>
    <row r="620" spans="1:13" x14ac:dyDescent="0.25">
      <c r="A620" s="675" t="s">
        <v>1002</v>
      </c>
      <c r="B620" s="675" t="s">
        <v>564</v>
      </c>
      <c r="C620" s="675" t="s">
        <v>1020</v>
      </c>
      <c r="D620" s="675" t="s">
        <v>21</v>
      </c>
      <c r="E620" s="675" t="s">
        <v>514</v>
      </c>
      <c r="F620" s="675" t="s">
        <v>515</v>
      </c>
      <c r="G620" s="675"/>
      <c r="H620" s="675"/>
      <c r="I620" s="675"/>
      <c r="J620" s="675"/>
      <c r="K620" s="675"/>
      <c r="L620" s="675"/>
      <c r="M620" s="675"/>
    </row>
    <row r="621" spans="1:13" x14ac:dyDescent="0.25">
      <c r="A621" s="675" t="s">
        <v>1002</v>
      </c>
      <c r="B621" s="675" t="s">
        <v>564</v>
      </c>
      <c r="C621" s="675" t="s">
        <v>1021</v>
      </c>
      <c r="D621" s="675" t="s">
        <v>21</v>
      </c>
      <c r="E621" s="675" t="s">
        <v>514</v>
      </c>
      <c r="F621" s="675" t="s">
        <v>515</v>
      </c>
      <c r="G621" s="675"/>
      <c r="H621" s="675"/>
      <c r="I621" s="675"/>
      <c r="J621" s="675"/>
      <c r="K621" s="675"/>
      <c r="L621" s="675"/>
      <c r="M621" s="675"/>
    </row>
    <row r="622" spans="1:13" x14ac:dyDescent="0.25">
      <c r="A622" s="675" t="s">
        <v>1002</v>
      </c>
      <c r="B622" s="675" t="s">
        <v>564</v>
      </c>
      <c r="C622" s="675" t="s">
        <v>611</v>
      </c>
      <c r="D622" s="675" t="s">
        <v>21</v>
      </c>
      <c r="E622" s="675" t="s">
        <v>514</v>
      </c>
      <c r="F622" s="675" t="s">
        <v>515</v>
      </c>
      <c r="G622" s="675"/>
      <c r="H622" s="675"/>
      <c r="I622" s="675"/>
      <c r="J622" s="675"/>
      <c r="K622" s="675"/>
      <c r="L622" s="675"/>
      <c r="M622" s="675"/>
    </row>
    <row r="623" spans="1:13" x14ac:dyDescent="0.25">
      <c r="A623" s="675" t="s">
        <v>1022</v>
      </c>
      <c r="B623" s="675" t="s">
        <v>512</v>
      </c>
      <c r="C623" s="675" t="s">
        <v>525</v>
      </c>
      <c r="D623" s="675" t="s">
        <v>21</v>
      </c>
      <c r="E623" s="675" t="s">
        <v>514</v>
      </c>
      <c r="F623" s="675" t="s">
        <v>515</v>
      </c>
      <c r="G623" s="675"/>
      <c r="H623" s="675"/>
      <c r="I623" s="675"/>
      <c r="J623" s="675"/>
      <c r="K623" s="675"/>
      <c r="L623" s="675"/>
      <c r="M623" s="675"/>
    </row>
    <row r="624" spans="1:13" x14ac:dyDescent="0.25">
      <c r="A624" s="675" t="s">
        <v>1022</v>
      </c>
      <c r="B624" s="675" t="s">
        <v>512</v>
      </c>
      <c r="C624" s="675" t="s">
        <v>661</v>
      </c>
      <c r="D624" s="675" t="s">
        <v>21</v>
      </c>
      <c r="E624" s="675" t="s">
        <v>514</v>
      </c>
      <c r="F624" s="675" t="s">
        <v>515</v>
      </c>
      <c r="G624" s="675"/>
      <c r="H624" s="675"/>
      <c r="I624" s="675"/>
      <c r="J624" s="675"/>
      <c r="K624" s="675"/>
      <c r="L624" s="675"/>
      <c r="M624" s="675"/>
    </row>
    <row r="625" spans="1:13" x14ac:dyDescent="0.25">
      <c r="A625" s="675" t="s">
        <v>1022</v>
      </c>
      <c r="B625" s="675" t="s">
        <v>545</v>
      </c>
      <c r="C625" s="675" t="s">
        <v>675</v>
      </c>
      <c r="D625" s="675" t="s">
        <v>21</v>
      </c>
      <c r="E625" s="675" t="s">
        <v>514</v>
      </c>
      <c r="F625" s="675" t="s">
        <v>515</v>
      </c>
      <c r="G625" s="675"/>
      <c r="H625" s="675"/>
      <c r="I625" s="675"/>
      <c r="J625" s="675"/>
      <c r="K625" s="675"/>
      <c r="L625" s="675"/>
      <c r="M625" s="675"/>
    </row>
    <row r="626" spans="1:13" x14ac:dyDescent="0.25">
      <c r="A626" s="675" t="s">
        <v>1022</v>
      </c>
      <c r="B626" s="675" t="s">
        <v>545</v>
      </c>
      <c r="C626" s="675" t="s">
        <v>1023</v>
      </c>
      <c r="D626" s="675" t="s">
        <v>21</v>
      </c>
      <c r="E626" s="675" t="s">
        <v>514</v>
      </c>
      <c r="F626" s="675" t="s">
        <v>515</v>
      </c>
      <c r="G626" s="675"/>
      <c r="H626" s="675"/>
      <c r="I626" s="675"/>
      <c r="J626" s="675"/>
      <c r="K626" s="675"/>
      <c r="L626" s="675"/>
      <c r="M626" s="675"/>
    </row>
    <row r="627" spans="1:13" x14ac:dyDescent="0.25">
      <c r="A627" s="675" t="s">
        <v>1022</v>
      </c>
      <c r="B627" s="675" t="s">
        <v>545</v>
      </c>
      <c r="C627" s="675" t="s">
        <v>1024</v>
      </c>
      <c r="D627" s="675" t="s">
        <v>21</v>
      </c>
      <c r="E627" s="675" t="s">
        <v>514</v>
      </c>
      <c r="F627" s="675" t="s">
        <v>515</v>
      </c>
      <c r="G627" s="675"/>
      <c r="H627" s="675"/>
      <c r="I627" s="675"/>
      <c r="J627" s="675"/>
      <c r="K627" s="675"/>
      <c r="L627" s="675"/>
      <c r="M627" s="675"/>
    </row>
    <row r="628" spans="1:13" x14ac:dyDescent="0.25">
      <c r="A628" s="675" t="s">
        <v>1022</v>
      </c>
      <c r="B628" s="675" t="s">
        <v>545</v>
      </c>
      <c r="C628" s="675" t="s">
        <v>1025</v>
      </c>
      <c r="D628" s="675" t="s">
        <v>21</v>
      </c>
      <c r="E628" s="675" t="s">
        <v>514</v>
      </c>
      <c r="F628" s="675" t="s">
        <v>515</v>
      </c>
      <c r="G628" s="675"/>
      <c r="H628" s="675"/>
      <c r="I628" s="675"/>
      <c r="J628" s="675"/>
      <c r="K628" s="675"/>
      <c r="L628" s="675"/>
      <c r="M628" s="675"/>
    </row>
    <row r="629" spans="1:13" x14ac:dyDescent="0.25">
      <c r="A629" s="675" t="s">
        <v>1022</v>
      </c>
      <c r="B629" s="675" t="s">
        <v>545</v>
      </c>
      <c r="C629" s="675" t="s">
        <v>683</v>
      </c>
      <c r="D629" s="675" t="s">
        <v>21</v>
      </c>
      <c r="E629" s="675" t="s">
        <v>514</v>
      </c>
      <c r="F629" s="675" t="s">
        <v>515</v>
      </c>
      <c r="G629" s="675"/>
      <c r="H629" s="675"/>
      <c r="I629" s="675"/>
      <c r="J629" s="675"/>
      <c r="K629" s="675"/>
      <c r="L629" s="675"/>
      <c r="M629" s="675"/>
    </row>
    <row r="630" spans="1:13" x14ac:dyDescent="0.25">
      <c r="A630" s="675" t="s">
        <v>1022</v>
      </c>
      <c r="B630" s="675" t="s">
        <v>545</v>
      </c>
      <c r="C630" s="675" t="s">
        <v>685</v>
      </c>
      <c r="D630" s="675" t="s">
        <v>21</v>
      </c>
      <c r="E630" s="675" t="s">
        <v>514</v>
      </c>
      <c r="F630" s="675" t="s">
        <v>515</v>
      </c>
      <c r="G630" s="675"/>
      <c r="H630" s="675"/>
      <c r="I630" s="675"/>
      <c r="J630" s="675"/>
      <c r="K630" s="675"/>
      <c r="L630" s="675"/>
      <c r="M630" s="675"/>
    </row>
    <row r="631" spans="1:13" x14ac:dyDescent="0.25">
      <c r="A631" s="675" t="s">
        <v>1022</v>
      </c>
      <c r="B631" s="675" t="s">
        <v>545</v>
      </c>
      <c r="C631" s="675" t="s">
        <v>688</v>
      </c>
      <c r="D631" s="675" t="s">
        <v>21</v>
      </c>
      <c r="E631" s="675" t="s">
        <v>514</v>
      </c>
      <c r="F631" s="675" t="s">
        <v>515</v>
      </c>
      <c r="G631" s="675"/>
      <c r="H631" s="675"/>
      <c r="I631" s="675"/>
      <c r="J631" s="675"/>
      <c r="K631" s="675"/>
      <c r="L631" s="675"/>
      <c r="M631" s="675"/>
    </row>
    <row r="632" spans="1:13" x14ac:dyDescent="0.25">
      <c r="A632" s="675" t="s">
        <v>1022</v>
      </c>
      <c r="B632" s="675" t="s">
        <v>564</v>
      </c>
      <c r="C632" s="675" t="s">
        <v>691</v>
      </c>
      <c r="D632" s="675" t="s">
        <v>21</v>
      </c>
      <c r="E632" s="675" t="s">
        <v>514</v>
      </c>
      <c r="F632" s="675" t="s">
        <v>515</v>
      </c>
      <c r="G632" s="675"/>
      <c r="H632" s="675"/>
      <c r="I632" s="675"/>
      <c r="J632" s="675"/>
      <c r="K632" s="675"/>
      <c r="L632" s="675"/>
      <c r="M632" s="675"/>
    </row>
    <row r="633" spans="1:13" x14ac:dyDescent="0.25">
      <c r="A633" s="675" t="s">
        <v>1022</v>
      </c>
      <c r="B633" s="675" t="s">
        <v>564</v>
      </c>
      <c r="C633" s="675" t="s">
        <v>701</v>
      </c>
      <c r="D633" s="675" t="s">
        <v>21</v>
      </c>
      <c r="E633" s="675" t="s">
        <v>514</v>
      </c>
      <c r="F633" s="675" t="s">
        <v>515</v>
      </c>
      <c r="G633" s="675"/>
      <c r="H633" s="675"/>
      <c r="I633" s="675"/>
      <c r="J633" s="675"/>
      <c r="K633" s="675"/>
      <c r="L633" s="675"/>
      <c r="M633" s="675"/>
    </row>
    <row r="634" spans="1:13" x14ac:dyDescent="0.25">
      <c r="A634" s="675" t="s">
        <v>1022</v>
      </c>
      <c r="B634" s="675" t="s">
        <v>564</v>
      </c>
      <c r="C634" s="675" t="s">
        <v>1026</v>
      </c>
      <c r="D634" s="675" t="s">
        <v>21</v>
      </c>
      <c r="E634" s="675" t="s">
        <v>514</v>
      </c>
      <c r="F634" s="675" t="s">
        <v>515</v>
      </c>
      <c r="G634" s="675"/>
      <c r="H634" s="675"/>
      <c r="I634" s="675"/>
      <c r="J634" s="675"/>
      <c r="K634" s="675"/>
      <c r="L634" s="675"/>
      <c r="M634" s="675"/>
    </row>
    <row r="635" spans="1:13" x14ac:dyDescent="0.25">
      <c r="A635" s="675" t="s">
        <v>1022</v>
      </c>
      <c r="B635" s="675" t="s">
        <v>564</v>
      </c>
      <c r="C635" s="675" t="s">
        <v>1027</v>
      </c>
      <c r="D635" s="675" t="s">
        <v>21</v>
      </c>
      <c r="E635" s="675" t="s">
        <v>514</v>
      </c>
      <c r="F635" s="675" t="s">
        <v>515</v>
      </c>
      <c r="G635" s="675"/>
      <c r="H635" s="675"/>
      <c r="I635" s="675"/>
      <c r="J635" s="675"/>
      <c r="K635" s="675"/>
      <c r="L635" s="675"/>
      <c r="M635" s="675"/>
    </row>
    <row r="636" spans="1:13" x14ac:dyDescent="0.25">
      <c r="A636" s="675" t="s">
        <v>1028</v>
      </c>
      <c r="B636" s="675" t="s">
        <v>512</v>
      </c>
      <c r="C636" s="675" t="s">
        <v>1029</v>
      </c>
      <c r="D636" s="675" t="s">
        <v>21</v>
      </c>
      <c r="E636" s="675" t="s">
        <v>514</v>
      </c>
      <c r="F636" s="675" t="s">
        <v>515</v>
      </c>
      <c r="G636" s="675"/>
      <c r="H636" s="675"/>
      <c r="I636" s="675"/>
      <c r="J636" s="675"/>
      <c r="K636" s="675"/>
      <c r="L636" s="675"/>
      <c r="M636" s="675"/>
    </row>
    <row r="637" spans="1:13" x14ac:dyDescent="0.25">
      <c r="A637" s="675" t="s">
        <v>1028</v>
      </c>
      <c r="B637" s="675" t="s">
        <v>512</v>
      </c>
      <c r="C637" s="675" t="s">
        <v>1030</v>
      </c>
      <c r="D637" s="675" t="s">
        <v>21</v>
      </c>
      <c r="E637" s="675" t="s">
        <v>514</v>
      </c>
      <c r="F637" s="675" t="s">
        <v>515</v>
      </c>
      <c r="G637" s="675"/>
      <c r="H637" s="675"/>
      <c r="I637" s="675"/>
      <c r="J637" s="675"/>
      <c r="K637" s="675"/>
      <c r="L637" s="675"/>
      <c r="M637" s="675"/>
    </row>
    <row r="638" spans="1:13" x14ac:dyDescent="0.25">
      <c r="A638" s="675" t="s">
        <v>1031</v>
      </c>
      <c r="B638" s="675" t="s">
        <v>512</v>
      </c>
      <c r="C638" s="675" t="s">
        <v>1032</v>
      </c>
      <c r="D638" s="675" t="s">
        <v>21</v>
      </c>
      <c r="E638" s="675" t="s">
        <v>514</v>
      </c>
      <c r="F638" s="675" t="s">
        <v>515</v>
      </c>
      <c r="G638" s="675"/>
      <c r="H638" s="675"/>
      <c r="I638" s="675"/>
      <c r="J638" s="675"/>
      <c r="K638" s="675"/>
      <c r="L638" s="675"/>
      <c r="M638" s="675"/>
    </row>
    <row r="639" spans="1:13" x14ac:dyDescent="0.25">
      <c r="A639" s="675" t="s">
        <v>1031</v>
      </c>
      <c r="B639" s="675" t="s">
        <v>512</v>
      </c>
      <c r="C639" s="675" t="s">
        <v>1033</v>
      </c>
      <c r="D639" s="675" t="s">
        <v>21</v>
      </c>
      <c r="E639" s="675" t="s">
        <v>514</v>
      </c>
      <c r="F639" s="675" t="s">
        <v>515</v>
      </c>
      <c r="G639" s="675"/>
      <c r="H639" s="675"/>
      <c r="I639" s="675"/>
      <c r="J639" s="675"/>
      <c r="K639" s="675"/>
      <c r="L639" s="675"/>
      <c r="M639" s="675"/>
    </row>
    <row r="640" spans="1:13" x14ac:dyDescent="0.25">
      <c r="A640" s="675" t="s">
        <v>1031</v>
      </c>
      <c r="B640" s="675" t="s">
        <v>512</v>
      </c>
      <c r="C640" s="675" t="s">
        <v>1034</v>
      </c>
      <c r="D640" s="675" t="s">
        <v>21</v>
      </c>
      <c r="E640" s="675" t="s">
        <v>514</v>
      </c>
      <c r="F640" s="675" t="s">
        <v>515</v>
      </c>
      <c r="G640" s="675"/>
      <c r="H640" s="675"/>
      <c r="I640" s="675"/>
      <c r="J640" s="675"/>
      <c r="K640" s="675"/>
      <c r="L640" s="675"/>
      <c r="M640" s="675"/>
    </row>
    <row r="641" spans="1:13" x14ac:dyDescent="0.25">
      <c r="A641" s="675" t="s">
        <v>1035</v>
      </c>
      <c r="B641" s="675" t="s">
        <v>512</v>
      </c>
      <c r="C641" s="675" t="s">
        <v>1036</v>
      </c>
      <c r="D641" s="675" t="s">
        <v>21</v>
      </c>
      <c r="E641" s="675" t="s">
        <v>514</v>
      </c>
      <c r="F641" s="675" t="s">
        <v>515</v>
      </c>
      <c r="G641" s="675"/>
      <c r="H641" s="675"/>
      <c r="I641" s="675"/>
      <c r="J641" s="675"/>
      <c r="K641" s="675"/>
      <c r="L641" s="675"/>
      <c r="M641" s="675"/>
    </row>
    <row r="642" spans="1:13" x14ac:dyDescent="0.25">
      <c r="A642" s="675" t="s">
        <v>1035</v>
      </c>
      <c r="B642" s="675" t="s">
        <v>512</v>
      </c>
      <c r="C642" s="675" t="s">
        <v>1037</v>
      </c>
      <c r="D642" s="675" t="s">
        <v>21</v>
      </c>
      <c r="E642" s="675" t="s">
        <v>514</v>
      </c>
      <c r="F642" s="675" t="s">
        <v>515</v>
      </c>
      <c r="G642" s="675"/>
      <c r="H642" s="675"/>
      <c r="I642" s="675"/>
      <c r="J642" s="675"/>
      <c r="K642" s="675"/>
      <c r="L642" s="675"/>
      <c r="M642" s="675"/>
    </row>
    <row r="643" spans="1:13" x14ac:dyDescent="0.25">
      <c r="A643" s="675" t="s">
        <v>1038</v>
      </c>
      <c r="B643" s="675" t="s">
        <v>512</v>
      </c>
      <c r="C643" s="675" t="s">
        <v>1039</v>
      </c>
      <c r="D643" s="675" t="s">
        <v>21</v>
      </c>
      <c r="E643" s="675" t="s">
        <v>514</v>
      </c>
      <c r="F643" s="675" t="s">
        <v>515</v>
      </c>
      <c r="G643" s="675"/>
      <c r="H643" s="675"/>
      <c r="I643" s="675"/>
      <c r="J643" s="675"/>
      <c r="K643" s="675"/>
      <c r="L643" s="675"/>
      <c r="M643" s="675"/>
    </row>
    <row r="644" spans="1:13" x14ac:dyDescent="0.25">
      <c r="A644" s="675" t="s">
        <v>1038</v>
      </c>
      <c r="B644" s="675" t="s">
        <v>512</v>
      </c>
      <c r="C644" s="675" t="s">
        <v>1040</v>
      </c>
      <c r="D644" s="675" t="s">
        <v>21</v>
      </c>
      <c r="E644" s="675" t="s">
        <v>514</v>
      </c>
      <c r="F644" s="675" t="s">
        <v>515</v>
      </c>
      <c r="G644" s="675"/>
      <c r="H644" s="675"/>
      <c r="I644" s="675"/>
      <c r="J644" s="675"/>
      <c r="K644" s="675"/>
      <c r="L644" s="675"/>
      <c r="M644" s="675"/>
    </row>
    <row r="645" spans="1:13" x14ac:dyDescent="0.25">
      <c r="A645" s="675" t="s">
        <v>1038</v>
      </c>
      <c r="B645" s="675" t="s">
        <v>512</v>
      </c>
      <c r="C645" s="675" t="s">
        <v>1041</v>
      </c>
      <c r="D645" s="675" t="s">
        <v>21</v>
      </c>
      <c r="E645" s="675" t="s">
        <v>514</v>
      </c>
      <c r="F645" s="675" t="s">
        <v>515</v>
      </c>
      <c r="G645" s="675"/>
      <c r="H645" s="675"/>
      <c r="I645" s="675"/>
      <c r="J645" s="675"/>
      <c r="K645" s="675"/>
      <c r="L645" s="675"/>
      <c r="M645" s="675"/>
    </row>
    <row r="646" spans="1:13" x14ac:dyDescent="0.25">
      <c r="A646" s="675" t="s">
        <v>1038</v>
      </c>
      <c r="B646" s="675" t="s">
        <v>512</v>
      </c>
      <c r="C646" s="675" t="s">
        <v>1042</v>
      </c>
      <c r="D646" s="675" t="s">
        <v>21</v>
      </c>
      <c r="E646" s="675" t="s">
        <v>514</v>
      </c>
      <c r="F646" s="675" t="s">
        <v>515</v>
      </c>
      <c r="G646" s="675"/>
      <c r="H646" s="675"/>
      <c r="I646" s="675"/>
      <c r="J646" s="675"/>
      <c r="K646" s="675"/>
      <c r="L646" s="675"/>
      <c r="M646" s="675"/>
    </row>
    <row r="647" spans="1:13" x14ac:dyDescent="0.25">
      <c r="A647" s="675" t="s">
        <v>1043</v>
      </c>
      <c r="B647" s="675" t="s">
        <v>512</v>
      </c>
      <c r="C647" s="675" t="s">
        <v>1044</v>
      </c>
      <c r="D647" s="675" t="s">
        <v>21</v>
      </c>
      <c r="E647" s="702"/>
      <c r="F647" s="702"/>
      <c r="G647" s="675"/>
      <c r="H647" s="675"/>
      <c r="I647" s="675"/>
      <c r="J647" s="675"/>
      <c r="K647" s="675"/>
      <c r="L647" s="675"/>
      <c r="M647" s="675"/>
    </row>
    <row r="648" spans="1:13" x14ac:dyDescent="0.25">
      <c r="A648" s="675" t="s">
        <v>1043</v>
      </c>
      <c r="B648" s="675" t="s">
        <v>512</v>
      </c>
      <c r="C648" s="675" t="s">
        <v>1045</v>
      </c>
      <c r="D648" s="675" t="s">
        <v>21</v>
      </c>
      <c r="E648" s="702"/>
      <c r="F648" s="702"/>
      <c r="G648" s="675"/>
      <c r="H648" s="675"/>
      <c r="I648" s="675"/>
      <c r="J648" s="675"/>
      <c r="K648" s="675"/>
      <c r="L648" s="675"/>
      <c r="M648" s="675"/>
    </row>
    <row r="649" spans="1:13" x14ac:dyDescent="0.25">
      <c r="A649" s="675" t="s">
        <v>1043</v>
      </c>
      <c r="B649" s="675" t="s">
        <v>512</v>
      </c>
      <c r="C649" s="675" t="s">
        <v>1046</v>
      </c>
      <c r="D649" s="675" t="s">
        <v>21</v>
      </c>
      <c r="E649" s="702"/>
      <c r="F649" s="702"/>
      <c r="G649" s="675"/>
      <c r="H649" s="675"/>
      <c r="I649" s="675"/>
      <c r="J649" s="675"/>
      <c r="K649" s="675"/>
      <c r="L649" s="675"/>
      <c r="M649" s="675"/>
    </row>
    <row r="650" spans="1:13" x14ac:dyDescent="0.25">
      <c r="A650" s="675" t="s">
        <v>1043</v>
      </c>
      <c r="B650" s="675" t="s">
        <v>512</v>
      </c>
      <c r="C650" s="675" t="s">
        <v>1047</v>
      </c>
      <c r="D650" s="675" t="s">
        <v>21</v>
      </c>
      <c r="E650" s="702"/>
      <c r="F650" s="702"/>
      <c r="G650" s="675"/>
      <c r="H650" s="675"/>
      <c r="I650" s="675"/>
      <c r="J650" s="675"/>
      <c r="K650" s="675"/>
      <c r="L650" s="675"/>
      <c r="M650" s="675"/>
    </row>
    <row r="651" spans="1:13" x14ac:dyDescent="0.25">
      <c r="A651" s="675" t="s">
        <v>1043</v>
      </c>
      <c r="B651" s="675" t="s">
        <v>512</v>
      </c>
      <c r="C651" s="675" t="s">
        <v>1048</v>
      </c>
      <c r="D651" s="675" t="s">
        <v>21</v>
      </c>
      <c r="E651" s="702"/>
      <c r="F651" s="702"/>
      <c r="G651" s="675"/>
      <c r="H651" s="675"/>
      <c r="I651" s="675"/>
      <c r="J651" s="675"/>
      <c r="K651" s="675"/>
      <c r="L651" s="675"/>
      <c r="M651" s="675"/>
    </row>
    <row r="652" spans="1:13" x14ac:dyDescent="0.25">
      <c r="A652" s="675" t="s">
        <v>1043</v>
      </c>
      <c r="B652" s="675" t="s">
        <v>545</v>
      </c>
      <c r="C652" s="675" t="s">
        <v>1049</v>
      </c>
      <c r="D652" s="675" t="s">
        <v>21</v>
      </c>
      <c r="E652" s="702"/>
      <c r="F652" s="702"/>
      <c r="G652" s="675"/>
      <c r="H652" s="675"/>
      <c r="I652" s="675"/>
      <c r="J652" s="675"/>
      <c r="K652" s="675"/>
      <c r="L652" s="675"/>
      <c r="M652" s="675"/>
    </row>
    <row r="653" spans="1:13" x14ac:dyDescent="0.25">
      <c r="A653" s="675" t="s">
        <v>1043</v>
      </c>
      <c r="B653" s="675" t="s">
        <v>545</v>
      </c>
      <c r="C653" s="675" t="s">
        <v>1050</v>
      </c>
      <c r="D653" s="675" t="s">
        <v>21</v>
      </c>
      <c r="E653" s="702"/>
      <c r="F653" s="702"/>
      <c r="G653" s="675"/>
      <c r="H653" s="675"/>
      <c r="I653" s="675"/>
      <c r="J653" s="675"/>
      <c r="K653" s="675"/>
      <c r="L653" s="675"/>
      <c r="M653" s="675"/>
    </row>
    <row r="654" spans="1:13" x14ac:dyDescent="0.25">
      <c r="A654" s="675" t="s">
        <v>1043</v>
      </c>
      <c r="B654" s="675" t="s">
        <v>545</v>
      </c>
      <c r="C654" s="675" t="s">
        <v>1051</v>
      </c>
      <c r="D654" s="675" t="s">
        <v>21</v>
      </c>
      <c r="E654" s="702"/>
      <c r="F654" s="702"/>
      <c r="G654" s="675"/>
      <c r="H654" s="675"/>
      <c r="I654" s="675"/>
      <c r="J654" s="675"/>
      <c r="K654" s="675"/>
      <c r="L654" s="675"/>
      <c r="M654" s="675"/>
    </row>
    <row r="655" spans="1:13" x14ac:dyDescent="0.25">
      <c r="A655" s="675" t="s">
        <v>1043</v>
      </c>
      <c r="B655" s="675" t="s">
        <v>545</v>
      </c>
      <c r="C655" s="675" t="s">
        <v>1052</v>
      </c>
      <c r="D655" s="675" t="s">
        <v>21</v>
      </c>
      <c r="E655" s="702"/>
      <c r="F655" s="702"/>
      <c r="G655" s="675"/>
      <c r="H655" s="675"/>
      <c r="I655" s="675"/>
      <c r="J655" s="675"/>
      <c r="K655" s="675"/>
      <c r="L655" s="675"/>
      <c r="M655" s="675"/>
    </row>
    <row r="656" spans="1:13" x14ac:dyDescent="0.25">
      <c r="A656" s="675" t="s">
        <v>1043</v>
      </c>
      <c r="B656" s="675" t="s">
        <v>545</v>
      </c>
      <c r="C656" s="675" t="s">
        <v>1053</v>
      </c>
      <c r="D656" s="675" t="s">
        <v>21</v>
      </c>
      <c r="E656" s="702"/>
      <c r="F656" s="702"/>
      <c r="G656" s="675"/>
      <c r="H656" s="675"/>
      <c r="I656" s="675"/>
      <c r="J656" s="675"/>
      <c r="K656" s="675"/>
      <c r="L656" s="675"/>
      <c r="M656" s="675"/>
    </row>
    <row r="657" spans="1:13" x14ac:dyDescent="0.25">
      <c r="A657" s="675" t="s">
        <v>1043</v>
      </c>
      <c r="B657" s="675" t="s">
        <v>564</v>
      </c>
      <c r="C657" s="675" t="s">
        <v>1054</v>
      </c>
      <c r="D657" s="675" t="s">
        <v>21</v>
      </c>
      <c r="E657" s="702"/>
      <c r="F657" s="702"/>
      <c r="G657" s="675"/>
      <c r="H657" s="675"/>
      <c r="I657" s="675"/>
      <c r="J657" s="675"/>
      <c r="K657" s="675"/>
      <c r="L657" s="675"/>
      <c r="M657" s="675"/>
    </row>
    <row r="658" spans="1:13" x14ac:dyDescent="0.25">
      <c r="A658" s="675" t="s">
        <v>1043</v>
      </c>
      <c r="B658" s="675" t="s">
        <v>564</v>
      </c>
      <c r="C658" s="675" t="s">
        <v>1055</v>
      </c>
      <c r="D658" s="675" t="s">
        <v>21</v>
      </c>
      <c r="E658" s="702"/>
      <c r="F658" s="702"/>
      <c r="G658" s="675"/>
      <c r="H658" s="675"/>
      <c r="I658" s="675"/>
      <c r="J658" s="675"/>
      <c r="K658" s="675"/>
      <c r="L658" s="675"/>
      <c r="M658" s="675"/>
    </row>
    <row r="659" spans="1:13" x14ac:dyDescent="0.25">
      <c r="A659" s="675" t="s">
        <v>1043</v>
      </c>
      <c r="B659" s="675" t="s">
        <v>564</v>
      </c>
      <c r="C659" s="675" t="s">
        <v>1056</v>
      </c>
      <c r="D659" s="675" t="s">
        <v>21</v>
      </c>
      <c r="E659" s="702"/>
      <c r="F659" s="702"/>
      <c r="G659" s="675"/>
      <c r="H659" s="675"/>
      <c r="I659" s="675"/>
      <c r="J659" s="675"/>
      <c r="K659" s="675"/>
      <c r="L659" s="675"/>
      <c r="M659" s="675"/>
    </row>
    <row r="660" spans="1:13" x14ac:dyDescent="0.25">
      <c r="A660" s="675" t="s">
        <v>1043</v>
      </c>
      <c r="B660" s="675" t="s">
        <v>564</v>
      </c>
      <c r="C660" s="675" t="s">
        <v>1057</v>
      </c>
      <c r="D660" s="675" t="s">
        <v>21</v>
      </c>
      <c r="E660" s="702"/>
      <c r="F660" s="702"/>
      <c r="G660" s="675"/>
      <c r="H660" s="675"/>
      <c r="I660" s="675"/>
      <c r="J660" s="675"/>
      <c r="K660" s="675"/>
      <c r="L660" s="675"/>
      <c r="M660" s="675"/>
    </row>
    <row r="661" spans="1:13" x14ac:dyDescent="0.25">
      <c r="A661" s="675" t="s">
        <v>1043</v>
      </c>
      <c r="B661" s="675" t="s">
        <v>564</v>
      </c>
      <c r="C661" s="675" t="s">
        <v>1058</v>
      </c>
      <c r="D661" s="675" t="s">
        <v>21</v>
      </c>
      <c r="E661" s="702"/>
      <c r="F661" s="702"/>
      <c r="G661" s="675"/>
      <c r="H661" s="675"/>
      <c r="I661" s="675"/>
      <c r="J661" s="675"/>
      <c r="K661" s="675"/>
      <c r="L661" s="675"/>
      <c r="M661" s="675"/>
    </row>
    <row r="662" spans="1:13" x14ac:dyDescent="0.25">
      <c r="A662" s="675" t="s">
        <v>1059</v>
      </c>
      <c r="B662" s="675" t="s">
        <v>512</v>
      </c>
      <c r="C662" s="675" t="s">
        <v>831</v>
      </c>
      <c r="D662" s="675" t="s">
        <v>21</v>
      </c>
      <c r="E662" s="675" t="s">
        <v>514</v>
      </c>
      <c r="F662" s="675" t="s">
        <v>515</v>
      </c>
      <c r="G662" s="675"/>
      <c r="H662" s="675"/>
      <c r="I662" s="675"/>
      <c r="J662" s="675"/>
      <c r="K662" s="675"/>
      <c r="L662" s="675"/>
      <c r="M662" s="675"/>
    </row>
    <row r="663" spans="1:13" x14ac:dyDescent="0.25">
      <c r="A663" s="675" t="s">
        <v>1059</v>
      </c>
      <c r="B663" s="675" t="s">
        <v>512</v>
      </c>
      <c r="C663" s="675" t="s">
        <v>810</v>
      </c>
      <c r="D663" s="675" t="s">
        <v>21</v>
      </c>
      <c r="E663" s="675" t="s">
        <v>514</v>
      </c>
      <c r="F663" s="675" t="s">
        <v>515</v>
      </c>
      <c r="G663" s="675"/>
      <c r="H663" s="675"/>
      <c r="I663" s="675"/>
      <c r="J663" s="675"/>
      <c r="K663" s="675"/>
      <c r="L663" s="675"/>
      <c r="M663" s="675"/>
    </row>
    <row r="664" spans="1:13" x14ac:dyDescent="0.25">
      <c r="A664" s="675" t="s">
        <v>1059</v>
      </c>
      <c r="B664" s="675" t="s">
        <v>512</v>
      </c>
      <c r="C664" s="675" t="s">
        <v>1060</v>
      </c>
      <c r="D664" s="675" t="s">
        <v>21</v>
      </c>
      <c r="E664" s="675" t="s">
        <v>514</v>
      </c>
      <c r="F664" s="675" t="s">
        <v>515</v>
      </c>
      <c r="G664" s="675"/>
      <c r="H664" s="675"/>
      <c r="I664" s="675"/>
      <c r="J664" s="675"/>
      <c r="K664" s="675"/>
      <c r="L664" s="675"/>
      <c r="M664" s="675"/>
    </row>
    <row r="665" spans="1:13" x14ac:dyDescent="0.25">
      <c r="A665" s="675" t="s">
        <v>1061</v>
      </c>
      <c r="B665" s="675" t="s">
        <v>512</v>
      </c>
      <c r="C665" s="675" t="s">
        <v>1062</v>
      </c>
      <c r="D665" s="675" t="s">
        <v>21</v>
      </c>
      <c r="E665" s="675" t="s">
        <v>514</v>
      </c>
      <c r="F665" s="675" t="s">
        <v>515</v>
      </c>
      <c r="G665" s="675"/>
      <c r="H665" s="675"/>
      <c r="I665" s="675"/>
      <c r="J665" s="675"/>
      <c r="K665" s="675"/>
      <c r="L665" s="675"/>
      <c r="M665" s="675"/>
    </row>
    <row r="666" spans="1:13" x14ac:dyDescent="0.25">
      <c r="A666" s="675" t="s">
        <v>1063</v>
      </c>
      <c r="B666" s="675" t="s">
        <v>512</v>
      </c>
      <c r="C666" s="675" t="s">
        <v>809</v>
      </c>
      <c r="D666" s="675" t="s">
        <v>21</v>
      </c>
      <c r="E666" s="675" t="s">
        <v>514</v>
      </c>
      <c r="F666" s="675" t="s">
        <v>515</v>
      </c>
      <c r="G666" s="675"/>
      <c r="H666" s="675"/>
      <c r="I666" s="675"/>
      <c r="J666" s="675"/>
      <c r="K666" s="675"/>
      <c r="L666" s="675"/>
      <c r="M666" s="675"/>
    </row>
    <row r="667" spans="1:13" x14ac:dyDescent="0.25">
      <c r="A667" s="675" t="s">
        <v>1063</v>
      </c>
      <c r="B667" s="675" t="s">
        <v>512</v>
      </c>
      <c r="C667" s="675" t="s">
        <v>1064</v>
      </c>
      <c r="D667" s="675" t="s">
        <v>21</v>
      </c>
      <c r="E667" s="675" t="s">
        <v>514</v>
      </c>
      <c r="F667" s="675" t="s">
        <v>515</v>
      </c>
      <c r="G667" s="675"/>
      <c r="H667" s="675"/>
      <c r="I667" s="675"/>
      <c r="J667" s="675"/>
      <c r="K667" s="675"/>
      <c r="L667" s="675"/>
      <c r="M667" s="675"/>
    </row>
    <row r="668" spans="1:13" x14ac:dyDescent="0.25">
      <c r="A668" s="675" t="s">
        <v>1063</v>
      </c>
      <c r="B668" s="675" t="s">
        <v>512</v>
      </c>
      <c r="C668" s="675" t="s">
        <v>1065</v>
      </c>
      <c r="D668" s="675" t="s">
        <v>21</v>
      </c>
      <c r="E668" s="675" t="s">
        <v>514</v>
      </c>
      <c r="F668" s="675" t="s">
        <v>515</v>
      </c>
      <c r="G668" s="675"/>
      <c r="H668" s="675"/>
      <c r="I668" s="675"/>
      <c r="J668" s="675"/>
      <c r="K668" s="675"/>
      <c r="L668" s="675"/>
      <c r="M668" s="675"/>
    </row>
    <row r="669" spans="1:13" x14ac:dyDescent="0.25">
      <c r="A669" s="675" t="s">
        <v>1063</v>
      </c>
      <c r="B669" s="675" t="s">
        <v>512</v>
      </c>
      <c r="C669" s="675" t="s">
        <v>1066</v>
      </c>
      <c r="D669" s="675" t="s">
        <v>21</v>
      </c>
      <c r="E669" s="675" t="s">
        <v>514</v>
      </c>
      <c r="F669" s="675" t="s">
        <v>515</v>
      </c>
      <c r="G669" s="675"/>
      <c r="H669" s="675"/>
      <c r="I669" s="675"/>
      <c r="J669" s="675"/>
      <c r="K669" s="675"/>
      <c r="L669" s="675"/>
      <c r="M669" s="675"/>
    </row>
    <row r="670" spans="1:13" x14ac:dyDescent="0.25">
      <c r="A670" s="675" t="s">
        <v>1063</v>
      </c>
      <c r="B670" s="675" t="s">
        <v>512</v>
      </c>
      <c r="C670" s="675" t="s">
        <v>1067</v>
      </c>
      <c r="D670" s="675" t="s">
        <v>21</v>
      </c>
      <c r="E670" s="675" t="s">
        <v>514</v>
      </c>
      <c r="F670" s="675" t="s">
        <v>515</v>
      </c>
      <c r="G670" s="675"/>
      <c r="H670" s="675"/>
      <c r="I670" s="675"/>
      <c r="J670" s="675"/>
      <c r="K670" s="675"/>
      <c r="L670" s="675"/>
      <c r="M670" s="675"/>
    </row>
    <row r="671" spans="1:13" x14ac:dyDescent="0.25">
      <c r="A671" s="675" t="s">
        <v>1063</v>
      </c>
      <c r="B671" s="675" t="s">
        <v>545</v>
      </c>
      <c r="C671" s="675" t="s">
        <v>1068</v>
      </c>
      <c r="D671" s="675" t="s">
        <v>21</v>
      </c>
      <c r="E671" s="675" t="s">
        <v>514</v>
      </c>
      <c r="F671" s="675" t="s">
        <v>515</v>
      </c>
      <c r="G671" s="675"/>
      <c r="H671" s="675"/>
      <c r="I671" s="675"/>
      <c r="J671" s="675"/>
      <c r="K671" s="675"/>
      <c r="L671" s="675"/>
      <c r="M671" s="675"/>
    </row>
    <row r="672" spans="1:13" x14ac:dyDescent="0.25">
      <c r="A672" s="675" t="s">
        <v>1063</v>
      </c>
      <c r="B672" s="675" t="s">
        <v>545</v>
      </c>
      <c r="C672" s="675" t="s">
        <v>820</v>
      </c>
      <c r="D672" s="675" t="s">
        <v>21</v>
      </c>
      <c r="E672" s="675" t="s">
        <v>514</v>
      </c>
      <c r="F672" s="675" t="s">
        <v>515</v>
      </c>
      <c r="G672" s="675"/>
      <c r="H672" s="675"/>
      <c r="I672" s="675"/>
      <c r="J672" s="675"/>
      <c r="K672" s="675"/>
      <c r="L672" s="675"/>
      <c r="M672" s="675"/>
    </row>
    <row r="673" spans="1:13" x14ac:dyDescent="0.25">
      <c r="A673" s="675" t="s">
        <v>1063</v>
      </c>
      <c r="B673" s="675" t="s">
        <v>564</v>
      </c>
      <c r="C673" s="675" t="s">
        <v>1069</v>
      </c>
      <c r="D673" s="675" t="s">
        <v>21</v>
      </c>
      <c r="E673" s="675" t="s">
        <v>514</v>
      </c>
      <c r="F673" s="675" t="s">
        <v>515</v>
      </c>
      <c r="G673" s="675"/>
      <c r="H673" s="675"/>
      <c r="I673" s="675"/>
      <c r="J673" s="675"/>
      <c r="K673" s="675"/>
      <c r="L673" s="675"/>
      <c r="M673" s="675"/>
    </row>
    <row r="674" spans="1:13" x14ac:dyDescent="0.25">
      <c r="A674" s="675" t="s">
        <v>1063</v>
      </c>
      <c r="B674" s="675" t="s">
        <v>564</v>
      </c>
      <c r="C674" s="675" t="s">
        <v>1070</v>
      </c>
      <c r="D674" s="675" t="s">
        <v>21</v>
      </c>
      <c r="E674" s="675" t="s">
        <v>514</v>
      </c>
      <c r="F674" s="675" t="s">
        <v>515</v>
      </c>
      <c r="G674" s="675"/>
      <c r="H674" s="675"/>
      <c r="I674" s="675"/>
      <c r="J674" s="675"/>
      <c r="K674" s="675"/>
      <c r="L674" s="675"/>
      <c r="M674" s="675"/>
    </row>
    <row r="675" spans="1:13" x14ac:dyDescent="0.25">
      <c r="A675" s="675" t="s">
        <v>1063</v>
      </c>
      <c r="B675" s="675" t="s">
        <v>564</v>
      </c>
      <c r="C675" s="675" t="s">
        <v>1071</v>
      </c>
      <c r="D675" s="675" t="s">
        <v>21</v>
      </c>
      <c r="E675" s="675" t="s">
        <v>514</v>
      </c>
      <c r="F675" s="675" t="s">
        <v>515</v>
      </c>
      <c r="G675" s="675"/>
      <c r="H675" s="675"/>
      <c r="I675" s="675"/>
      <c r="J675" s="675"/>
      <c r="K675" s="675"/>
      <c r="L675" s="675"/>
      <c r="M675" s="675"/>
    </row>
    <row r="676" spans="1:13" x14ac:dyDescent="0.25">
      <c r="A676" s="675" t="s">
        <v>1072</v>
      </c>
      <c r="B676" s="675" t="s">
        <v>512</v>
      </c>
      <c r="C676" s="675" t="s">
        <v>1073</v>
      </c>
      <c r="D676" s="675" t="s">
        <v>21</v>
      </c>
      <c r="E676" s="675" t="s">
        <v>514</v>
      </c>
      <c r="F676" s="675" t="s">
        <v>515</v>
      </c>
      <c r="G676" s="675"/>
      <c r="H676" s="675"/>
      <c r="I676" s="675"/>
      <c r="J676" s="675"/>
      <c r="K676" s="675"/>
      <c r="L676" s="675"/>
      <c r="M676" s="675"/>
    </row>
    <row r="677" spans="1:13" x14ac:dyDescent="0.25">
      <c r="A677" s="675" t="s">
        <v>1072</v>
      </c>
      <c r="B677" s="675" t="s">
        <v>512</v>
      </c>
      <c r="C677" s="675" t="s">
        <v>809</v>
      </c>
      <c r="D677" s="675" t="s">
        <v>21</v>
      </c>
      <c r="E677" s="675" t="s">
        <v>514</v>
      </c>
      <c r="F677" s="675" t="s">
        <v>515</v>
      </c>
      <c r="G677" s="675"/>
      <c r="H677" s="675"/>
      <c r="I677" s="675"/>
      <c r="J677" s="675"/>
      <c r="K677" s="675"/>
      <c r="L677" s="675"/>
      <c r="M677" s="675"/>
    </row>
    <row r="678" spans="1:13" x14ac:dyDescent="0.25">
      <c r="A678" s="675" t="s">
        <v>1072</v>
      </c>
      <c r="B678" s="675" t="s">
        <v>512</v>
      </c>
      <c r="C678" s="675" t="s">
        <v>1074</v>
      </c>
      <c r="D678" s="675" t="s">
        <v>21</v>
      </c>
      <c r="E678" s="675" t="s">
        <v>514</v>
      </c>
      <c r="F678" s="675" t="s">
        <v>515</v>
      </c>
      <c r="G678" s="675"/>
      <c r="H678" s="675"/>
      <c r="I678" s="675"/>
      <c r="J678" s="675"/>
      <c r="K678" s="675"/>
      <c r="L678" s="675"/>
      <c r="M678" s="675"/>
    </row>
    <row r="679" spans="1:13" x14ac:dyDescent="0.25">
      <c r="A679" s="675" t="s">
        <v>1072</v>
      </c>
      <c r="B679" s="675" t="s">
        <v>512</v>
      </c>
      <c r="C679" s="675" t="s">
        <v>1067</v>
      </c>
      <c r="D679" s="675" t="s">
        <v>21</v>
      </c>
      <c r="E679" s="675" t="s">
        <v>514</v>
      </c>
      <c r="F679" s="675" t="s">
        <v>515</v>
      </c>
      <c r="G679" s="675"/>
      <c r="H679" s="675"/>
      <c r="I679" s="675"/>
      <c r="J679" s="675"/>
      <c r="K679" s="675"/>
      <c r="L679" s="675"/>
      <c r="M679" s="675"/>
    </row>
    <row r="680" spans="1:13" x14ac:dyDescent="0.25">
      <c r="A680" s="675" t="s">
        <v>1072</v>
      </c>
      <c r="B680" s="675" t="s">
        <v>512</v>
      </c>
      <c r="C680" s="675" t="s">
        <v>1075</v>
      </c>
      <c r="D680" s="675" t="s">
        <v>21</v>
      </c>
      <c r="E680" s="675" t="s">
        <v>514</v>
      </c>
      <c r="F680" s="675" t="s">
        <v>515</v>
      </c>
      <c r="G680" s="675"/>
      <c r="H680" s="675"/>
      <c r="I680" s="675"/>
      <c r="J680" s="675"/>
      <c r="K680" s="675"/>
      <c r="L680" s="675"/>
      <c r="M680" s="675"/>
    </row>
    <row r="681" spans="1:13" x14ac:dyDescent="0.25">
      <c r="A681" s="675" t="s">
        <v>1076</v>
      </c>
      <c r="B681" s="675" t="s">
        <v>512</v>
      </c>
      <c r="C681" s="675" t="s">
        <v>1077</v>
      </c>
      <c r="D681" s="675" t="s">
        <v>21</v>
      </c>
      <c r="E681" s="675" t="s">
        <v>514</v>
      </c>
      <c r="F681" s="675" t="s">
        <v>515</v>
      </c>
      <c r="G681" s="675"/>
      <c r="H681" s="675"/>
      <c r="I681" s="675"/>
      <c r="J681" s="675"/>
      <c r="K681" s="675"/>
      <c r="L681" s="675"/>
      <c r="M681" s="675"/>
    </row>
    <row r="682" spans="1:13" x14ac:dyDescent="0.25">
      <c r="A682" s="675" t="s">
        <v>1076</v>
      </c>
      <c r="B682" s="675" t="s">
        <v>512</v>
      </c>
      <c r="C682" s="675" t="s">
        <v>1078</v>
      </c>
      <c r="D682" s="675" t="s">
        <v>21</v>
      </c>
      <c r="E682" s="675" t="s">
        <v>514</v>
      </c>
      <c r="F682" s="675" t="s">
        <v>515</v>
      </c>
      <c r="G682" s="675"/>
      <c r="H682" s="675"/>
      <c r="I682" s="675"/>
      <c r="J682" s="675"/>
      <c r="K682" s="675"/>
      <c r="L682" s="675"/>
      <c r="M682" s="675"/>
    </row>
    <row r="683" spans="1:13" x14ac:dyDescent="0.25">
      <c r="A683" s="675" t="s">
        <v>1076</v>
      </c>
      <c r="B683" s="675" t="s">
        <v>545</v>
      </c>
      <c r="C683" s="675" t="s">
        <v>1079</v>
      </c>
      <c r="D683" s="675" t="s">
        <v>21</v>
      </c>
      <c r="E683" s="675" t="s">
        <v>514</v>
      </c>
      <c r="F683" s="675" t="s">
        <v>515</v>
      </c>
      <c r="G683" s="675"/>
      <c r="H683" s="675"/>
      <c r="I683" s="675"/>
      <c r="J683" s="675"/>
      <c r="K683" s="675"/>
      <c r="L683" s="675"/>
      <c r="M683" s="675"/>
    </row>
    <row r="684" spans="1:13" x14ac:dyDescent="0.25">
      <c r="A684" s="675" t="s">
        <v>1076</v>
      </c>
      <c r="B684" s="675" t="s">
        <v>545</v>
      </c>
      <c r="C684" s="675" t="s">
        <v>1080</v>
      </c>
      <c r="D684" s="675" t="s">
        <v>21</v>
      </c>
      <c r="E684" s="675" t="s">
        <v>514</v>
      </c>
      <c r="F684" s="675" t="s">
        <v>515</v>
      </c>
      <c r="G684" s="675"/>
      <c r="H684" s="675"/>
      <c r="I684" s="675"/>
      <c r="J684" s="675"/>
      <c r="K684" s="675"/>
      <c r="L684" s="675"/>
      <c r="M684" s="675"/>
    </row>
    <row r="685" spans="1:13" x14ac:dyDescent="0.25">
      <c r="A685" s="675" t="s">
        <v>1076</v>
      </c>
      <c r="B685" s="675" t="s">
        <v>545</v>
      </c>
      <c r="C685" s="675" t="s">
        <v>1081</v>
      </c>
      <c r="D685" s="675" t="s">
        <v>21</v>
      </c>
      <c r="E685" s="675" t="s">
        <v>514</v>
      </c>
      <c r="F685" s="675" t="s">
        <v>515</v>
      </c>
      <c r="G685" s="675"/>
      <c r="H685" s="675"/>
      <c r="I685" s="675"/>
      <c r="J685" s="675"/>
      <c r="K685" s="675"/>
      <c r="L685" s="675"/>
      <c r="M685" s="675"/>
    </row>
    <row r="686" spans="1:13" x14ac:dyDescent="0.25">
      <c r="A686" s="675" t="s">
        <v>1076</v>
      </c>
      <c r="B686" s="675" t="s">
        <v>564</v>
      </c>
      <c r="C686" s="675" t="s">
        <v>1082</v>
      </c>
      <c r="D686" s="675" t="s">
        <v>21</v>
      </c>
      <c r="E686" s="675" t="s">
        <v>514</v>
      </c>
      <c r="F686" s="675" t="s">
        <v>515</v>
      </c>
      <c r="G686" s="675"/>
      <c r="H686" s="675"/>
      <c r="I686" s="675"/>
      <c r="J686" s="675"/>
      <c r="K686" s="675"/>
      <c r="L686" s="675"/>
      <c r="M686" s="675"/>
    </row>
    <row r="687" spans="1:13" x14ac:dyDescent="0.25">
      <c r="A687" s="675" t="s">
        <v>1083</v>
      </c>
      <c r="B687" s="675" t="s">
        <v>512</v>
      </c>
      <c r="C687" s="675" t="s">
        <v>1084</v>
      </c>
      <c r="D687" s="675" t="s">
        <v>21</v>
      </c>
      <c r="E687" s="675" t="s">
        <v>514</v>
      </c>
      <c r="F687" s="675" t="s">
        <v>515</v>
      </c>
      <c r="G687" s="675"/>
      <c r="H687" s="675"/>
      <c r="I687" s="675"/>
      <c r="J687" s="675"/>
      <c r="K687" s="675"/>
      <c r="L687" s="675"/>
      <c r="M687" s="675"/>
    </row>
    <row r="688" spans="1:13" x14ac:dyDescent="0.25">
      <c r="A688" s="675" t="s">
        <v>1083</v>
      </c>
      <c r="B688" s="675" t="s">
        <v>512</v>
      </c>
      <c r="C688" s="675" t="s">
        <v>1085</v>
      </c>
      <c r="D688" s="675" t="s">
        <v>21</v>
      </c>
      <c r="E688" s="675" t="s">
        <v>514</v>
      </c>
      <c r="F688" s="675" t="s">
        <v>515</v>
      </c>
      <c r="G688" s="675"/>
      <c r="H688" s="675"/>
      <c r="I688" s="675"/>
      <c r="J688" s="675"/>
      <c r="K688" s="675"/>
      <c r="L688" s="675"/>
      <c r="M688" s="675"/>
    </row>
    <row r="689" spans="1:13" x14ac:dyDescent="0.25">
      <c r="A689" s="675" t="s">
        <v>1083</v>
      </c>
      <c r="B689" s="675" t="s">
        <v>512</v>
      </c>
      <c r="C689" s="675" t="s">
        <v>1086</v>
      </c>
      <c r="D689" s="675" t="s">
        <v>21</v>
      </c>
      <c r="E689" s="675" t="s">
        <v>514</v>
      </c>
      <c r="F689" s="675" t="s">
        <v>515</v>
      </c>
      <c r="G689" s="675"/>
      <c r="H689" s="675"/>
      <c r="I689" s="675"/>
      <c r="J689" s="675"/>
      <c r="K689" s="675"/>
      <c r="L689" s="675"/>
      <c r="M689" s="675"/>
    </row>
    <row r="690" spans="1:13" x14ac:dyDescent="0.25">
      <c r="A690" s="675" t="s">
        <v>1083</v>
      </c>
      <c r="B690" s="675" t="s">
        <v>512</v>
      </c>
      <c r="C690" s="675" t="s">
        <v>1087</v>
      </c>
      <c r="D690" s="675" t="s">
        <v>21</v>
      </c>
      <c r="E690" s="675" t="s">
        <v>514</v>
      </c>
      <c r="F690" s="675" t="s">
        <v>515</v>
      </c>
      <c r="G690" s="675"/>
      <c r="H690" s="675"/>
      <c r="I690" s="675"/>
      <c r="J690" s="675"/>
      <c r="K690" s="675"/>
      <c r="L690" s="675"/>
      <c r="M690" s="675"/>
    </row>
    <row r="691" spans="1:13" x14ac:dyDescent="0.25">
      <c r="A691" s="675" t="s">
        <v>1083</v>
      </c>
      <c r="B691" s="675" t="s">
        <v>512</v>
      </c>
      <c r="C691" s="675" t="s">
        <v>1065</v>
      </c>
      <c r="D691" s="675" t="s">
        <v>21</v>
      </c>
      <c r="E691" s="675" t="s">
        <v>514</v>
      </c>
      <c r="F691" s="675" t="s">
        <v>515</v>
      </c>
      <c r="G691" s="675"/>
      <c r="H691" s="675"/>
      <c r="I691" s="675"/>
      <c r="J691" s="675"/>
      <c r="K691" s="675"/>
      <c r="L691" s="675"/>
      <c r="M691" s="675"/>
    </row>
    <row r="692" spans="1:13" x14ac:dyDescent="0.25">
      <c r="A692" s="675" t="s">
        <v>1083</v>
      </c>
      <c r="B692" s="675" t="s">
        <v>512</v>
      </c>
      <c r="C692" s="675" t="s">
        <v>1088</v>
      </c>
      <c r="D692" s="675" t="s">
        <v>21</v>
      </c>
      <c r="E692" s="675" t="s">
        <v>514</v>
      </c>
      <c r="F692" s="675" t="s">
        <v>515</v>
      </c>
      <c r="G692" s="675"/>
      <c r="H692" s="675"/>
      <c r="I692" s="675"/>
      <c r="J692" s="675"/>
      <c r="K692" s="675"/>
      <c r="L692" s="675"/>
      <c r="M692" s="675"/>
    </row>
    <row r="693" spans="1:13" x14ac:dyDescent="0.25">
      <c r="A693" s="675" t="s">
        <v>1083</v>
      </c>
      <c r="B693" s="675" t="s">
        <v>512</v>
      </c>
      <c r="C693" s="675" t="s">
        <v>1089</v>
      </c>
      <c r="D693" s="675" t="s">
        <v>21</v>
      </c>
      <c r="E693" s="675" t="s">
        <v>514</v>
      </c>
      <c r="F693" s="675" t="s">
        <v>515</v>
      </c>
      <c r="G693" s="675"/>
      <c r="H693" s="675"/>
      <c r="I693" s="675"/>
      <c r="J693" s="675"/>
      <c r="K693" s="675"/>
      <c r="L693" s="675"/>
      <c r="M693" s="675"/>
    </row>
    <row r="694" spans="1:13" x14ac:dyDescent="0.25">
      <c r="A694" s="675" t="s">
        <v>1083</v>
      </c>
      <c r="B694" s="675" t="s">
        <v>512</v>
      </c>
      <c r="C694" s="675" t="s">
        <v>1090</v>
      </c>
      <c r="D694" s="675" t="s">
        <v>21</v>
      </c>
      <c r="E694" s="675" t="s">
        <v>514</v>
      </c>
      <c r="F694" s="675" t="s">
        <v>515</v>
      </c>
      <c r="G694" s="675"/>
      <c r="H694" s="675"/>
      <c r="I694" s="675"/>
      <c r="J694" s="675"/>
      <c r="K694" s="675"/>
      <c r="L694" s="675"/>
      <c r="M694" s="675"/>
    </row>
    <row r="695" spans="1:13" x14ac:dyDescent="0.25">
      <c r="A695" s="675" t="s">
        <v>1083</v>
      </c>
      <c r="B695" s="675" t="s">
        <v>512</v>
      </c>
      <c r="C695" s="675" t="s">
        <v>1091</v>
      </c>
      <c r="D695" s="675" t="s">
        <v>21</v>
      </c>
      <c r="E695" s="675" t="s">
        <v>514</v>
      </c>
      <c r="F695" s="675" t="s">
        <v>515</v>
      </c>
      <c r="G695" s="675"/>
      <c r="H695" s="675"/>
      <c r="I695" s="675"/>
      <c r="J695" s="675"/>
      <c r="K695" s="675"/>
      <c r="L695" s="675"/>
      <c r="M695" s="675"/>
    </row>
    <row r="696" spans="1:13" x14ac:dyDescent="0.25">
      <c r="A696" s="675" t="s">
        <v>1083</v>
      </c>
      <c r="B696" s="675" t="s">
        <v>512</v>
      </c>
      <c r="C696" s="675" t="s">
        <v>1092</v>
      </c>
      <c r="D696" s="675" t="s">
        <v>21</v>
      </c>
      <c r="E696" s="675" t="s">
        <v>514</v>
      </c>
      <c r="F696" s="675" t="s">
        <v>515</v>
      </c>
      <c r="G696" s="675"/>
      <c r="H696" s="675"/>
      <c r="I696" s="675"/>
      <c r="J696" s="675"/>
      <c r="K696" s="675"/>
      <c r="L696" s="675"/>
      <c r="M696" s="675"/>
    </row>
    <row r="697" spans="1:13" x14ac:dyDescent="0.25">
      <c r="A697" s="675" t="s">
        <v>1083</v>
      </c>
      <c r="B697" s="675" t="s">
        <v>545</v>
      </c>
      <c r="C697" s="675" t="s">
        <v>1093</v>
      </c>
      <c r="D697" s="675" t="s">
        <v>21</v>
      </c>
      <c r="E697" s="675" t="s">
        <v>514</v>
      </c>
      <c r="F697" s="675" t="s">
        <v>515</v>
      </c>
      <c r="G697" s="675"/>
      <c r="H697" s="675"/>
      <c r="I697" s="675"/>
      <c r="J697" s="675"/>
      <c r="K697" s="675"/>
      <c r="L697" s="675"/>
      <c r="M697" s="675"/>
    </row>
    <row r="698" spans="1:13" x14ac:dyDescent="0.25">
      <c r="A698" s="675" t="s">
        <v>1083</v>
      </c>
      <c r="B698" s="675" t="s">
        <v>545</v>
      </c>
      <c r="C698" s="675" t="s">
        <v>1094</v>
      </c>
      <c r="D698" s="675" t="s">
        <v>21</v>
      </c>
      <c r="E698" s="675" t="s">
        <v>514</v>
      </c>
      <c r="F698" s="675" t="s">
        <v>515</v>
      </c>
      <c r="G698" s="675"/>
      <c r="H698" s="675"/>
      <c r="I698" s="675"/>
      <c r="J698" s="675"/>
      <c r="K698" s="675"/>
      <c r="L698" s="675"/>
      <c r="M698" s="675"/>
    </row>
    <row r="699" spans="1:13" x14ac:dyDescent="0.25">
      <c r="A699" s="675" t="s">
        <v>1083</v>
      </c>
      <c r="B699" s="675" t="s">
        <v>545</v>
      </c>
      <c r="C699" s="675" t="s">
        <v>1095</v>
      </c>
      <c r="D699" s="675" t="s">
        <v>21</v>
      </c>
      <c r="E699" s="675" t="s">
        <v>514</v>
      </c>
      <c r="F699" s="675" t="s">
        <v>515</v>
      </c>
      <c r="G699" s="675"/>
      <c r="H699" s="675"/>
      <c r="I699" s="675"/>
      <c r="J699" s="675"/>
      <c r="K699" s="675"/>
      <c r="L699" s="675"/>
      <c r="M699" s="675"/>
    </row>
    <row r="700" spans="1:13" x14ac:dyDescent="0.25">
      <c r="A700" s="675" t="s">
        <v>1083</v>
      </c>
      <c r="B700" s="675" t="s">
        <v>545</v>
      </c>
      <c r="C700" s="675" t="s">
        <v>1096</v>
      </c>
      <c r="D700" s="675" t="s">
        <v>21</v>
      </c>
      <c r="E700" s="675" t="s">
        <v>514</v>
      </c>
      <c r="F700" s="675" t="s">
        <v>515</v>
      </c>
      <c r="G700" s="675"/>
      <c r="H700" s="675"/>
      <c r="I700" s="675"/>
      <c r="J700" s="675"/>
      <c r="K700" s="675"/>
      <c r="L700" s="675"/>
      <c r="M700" s="675"/>
    </row>
    <row r="701" spans="1:13" x14ac:dyDescent="0.25">
      <c r="A701" s="675" t="s">
        <v>1083</v>
      </c>
      <c r="B701" s="675" t="s">
        <v>545</v>
      </c>
      <c r="C701" s="675" t="s">
        <v>1097</v>
      </c>
      <c r="D701" s="675" t="s">
        <v>21</v>
      </c>
      <c r="E701" s="675" t="s">
        <v>514</v>
      </c>
      <c r="F701" s="675" t="s">
        <v>515</v>
      </c>
      <c r="G701" s="675"/>
      <c r="H701" s="675"/>
      <c r="I701" s="675"/>
      <c r="J701" s="675"/>
      <c r="K701" s="675"/>
      <c r="L701" s="675"/>
      <c r="M701" s="675"/>
    </row>
    <row r="702" spans="1:13" x14ac:dyDescent="0.25">
      <c r="A702" s="675" t="s">
        <v>1083</v>
      </c>
      <c r="B702" s="675" t="s">
        <v>545</v>
      </c>
      <c r="C702" s="675" t="s">
        <v>1098</v>
      </c>
      <c r="D702" s="675" t="s">
        <v>21</v>
      </c>
      <c r="E702" s="675" t="s">
        <v>514</v>
      </c>
      <c r="F702" s="675" t="s">
        <v>515</v>
      </c>
      <c r="G702" s="675"/>
      <c r="H702" s="675"/>
      <c r="I702" s="675"/>
      <c r="J702" s="675"/>
      <c r="K702" s="675"/>
      <c r="L702" s="675"/>
      <c r="M702" s="675"/>
    </row>
    <row r="703" spans="1:13" x14ac:dyDescent="0.25">
      <c r="A703" s="675" t="s">
        <v>1083</v>
      </c>
      <c r="B703" s="675" t="s">
        <v>545</v>
      </c>
      <c r="C703" s="675" t="s">
        <v>1099</v>
      </c>
      <c r="D703" s="675" t="s">
        <v>21</v>
      </c>
      <c r="E703" s="675" t="s">
        <v>514</v>
      </c>
      <c r="F703" s="675" t="s">
        <v>515</v>
      </c>
      <c r="G703" s="675"/>
      <c r="H703" s="675"/>
      <c r="I703" s="675"/>
      <c r="J703" s="675"/>
      <c r="K703" s="675"/>
      <c r="L703" s="675"/>
      <c r="M703" s="675"/>
    </row>
    <row r="704" spans="1:13" x14ac:dyDescent="0.25">
      <c r="A704" s="675" t="s">
        <v>1083</v>
      </c>
      <c r="B704" s="675" t="s">
        <v>564</v>
      </c>
      <c r="C704" s="675" t="s">
        <v>1100</v>
      </c>
      <c r="D704" s="675" t="s">
        <v>21</v>
      </c>
      <c r="E704" s="675" t="s">
        <v>514</v>
      </c>
      <c r="F704" s="675" t="s">
        <v>515</v>
      </c>
      <c r="G704" s="675"/>
      <c r="H704" s="675"/>
      <c r="I704" s="675"/>
      <c r="J704" s="675"/>
      <c r="K704" s="675"/>
      <c r="L704" s="675"/>
      <c r="M704" s="675"/>
    </row>
    <row r="705" spans="1:13" x14ac:dyDescent="0.25">
      <c r="A705" s="675" t="s">
        <v>1083</v>
      </c>
      <c r="B705" s="675" t="s">
        <v>564</v>
      </c>
      <c r="C705" s="675" t="s">
        <v>1101</v>
      </c>
      <c r="D705" s="675" t="s">
        <v>21</v>
      </c>
      <c r="E705" s="675" t="s">
        <v>514</v>
      </c>
      <c r="F705" s="675" t="s">
        <v>515</v>
      </c>
      <c r="G705" s="675"/>
      <c r="H705" s="675"/>
      <c r="I705" s="675"/>
      <c r="J705" s="675"/>
      <c r="K705" s="675"/>
      <c r="L705" s="675"/>
      <c r="M705" s="675"/>
    </row>
    <row r="706" spans="1:13" x14ac:dyDescent="0.25">
      <c r="A706" s="675" t="s">
        <v>1083</v>
      </c>
      <c r="B706" s="675" t="s">
        <v>564</v>
      </c>
      <c r="C706" s="675" t="s">
        <v>1102</v>
      </c>
      <c r="D706" s="675" t="s">
        <v>21</v>
      </c>
      <c r="E706" s="675" t="s">
        <v>514</v>
      </c>
      <c r="F706" s="675" t="s">
        <v>515</v>
      </c>
      <c r="G706" s="675"/>
      <c r="H706" s="675"/>
      <c r="I706" s="675"/>
      <c r="J706" s="675"/>
      <c r="K706" s="675"/>
      <c r="L706" s="675"/>
      <c r="M706" s="675"/>
    </row>
    <row r="707" spans="1:13" x14ac:dyDescent="0.25">
      <c r="A707" s="675" t="s">
        <v>1083</v>
      </c>
      <c r="B707" s="675" t="s">
        <v>564</v>
      </c>
      <c r="C707" s="675" t="s">
        <v>1103</v>
      </c>
      <c r="D707" s="675" t="s">
        <v>21</v>
      </c>
      <c r="E707" s="675" t="s">
        <v>514</v>
      </c>
      <c r="F707" s="675" t="s">
        <v>515</v>
      </c>
      <c r="G707" s="675"/>
      <c r="H707" s="675"/>
      <c r="I707" s="675"/>
      <c r="J707" s="675"/>
      <c r="K707" s="675"/>
      <c r="L707" s="675"/>
      <c r="M707" s="675"/>
    </row>
    <row r="708" spans="1:13" x14ac:dyDescent="0.25">
      <c r="A708" s="675" t="s">
        <v>1083</v>
      </c>
      <c r="B708" s="675" t="s">
        <v>564</v>
      </c>
      <c r="C708" s="675" t="s">
        <v>1104</v>
      </c>
      <c r="D708" s="675" t="s">
        <v>21</v>
      </c>
      <c r="E708" s="675" t="s">
        <v>514</v>
      </c>
      <c r="F708" s="675" t="s">
        <v>515</v>
      </c>
      <c r="G708" s="675"/>
      <c r="H708" s="675"/>
      <c r="I708" s="675"/>
      <c r="J708" s="675"/>
      <c r="K708" s="675"/>
      <c r="L708" s="675"/>
      <c r="M708" s="675"/>
    </row>
    <row r="709" spans="1:13" x14ac:dyDescent="0.25">
      <c r="A709" s="675" t="s">
        <v>1083</v>
      </c>
      <c r="B709" s="675" t="s">
        <v>564</v>
      </c>
      <c r="C709" s="675" t="s">
        <v>1105</v>
      </c>
      <c r="D709" s="675" t="s">
        <v>21</v>
      </c>
      <c r="E709" s="675" t="s">
        <v>514</v>
      </c>
      <c r="F709" s="675" t="s">
        <v>515</v>
      </c>
      <c r="G709" s="675"/>
      <c r="H709" s="675"/>
      <c r="I709" s="675"/>
      <c r="J709" s="675"/>
      <c r="K709" s="675"/>
      <c r="L709" s="675"/>
      <c r="M709" s="675"/>
    </row>
    <row r="710" spans="1:13" x14ac:dyDescent="0.25">
      <c r="A710" s="675" t="s">
        <v>1106</v>
      </c>
      <c r="B710" s="675" t="s">
        <v>512</v>
      </c>
      <c r="C710" s="675" t="s">
        <v>1107</v>
      </c>
      <c r="D710" s="675" t="s">
        <v>21</v>
      </c>
      <c r="E710" s="675" t="s">
        <v>514</v>
      </c>
      <c r="F710" s="675" t="s">
        <v>515</v>
      </c>
      <c r="G710" s="675"/>
      <c r="H710" s="675"/>
      <c r="I710" s="675"/>
      <c r="J710" s="675"/>
      <c r="K710" s="675"/>
      <c r="L710" s="675"/>
      <c r="M710" s="675"/>
    </row>
    <row r="711" spans="1:13" x14ac:dyDescent="0.25">
      <c r="A711" s="675" t="s">
        <v>1106</v>
      </c>
      <c r="B711" s="675" t="s">
        <v>512</v>
      </c>
      <c r="C711" s="675" t="s">
        <v>1108</v>
      </c>
      <c r="D711" s="675" t="s">
        <v>21</v>
      </c>
      <c r="E711" s="675" t="s">
        <v>514</v>
      </c>
      <c r="F711" s="675" t="s">
        <v>515</v>
      </c>
      <c r="G711" s="675"/>
      <c r="H711" s="675"/>
      <c r="I711" s="675"/>
      <c r="J711" s="675"/>
      <c r="K711" s="675"/>
      <c r="L711" s="675"/>
      <c r="M711" s="675"/>
    </row>
    <row r="712" spans="1:13" x14ac:dyDescent="0.25">
      <c r="A712" s="675" t="s">
        <v>1109</v>
      </c>
      <c r="B712" s="675" t="s">
        <v>512</v>
      </c>
      <c r="C712" s="675" t="s">
        <v>807</v>
      </c>
      <c r="D712" s="675" t="s">
        <v>21</v>
      </c>
      <c r="E712" s="675" t="s">
        <v>514</v>
      </c>
      <c r="F712" s="675" t="s">
        <v>515</v>
      </c>
      <c r="G712" s="675"/>
      <c r="H712" s="675"/>
      <c r="I712" s="675"/>
      <c r="J712" s="675"/>
      <c r="K712" s="675"/>
      <c r="L712" s="675"/>
      <c r="M712" s="675"/>
    </row>
    <row r="713" spans="1:13" x14ac:dyDescent="0.25">
      <c r="A713" s="675" t="s">
        <v>1109</v>
      </c>
      <c r="B713" s="675" t="s">
        <v>512</v>
      </c>
      <c r="C713" s="675" t="s">
        <v>629</v>
      </c>
      <c r="D713" s="675" t="s">
        <v>21</v>
      </c>
      <c r="E713" s="675" t="s">
        <v>514</v>
      </c>
      <c r="F713" s="675" t="s">
        <v>515</v>
      </c>
      <c r="G713" s="675"/>
      <c r="H713" s="675"/>
      <c r="I713" s="675"/>
      <c r="J713" s="675"/>
      <c r="K713" s="675"/>
      <c r="L713" s="675"/>
      <c r="M713" s="675"/>
    </row>
    <row r="714" spans="1:13" x14ac:dyDescent="0.25">
      <c r="A714" s="675" t="s">
        <v>1109</v>
      </c>
      <c r="B714" s="675" t="s">
        <v>512</v>
      </c>
      <c r="C714" s="675" t="s">
        <v>1110</v>
      </c>
      <c r="D714" s="675" t="s">
        <v>21</v>
      </c>
      <c r="E714" s="675" t="s">
        <v>514</v>
      </c>
      <c r="F714" s="675" t="s">
        <v>515</v>
      </c>
      <c r="G714" s="675"/>
      <c r="H714" s="675"/>
      <c r="I714" s="675"/>
      <c r="J714" s="675"/>
      <c r="K714" s="675"/>
      <c r="L714" s="675"/>
      <c r="M714" s="675"/>
    </row>
    <row r="715" spans="1:13" x14ac:dyDescent="0.25">
      <c r="A715" s="675" t="s">
        <v>1109</v>
      </c>
      <c r="B715" s="675" t="s">
        <v>512</v>
      </c>
      <c r="C715" s="675" t="s">
        <v>813</v>
      </c>
      <c r="D715" s="675" t="s">
        <v>21</v>
      </c>
      <c r="E715" s="675" t="s">
        <v>514</v>
      </c>
      <c r="F715" s="675" t="s">
        <v>515</v>
      </c>
      <c r="G715" s="675"/>
      <c r="H715" s="675"/>
      <c r="I715" s="675"/>
      <c r="J715" s="675"/>
      <c r="K715" s="675"/>
      <c r="L715" s="675"/>
      <c r="M715" s="675"/>
    </row>
    <row r="716" spans="1:13" x14ac:dyDescent="0.25">
      <c r="A716" s="675" t="s">
        <v>1109</v>
      </c>
      <c r="B716" s="675" t="s">
        <v>512</v>
      </c>
      <c r="C716" s="675" t="s">
        <v>815</v>
      </c>
      <c r="D716" s="675" t="s">
        <v>21</v>
      </c>
      <c r="E716" s="675" t="s">
        <v>514</v>
      </c>
      <c r="F716" s="675" t="s">
        <v>515</v>
      </c>
      <c r="G716" s="675"/>
      <c r="H716" s="675"/>
      <c r="I716" s="675"/>
      <c r="J716" s="675"/>
      <c r="K716" s="675"/>
      <c r="L716" s="675"/>
      <c r="M716" s="675"/>
    </row>
    <row r="717" spans="1:13" x14ac:dyDescent="0.25">
      <c r="A717" s="675" t="s">
        <v>1109</v>
      </c>
      <c r="B717" s="675" t="s">
        <v>545</v>
      </c>
      <c r="C717" s="675" t="s">
        <v>1111</v>
      </c>
      <c r="D717" s="675" t="s">
        <v>21</v>
      </c>
      <c r="E717" s="675" t="s">
        <v>514</v>
      </c>
      <c r="F717" s="675" t="s">
        <v>515</v>
      </c>
      <c r="G717" s="675"/>
      <c r="H717" s="675"/>
      <c r="I717" s="675"/>
      <c r="J717" s="675"/>
      <c r="K717" s="675"/>
      <c r="L717" s="675"/>
      <c r="M717" s="675"/>
    </row>
    <row r="718" spans="1:13" x14ac:dyDescent="0.25">
      <c r="A718" s="675" t="s">
        <v>1109</v>
      </c>
      <c r="B718" s="675" t="s">
        <v>545</v>
      </c>
      <c r="C718" s="675" t="s">
        <v>645</v>
      </c>
      <c r="D718" s="675" t="s">
        <v>21</v>
      </c>
      <c r="E718" s="675" t="s">
        <v>514</v>
      </c>
      <c r="F718" s="675" t="s">
        <v>515</v>
      </c>
      <c r="G718" s="675"/>
      <c r="H718" s="675"/>
      <c r="I718" s="675"/>
      <c r="J718" s="675"/>
      <c r="K718" s="675"/>
      <c r="L718" s="675"/>
      <c r="M718" s="675"/>
    </row>
    <row r="719" spans="1:13" x14ac:dyDescent="0.25">
      <c r="A719" s="675" t="s">
        <v>1109</v>
      </c>
      <c r="B719" s="675" t="s">
        <v>545</v>
      </c>
      <c r="C719" s="675" t="s">
        <v>1112</v>
      </c>
      <c r="D719" s="675" t="s">
        <v>21</v>
      </c>
      <c r="E719" s="675" t="s">
        <v>514</v>
      </c>
      <c r="F719" s="675" t="s">
        <v>515</v>
      </c>
      <c r="G719" s="675"/>
      <c r="H719" s="675"/>
      <c r="I719" s="675"/>
      <c r="J719" s="675"/>
      <c r="K719" s="675"/>
      <c r="L719" s="675"/>
      <c r="M719" s="675"/>
    </row>
    <row r="720" spans="1:13" x14ac:dyDescent="0.25">
      <c r="A720" s="675" t="s">
        <v>1109</v>
      </c>
      <c r="B720" s="675" t="s">
        <v>545</v>
      </c>
      <c r="C720" s="675" t="s">
        <v>1113</v>
      </c>
      <c r="D720" s="675" t="s">
        <v>21</v>
      </c>
      <c r="E720" s="675" t="s">
        <v>514</v>
      </c>
      <c r="F720" s="675" t="s">
        <v>515</v>
      </c>
      <c r="G720" s="675"/>
      <c r="H720" s="675"/>
      <c r="I720" s="675"/>
      <c r="J720" s="675"/>
      <c r="K720" s="675"/>
      <c r="L720" s="675"/>
      <c r="M720" s="675"/>
    </row>
    <row r="721" spans="1:13" x14ac:dyDescent="0.25">
      <c r="A721" s="675" t="s">
        <v>1109</v>
      </c>
      <c r="B721" s="675" t="s">
        <v>545</v>
      </c>
      <c r="C721" s="675" t="s">
        <v>1114</v>
      </c>
      <c r="D721" s="675" t="s">
        <v>21</v>
      </c>
      <c r="E721" s="675" t="s">
        <v>514</v>
      </c>
      <c r="F721" s="675" t="s">
        <v>515</v>
      </c>
      <c r="G721" s="675"/>
      <c r="H721" s="675"/>
      <c r="I721" s="675"/>
      <c r="J721" s="675"/>
      <c r="K721" s="675"/>
      <c r="L721" s="675"/>
      <c r="M721" s="675"/>
    </row>
    <row r="722" spans="1:13" x14ac:dyDescent="0.25">
      <c r="A722" s="675" t="s">
        <v>1109</v>
      </c>
      <c r="B722" s="675" t="s">
        <v>564</v>
      </c>
      <c r="C722" s="675" t="s">
        <v>1115</v>
      </c>
      <c r="D722" s="675" t="s">
        <v>21</v>
      </c>
      <c r="E722" s="675" t="s">
        <v>514</v>
      </c>
      <c r="F722" s="675" t="s">
        <v>515</v>
      </c>
      <c r="G722" s="675"/>
      <c r="H722" s="675"/>
      <c r="I722" s="675"/>
      <c r="J722" s="675"/>
      <c r="K722" s="675"/>
      <c r="L722" s="675"/>
      <c r="M722" s="675"/>
    </row>
    <row r="723" spans="1:13" x14ac:dyDescent="0.25">
      <c r="A723" s="675" t="s">
        <v>1116</v>
      </c>
      <c r="B723" s="675" t="s">
        <v>512</v>
      </c>
      <c r="C723" s="675" t="s">
        <v>1073</v>
      </c>
      <c r="D723" s="675" t="s">
        <v>21</v>
      </c>
      <c r="E723" s="675" t="s">
        <v>514</v>
      </c>
      <c r="F723" s="675" t="s">
        <v>515</v>
      </c>
      <c r="G723" s="675"/>
      <c r="H723" s="675"/>
      <c r="I723" s="675"/>
      <c r="J723" s="675"/>
      <c r="K723" s="675"/>
      <c r="L723" s="675"/>
      <c r="M723" s="675"/>
    </row>
    <row r="724" spans="1:13" x14ac:dyDescent="0.25">
      <c r="A724" s="675" t="s">
        <v>1116</v>
      </c>
      <c r="B724" s="675" t="s">
        <v>512</v>
      </c>
      <c r="C724" s="675" t="s">
        <v>1117</v>
      </c>
      <c r="D724" s="675" t="s">
        <v>21</v>
      </c>
      <c r="E724" s="675" t="s">
        <v>514</v>
      </c>
      <c r="F724" s="675" t="s">
        <v>515</v>
      </c>
      <c r="G724" s="675"/>
      <c r="H724" s="675"/>
      <c r="I724" s="675"/>
      <c r="J724" s="675"/>
      <c r="K724" s="675"/>
      <c r="L724" s="675"/>
      <c r="M724" s="675"/>
    </row>
    <row r="725" spans="1:13" x14ac:dyDescent="0.25">
      <c r="A725" s="675" t="s">
        <v>1116</v>
      </c>
      <c r="B725" s="675" t="s">
        <v>512</v>
      </c>
      <c r="C725" s="675" t="s">
        <v>1118</v>
      </c>
      <c r="D725" s="675" t="s">
        <v>21</v>
      </c>
      <c r="E725" s="675" t="s">
        <v>514</v>
      </c>
      <c r="F725" s="675" t="s">
        <v>515</v>
      </c>
      <c r="G725" s="675"/>
      <c r="H725" s="675"/>
      <c r="I725" s="675"/>
      <c r="J725" s="675"/>
      <c r="K725" s="675"/>
      <c r="L725" s="675"/>
      <c r="M725" s="675"/>
    </row>
    <row r="726" spans="1:13" x14ac:dyDescent="0.25">
      <c r="A726" s="675" t="s">
        <v>1116</v>
      </c>
      <c r="B726" s="675" t="s">
        <v>512</v>
      </c>
      <c r="C726" s="675" t="s">
        <v>809</v>
      </c>
      <c r="D726" s="675" t="s">
        <v>21</v>
      </c>
      <c r="E726" s="675" t="s">
        <v>514</v>
      </c>
      <c r="F726" s="675" t="s">
        <v>515</v>
      </c>
      <c r="G726" s="675"/>
      <c r="H726" s="675"/>
      <c r="I726" s="675"/>
      <c r="J726" s="675"/>
      <c r="K726" s="675"/>
      <c r="L726" s="675"/>
      <c r="M726" s="675"/>
    </row>
    <row r="727" spans="1:13" x14ac:dyDescent="0.25">
      <c r="A727" s="675" t="s">
        <v>1116</v>
      </c>
      <c r="B727" s="675" t="s">
        <v>512</v>
      </c>
      <c r="C727" s="675" t="s">
        <v>1119</v>
      </c>
      <c r="D727" s="675" t="s">
        <v>21</v>
      </c>
      <c r="E727" s="675" t="s">
        <v>514</v>
      </c>
      <c r="F727" s="675" t="s">
        <v>515</v>
      </c>
      <c r="G727" s="675"/>
      <c r="H727" s="675"/>
      <c r="I727" s="675"/>
      <c r="J727" s="675"/>
      <c r="K727" s="675"/>
      <c r="L727" s="675"/>
      <c r="M727" s="675"/>
    </row>
    <row r="728" spans="1:13" x14ac:dyDescent="0.25">
      <c r="A728" s="675" t="s">
        <v>1116</v>
      </c>
      <c r="B728" s="675" t="s">
        <v>512</v>
      </c>
      <c r="C728" s="675" t="s">
        <v>1074</v>
      </c>
      <c r="D728" s="675" t="s">
        <v>21</v>
      </c>
      <c r="E728" s="675" t="s">
        <v>514</v>
      </c>
      <c r="F728" s="675" t="s">
        <v>515</v>
      </c>
      <c r="G728" s="675"/>
      <c r="H728" s="675"/>
      <c r="I728" s="675"/>
      <c r="J728" s="675"/>
      <c r="K728" s="675"/>
      <c r="L728" s="675"/>
      <c r="M728" s="675"/>
    </row>
    <row r="729" spans="1:13" x14ac:dyDescent="0.25">
      <c r="A729" s="675" t="s">
        <v>1116</v>
      </c>
      <c r="B729" s="675" t="s">
        <v>512</v>
      </c>
      <c r="C729" s="675" t="s">
        <v>1120</v>
      </c>
      <c r="D729" s="675" t="s">
        <v>21</v>
      </c>
      <c r="E729" s="675" t="s">
        <v>514</v>
      </c>
      <c r="F729" s="675" t="s">
        <v>515</v>
      </c>
      <c r="G729" s="675"/>
      <c r="H729" s="675"/>
      <c r="I729" s="675"/>
      <c r="J729" s="675"/>
      <c r="K729" s="675"/>
      <c r="L729" s="675"/>
      <c r="M729" s="675"/>
    </row>
    <row r="730" spans="1:13" x14ac:dyDescent="0.25">
      <c r="A730" s="675" t="s">
        <v>1116</v>
      </c>
      <c r="B730" s="675" t="s">
        <v>545</v>
      </c>
      <c r="C730" s="675" t="s">
        <v>1111</v>
      </c>
      <c r="D730" s="675" t="s">
        <v>21</v>
      </c>
      <c r="E730" s="675" t="s">
        <v>514</v>
      </c>
      <c r="F730" s="675" t="s">
        <v>515</v>
      </c>
      <c r="G730" s="675"/>
      <c r="H730" s="675"/>
      <c r="I730" s="675"/>
      <c r="J730" s="675"/>
      <c r="K730" s="675"/>
      <c r="L730" s="675"/>
      <c r="M730" s="675"/>
    </row>
    <row r="731" spans="1:13" x14ac:dyDescent="0.25">
      <c r="A731" s="675" t="s">
        <v>1116</v>
      </c>
      <c r="B731" s="675" t="s">
        <v>545</v>
      </c>
      <c r="C731" s="675" t="s">
        <v>1121</v>
      </c>
      <c r="D731" s="675" t="s">
        <v>21</v>
      </c>
      <c r="E731" s="675" t="s">
        <v>514</v>
      </c>
      <c r="F731" s="675" t="s">
        <v>515</v>
      </c>
      <c r="G731" s="675"/>
      <c r="H731" s="675"/>
      <c r="I731" s="675"/>
      <c r="J731" s="675"/>
      <c r="K731" s="675"/>
      <c r="L731" s="675"/>
      <c r="M731" s="675"/>
    </row>
    <row r="732" spans="1:13" x14ac:dyDescent="0.25">
      <c r="A732" s="675" t="s">
        <v>1116</v>
      </c>
      <c r="B732" s="675" t="s">
        <v>545</v>
      </c>
      <c r="C732" s="675" t="s">
        <v>1122</v>
      </c>
      <c r="D732" s="675" t="s">
        <v>21</v>
      </c>
      <c r="E732" s="675" t="s">
        <v>514</v>
      </c>
      <c r="F732" s="675" t="s">
        <v>515</v>
      </c>
      <c r="G732" s="675"/>
      <c r="H732" s="675"/>
      <c r="I732" s="675"/>
      <c r="J732" s="675"/>
      <c r="K732" s="675"/>
      <c r="L732" s="675"/>
      <c r="M732" s="675"/>
    </row>
    <row r="733" spans="1:13" x14ac:dyDescent="0.25">
      <c r="A733" s="675" t="s">
        <v>1116</v>
      </c>
      <c r="B733" s="675" t="s">
        <v>545</v>
      </c>
      <c r="C733" s="675" t="s">
        <v>1112</v>
      </c>
      <c r="D733" s="675" t="s">
        <v>21</v>
      </c>
      <c r="E733" s="675" t="s">
        <v>514</v>
      </c>
      <c r="F733" s="675" t="s">
        <v>515</v>
      </c>
      <c r="G733" s="675"/>
      <c r="H733" s="675"/>
      <c r="I733" s="675"/>
      <c r="J733" s="675"/>
      <c r="K733" s="675"/>
      <c r="L733" s="675"/>
      <c r="M733" s="675"/>
    </row>
    <row r="734" spans="1:13" x14ac:dyDescent="0.25">
      <c r="A734" s="675" t="s">
        <v>1116</v>
      </c>
      <c r="B734" s="675" t="s">
        <v>545</v>
      </c>
      <c r="C734" s="675" t="s">
        <v>1123</v>
      </c>
      <c r="D734" s="675" t="s">
        <v>21</v>
      </c>
      <c r="E734" s="675" t="s">
        <v>514</v>
      </c>
      <c r="F734" s="675" t="s">
        <v>515</v>
      </c>
      <c r="G734" s="675"/>
      <c r="H734" s="675"/>
      <c r="I734" s="675"/>
      <c r="J734" s="675"/>
      <c r="K734" s="675"/>
      <c r="L734" s="675"/>
      <c r="M734" s="675"/>
    </row>
    <row r="735" spans="1:13" x14ac:dyDescent="0.25">
      <c r="A735" s="675" t="s">
        <v>1116</v>
      </c>
      <c r="B735" s="675" t="s">
        <v>545</v>
      </c>
      <c r="C735" s="675" t="s">
        <v>1114</v>
      </c>
      <c r="D735" s="675" t="s">
        <v>21</v>
      </c>
      <c r="E735" s="675" t="s">
        <v>514</v>
      </c>
      <c r="F735" s="675" t="s">
        <v>515</v>
      </c>
      <c r="G735" s="675"/>
      <c r="H735" s="675"/>
      <c r="I735" s="675"/>
      <c r="J735" s="675"/>
      <c r="K735" s="675"/>
      <c r="L735" s="675"/>
      <c r="M735" s="675"/>
    </row>
    <row r="736" spans="1:13" x14ac:dyDescent="0.25">
      <c r="A736" s="675" t="s">
        <v>1116</v>
      </c>
      <c r="B736" s="675" t="s">
        <v>564</v>
      </c>
      <c r="C736" s="675" t="s">
        <v>1121</v>
      </c>
      <c r="D736" s="675" t="s">
        <v>21</v>
      </c>
      <c r="E736" s="675" t="s">
        <v>514</v>
      </c>
      <c r="F736" s="675" t="s">
        <v>515</v>
      </c>
      <c r="G736" s="675"/>
      <c r="H736" s="675"/>
      <c r="I736" s="675"/>
      <c r="J736" s="675"/>
      <c r="K736" s="675"/>
      <c r="L736" s="675"/>
      <c r="M736" s="675"/>
    </row>
    <row r="737" spans="1:13" x14ac:dyDescent="0.25">
      <c r="A737" s="675" t="s">
        <v>1116</v>
      </c>
      <c r="B737" s="675" t="s">
        <v>564</v>
      </c>
      <c r="C737" s="675" t="s">
        <v>1122</v>
      </c>
      <c r="D737" s="675" t="s">
        <v>21</v>
      </c>
      <c r="E737" s="675" t="s">
        <v>514</v>
      </c>
      <c r="F737" s="675" t="s">
        <v>515</v>
      </c>
      <c r="G737" s="675"/>
      <c r="H737" s="675"/>
      <c r="I737" s="675"/>
      <c r="J737" s="675"/>
      <c r="K737" s="675"/>
      <c r="L737" s="675"/>
      <c r="M737" s="675"/>
    </row>
    <row r="738" spans="1:13" x14ac:dyDescent="0.25">
      <c r="A738" s="675" t="s">
        <v>1124</v>
      </c>
      <c r="B738" s="675" t="s">
        <v>512</v>
      </c>
      <c r="C738" s="675" t="s">
        <v>1125</v>
      </c>
      <c r="D738" s="675" t="s">
        <v>21</v>
      </c>
      <c r="E738" s="702"/>
      <c r="F738" s="702"/>
      <c r="G738" s="675"/>
      <c r="H738" s="675"/>
      <c r="I738" s="675"/>
      <c r="J738" s="675"/>
      <c r="K738" s="675"/>
      <c r="L738" s="675"/>
      <c r="M738" s="675"/>
    </row>
    <row r="739" spans="1:13" x14ac:dyDescent="0.25">
      <c r="A739" s="675" t="s">
        <v>1124</v>
      </c>
      <c r="B739" s="675" t="s">
        <v>512</v>
      </c>
      <c r="C739" s="675" t="s">
        <v>1126</v>
      </c>
      <c r="D739" s="675" t="s">
        <v>21</v>
      </c>
      <c r="E739" s="702"/>
      <c r="F739" s="702"/>
      <c r="G739" s="675"/>
      <c r="H739" s="675"/>
      <c r="I739" s="675"/>
      <c r="J739" s="675"/>
      <c r="K739" s="675"/>
      <c r="L739" s="675"/>
      <c r="M739" s="675"/>
    </row>
    <row r="740" spans="1:13" x14ac:dyDescent="0.25">
      <c r="A740" s="675" t="s">
        <v>1124</v>
      </c>
      <c r="B740" s="675" t="s">
        <v>512</v>
      </c>
      <c r="C740" s="675" t="s">
        <v>1127</v>
      </c>
      <c r="D740" s="675" t="s">
        <v>21</v>
      </c>
      <c r="E740" s="702"/>
      <c r="F740" s="702"/>
      <c r="G740" s="675"/>
      <c r="H740" s="675"/>
      <c r="I740" s="675"/>
      <c r="J740" s="675"/>
      <c r="K740" s="675"/>
      <c r="L740" s="675"/>
      <c r="M740" s="675"/>
    </row>
    <row r="741" spans="1:13" x14ac:dyDescent="0.25">
      <c r="A741" s="675" t="s">
        <v>1124</v>
      </c>
      <c r="B741" s="675" t="s">
        <v>512</v>
      </c>
      <c r="C741" s="675" t="s">
        <v>1128</v>
      </c>
      <c r="D741" s="675" t="s">
        <v>21</v>
      </c>
      <c r="E741" s="702"/>
      <c r="F741" s="702"/>
      <c r="G741" s="675"/>
      <c r="H741" s="675"/>
      <c r="I741" s="675"/>
      <c r="J741" s="675"/>
      <c r="K741" s="675"/>
      <c r="L741" s="675"/>
      <c r="M741" s="675"/>
    </row>
    <row r="742" spans="1:13" x14ac:dyDescent="0.25">
      <c r="A742" s="675" t="s">
        <v>1124</v>
      </c>
      <c r="B742" s="675" t="s">
        <v>512</v>
      </c>
      <c r="C742" s="675" t="s">
        <v>1129</v>
      </c>
      <c r="D742" s="675" t="s">
        <v>21</v>
      </c>
      <c r="E742" s="702"/>
      <c r="F742" s="702"/>
      <c r="G742" s="675"/>
      <c r="H742" s="675"/>
      <c r="I742" s="675"/>
      <c r="J742" s="675"/>
      <c r="K742" s="675"/>
      <c r="L742" s="675"/>
      <c r="M742" s="675"/>
    </row>
    <row r="743" spans="1:13" x14ac:dyDescent="0.25">
      <c r="A743" s="675" t="s">
        <v>1124</v>
      </c>
      <c r="B743" s="675" t="s">
        <v>545</v>
      </c>
      <c r="C743" s="675" t="s">
        <v>1130</v>
      </c>
      <c r="D743" s="675" t="s">
        <v>21</v>
      </c>
      <c r="E743" s="702"/>
      <c r="F743" s="702"/>
      <c r="G743" s="675"/>
      <c r="H743" s="675"/>
      <c r="I743" s="675"/>
      <c r="J743" s="675"/>
      <c r="K743" s="675"/>
      <c r="L743" s="675"/>
      <c r="M743" s="675"/>
    </row>
    <row r="744" spans="1:13" x14ac:dyDescent="0.25">
      <c r="A744" s="675" t="s">
        <v>1124</v>
      </c>
      <c r="B744" s="675" t="s">
        <v>545</v>
      </c>
      <c r="C744" s="675" t="s">
        <v>1131</v>
      </c>
      <c r="D744" s="675" t="s">
        <v>21</v>
      </c>
      <c r="E744" s="702"/>
      <c r="F744" s="702"/>
      <c r="G744" s="675"/>
      <c r="H744" s="675"/>
      <c r="I744" s="675"/>
      <c r="J744" s="675"/>
      <c r="K744" s="675"/>
      <c r="L744" s="675"/>
      <c r="M744" s="675"/>
    </row>
    <row r="745" spans="1:13" x14ac:dyDescent="0.25">
      <c r="A745" s="675" t="s">
        <v>1124</v>
      </c>
      <c r="B745" s="675" t="s">
        <v>545</v>
      </c>
      <c r="C745" s="675" t="s">
        <v>1132</v>
      </c>
      <c r="D745" s="675" t="s">
        <v>21</v>
      </c>
      <c r="E745" s="702"/>
      <c r="F745" s="702"/>
      <c r="G745" s="675"/>
      <c r="H745" s="675"/>
      <c r="I745" s="675"/>
      <c r="J745" s="675"/>
      <c r="K745" s="675"/>
      <c r="L745" s="675"/>
      <c r="M745" s="675"/>
    </row>
    <row r="746" spans="1:13" x14ac:dyDescent="0.25">
      <c r="A746" s="675" t="s">
        <v>1124</v>
      </c>
      <c r="B746" s="675" t="s">
        <v>545</v>
      </c>
      <c r="C746" s="675" t="s">
        <v>1133</v>
      </c>
      <c r="D746" s="675" t="s">
        <v>21</v>
      </c>
      <c r="E746" s="702"/>
      <c r="F746" s="702"/>
      <c r="G746" s="675"/>
      <c r="H746" s="675"/>
      <c r="I746" s="675"/>
      <c r="J746" s="675"/>
      <c r="K746" s="675"/>
      <c r="L746" s="675"/>
      <c r="M746" s="675"/>
    </row>
    <row r="747" spans="1:13" x14ac:dyDescent="0.25">
      <c r="A747" s="675" t="s">
        <v>1124</v>
      </c>
      <c r="B747" s="675" t="s">
        <v>545</v>
      </c>
      <c r="C747" s="675" t="s">
        <v>1134</v>
      </c>
      <c r="D747" s="675" t="s">
        <v>21</v>
      </c>
      <c r="E747" s="702"/>
      <c r="F747" s="702"/>
      <c r="G747" s="675"/>
      <c r="H747" s="675"/>
      <c r="I747" s="675"/>
      <c r="J747" s="675"/>
      <c r="K747" s="675"/>
      <c r="L747" s="675"/>
      <c r="M747" s="675"/>
    </row>
    <row r="748" spans="1:13" x14ac:dyDescent="0.25">
      <c r="A748" s="675" t="s">
        <v>1124</v>
      </c>
      <c r="B748" s="675" t="s">
        <v>564</v>
      </c>
      <c r="C748" s="675" t="s">
        <v>1135</v>
      </c>
      <c r="D748" s="675" t="s">
        <v>21</v>
      </c>
      <c r="E748" s="702"/>
      <c r="F748" s="702"/>
      <c r="G748" s="675"/>
      <c r="H748" s="675"/>
      <c r="I748" s="675"/>
      <c r="J748" s="675"/>
      <c r="K748" s="675"/>
      <c r="L748" s="675"/>
      <c r="M748" s="675"/>
    </row>
    <row r="749" spans="1:13" x14ac:dyDescent="0.25">
      <c r="A749" s="675" t="s">
        <v>1124</v>
      </c>
      <c r="B749" s="675" t="s">
        <v>564</v>
      </c>
      <c r="C749" s="675" t="s">
        <v>1136</v>
      </c>
      <c r="D749" s="675" t="s">
        <v>21</v>
      </c>
      <c r="E749" s="702"/>
      <c r="F749" s="702"/>
      <c r="G749" s="675"/>
      <c r="H749" s="675"/>
      <c r="I749" s="675"/>
      <c r="J749" s="675"/>
      <c r="K749" s="675"/>
      <c r="L749" s="675"/>
      <c r="M749" s="675"/>
    </row>
    <row r="750" spans="1:13" x14ac:dyDescent="0.25">
      <c r="A750" s="675" t="s">
        <v>1124</v>
      </c>
      <c r="B750" s="675" t="s">
        <v>564</v>
      </c>
      <c r="C750" s="675" t="s">
        <v>1137</v>
      </c>
      <c r="D750" s="675" t="s">
        <v>21</v>
      </c>
      <c r="E750" s="702"/>
      <c r="F750" s="702"/>
      <c r="G750" s="675"/>
      <c r="H750" s="675"/>
      <c r="I750" s="675"/>
      <c r="J750" s="675"/>
      <c r="K750" s="675"/>
      <c r="L750" s="675"/>
      <c r="M750" s="675"/>
    </row>
    <row r="751" spans="1:13" x14ac:dyDescent="0.25">
      <c r="A751" s="675" t="s">
        <v>1124</v>
      </c>
      <c r="B751" s="675" t="s">
        <v>564</v>
      </c>
      <c r="C751" s="675" t="s">
        <v>1138</v>
      </c>
      <c r="D751" s="675" t="s">
        <v>21</v>
      </c>
      <c r="E751" s="702"/>
      <c r="F751" s="702"/>
      <c r="G751" s="675"/>
      <c r="H751" s="675"/>
      <c r="I751" s="675"/>
      <c r="J751" s="675"/>
      <c r="K751" s="675"/>
      <c r="L751" s="675"/>
      <c r="M751" s="675"/>
    </row>
    <row r="752" spans="1:13" x14ac:dyDescent="0.25">
      <c r="A752" s="675" t="s">
        <v>1124</v>
      </c>
      <c r="B752" s="675" t="s">
        <v>564</v>
      </c>
      <c r="C752" s="675" t="s">
        <v>1139</v>
      </c>
      <c r="D752" s="675" t="s">
        <v>21</v>
      </c>
      <c r="E752" s="702"/>
      <c r="F752" s="702"/>
      <c r="G752" s="675"/>
      <c r="H752" s="675"/>
      <c r="I752" s="675"/>
      <c r="J752" s="675"/>
      <c r="K752" s="675"/>
      <c r="L752" s="675"/>
      <c r="M752" s="675"/>
    </row>
    <row r="753" spans="1:13" x14ac:dyDescent="0.25">
      <c r="A753" s="675" t="s">
        <v>1140</v>
      </c>
      <c r="B753" s="675" t="s">
        <v>512</v>
      </c>
      <c r="C753" s="675" t="s">
        <v>1141</v>
      </c>
      <c r="D753" s="675" t="s">
        <v>21</v>
      </c>
      <c r="E753" s="675" t="s">
        <v>514</v>
      </c>
      <c r="F753" s="675" t="s">
        <v>515</v>
      </c>
      <c r="G753" s="675"/>
      <c r="H753" s="675"/>
      <c r="I753" s="675"/>
      <c r="J753" s="675"/>
      <c r="K753" s="675"/>
      <c r="L753" s="675"/>
      <c r="M753" s="675"/>
    </row>
    <row r="754" spans="1:13" x14ac:dyDescent="0.25">
      <c r="A754" s="675" t="s">
        <v>1140</v>
      </c>
      <c r="B754" s="675" t="s">
        <v>512</v>
      </c>
      <c r="C754" s="675" t="s">
        <v>707</v>
      </c>
      <c r="D754" s="675" t="s">
        <v>21</v>
      </c>
      <c r="E754" s="675" t="s">
        <v>514</v>
      </c>
      <c r="F754" s="675" t="s">
        <v>515</v>
      </c>
      <c r="G754" s="675"/>
      <c r="H754" s="675"/>
      <c r="I754" s="675"/>
      <c r="J754" s="675"/>
      <c r="K754" s="675"/>
      <c r="L754" s="675"/>
      <c r="M754" s="675"/>
    </row>
    <row r="755" spans="1:13" x14ac:dyDescent="0.25">
      <c r="A755" s="675" t="s">
        <v>1140</v>
      </c>
      <c r="B755" s="675" t="s">
        <v>512</v>
      </c>
      <c r="C755" s="675" t="s">
        <v>1142</v>
      </c>
      <c r="D755" s="675" t="s">
        <v>21</v>
      </c>
      <c r="E755" s="675" t="s">
        <v>514</v>
      </c>
      <c r="F755" s="675" t="s">
        <v>515</v>
      </c>
      <c r="G755" s="675"/>
      <c r="H755" s="675"/>
      <c r="I755" s="675"/>
      <c r="J755" s="675"/>
      <c r="K755" s="675"/>
      <c r="L755" s="675"/>
      <c r="M755" s="675"/>
    </row>
    <row r="756" spans="1:13" x14ac:dyDescent="0.25">
      <c r="A756" s="675" t="s">
        <v>1140</v>
      </c>
      <c r="B756" s="675" t="s">
        <v>512</v>
      </c>
      <c r="C756" s="675" t="s">
        <v>887</v>
      </c>
      <c r="D756" s="675" t="s">
        <v>21</v>
      </c>
      <c r="E756" s="675" t="s">
        <v>514</v>
      </c>
      <c r="F756" s="675" t="s">
        <v>515</v>
      </c>
      <c r="G756" s="675"/>
      <c r="H756" s="675"/>
      <c r="I756" s="675"/>
      <c r="J756" s="675"/>
      <c r="K756" s="675"/>
      <c r="L756" s="675"/>
      <c r="M756" s="675"/>
    </row>
    <row r="757" spans="1:13" x14ac:dyDescent="0.25">
      <c r="A757" s="675" t="s">
        <v>1140</v>
      </c>
      <c r="B757" s="675" t="s">
        <v>512</v>
      </c>
      <c r="C757" s="675" t="s">
        <v>1143</v>
      </c>
      <c r="D757" s="675" t="s">
        <v>21</v>
      </c>
      <c r="E757" s="675" t="s">
        <v>514</v>
      </c>
      <c r="F757" s="675" t="s">
        <v>515</v>
      </c>
      <c r="G757" s="675"/>
      <c r="H757" s="675"/>
      <c r="I757" s="675"/>
      <c r="J757" s="675"/>
      <c r="K757" s="675"/>
      <c r="L757" s="675"/>
      <c r="M757" s="675"/>
    </row>
    <row r="758" spans="1:13" x14ac:dyDescent="0.25">
      <c r="A758" s="675" t="s">
        <v>1140</v>
      </c>
      <c r="B758" s="675" t="s">
        <v>512</v>
      </c>
      <c r="C758" s="675" t="s">
        <v>892</v>
      </c>
      <c r="D758" s="675" t="s">
        <v>21</v>
      </c>
      <c r="E758" s="675" t="s">
        <v>514</v>
      </c>
      <c r="F758" s="675" t="s">
        <v>515</v>
      </c>
      <c r="G758" s="675"/>
      <c r="H758" s="675"/>
      <c r="I758" s="675"/>
      <c r="J758" s="675"/>
      <c r="K758" s="675"/>
      <c r="L758" s="675"/>
      <c r="M758" s="675"/>
    </row>
    <row r="759" spans="1:13" x14ac:dyDescent="0.25">
      <c r="A759" s="675" t="s">
        <v>1140</v>
      </c>
      <c r="B759" s="675" t="s">
        <v>512</v>
      </c>
      <c r="C759" s="675" t="s">
        <v>1144</v>
      </c>
      <c r="D759" s="675" t="s">
        <v>21</v>
      </c>
      <c r="E759" s="675" t="s">
        <v>514</v>
      </c>
      <c r="F759" s="675" t="s">
        <v>515</v>
      </c>
      <c r="G759" s="675"/>
      <c r="H759" s="675"/>
      <c r="I759" s="675"/>
      <c r="J759" s="675"/>
      <c r="K759" s="675"/>
      <c r="L759" s="675"/>
      <c r="M759" s="675"/>
    </row>
    <row r="760" spans="1:13" x14ac:dyDescent="0.25">
      <c r="A760" s="675" t="s">
        <v>1140</v>
      </c>
      <c r="B760" s="675" t="s">
        <v>512</v>
      </c>
      <c r="C760" s="675" t="s">
        <v>1145</v>
      </c>
      <c r="D760" s="675" t="s">
        <v>21</v>
      </c>
      <c r="E760" s="675" t="s">
        <v>514</v>
      </c>
      <c r="F760" s="675" t="s">
        <v>515</v>
      </c>
      <c r="G760" s="675"/>
      <c r="H760" s="675"/>
      <c r="I760" s="675"/>
      <c r="J760" s="675"/>
      <c r="K760" s="675"/>
      <c r="L760" s="675"/>
      <c r="M760" s="675"/>
    </row>
    <row r="761" spans="1:13" x14ac:dyDescent="0.25">
      <c r="A761" s="675" t="s">
        <v>1140</v>
      </c>
      <c r="B761" s="675" t="s">
        <v>512</v>
      </c>
      <c r="C761" s="675" t="s">
        <v>898</v>
      </c>
      <c r="D761" s="675" t="s">
        <v>21</v>
      </c>
      <c r="E761" s="675" t="s">
        <v>514</v>
      </c>
      <c r="F761" s="675" t="s">
        <v>515</v>
      </c>
      <c r="G761" s="675"/>
      <c r="H761" s="675"/>
      <c r="I761" s="675"/>
      <c r="J761" s="675"/>
      <c r="K761" s="675"/>
      <c r="L761" s="675"/>
      <c r="M761" s="675"/>
    </row>
    <row r="762" spans="1:13" x14ac:dyDescent="0.25">
      <c r="A762" s="675" t="s">
        <v>1140</v>
      </c>
      <c r="B762" s="675" t="s">
        <v>512</v>
      </c>
      <c r="C762" s="675" t="s">
        <v>1146</v>
      </c>
      <c r="D762" s="675" t="s">
        <v>21</v>
      </c>
      <c r="E762" s="675" t="s">
        <v>514</v>
      </c>
      <c r="F762" s="675" t="s">
        <v>515</v>
      </c>
      <c r="G762" s="675"/>
      <c r="H762" s="675"/>
      <c r="I762" s="675"/>
      <c r="J762" s="675"/>
      <c r="K762" s="675"/>
      <c r="L762" s="675"/>
      <c r="M762" s="675"/>
    </row>
    <row r="763" spans="1:13" x14ac:dyDescent="0.25">
      <c r="A763" s="675" t="s">
        <v>1140</v>
      </c>
      <c r="B763" s="675" t="s">
        <v>512</v>
      </c>
      <c r="C763" s="675" t="s">
        <v>1147</v>
      </c>
      <c r="D763" s="675" t="s">
        <v>21</v>
      </c>
      <c r="E763" s="675" t="s">
        <v>514</v>
      </c>
      <c r="F763" s="675" t="s">
        <v>515</v>
      </c>
      <c r="G763" s="675"/>
      <c r="H763" s="675"/>
      <c r="I763" s="675"/>
      <c r="J763" s="675"/>
      <c r="K763" s="675"/>
      <c r="L763" s="675"/>
      <c r="M763" s="675"/>
    </row>
    <row r="764" spans="1:13" x14ac:dyDescent="0.25">
      <c r="A764" s="675" t="s">
        <v>1140</v>
      </c>
      <c r="B764" s="675" t="s">
        <v>545</v>
      </c>
      <c r="C764" s="675" t="s">
        <v>1148</v>
      </c>
      <c r="D764" s="675" t="s">
        <v>21</v>
      </c>
      <c r="E764" s="675" t="s">
        <v>514</v>
      </c>
      <c r="F764" s="675" t="s">
        <v>515</v>
      </c>
      <c r="G764" s="675"/>
      <c r="H764" s="675"/>
      <c r="I764" s="675"/>
      <c r="J764" s="675"/>
      <c r="K764" s="675"/>
      <c r="L764" s="675"/>
      <c r="M764" s="675"/>
    </row>
    <row r="765" spans="1:13" x14ac:dyDescent="0.25">
      <c r="A765" s="675" t="s">
        <v>1140</v>
      </c>
      <c r="B765" s="675" t="s">
        <v>545</v>
      </c>
      <c r="C765" s="675" t="s">
        <v>1149</v>
      </c>
      <c r="D765" s="675" t="s">
        <v>21</v>
      </c>
      <c r="E765" s="675" t="s">
        <v>514</v>
      </c>
      <c r="F765" s="675" t="s">
        <v>515</v>
      </c>
      <c r="G765" s="675"/>
      <c r="H765" s="675"/>
      <c r="I765" s="675"/>
      <c r="J765" s="675"/>
      <c r="K765" s="675"/>
      <c r="L765" s="675"/>
      <c r="M765" s="675"/>
    </row>
    <row r="766" spans="1:13" x14ac:dyDescent="0.25">
      <c r="A766" s="675" t="s">
        <v>1140</v>
      </c>
      <c r="B766" s="675" t="s">
        <v>545</v>
      </c>
      <c r="C766" s="675" t="s">
        <v>1150</v>
      </c>
      <c r="D766" s="675" t="s">
        <v>21</v>
      </c>
      <c r="E766" s="675" t="s">
        <v>514</v>
      </c>
      <c r="F766" s="675" t="s">
        <v>515</v>
      </c>
      <c r="G766" s="675"/>
      <c r="H766" s="675"/>
      <c r="I766" s="675"/>
      <c r="J766" s="675"/>
      <c r="K766" s="675"/>
      <c r="L766" s="675"/>
      <c r="M766" s="675"/>
    </row>
    <row r="767" spans="1:13" x14ac:dyDescent="0.25">
      <c r="A767" s="675" t="s">
        <v>1140</v>
      </c>
      <c r="B767" s="675" t="s">
        <v>545</v>
      </c>
      <c r="C767" s="675" t="s">
        <v>1151</v>
      </c>
      <c r="D767" s="675" t="s">
        <v>21</v>
      </c>
      <c r="E767" s="675" t="s">
        <v>514</v>
      </c>
      <c r="F767" s="675" t="s">
        <v>515</v>
      </c>
      <c r="G767" s="675"/>
      <c r="H767" s="675"/>
      <c r="I767" s="675"/>
      <c r="J767" s="675"/>
      <c r="K767" s="675"/>
      <c r="L767" s="675"/>
      <c r="M767" s="675"/>
    </row>
    <row r="768" spans="1:13" x14ac:dyDescent="0.25">
      <c r="A768" s="675" t="s">
        <v>1140</v>
      </c>
      <c r="B768" s="675" t="s">
        <v>564</v>
      </c>
      <c r="C768" s="675" t="s">
        <v>1152</v>
      </c>
      <c r="D768" s="675" t="s">
        <v>21</v>
      </c>
      <c r="E768" s="675" t="s">
        <v>514</v>
      </c>
      <c r="F768" s="675" t="s">
        <v>515</v>
      </c>
      <c r="G768" s="675"/>
      <c r="H768" s="675"/>
      <c r="I768" s="675"/>
      <c r="J768" s="675"/>
      <c r="K768" s="675"/>
      <c r="L768" s="675"/>
      <c r="M768" s="675"/>
    </row>
    <row r="769" spans="1:13" x14ac:dyDescent="0.25">
      <c r="A769" s="675" t="s">
        <v>1140</v>
      </c>
      <c r="B769" s="675" t="s">
        <v>564</v>
      </c>
      <c r="C769" s="675" t="s">
        <v>1153</v>
      </c>
      <c r="D769" s="675" t="s">
        <v>21</v>
      </c>
      <c r="E769" s="675" t="s">
        <v>514</v>
      </c>
      <c r="F769" s="675" t="s">
        <v>515</v>
      </c>
      <c r="G769" s="675"/>
      <c r="H769" s="675"/>
      <c r="I769" s="675"/>
      <c r="J769" s="675"/>
      <c r="K769" s="675"/>
      <c r="L769" s="675"/>
      <c r="M769" s="675"/>
    </row>
    <row r="770" spans="1:13" x14ac:dyDescent="0.25">
      <c r="A770" s="675" t="s">
        <v>1154</v>
      </c>
      <c r="B770" s="675" t="s">
        <v>512</v>
      </c>
      <c r="C770" s="675" t="s">
        <v>1141</v>
      </c>
      <c r="D770" s="675" t="s">
        <v>21</v>
      </c>
      <c r="E770" s="675" t="s">
        <v>514</v>
      </c>
      <c r="F770" s="675" t="s">
        <v>515</v>
      </c>
      <c r="G770" s="675"/>
      <c r="H770" s="675"/>
      <c r="I770" s="675"/>
      <c r="J770" s="675"/>
      <c r="K770" s="675"/>
      <c r="L770" s="675"/>
      <c r="M770" s="675"/>
    </row>
    <row r="771" spans="1:13" x14ac:dyDescent="0.25">
      <c r="A771" s="675" t="s">
        <v>1154</v>
      </c>
      <c r="B771" s="675" t="s">
        <v>512</v>
      </c>
      <c r="C771" s="675" t="s">
        <v>964</v>
      </c>
      <c r="D771" s="675" t="s">
        <v>21</v>
      </c>
      <c r="E771" s="675" t="s">
        <v>514</v>
      </c>
      <c r="F771" s="675" t="s">
        <v>515</v>
      </c>
      <c r="G771" s="675"/>
      <c r="H771" s="675"/>
      <c r="I771" s="675"/>
      <c r="J771" s="675"/>
      <c r="K771" s="675"/>
      <c r="L771" s="675"/>
      <c r="M771" s="675"/>
    </row>
    <row r="772" spans="1:13" x14ac:dyDescent="0.25">
      <c r="A772" s="675" t="s">
        <v>1154</v>
      </c>
      <c r="B772" s="675" t="s">
        <v>512</v>
      </c>
      <c r="C772" s="675" t="s">
        <v>1142</v>
      </c>
      <c r="D772" s="675" t="s">
        <v>21</v>
      </c>
      <c r="E772" s="675" t="s">
        <v>514</v>
      </c>
      <c r="F772" s="675" t="s">
        <v>515</v>
      </c>
      <c r="G772" s="675"/>
      <c r="H772" s="675"/>
      <c r="I772" s="675"/>
      <c r="J772" s="675"/>
      <c r="K772" s="675"/>
      <c r="L772" s="675"/>
      <c r="M772" s="675"/>
    </row>
    <row r="773" spans="1:13" x14ac:dyDescent="0.25">
      <c r="A773" s="675" t="s">
        <v>1154</v>
      </c>
      <c r="B773" s="675" t="s">
        <v>512</v>
      </c>
      <c r="C773" s="675" t="s">
        <v>887</v>
      </c>
      <c r="D773" s="675" t="s">
        <v>21</v>
      </c>
      <c r="E773" s="675" t="s">
        <v>514</v>
      </c>
      <c r="F773" s="675" t="s">
        <v>515</v>
      </c>
      <c r="G773" s="675"/>
      <c r="H773" s="675"/>
      <c r="I773" s="675"/>
      <c r="J773" s="675"/>
      <c r="K773" s="675"/>
      <c r="L773" s="675"/>
      <c r="M773" s="675"/>
    </row>
    <row r="774" spans="1:13" x14ac:dyDescent="0.25">
      <c r="A774" s="675" t="s">
        <v>1154</v>
      </c>
      <c r="B774" s="675" t="s">
        <v>512</v>
      </c>
      <c r="C774" s="675" t="s">
        <v>1155</v>
      </c>
      <c r="D774" s="675" t="s">
        <v>21</v>
      </c>
      <c r="E774" s="675" t="s">
        <v>514</v>
      </c>
      <c r="F774" s="675" t="s">
        <v>515</v>
      </c>
      <c r="G774" s="675"/>
      <c r="H774" s="675"/>
      <c r="I774" s="675"/>
      <c r="J774" s="675"/>
      <c r="K774" s="675"/>
      <c r="L774" s="675"/>
      <c r="M774" s="675"/>
    </row>
    <row r="775" spans="1:13" x14ac:dyDescent="0.25">
      <c r="A775" s="675" t="s">
        <v>1154</v>
      </c>
      <c r="B775" s="675" t="s">
        <v>512</v>
      </c>
      <c r="C775" s="675" t="s">
        <v>1156</v>
      </c>
      <c r="D775" s="675" t="s">
        <v>21</v>
      </c>
      <c r="E775" s="675" t="s">
        <v>514</v>
      </c>
      <c r="F775" s="675" t="s">
        <v>515</v>
      </c>
      <c r="G775" s="675"/>
      <c r="H775" s="675"/>
      <c r="I775" s="675"/>
      <c r="J775" s="675"/>
      <c r="K775" s="675"/>
      <c r="L775" s="675"/>
      <c r="M775" s="675"/>
    </row>
    <row r="776" spans="1:13" x14ac:dyDescent="0.25">
      <c r="A776" s="675" t="s">
        <v>1154</v>
      </c>
      <c r="B776" s="675" t="s">
        <v>512</v>
      </c>
      <c r="C776" s="675" t="s">
        <v>1143</v>
      </c>
      <c r="D776" s="675" t="s">
        <v>21</v>
      </c>
      <c r="E776" s="675" t="s">
        <v>514</v>
      </c>
      <c r="F776" s="675" t="s">
        <v>515</v>
      </c>
      <c r="G776" s="675"/>
      <c r="H776" s="675"/>
      <c r="I776" s="675"/>
      <c r="J776" s="675"/>
      <c r="K776" s="675"/>
      <c r="L776" s="675"/>
      <c r="M776" s="675"/>
    </row>
    <row r="777" spans="1:13" x14ac:dyDescent="0.25">
      <c r="A777" s="675" t="s">
        <v>1154</v>
      </c>
      <c r="B777" s="675" t="s">
        <v>512</v>
      </c>
      <c r="C777" s="675" t="s">
        <v>892</v>
      </c>
      <c r="D777" s="675" t="s">
        <v>21</v>
      </c>
      <c r="E777" s="675" t="s">
        <v>514</v>
      </c>
      <c r="F777" s="675" t="s">
        <v>515</v>
      </c>
      <c r="G777" s="675"/>
      <c r="H777" s="675"/>
      <c r="I777" s="675"/>
      <c r="J777" s="675"/>
      <c r="K777" s="675"/>
      <c r="L777" s="675"/>
      <c r="M777" s="675"/>
    </row>
    <row r="778" spans="1:13" x14ac:dyDescent="0.25">
      <c r="A778" s="675" t="s">
        <v>1154</v>
      </c>
      <c r="B778" s="675" t="s">
        <v>512</v>
      </c>
      <c r="C778" s="675" t="s">
        <v>893</v>
      </c>
      <c r="D778" s="675" t="s">
        <v>21</v>
      </c>
      <c r="E778" s="675" t="s">
        <v>514</v>
      </c>
      <c r="F778" s="675" t="s">
        <v>515</v>
      </c>
      <c r="G778" s="675"/>
      <c r="H778" s="675"/>
      <c r="I778" s="675"/>
      <c r="J778" s="675"/>
      <c r="K778" s="675"/>
      <c r="L778" s="675"/>
      <c r="M778" s="675"/>
    </row>
    <row r="779" spans="1:13" x14ac:dyDescent="0.25">
      <c r="A779" s="675" t="s">
        <v>1154</v>
      </c>
      <c r="B779" s="675" t="s">
        <v>512</v>
      </c>
      <c r="C779" s="675" t="s">
        <v>898</v>
      </c>
      <c r="D779" s="675" t="s">
        <v>21</v>
      </c>
      <c r="E779" s="675" t="s">
        <v>514</v>
      </c>
      <c r="F779" s="675" t="s">
        <v>515</v>
      </c>
      <c r="G779" s="675"/>
      <c r="H779" s="675"/>
      <c r="I779" s="675"/>
      <c r="J779" s="675"/>
      <c r="K779" s="675"/>
      <c r="L779" s="675"/>
      <c r="M779" s="675"/>
    </row>
    <row r="780" spans="1:13" x14ac:dyDescent="0.25">
      <c r="A780" s="675" t="s">
        <v>1154</v>
      </c>
      <c r="B780" s="675" t="s">
        <v>512</v>
      </c>
      <c r="C780" s="675" t="s">
        <v>1147</v>
      </c>
      <c r="D780" s="675" t="s">
        <v>21</v>
      </c>
      <c r="E780" s="675" t="s">
        <v>514</v>
      </c>
      <c r="F780" s="675" t="s">
        <v>515</v>
      </c>
      <c r="G780" s="675"/>
      <c r="H780" s="675"/>
      <c r="I780" s="675"/>
      <c r="J780" s="675"/>
      <c r="K780" s="675"/>
      <c r="L780" s="675"/>
      <c r="M780" s="675"/>
    </row>
    <row r="781" spans="1:13" x14ac:dyDescent="0.25">
      <c r="A781" s="675" t="s">
        <v>1154</v>
      </c>
      <c r="B781" s="675" t="s">
        <v>512</v>
      </c>
      <c r="C781" s="675" t="s">
        <v>902</v>
      </c>
      <c r="D781" s="675" t="s">
        <v>21</v>
      </c>
      <c r="E781" s="675" t="s">
        <v>514</v>
      </c>
      <c r="F781" s="675" t="s">
        <v>515</v>
      </c>
      <c r="G781" s="675"/>
      <c r="H781" s="675"/>
      <c r="I781" s="675"/>
      <c r="J781" s="675"/>
      <c r="K781" s="675"/>
      <c r="L781" s="675"/>
      <c r="M781" s="675"/>
    </row>
    <row r="782" spans="1:13" x14ac:dyDescent="0.25">
      <c r="A782" s="675" t="s">
        <v>1154</v>
      </c>
      <c r="B782" s="675" t="s">
        <v>545</v>
      </c>
      <c r="C782" s="675" t="s">
        <v>1157</v>
      </c>
      <c r="D782" s="675" t="s">
        <v>21</v>
      </c>
      <c r="E782" s="675" t="s">
        <v>514</v>
      </c>
      <c r="F782" s="675" t="s">
        <v>515</v>
      </c>
      <c r="G782" s="675"/>
      <c r="H782" s="675"/>
      <c r="I782" s="675"/>
      <c r="J782" s="675"/>
      <c r="K782" s="675"/>
      <c r="L782" s="675"/>
      <c r="M782" s="675"/>
    </row>
    <row r="783" spans="1:13" x14ac:dyDescent="0.25">
      <c r="A783" s="675" t="s">
        <v>1154</v>
      </c>
      <c r="B783" s="675" t="s">
        <v>545</v>
      </c>
      <c r="C783" s="675" t="s">
        <v>1158</v>
      </c>
      <c r="D783" s="675" t="s">
        <v>21</v>
      </c>
      <c r="E783" s="675" t="s">
        <v>514</v>
      </c>
      <c r="F783" s="675" t="s">
        <v>515</v>
      </c>
      <c r="G783" s="675"/>
      <c r="H783" s="675"/>
      <c r="I783" s="675"/>
      <c r="J783" s="675"/>
      <c r="K783" s="675"/>
      <c r="L783" s="675"/>
      <c r="M783" s="675"/>
    </row>
    <row r="784" spans="1:13" x14ac:dyDescent="0.25">
      <c r="A784" s="675" t="s">
        <v>1154</v>
      </c>
      <c r="B784" s="675" t="s">
        <v>545</v>
      </c>
      <c r="C784" s="675" t="s">
        <v>1159</v>
      </c>
      <c r="D784" s="675" t="s">
        <v>21</v>
      </c>
      <c r="E784" s="675" t="s">
        <v>514</v>
      </c>
      <c r="F784" s="675" t="s">
        <v>515</v>
      </c>
      <c r="G784" s="675"/>
      <c r="H784" s="675"/>
      <c r="I784" s="675"/>
      <c r="J784" s="675"/>
      <c r="K784" s="675"/>
      <c r="L784" s="675"/>
      <c r="M784" s="675"/>
    </row>
    <row r="785" spans="1:13" x14ac:dyDescent="0.25">
      <c r="A785" s="675" t="s">
        <v>1154</v>
      </c>
      <c r="B785" s="675" t="s">
        <v>545</v>
      </c>
      <c r="C785" s="675" t="s">
        <v>801</v>
      </c>
      <c r="D785" s="675" t="s">
        <v>21</v>
      </c>
      <c r="E785" s="675" t="s">
        <v>514</v>
      </c>
      <c r="F785" s="675" t="s">
        <v>515</v>
      </c>
      <c r="G785" s="675"/>
      <c r="H785" s="675"/>
      <c r="I785" s="675"/>
      <c r="J785" s="675"/>
      <c r="K785" s="675"/>
      <c r="L785" s="675"/>
      <c r="M785" s="675"/>
    </row>
    <row r="786" spans="1:13" x14ac:dyDescent="0.25">
      <c r="A786" s="675" t="s">
        <v>1154</v>
      </c>
      <c r="B786" s="675" t="s">
        <v>545</v>
      </c>
      <c r="C786" s="675" t="s">
        <v>1160</v>
      </c>
      <c r="D786" s="675" t="s">
        <v>21</v>
      </c>
      <c r="E786" s="675" t="s">
        <v>514</v>
      </c>
      <c r="F786" s="675" t="s">
        <v>515</v>
      </c>
      <c r="G786" s="675"/>
      <c r="H786" s="675"/>
      <c r="I786" s="675"/>
      <c r="J786" s="675"/>
      <c r="K786" s="675"/>
      <c r="L786" s="675"/>
      <c r="M786" s="675"/>
    </row>
    <row r="787" spans="1:13" x14ac:dyDescent="0.25">
      <c r="A787" s="675" t="s">
        <v>1154</v>
      </c>
      <c r="B787" s="675" t="s">
        <v>564</v>
      </c>
      <c r="C787" s="675" t="s">
        <v>1161</v>
      </c>
      <c r="D787" s="675" t="s">
        <v>21</v>
      </c>
      <c r="E787" s="675" t="s">
        <v>514</v>
      </c>
      <c r="F787" s="675" t="s">
        <v>515</v>
      </c>
      <c r="G787" s="675"/>
      <c r="H787" s="675"/>
      <c r="I787" s="675"/>
      <c r="J787" s="675"/>
      <c r="K787" s="675"/>
      <c r="L787" s="675"/>
      <c r="M787" s="675"/>
    </row>
    <row r="788" spans="1:13" x14ac:dyDescent="0.25">
      <c r="A788" s="675" t="s">
        <v>1162</v>
      </c>
      <c r="B788" s="675" t="s">
        <v>512</v>
      </c>
      <c r="C788" s="675" t="s">
        <v>621</v>
      </c>
      <c r="D788" s="675" t="s">
        <v>21</v>
      </c>
      <c r="E788" s="675" t="s">
        <v>514</v>
      </c>
      <c r="F788" s="675" t="s">
        <v>515</v>
      </c>
      <c r="G788" s="675"/>
      <c r="H788" s="675"/>
      <c r="I788" s="675"/>
      <c r="J788" s="675"/>
      <c r="K788" s="675"/>
      <c r="L788" s="675"/>
      <c r="M788" s="675"/>
    </row>
    <row r="789" spans="1:13" x14ac:dyDescent="0.25">
      <c r="A789" s="675" t="s">
        <v>1162</v>
      </c>
      <c r="B789" s="675" t="s">
        <v>512</v>
      </c>
      <c r="C789" s="675" t="s">
        <v>622</v>
      </c>
      <c r="D789" s="675" t="s">
        <v>21</v>
      </c>
      <c r="E789" s="675" t="s">
        <v>514</v>
      </c>
      <c r="F789" s="675" t="s">
        <v>515</v>
      </c>
      <c r="G789" s="675"/>
      <c r="H789" s="675"/>
      <c r="I789" s="675"/>
      <c r="J789" s="675"/>
      <c r="K789" s="675"/>
      <c r="L789" s="675"/>
      <c r="M789" s="675"/>
    </row>
    <row r="790" spans="1:13" x14ac:dyDescent="0.25">
      <c r="A790" s="675" t="s">
        <v>1162</v>
      </c>
      <c r="B790" s="675" t="s">
        <v>512</v>
      </c>
      <c r="C790" s="675" t="s">
        <v>996</v>
      </c>
      <c r="D790" s="675" t="s">
        <v>21</v>
      </c>
      <c r="E790" s="675" t="s">
        <v>514</v>
      </c>
      <c r="F790" s="675" t="s">
        <v>515</v>
      </c>
      <c r="G790" s="675"/>
      <c r="H790" s="675"/>
      <c r="I790" s="675"/>
      <c r="J790" s="675"/>
      <c r="K790" s="675"/>
      <c r="L790" s="675"/>
      <c r="M790" s="675"/>
    </row>
    <row r="791" spans="1:13" x14ac:dyDescent="0.25">
      <c r="A791" s="675" t="s">
        <v>1162</v>
      </c>
      <c r="B791" s="675" t="s">
        <v>512</v>
      </c>
      <c r="C791" s="675" t="s">
        <v>997</v>
      </c>
      <c r="D791" s="675" t="s">
        <v>21</v>
      </c>
      <c r="E791" s="675" t="s">
        <v>514</v>
      </c>
      <c r="F791" s="675" t="s">
        <v>515</v>
      </c>
      <c r="G791" s="675"/>
      <c r="H791" s="675"/>
      <c r="I791" s="675"/>
      <c r="J791" s="675"/>
      <c r="K791" s="675"/>
      <c r="L791" s="675"/>
      <c r="M791" s="675"/>
    </row>
    <row r="792" spans="1:13" x14ac:dyDescent="0.25">
      <c r="A792" s="675" t="s">
        <v>1162</v>
      </c>
      <c r="B792" s="675" t="s">
        <v>512</v>
      </c>
      <c r="C792" s="675" t="s">
        <v>999</v>
      </c>
      <c r="D792" s="675" t="s">
        <v>21</v>
      </c>
      <c r="E792" s="675" t="s">
        <v>514</v>
      </c>
      <c r="F792" s="675" t="s">
        <v>515</v>
      </c>
      <c r="G792" s="675"/>
      <c r="H792" s="675"/>
      <c r="I792" s="675"/>
      <c r="J792" s="675"/>
      <c r="K792" s="675"/>
      <c r="L792" s="675"/>
      <c r="M792" s="675"/>
    </row>
    <row r="793" spans="1:13" x14ac:dyDescent="0.25">
      <c r="A793" s="675" t="s">
        <v>1162</v>
      </c>
      <c r="B793" s="675" t="s">
        <v>512</v>
      </c>
      <c r="C793" s="675" t="s">
        <v>1000</v>
      </c>
      <c r="D793" s="675" t="s">
        <v>21</v>
      </c>
      <c r="E793" s="675" t="s">
        <v>514</v>
      </c>
      <c r="F793" s="675" t="s">
        <v>515</v>
      </c>
      <c r="G793" s="675"/>
      <c r="H793" s="675"/>
      <c r="I793" s="675"/>
      <c r="J793" s="675"/>
      <c r="K793" s="675"/>
      <c r="L793" s="675"/>
      <c r="M793" s="675"/>
    </row>
    <row r="794" spans="1:13" x14ac:dyDescent="0.25">
      <c r="A794" s="675" t="s">
        <v>1162</v>
      </c>
      <c r="B794" s="675" t="s">
        <v>512</v>
      </c>
      <c r="C794" s="675" t="s">
        <v>623</v>
      </c>
      <c r="D794" s="675" t="s">
        <v>21</v>
      </c>
      <c r="E794" s="675" t="s">
        <v>514</v>
      </c>
      <c r="F794" s="675" t="s">
        <v>515</v>
      </c>
      <c r="G794" s="675"/>
      <c r="H794" s="675"/>
      <c r="I794" s="675"/>
      <c r="J794" s="675"/>
      <c r="K794" s="675"/>
      <c r="L794" s="675"/>
      <c r="M794" s="675"/>
    </row>
    <row r="795" spans="1:13" x14ac:dyDescent="0.25">
      <c r="A795" s="675" t="s">
        <v>1162</v>
      </c>
      <c r="B795" s="675" t="s">
        <v>545</v>
      </c>
      <c r="C795" s="675" t="s">
        <v>1163</v>
      </c>
      <c r="D795" s="675" t="s">
        <v>21</v>
      </c>
      <c r="E795" s="675" t="s">
        <v>514</v>
      </c>
      <c r="F795" s="675" t="s">
        <v>515</v>
      </c>
      <c r="G795" s="675"/>
      <c r="H795" s="675"/>
      <c r="I795" s="675"/>
      <c r="J795" s="675"/>
      <c r="K795" s="675"/>
      <c r="L795" s="675"/>
      <c r="M795" s="675"/>
    </row>
    <row r="796" spans="1:13" x14ac:dyDescent="0.25">
      <c r="A796" s="675" t="s">
        <v>1162</v>
      </c>
      <c r="B796" s="675" t="s">
        <v>545</v>
      </c>
      <c r="C796" s="675" t="s">
        <v>1164</v>
      </c>
      <c r="D796" s="675" t="s">
        <v>21</v>
      </c>
      <c r="E796" s="675" t="s">
        <v>514</v>
      </c>
      <c r="F796" s="675" t="s">
        <v>515</v>
      </c>
      <c r="G796" s="675"/>
      <c r="H796" s="675"/>
      <c r="I796" s="675"/>
      <c r="J796" s="675"/>
      <c r="K796" s="675"/>
      <c r="L796" s="675"/>
      <c r="M796" s="675"/>
    </row>
    <row r="797" spans="1:13" x14ac:dyDescent="0.25">
      <c r="A797" s="675" t="s">
        <v>1162</v>
      </c>
      <c r="B797" s="675" t="s">
        <v>545</v>
      </c>
      <c r="C797" s="675" t="s">
        <v>1165</v>
      </c>
      <c r="D797" s="675" t="s">
        <v>21</v>
      </c>
      <c r="E797" s="675" t="s">
        <v>514</v>
      </c>
      <c r="F797" s="675" t="s">
        <v>515</v>
      </c>
      <c r="G797" s="675"/>
      <c r="H797" s="675"/>
      <c r="I797" s="675"/>
      <c r="J797" s="675"/>
      <c r="K797" s="675"/>
      <c r="L797" s="675"/>
      <c r="M797" s="675"/>
    </row>
    <row r="798" spans="1:13" x14ac:dyDescent="0.25">
      <c r="A798" s="675" t="s">
        <v>1162</v>
      </c>
      <c r="B798" s="675" t="s">
        <v>564</v>
      </c>
      <c r="C798" s="675" t="s">
        <v>1166</v>
      </c>
      <c r="D798" s="675" t="s">
        <v>21</v>
      </c>
      <c r="E798" s="675" t="s">
        <v>514</v>
      </c>
      <c r="F798" s="675" t="s">
        <v>515</v>
      </c>
      <c r="G798" s="675"/>
      <c r="H798" s="675"/>
      <c r="I798" s="675"/>
      <c r="J798" s="675"/>
      <c r="K798" s="675"/>
      <c r="L798" s="675"/>
      <c r="M798" s="675"/>
    </row>
    <row r="799" spans="1:13" x14ac:dyDescent="0.25">
      <c r="A799" s="675" t="s">
        <v>1162</v>
      </c>
      <c r="B799" s="675" t="s">
        <v>564</v>
      </c>
      <c r="C799" s="675" t="s">
        <v>1167</v>
      </c>
      <c r="D799" s="675" t="s">
        <v>21</v>
      </c>
      <c r="E799" s="675" t="s">
        <v>514</v>
      </c>
      <c r="F799" s="675" t="s">
        <v>515</v>
      </c>
      <c r="G799" s="675"/>
      <c r="H799" s="675"/>
      <c r="I799" s="675"/>
      <c r="J799" s="675"/>
      <c r="K799" s="675"/>
      <c r="L799" s="675"/>
      <c r="M799" s="675"/>
    </row>
    <row r="800" spans="1:13" x14ac:dyDescent="0.25">
      <c r="A800" s="675" t="s">
        <v>1168</v>
      </c>
      <c r="B800" s="675" t="s">
        <v>512</v>
      </c>
      <c r="C800" s="675" t="s">
        <v>1169</v>
      </c>
      <c r="D800" s="675" t="s">
        <v>21</v>
      </c>
      <c r="E800" s="675" t="s">
        <v>514</v>
      </c>
      <c r="F800" s="675" t="s">
        <v>515</v>
      </c>
      <c r="G800" s="675"/>
      <c r="H800" s="675"/>
      <c r="I800" s="675"/>
      <c r="J800" s="675"/>
      <c r="K800" s="675"/>
      <c r="L800" s="675"/>
      <c r="M800" s="675"/>
    </row>
    <row r="801" spans="1:13" x14ac:dyDescent="0.25">
      <c r="A801" s="675" t="s">
        <v>1168</v>
      </c>
      <c r="B801" s="675" t="s">
        <v>512</v>
      </c>
      <c r="C801" s="675" t="s">
        <v>1170</v>
      </c>
      <c r="D801" s="675" t="s">
        <v>21</v>
      </c>
      <c r="E801" s="675" t="s">
        <v>514</v>
      </c>
      <c r="F801" s="675" t="s">
        <v>515</v>
      </c>
      <c r="G801" s="675"/>
      <c r="H801" s="675"/>
      <c r="I801" s="675"/>
      <c r="J801" s="675"/>
      <c r="K801" s="675"/>
      <c r="L801" s="675"/>
      <c r="M801" s="675"/>
    </row>
    <row r="802" spans="1:13" x14ac:dyDescent="0.25">
      <c r="A802" s="675" t="s">
        <v>1171</v>
      </c>
      <c r="B802" s="675" t="s">
        <v>512</v>
      </c>
      <c r="C802" s="675" t="s">
        <v>1172</v>
      </c>
      <c r="D802" s="675" t="s">
        <v>21</v>
      </c>
      <c r="E802" s="702"/>
      <c r="F802" s="702"/>
      <c r="G802" s="675"/>
      <c r="H802" s="675"/>
      <c r="I802" s="675"/>
      <c r="J802" s="675"/>
      <c r="K802" s="675"/>
      <c r="L802" s="675"/>
      <c r="M802" s="675"/>
    </row>
    <row r="803" spans="1:13" x14ac:dyDescent="0.25">
      <c r="A803" s="675" t="s">
        <v>1171</v>
      </c>
      <c r="B803" s="675" t="s">
        <v>512</v>
      </c>
      <c r="C803" s="675" t="s">
        <v>1173</v>
      </c>
      <c r="D803" s="675" t="s">
        <v>21</v>
      </c>
      <c r="E803" s="702"/>
      <c r="F803" s="702"/>
      <c r="G803" s="675"/>
      <c r="H803" s="675"/>
      <c r="I803" s="675"/>
      <c r="J803" s="675"/>
      <c r="K803" s="675"/>
      <c r="L803" s="675"/>
      <c r="M803" s="675"/>
    </row>
    <row r="804" spans="1:13" x14ac:dyDescent="0.25">
      <c r="A804" s="675" t="s">
        <v>1171</v>
      </c>
      <c r="B804" s="675" t="s">
        <v>512</v>
      </c>
      <c r="C804" s="675" t="s">
        <v>1174</v>
      </c>
      <c r="D804" s="675" t="s">
        <v>21</v>
      </c>
      <c r="E804" s="702"/>
      <c r="F804" s="702"/>
      <c r="G804" s="675"/>
      <c r="H804" s="675"/>
      <c r="I804" s="675"/>
      <c r="J804" s="675"/>
      <c r="K804" s="675"/>
      <c r="L804" s="675"/>
      <c r="M804" s="675"/>
    </row>
    <row r="805" spans="1:13" x14ac:dyDescent="0.25">
      <c r="A805" s="675" t="s">
        <v>1171</v>
      </c>
      <c r="B805" s="675" t="s">
        <v>512</v>
      </c>
      <c r="C805" s="675" t="s">
        <v>1175</v>
      </c>
      <c r="D805" s="675" t="s">
        <v>21</v>
      </c>
      <c r="E805" s="702"/>
      <c r="F805" s="702"/>
      <c r="G805" s="675"/>
      <c r="H805" s="675"/>
      <c r="I805" s="675"/>
      <c r="J805" s="675"/>
      <c r="K805" s="675"/>
      <c r="L805" s="675"/>
      <c r="M805" s="675"/>
    </row>
    <row r="806" spans="1:13" x14ac:dyDescent="0.25">
      <c r="A806" s="675" t="s">
        <v>1171</v>
      </c>
      <c r="B806" s="675" t="s">
        <v>512</v>
      </c>
      <c r="C806" s="675" t="s">
        <v>1176</v>
      </c>
      <c r="D806" s="675" t="s">
        <v>21</v>
      </c>
      <c r="E806" s="702"/>
      <c r="F806" s="702"/>
      <c r="G806" s="675"/>
      <c r="H806" s="675"/>
      <c r="I806" s="675"/>
      <c r="J806" s="675"/>
      <c r="K806" s="675"/>
      <c r="L806" s="675"/>
      <c r="M806" s="675"/>
    </row>
    <row r="807" spans="1:13" x14ac:dyDescent="0.25">
      <c r="A807" s="675" t="s">
        <v>1171</v>
      </c>
      <c r="B807" s="675" t="s">
        <v>545</v>
      </c>
      <c r="C807" s="675" t="s">
        <v>1177</v>
      </c>
      <c r="D807" s="675" t="s">
        <v>21</v>
      </c>
      <c r="E807" s="702"/>
      <c r="F807" s="702"/>
      <c r="G807" s="675"/>
      <c r="H807" s="675"/>
      <c r="I807" s="675"/>
      <c r="J807" s="675"/>
      <c r="K807" s="675"/>
      <c r="L807" s="675"/>
      <c r="M807" s="675"/>
    </row>
    <row r="808" spans="1:13" x14ac:dyDescent="0.25">
      <c r="A808" s="675" t="s">
        <v>1171</v>
      </c>
      <c r="B808" s="675" t="s">
        <v>545</v>
      </c>
      <c r="C808" s="675" t="s">
        <v>1178</v>
      </c>
      <c r="D808" s="675" t="s">
        <v>21</v>
      </c>
      <c r="E808" s="702"/>
      <c r="F808" s="702"/>
      <c r="G808" s="675"/>
      <c r="H808" s="675"/>
      <c r="I808" s="675"/>
      <c r="J808" s="675"/>
      <c r="K808" s="675"/>
      <c r="L808" s="675"/>
      <c r="M808" s="675"/>
    </row>
    <row r="809" spans="1:13" x14ac:dyDescent="0.25">
      <c r="A809" s="675" t="s">
        <v>1171</v>
      </c>
      <c r="B809" s="675" t="s">
        <v>545</v>
      </c>
      <c r="C809" s="675" t="s">
        <v>1179</v>
      </c>
      <c r="D809" s="675" t="s">
        <v>21</v>
      </c>
      <c r="E809" s="702"/>
      <c r="F809" s="702"/>
      <c r="G809" s="675"/>
      <c r="H809" s="675"/>
      <c r="I809" s="675"/>
      <c r="J809" s="675"/>
      <c r="K809" s="675"/>
      <c r="L809" s="675"/>
      <c r="M809" s="675"/>
    </row>
    <row r="810" spans="1:13" x14ac:dyDescent="0.25">
      <c r="A810" s="675" t="s">
        <v>1171</v>
      </c>
      <c r="B810" s="675" t="s">
        <v>545</v>
      </c>
      <c r="C810" s="675" t="s">
        <v>1180</v>
      </c>
      <c r="D810" s="675" t="s">
        <v>21</v>
      </c>
      <c r="E810" s="702"/>
      <c r="F810" s="702"/>
      <c r="G810" s="675"/>
      <c r="H810" s="675"/>
      <c r="I810" s="675"/>
      <c r="J810" s="675"/>
      <c r="K810" s="675"/>
      <c r="L810" s="675"/>
      <c r="M810" s="675"/>
    </row>
    <row r="811" spans="1:13" x14ac:dyDescent="0.25">
      <c r="A811" s="675" t="s">
        <v>1171</v>
      </c>
      <c r="B811" s="675" t="s">
        <v>545</v>
      </c>
      <c r="C811" s="675" t="s">
        <v>1181</v>
      </c>
      <c r="D811" s="675" t="s">
        <v>21</v>
      </c>
      <c r="E811" s="702"/>
      <c r="F811" s="702"/>
      <c r="G811" s="675"/>
      <c r="H811" s="675"/>
      <c r="I811" s="675"/>
      <c r="J811" s="675"/>
      <c r="K811" s="675"/>
      <c r="L811" s="675"/>
      <c r="M811" s="675"/>
    </row>
    <row r="812" spans="1:13" x14ac:dyDescent="0.25">
      <c r="A812" s="675" t="s">
        <v>1171</v>
      </c>
      <c r="B812" s="675" t="s">
        <v>564</v>
      </c>
      <c r="C812" s="675" t="s">
        <v>1182</v>
      </c>
      <c r="D812" s="675" t="s">
        <v>21</v>
      </c>
      <c r="E812" s="702"/>
      <c r="F812" s="702"/>
      <c r="G812" s="675"/>
      <c r="H812" s="675"/>
      <c r="I812" s="675"/>
      <c r="J812" s="675"/>
      <c r="K812" s="675"/>
      <c r="L812" s="675"/>
      <c r="M812" s="675"/>
    </row>
    <row r="813" spans="1:13" x14ac:dyDescent="0.25">
      <c r="A813" s="675" t="s">
        <v>1171</v>
      </c>
      <c r="B813" s="675" t="s">
        <v>564</v>
      </c>
      <c r="C813" s="675" t="s">
        <v>1183</v>
      </c>
      <c r="D813" s="675" t="s">
        <v>21</v>
      </c>
      <c r="E813" s="702"/>
      <c r="F813" s="702"/>
      <c r="G813" s="675"/>
      <c r="H813" s="675"/>
      <c r="I813" s="675"/>
      <c r="J813" s="675"/>
      <c r="K813" s="675"/>
      <c r="L813" s="675"/>
      <c r="M813" s="675"/>
    </row>
    <row r="814" spans="1:13" x14ac:dyDescent="0.25">
      <c r="A814" s="675" t="s">
        <v>1171</v>
      </c>
      <c r="B814" s="675" t="s">
        <v>564</v>
      </c>
      <c r="C814" s="675" t="s">
        <v>1184</v>
      </c>
      <c r="D814" s="675" t="s">
        <v>21</v>
      </c>
      <c r="E814" s="702"/>
      <c r="F814" s="702"/>
      <c r="G814" s="675"/>
      <c r="H814" s="675"/>
      <c r="I814" s="675"/>
      <c r="J814" s="675"/>
      <c r="K814" s="675"/>
      <c r="L814" s="675"/>
      <c r="M814" s="675"/>
    </row>
    <row r="815" spans="1:13" x14ac:dyDescent="0.25">
      <c r="A815" s="675" t="s">
        <v>1171</v>
      </c>
      <c r="B815" s="675" t="s">
        <v>564</v>
      </c>
      <c r="C815" s="675" t="s">
        <v>1185</v>
      </c>
      <c r="D815" s="675" t="s">
        <v>21</v>
      </c>
      <c r="E815" s="702"/>
      <c r="F815" s="702"/>
      <c r="G815" s="675"/>
      <c r="H815" s="675"/>
      <c r="I815" s="675"/>
      <c r="J815" s="675"/>
      <c r="K815" s="675"/>
      <c r="L815" s="675"/>
      <c r="M815" s="675"/>
    </row>
    <row r="816" spans="1:13" x14ac:dyDescent="0.25">
      <c r="A816" s="675" t="s">
        <v>1171</v>
      </c>
      <c r="B816" s="675" t="s">
        <v>564</v>
      </c>
      <c r="C816" s="675" t="s">
        <v>1186</v>
      </c>
      <c r="D816" s="675" t="s">
        <v>21</v>
      </c>
      <c r="E816" s="702"/>
      <c r="F816" s="702"/>
      <c r="G816" s="675"/>
      <c r="H816" s="675"/>
      <c r="I816" s="675"/>
      <c r="J816" s="675"/>
      <c r="K816" s="675"/>
      <c r="L816" s="675"/>
      <c r="M816" s="675"/>
    </row>
    <row r="817" spans="1:13" x14ac:dyDescent="0.25">
      <c r="A817" s="675" t="s">
        <v>1187</v>
      </c>
      <c r="B817" s="675" t="s">
        <v>512</v>
      </c>
      <c r="C817" s="675" t="s">
        <v>1188</v>
      </c>
      <c r="D817" s="675" t="s">
        <v>21</v>
      </c>
      <c r="E817" s="675" t="s">
        <v>514</v>
      </c>
      <c r="F817" s="675" t="s">
        <v>515</v>
      </c>
      <c r="G817" s="675"/>
      <c r="H817" s="675"/>
      <c r="I817" s="675"/>
      <c r="J817" s="675"/>
      <c r="K817" s="675"/>
      <c r="L817" s="675"/>
      <c r="M817" s="675"/>
    </row>
    <row r="818" spans="1:13" x14ac:dyDescent="0.25">
      <c r="A818" s="675" t="s">
        <v>1187</v>
      </c>
      <c r="B818" s="675" t="s">
        <v>512</v>
      </c>
      <c r="C818" s="675" t="s">
        <v>1189</v>
      </c>
      <c r="D818" s="675" t="s">
        <v>21</v>
      </c>
      <c r="E818" s="675" t="s">
        <v>514</v>
      </c>
      <c r="F818" s="675" t="s">
        <v>515</v>
      </c>
      <c r="G818" s="675"/>
      <c r="H818" s="675"/>
      <c r="I818" s="675"/>
      <c r="J818" s="675"/>
      <c r="K818" s="675"/>
      <c r="L818" s="675"/>
      <c r="M818" s="675"/>
    </row>
    <row r="819" spans="1:13" x14ac:dyDescent="0.25">
      <c r="A819" s="675" t="s">
        <v>1187</v>
      </c>
      <c r="B819" s="675" t="s">
        <v>512</v>
      </c>
      <c r="C819" s="675" t="s">
        <v>1190</v>
      </c>
      <c r="D819" s="675" t="s">
        <v>21</v>
      </c>
      <c r="E819" s="675" t="s">
        <v>514</v>
      </c>
      <c r="F819" s="675" t="s">
        <v>515</v>
      </c>
      <c r="G819" s="675"/>
      <c r="H819" s="675"/>
      <c r="I819" s="675"/>
      <c r="J819" s="675"/>
      <c r="K819" s="675"/>
      <c r="L819" s="675"/>
      <c r="M819" s="675"/>
    </row>
    <row r="820" spans="1:13" x14ac:dyDescent="0.25">
      <c r="A820" s="675" t="s">
        <v>1187</v>
      </c>
      <c r="B820" s="675" t="s">
        <v>512</v>
      </c>
      <c r="C820" s="675" t="s">
        <v>1191</v>
      </c>
      <c r="D820" s="675" t="s">
        <v>21</v>
      </c>
      <c r="E820" s="675" t="s">
        <v>514</v>
      </c>
      <c r="F820" s="675" t="s">
        <v>515</v>
      </c>
      <c r="G820" s="675"/>
      <c r="H820" s="675"/>
      <c r="I820" s="675"/>
      <c r="J820" s="675"/>
      <c r="K820" s="675"/>
      <c r="L820" s="675"/>
      <c r="M820" s="675"/>
    </row>
    <row r="821" spans="1:13" x14ac:dyDescent="0.25">
      <c r="A821" s="675" t="s">
        <v>1187</v>
      </c>
      <c r="B821" s="675" t="s">
        <v>512</v>
      </c>
      <c r="C821" s="675" t="s">
        <v>1192</v>
      </c>
      <c r="D821" s="675" t="s">
        <v>21</v>
      </c>
      <c r="E821" s="675" t="s">
        <v>514</v>
      </c>
      <c r="F821" s="675" t="s">
        <v>515</v>
      </c>
      <c r="G821" s="675"/>
      <c r="H821" s="675"/>
      <c r="I821" s="675"/>
      <c r="J821" s="675"/>
      <c r="K821" s="675"/>
      <c r="L821" s="675"/>
      <c r="M821" s="675"/>
    </row>
    <row r="822" spans="1:13" x14ac:dyDescent="0.25">
      <c r="A822" s="675" t="s">
        <v>1187</v>
      </c>
      <c r="B822" s="675" t="s">
        <v>512</v>
      </c>
      <c r="C822" s="675" t="s">
        <v>513</v>
      </c>
      <c r="D822" s="675" t="s">
        <v>21</v>
      </c>
      <c r="E822" s="675" t="s">
        <v>514</v>
      </c>
      <c r="F822" s="675" t="s">
        <v>515</v>
      </c>
      <c r="G822" s="675"/>
      <c r="H822" s="675"/>
      <c r="I822" s="675"/>
      <c r="J822" s="675"/>
      <c r="K822" s="675"/>
      <c r="L822" s="675"/>
      <c r="M822" s="675"/>
    </row>
    <row r="823" spans="1:13" x14ac:dyDescent="0.25">
      <c r="A823" s="675" t="s">
        <v>1187</v>
      </c>
      <c r="B823" s="675" t="s">
        <v>512</v>
      </c>
      <c r="C823" s="675" t="s">
        <v>1193</v>
      </c>
      <c r="D823" s="675" t="s">
        <v>21</v>
      </c>
      <c r="E823" s="675" t="s">
        <v>514</v>
      </c>
      <c r="F823" s="675" t="s">
        <v>515</v>
      </c>
      <c r="G823" s="675"/>
      <c r="H823" s="675"/>
      <c r="I823" s="675"/>
      <c r="J823" s="675"/>
      <c r="K823" s="675"/>
      <c r="L823" s="675"/>
      <c r="M823" s="675"/>
    </row>
    <row r="824" spans="1:13" x14ac:dyDescent="0.25">
      <c r="A824" s="678" t="s">
        <v>1187</v>
      </c>
      <c r="B824" s="678" t="s">
        <v>512</v>
      </c>
      <c r="C824" s="678" t="s">
        <v>1194</v>
      </c>
      <c r="D824" s="678" t="s">
        <v>21</v>
      </c>
      <c r="E824" s="678" t="s">
        <v>514</v>
      </c>
      <c r="F824" s="678" t="s">
        <v>596</v>
      </c>
      <c r="G824" s="675"/>
      <c r="H824" s="675"/>
      <c r="I824" s="675"/>
      <c r="J824" s="675"/>
      <c r="K824" s="675"/>
      <c r="L824" s="675"/>
      <c r="M824" s="675"/>
    </row>
    <row r="825" spans="1:13" x14ac:dyDescent="0.25">
      <c r="A825" s="675" t="s">
        <v>1187</v>
      </c>
      <c r="B825" s="675" t="s">
        <v>512</v>
      </c>
      <c r="C825" s="675" t="s">
        <v>1195</v>
      </c>
      <c r="D825" s="675" t="s">
        <v>21</v>
      </c>
      <c r="E825" s="675" t="s">
        <v>514</v>
      </c>
      <c r="F825" s="675" t="s">
        <v>515</v>
      </c>
      <c r="G825" s="675"/>
      <c r="H825" s="675"/>
      <c r="I825" s="675"/>
      <c r="J825" s="675"/>
      <c r="K825" s="675"/>
      <c r="L825" s="675"/>
      <c r="M825" s="675"/>
    </row>
    <row r="826" spans="1:13" x14ac:dyDescent="0.25">
      <c r="A826" s="675" t="s">
        <v>1187</v>
      </c>
      <c r="B826" s="675" t="s">
        <v>512</v>
      </c>
      <c r="C826" s="675" t="s">
        <v>1196</v>
      </c>
      <c r="D826" s="675" t="s">
        <v>21</v>
      </c>
      <c r="E826" s="675" t="s">
        <v>514</v>
      </c>
      <c r="F826" s="675" t="s">
        <v>515</v>
      </c>
      <c r="G826" s="675"/>
      <c r="H826" s="675"/>
      <c r="I826" s="675"/>
      <c r="J826" s="675"/>
      <c r="K826" s="675"/>
      <c r="L826" s="675"/>
      <c r="M826" s="675"/>
    </row>
    <row r="827" spans="1:13" x14ac:dyDescent="0.25">
      <c r="A827" s="675" t="s">
        <v>1187</v>
      </c>
      <c r="B827" s="675" t="s">
        <v>512</v>
      </c>
      <c r="C827" s="675" t="s">
        <v>1197</v>
      </c>
      <c r="D827" s="675" t="s">
        <v>21</v>
      </c>
      <c r="E827" s="675" t="s">
        <v>514</v>
      </c>
      <c r="F827" s="675" t="s">
        <v>515</v>
      </c>
      <c r="G827" s="675"/>
      <c r="H827" s="675"/>
      <c r="I827" s="675"/>
      <c r="J827" s="675"/>
      <c r="K827" s="675"/>
      <c r="L827" s="675"/>
      <c r="M827" s="675"/>
    </row>
    <row r="828" spans="1:13" x14ac:dyDescent="0.25">
      <c r="A828" s="675" t="s">
        <v>1187</v>
      </c>
      <c r="B828" s="675" t="s">
        <v>512</v>
      </c>
      <c r="C828" s="675" t="s">
        <v>1198</v>
      </c>
      <c r="D828" s="675" t="s">
        <v>21</v>
      </c>
      <c r="E828" s="675" t="s">
        <v>514</v>
      </c>
      <c r="F828" s="675" t="s">
        <v>515</v>
      </c>
      <c r="G828" s="675"/>
      <c r="H828" s="675"/>
      <c r="I828" s="675"/>
      <c r="J828" s="675"/>
      <c r="K828" s="675"/>
      <c r="L828" s="675"/>
      <c r="M828" s="675"/>
    </row>
    <row r="829" spans="1:13" x14ac:dyDescent="0.25">
      <c r="A829" s="675" t="s">
        <v>1187</v>
      </c>
      <c r="B829" s="675" t="s">
        <v>512</v>
      </c>
      <c r="C829" s="675" t="s">
        <v>1199</v>
      </c>
      <c r="D829" s="675" t="s">
        <v>21</v>
      </c>
      <c r="E829" s="675" t="s">
        <v>514</v>
      </c>
      <c r="F829" s="675" t="s">
        <v>515</v>
      </c>
      <c r="G829" s="675"/>
      <c r="H829" s="675"/>
      <c r="I829" s="675"/>
      <c r="J829" s="675"/>
      <c r="K829" s="675"/>
      <c r="L829" s="675"/>
      <c r="M829" s="675"/>
    </row>
    <row r="830" spans="1:13" x14ac:dyDescent="0.25">
      <c r="A830" s="675" t="s">
        <v>1187</v>
      </c>
      <c r="B830" s="675" t="s">
        <v>512</v>
      </c>
      <c r="C830" s="675" t="s">
        <v>1200</v>
      </c>
      <c r="D830" s="675" t="s">
        <v>21</v>
      </c>
      <c r="E830" s="675" t="s">
        <v>514</v>
      </c>
      <c r="F830" s="675" t="s">
        <v>515</v>
      </c>
      <c r="G830" s="675"/>
      <c r="H830" s="675"/>
      <c r="I830" s="675"/>
      <c r="J830" s="675"/>
      <c r="K830" s="675"/>
      <c r="L830" s="675"/>
      <c r="M830" s="675"/>
    </row>
    <row r="831" spans="1:13" x14ac:dyDescent="0.25">
      <c r="A831" s="675" t="s">
        <v>1187</v>
      </c>
      <c r="B831" s="675" t="s">
        <v>512</v>
      </c>
      <c r="C831" s="675" t="s">
        <v>1201</v>
      </c>
      <c r="D831" s="675" t="s">
        <v>21</v>
      </c>
      <c r="E831" s="675" t="s">
        <v>514</v>
      </c>
      <c r="F831" s="675" t="s">
        <v>515</v>
      </c>
      <c r="G831" s="675"/>
      <c r="H831" s="675"/>
      <c r="I831" s="675"/>
      <c r="J831" s="675"/>
      <c r="K831" s="675"/>
      <c r="L831" s="675"/>
      <c r="M831" s="675"/>
    </row>
    <row r="832" spans="1:13" x14ac:dyDescent="0.25">
      <c r="A832" s="675" t="s">
        <v>1187</v>
      </c>
      <c r="B832" s="675" t="s">
        <v>512</v>
      </c>
      <c r="C832" s="675" t="s">
        <v>1202</v>
      </c>
      <c r="D832" s="675" t="s">
        <v>21</v>
      </c>
      <c r="E832" s="675" t="s">
        <v>514</v>
      </c>
      <c r="F832" s="675" t="s">
        <v>515</v>
      </c>
      <c r="G832" s="675"/>
      <c r="H832" s="675"/>
      <c r="I832" s="675"/>
      <c r="J832" s="675"/>
      <c r="K832" s="675"/>
      <c r="L832" s="675"/>
      <c r="M832" s="675"/>
    </row>
    <row r="833" spans="1:13" x14ac:dyDescent="0.25">
      <c r="A833" s="675" t="s">
        <v>1187</v>
      </c>
      <c r="B833" s="675" t="s">
        <v>512</v>
      </c>
      <c r="C833" s="675" t="s">
        <v>1203</v>
      </c>
      <c r="D833" s="675" t="s">
        <v>21</v>
      </c>
      <c r="E833" s="675" t="s">
        <v>514</v>
      </c>
      <c r="F833" s="675" t="s">
        <v>515</v>
      </c>
      <c r="G833" s="675"/>
      <c r="H833" s="675"/>
      <c r="I833" s="675"/>
      <c r="J833" s="675"/>
      <c r="K833" s="675"/>
      <c r="L833" s="675"/>
      <c r="M833" s="675"/>
    </row>
    <row r="834" spans="1:13" x14ac:dyDescent="0.25">
      <c r="A834" s="675" t="s">
        <v>1187</v>
      </c>
      <c r="B834" s="675" t="s">
        <v>512</v>
      </c>
      <c r="C834" s="675" t="s">
        <v>1204</v>
      </c>
      <c r="D834" s="675" t="s">
        <v>21</v>
      </c>
      <c r="E834" s="675" t="s">
        <v>514</v>
      </c>
      <c r="F834" s="675" t="s">
        <v>515</v>
      </c>
      <c r="G834" s="675"/>
      <c r="H834" s="675"/>
      <c r="I834" s="675"/>
      <c r="J834" s="675"/>
      <c r="K834" s="675"/>
      <c r="L834" s="675"/>
      <c r="M834" s="675"/>
    </row>
    <row r="835" spans="1:13" x14ac:dyDescent="0.25">
      <c r="A835" s="675" t="s">
        <v>1187</v>
      </c>
      <c r="B835" s="675" t="s">
        <v>512</v>
      </c>
      <c r="C835" s="675" t="s">
        <v>1205</v>
      </c>
      <c r="D835" s="675" t="s">
        <v>21</v>
      </c>
      <c r="E835" s="675" t="s">
        <v>514</v>
      </c>
      <c r="F835" s="675" t="s">
        <v>515</v>
      </c>
      <c r="G835" s="675"/>
      <c r="H835" s="675"/>
      <c r="I835" s="675"/>
      <c r="J835" s="675"/>
      <c r="K835" s="675"/>
      <c r="L835" s="675"/>
      <c r="M835" s="675"/>
    </row>
    <row r="836" spans="1:13" x14ac:dyDescent="0.25">
      <c r="A836" s="675" t="s">
        <v>1187</v>
      </c>
      <c r="B836" s="675" t="s">
        <v>512</v>
      </c>
      <c r="C836" s="675" t="s">
        <v>1206</v>
      </c>
      <c r="D836" s="675" t="s">
        <v>21</v>
      </c>
      <c r="E836" s="675" t="s">
        <v>514</v>
      </c>
      <c r="F836" s="675" t="s">
        <v>515</v>
      </c>
      <c r="G836" s="675"/>
      <c r="H836" s="675"/>
      <c r="I836" s="675"/>
      <c r="J836" s="675"/>
      <c r="K836" s="675"/>
      <c r="L836" s="675"/>
      <c r="M836" s="675"/>
    </row>
    <row r="837" spans="1:13" x14ac:dyDescent="0.25">
      <c r="A837" s="675" t="s">
        <v>1187</v>
      </c>
      <c r="B837" s="675" t="s">
        <v>512</v>
      </c>
      <c r="C837" s="675" t="s">
        <v>1207</v>
      </c>
      <c r="D837" s="675" t="s">
        <v>21</v>
      </c>
      <c r="E837" s="675" t="s">
        <v>514</v>
      </c>
      <c r="F837" s="675" t="s">
        <v>515</v>
      </c>
      <c r="G837" s="675"/>
      <c r="H837" s="675"/>
      <c r="I837" s="675"/>
      <c r="J837" s="675"/>
      <c r="K837" s="675"/>
      <c r="L837" s="675"/>
      <c r="M837" s="675"/>
    </row>
    <row r="838" spans="1:13" x14ac:dyDescent="0.25">
      <c r="A838" s="675" t="s">
        <v>1187</v>
      </c>
      <c r="B838" s="675" t="s">
        <v>512</v>
      </c>
      <c r="C838" s="675" t="s">
        <v>1208</v>
      </c>
      <c r="D838" s="675" t="s">
        <v>21</v>
      </c>
      <c r="E838" s="675" t="s">
        <v>514</v>
      </c>
      <c r="F838" s="675" t="s">
        <v>515</v>
      </c>
      <c r="G838" s="675"/>
      <c r="H838" s="675"/>
      <c r="I838" s="675"/>
      <c r="J838" s="675"/>
      <c r="K838" s="675"/>
      <c r="L838" s="675"/>
      <c r="M838" s="675"/>
    </row>
    <row r="839" spans="1:13" x14ac:dyDescent="0.25">
      <c r="A839" s="675" t="s">
        <v>1187</v>
      </c>
      <c r="B839" s="675" t="s">
        <v>512</v>
      </c>
      <c r="C839" s="675" t="s">
        <v>1209</v>
      </c>
      <c r="D839" s="675" t="s">
        <v>21</v>
      </c>
      <c r="E839" s="675" t="s">
        <v>514</v>
      </c>
      <c r="F839" s="675" t="s">
        <v>515</v>
      </c>
      <c r="G839" s="675"/>
      <c r="H839" s="675"/>
      <c r="I839" s="675"/>
      <c r="J839" s="675"/>
      <c r="K839" s="675"/>
      <c r="L839" s="675"/>
      <c r="M839" s="675"/>
    </row>
    <row r="840" spans="1:13" x14ac:dyDescent="0.25">
      <c r="A840" s="678" t="s">
        <v>1187</v>
      </c>
      <c r="B840" s="678" t="s">
        <v>512</v>
      </c>
      <c r="C840" s="678" t="s">
        <v>1210</v>
      </c>
      <c r="D840" s="678" t="s">
        <v>21</v>
      </c>
      <c r="E840" s="678" t="s">
        <v>514</v>
      </c>
      <c r="F840" s="678" t="s">
        <v>596</v>
      </c>
      <c r="G840" s="675"/>
      <c r="H840" s="675"/>
      <c r="I840" s="675"/>
      <c r="J840" s="675"/>
      <c r="K840" s="675"/>
      <c r="L840" s="675"/>
      <c r="M840" s="675"/>
    </row>
    <row r="841" spans="1:13" x14ac:dyDescent="0.25">
      <c r="A841" s="675" t="s">
        <v>1187</v>
      </c>
      <c r="B841" s="675" t="s">
        <v>512</v>
      </c>
      <c r="C841" s="675" t="s">
        <v>1211</v>
      </c>
      <c r="D841" s="675" t="s">
        <v>21</v>
      </c>
      <c r="E841" s="675" t="s">
        <v>514</v>
      </c>
      <c r="F841" s="675" t="s">
        <v>515</v>
      </c>
      <c r="G841" s="675"/>
      <c r="H841" s="675"/>
      <c r="I841" s="675"/>
      <c r="J841" s="675"/>
      <c r="K841" s="675"/>
      <c r="L841" s="675"/>
      <c r="M841" s="675"/>
    </row>
    <row r="842" spans="1:13" x14ac:dyDescent="0.25">
      <c r="A842" s="675" t="s">
        <v>1187</v>
      </c>
      <c r="B842" s="675" t="s">
        <v>512</v>
      </c>
      <c r="C842" s="675" t="s">
        <v>1212</v>
      </c>
      <c r="D842" s="675" t="s">
        <v>21</v>
      </c>
      <c r="E842" s="675" t="s">
        <v>514</v>
      </c>
      <c r="F842" s="675" t="s">
        <v>515</v>
      </c>
      <c r="G842" s="675"/>
      <c r="H842" s="675"/>
      <c r="I842" s="675"/>
      <c r="J842" s="675"/>
      <c r="K842" s="675"/>
      <c r="L842" s="675"/>
      <c r="M842" s="675"/>
    </row>
    <row r="843" spans="1:13" x14ac:dyDescent="0.25">
      <c r="A843" s="675" t="s">
        <v>1187</v>
      </c>
      <c r="B843" s="675" t="s">
        <v>512</v>
      </c>
      <c r="C843" s="675" t="s">
        <v>1213</v>
      </c>
      <c r="D843" s="675" t="s">
        <v>21</v>
      </c>
      <c r="E843" s="675" t="s">
        <v>514</v>
      </c>
      <c r="F843" s="675" t="s">
        <v>515</v>
      </c>
      <c r="G843" s="675"/>
      <c r="H843" s="675"/>
      <c r="I843" s="675"/>
      <c r="J843" s="675"/>
      <c r="K843" s="675"/>
      <c r="L843" s="675"/>
      <c r="M843" s="675"/>
    </row>
    <row r="844" spans="1:13" x14ac:dyDescent="0.25">
      <c r="A844" s="675" t="s">
        <v>1187</v>
      </c>
      <c r="B844" s="675" t="s">
        <v>512</v>
      </c>
      <c r="C844" s="675" t="s">
        <v>1214</v>
      </c>
      <c r="D844" s="675" t="s">
        <v>21</v>
      </c>
      <c r="E844" s="675" t="s">
        <v>514</v>
      </c>
      <c r="F844" s="675" t="s">
        <v>515</v>
      </c>
      <c r="G844" s="675"/>
      <c r="H844" s="675"/>
      <c r="I844" s="675"/>
      <c r="J844" s="675"/>
      <c r="K844" s="675"/>
      <c r="L844" s="675"/>
      <c r="M844" s="675"/>
    </row>
    <row r="845" spans="1:13" x14ac:dyDescent="0.25">
      <c r="A845" s="675" t="s">
        <v>1187</v>
      </c>
      <c r="B845" s="675" t="s">
        <v>512</v>
      </c>
      <c r="C845" s="675" t="s">
        <v>1215</v>
      </c>
      <c r="D845" s="675" t="s">
        <v>21</v>
      </c>
      <c r="E845" s="675" t="s">
        <v>514</v>
      </c>
      <c r="F845" s="675" t="s">
        <v>515</v>
      </c>
      <c r="G845" s="675"/>
      <c r="H845" s="675"/>
      <c r="I845" s="675"/>
      <c r="J845" s="675"/>
      <c r="K845" s="675"/>
      <c r="L845" s="675"/>
      <c r="M845" s="675"/>
    </row>
    <row r="846" spans="1:13" x14ac:dyDescent="0.25">
      <c r="A846" s="675" t="s">
        <v>1187</v>
      </c>
      <c r="B846" s="675" t="s">
        <v>512</v>
      </c>
      <c r="C846" s="675" t="s">
        <v>1216</v>
      </c>
      <c r="D846" s="675" t="s">
        <v>21</v>
      </c>
      <c r="E846" s="675" t="s">
        <v>514</v>
      </c>
      <c r="F846" s="675" t="s">
        <v>515</v>
      </c>
      <c r="G846" s="675"/>
      <c r="H846" s="675"/>
      <c r="I846" s="675"/>
      <c r="J846" s="675"/>
      <c r="K846" s="675"/>
      <c r="L846" s="675"/>
      <c r="M846" s="675"/>
    </row>
    <row r="847" spans="1:13" x14ac:dyDescent="0.25">
      <c r="A847" s="675" t="s">
        <v>1187</v>
      </c>
      <c r="B847" s="675" t="s">
        <v>512</v>
      </c>
      <c r="C847" s="675" t="s">
        <v>1217</v>
      </c>
      <c r="D847" s="675" t="s">
        <v>21</v>
      </c>
      <c r="E847" s="675" t="s">
        <v>514</v>
      </c>
      <c r="F847" s="675" t="s">
        <v>515</v>
      </c>
      <c r="G847" s="675"/>
      <c r="H847" s="675"/>
      <c r="I847" s="675"/>
      <c r="J847" s="675"/>
      <c r="K847" s="675"/>
      <c r="L847" s="675"/>
      <c r="M847" s="675"/>
    </row>
    <row r="848" spans="1:13" x14ac:dyDescent="0.25">
      <c r="A848" s="675" t="s">
        <v>1187</v>
      </c>
      <c r="B848" s="675" t="s">
        <v>512</v>
      </c>
      <c r="C848" s="675" t="s">
        <v>1218</v>
      </c>
      <c r="D848" s="675" t="s">
        <v>21</v>
      </c>
      <c r="E848" s="675" t="s">
        <v>514</v>
      </c>
      <c r="F848" s="675" t="s">
        <v>515</v>
      </c>
      <c r="G848" s="675"/>
      <c r="H848" s="675"/>
      <c r="I848" s="675"/>
      <c r="J848" s="675"/>
      <c r="K848" s="675"/>
      <c r="L848" s="675"/>
      <c r="M848" s="675"/>
    </row>
    <row r="849" spans="1:13" x14ac:dyDescent="0.25">
      <c r="A849" s="675" t="s">
        <v>1187</v>
      </c>
      <c r="B849" s="675" t="s">
        <v>512</v>
      </c>
      <c r="C849" s="675" t="s">
        <v>1219</v>
      </c>
      <c r="D849" s="675" t="s">
        <v>21</v>
      </c>
      <c r="E849" s="675" t="s">
        <v>514</v>
      </c>
      <c r="F849" s="675" t="s">
        <v>515</v>
      </c>
      <c r="G849" s="675"/>
      <c r="H849" s="675"/>
      <c r="I849" s="675"/>
      <c r="J849" s="675"/>
      <c r="K849" s="675"/>
      <c r="L849" s="675"/>
      <c r="M849" s="675"/>
    </row>
    <row r="850" spans="1:13" x14ac:dyDescent="0.25">
      <c r="A850" s="675" t="s">
        <v>1187</v>
      </c>
      <c r="B850" s="675" t="s">
        <v>512</v>
      </c>
      <c r="C850" s="675" t="s">
        <v>664</v>
      </c>
      <c r="D850" s="675" t="s">
        <v>21</v>
      </c>
      <c r="E850" s="675" t="s">
        <v>514</v>
      </c>
      <c r="F850" s="675" t="s">
        <v>515</v>
      </c>
      <c r="G850" s="675"/>
      <c r="H850" s="675"/>
      <c r="I850" s="675"/>
      <c r="J850" s="675"/>
      <c r="K850" s="675"/>
      <c r="L850" s="675"/>
      <c r="M850" s="675"/>
    </row>
    <row r="851" spans="1:13" x14ac:dyDescent="0.25">
      <c r="A851" s="675" t="s">
        <v>1187</v>
      </c>
      <c r="B851" s="675" t="s">
        <v>512</v>
      </c>
      <c r="C851" s="675" t="s">
        <v>1220</v>
      </c>
      <c r="D851" s="675" t="s">
        <v>21</v>
      </c>
      <c r="E851" s="675" t="s">
        <v>514</v>
      </c>
      <c r="F851" s="675" t="s">
        <v>515</v>
      </c>
      <c r="G851" s="675"/>
      <c r="H851" s="675"/>
      <c r="I851" s="675"/>
      <c r="J851" s="675"/>
      <c r="K851" s="675"/>
      <c r="L851" s="675"/>
      <c r="M851" s="675"/>
    </row>
    <row r="852" spans="1:13" x14ac:dyDescent="0.25">
      <c r="A852" s="675" t="s">
        <v>1187</v>
      </c>
      <c r="B852" s="675" t="s">
        <v>512</v>
      </c>
      <c r="C852" s="675" t="s">
        <v>1221</v>
      </c>
      <c r="D852" s="675" t="s">
        <v>21</v>
      </c>
      <c r="E852" s="675" t="s">
        <v>514</v>
      </c>
      <c r="F852" s="675" t="s">
        <v>515</v>
      </c>
      <c r="G852" s="675"/>
      <c r="H852" s="675"/>
      <c r="I852" s="675"/>
      <c r="J852" s="675"/>
      <c r="K852" s="675"/>
      <c r="L852" s="675"/>
      <c r="M852" s="675"/>
    </row>
    <row r="853" spans="1:13" x14ac:dyDescent="0.25">
      <c r="A853" s="675" t="s">
        <v>1187</v>
      </c>
      <c r="B853" s="675" t="s">
        <v>512</v>
      </c>
      <c r="C853" s="675" t="s">
        <v>1222</v>
      </c>
      <c r="D853" s="675" t="s">
        <v>21</v>
      </c>
      <c r="E853" s="675" t="s">
        <v>514</v>
      </c>
      <c r="F853" s="675" t="s">
        <v>515</v>
      </c>
      <c r="G853" s="675"/>
      <c r="H853" s="675"/>
      <c r="I853" s="675"/>
      <c r="J853" s="675"/>
      <c r="K853" s="675"/>
      <c r="L853" s="675"/>
      <c r="M853" s="675"/>
    </row>
    <row r="854" spans="1:13" x14ac:dyDescent="0.25">
      <c r="A854" s="675" t="s">
        <v>1187</v>
      </c>
      <c r="B854" s="675" t="s">
        <v>512</v>
      </c>
      <c r="C854" s="675" t="s">
        <v>1223</v>
      </c>
      <c r="D854" s="675" t="s">
        <v>21</v>
      </c>
      <c r="E854" s="675" t="s">
        <v>514</v>
      </c>
      <c r="F854" s="675" t="s">
        <v>515</v>
      </c>
      <c r="G854" s="675"/>
      <c r="H854" s="675"/>
      <c r="I854" s="675"/>
      <c r="J854" s="675"/>
      <c r="K854" s="675"/>
      <c r="L854" s="675"/>
      <c r="M854" s="675"/>
    </row>
    <row r="855" spans="1:13" x14ac:dyDescent="0.25">
      <c r="A855" s="675" t="s">
        <v>1187</v>
      </c>
      <c r="B855" s="675" t="s">
        <v>512</v>
      </c>
      <c r="C855" s="675" t="s">
        <v>1224</v>
      </c>
      <c r="D855" s="675" t="s">
        <v>21</v>
      </c>
      <c r="E855" s="675" t="s">
        <v>514</v>
      </c>
      <c r="F855" s="675" t="s">
        <v>515</v>
      </c>
      <c r="G855" s="675"/>
      <c r="H855" s="675"/>
      <c r="I855" s="675"/>
      <c r="J855" s="675"/>
      <c r="K855" s="675"/>
      <c r="L855" s="675"/>
      <c r="M855" s="675"/>
    </row>
    <row r="856" spans="1:13" x14ac:dyDescent="0.25">
      <c r="A856" s="675" t="s">
        <v>1187</v>
      </c>
      <c r="B856" s="675" t="s">
        <v>512</v>
      </c>
      <c r="C856" s="675" t="s">
        <v>1225</v>
      </c>
      <c r="D856" s="675" t="s">
        <v>21</v>
      </c>
      <c r="E856" s="675" t="s">
        <v>514</v>
      </c>
      <c r="F856" s="675" t="s">
        <v>515</v>
      </c>
      <c r="G856" s="675"/>
      <c r="H856" s="675"/>
      <c r="I856" s="675"/>
      <c r="J856" s="675"/>
      <c r="K856" s="675"/>
      <c r="L856" s="675"/>
      <c r="M856" s="675"/>
    </row>
    <row r="857" spans="1:13" x14ac:dyDescent="0.25">
      <c r="A857" s="675" t="s">
        <v>1187</v>
      </c>
      <c r="B857" s="675" t="s">
        <v>512</v>
      </c>
      <c r="C857" s="675" t="s">
        <v>1226</v>
      </c>
      <c r="D857" s="675" t="s">
        <v>21</v>
      </c>
      <c r="E857" s="675" t="s">
        <v>514</v>
      </c>
      <c r="F857" s="675" t="s">
        <v>515</v>
      </c>
      <c r="G857" s="675"/>
      <c r="H857" s="675"/>
      <c r="I857" s="675"/>
      <c r="J857" s="675"/>
      <c r="K857" s="675"/>
      <c r="L857" s="675"/>
      <c r="M857" s="675"/>
    </row>
    <row r="858" spans="1:13" x14ac:dyDescent="0.25">
      <c r="A858" s="675" t="s">
        <v>1187</v>
      </c>
      <c r="B858" s="675" t="s">
        <v>512</v>
      </c>
      <c r="C858" s="675" t="s">
        <v>1227</v>
      </c>
      <c r="D858" s="675" t="s">
        <v>21</v>
      </c>
      <c r="E858" s="675" t="s">
        <v>514</v>
      </c>
      <c r="F858" s="675" t="s">
        <v>515</v>
      </c>
      <c r="G858" s="675"/>
      <c r="H858" s="675"/>
      <c r="I858" s="675"/>
      <c r="J858" s="675"/>
      <c r="K858" s="675"/>
      <c r="L858" s="675"/>
      <c r="M858" s="675"/>
    </row>
    <row r="859" spans="1:13" x14ac:dyDescent="0.25">
      <c r="A859" s="675" t="s">
        <v>1187</v>
      </c>
      <c r="B859" s="675" t="s">
        <v>512</v>
      </c>
      <c r="C859" s="675" t="s">
        <v>1228</v>
      </c>
      <c r="D859" s="675" t="s">
        <v>21</v>
      </c>
      <c r="E859" s="675" t="s">
        <v>514</v>
      </c>
      <c r="F859" s="675" t="s">
        <v>515</v>
      </c>
      <c r="G859" s="675"/>
      <c r="H859" s="675"/>
      <c r="I859" s="675"/>
      <c r="J859" s="675"/>
      <c r="K859" s="675"/>
      <c r="L859" s="675"/>
      <c r="M859" s="675"/>
    </row>
    <row r="860" spans="1:13" x14ac:dyDescent="0.25">
      <c r="A860" s="675" t="s">
        <v>1187</v>
      </c>
      <c r="B860" s="675" t="s">
        <v>512</v>
      </c>
      <c r="C860" s="675" t="s">
        <v>1229</v>
      </c>
      <c r="D860" s="675" t="s">
        <v>21</v>
      </c>
      <c r="E860" s="675" t="s">
        <v>514</v>
      </c>
      <c r="F860" s="675" t="s">
        <v>515</v>
      </c>
      <c r="G860" s="675"/>
      <c r="H860" s="675"/>
      <c r="I860" s="675"/>
      <c r="J860" s="675"/>
      <c r="K860" s="675"/>
      <c r="L860" s="675"/>
      <c r="M860" s="675"/>
    </row>
    <row r="861" spans="1:13" x14ac:dyDescent="0.25">
      <c r="A861" s="675" t="s">
        <v>1187</v>
      </c>
      <c r="B861" s="675" t="s">
        <v>512</v>
      </c>
      <c r="C861" s="675" t="s">
        <v>1230</v>
      </c>
      <c r="D861" s="675" t="s">
        <v>21</v>
      </c>
      <c r="E861" s="675" t="s">
        <v>514</v>
      </c>
      <c r="F861" s="675" t="s">
        <v>515</v>
      </c>
      <c r="G861" s="675"/>
      <c r="H861" s="675"/>
      <c r="I861" s="675"/>
      <c r="J861" s="675"/>
      <c r="K861" s="675"/>
      <c r="L861" s="675"/>
      <c r="M861" s="675"/>
    </row>
    <row r="862" spans="1:13" x14ac:dyDescent="0.25">
      <c r="A862" s="675" t="s">
        <v>1187</v>
      </c>
      <c r="B862" s="675" t="s">
        <v>512</v>
      </c>
      <c r="C862" s="675" t="s">
        <v>1231</v>
      </c>
      <c r="D862" s="675" t="s">
        <v>21</v>
      </c>
      <c r="E862" s="675" t="s">
        <v>514</v>
      </c>
      <c r="F862" s="675" t="s">
        <v>515</v>
      </c>
      <c r="G862" s="675"/>
      <c r="H862" s="675"/>
      <c r="I862" s="675"/>
      <c r="J862" s="675"/>
      <c r="K862" s="675"/>
      <c r="L862" s="675"/>
      <c r="M862" s="675"/>
    </row>
    <row r="863" spans="1:13" x14ac:dyDescent="0.25">
      <c r="A863" s="675" t="s">
        <v>1187</v>
      </c>
      <c r="B863" s="675" t="s">
        <v>512</v>
      </c>
      <c r="C863" s="675" t="s">
        <v>1232</v>
      </c>
      <c r="D863" s="675" t="s">
        <v>21</v>
      </c>
      <c r="E863" s="675" t="s">
        <v>514</v>
      </c>
      <c r="F863" s="675" t="s">
        <v>515</v>
      </c>
      <c r="G863" s="675"/>
      <c r="H863" s="675"/>
      <c r="I863" s="675"/>
      <c r="J863" s="675"/>
      <c r="K863" s="675"/>
      <c r="L863" s="675"/>
      <c r="M863" s="675"/>
    </row>
    <row r="864" spans="1:13" x14ac:dyDescent="0.25">
      <c r="A864" s="675" t="s">
        <v>1187</v>
      </c>
      <c r="B864" s="675" t="s">
        <v>512</v>
      </c>
      <c r="C864" s="675" t="s">
        <v>1233</v>
      </c>
      <c r="D864" s="675" t="s">
        <v>21</v>
      </c>
      <c r="E864" s="675" t="s">
        <v>514</v>
      </c>
      <c r="F864" s="675" t="s">
        <v>515</v>
      </c>
      <c r="G864" s="675"/>
      <c r="H864" s="675"/>
      <c r="I864" s="675"/>
      <c r="J864" s="675"/>
      <c r="K864" s="675"/>
      <c r="L864" s="675"/>
      <c r="M864" s="675"/>
    </row>
    <row r="865" spans="1:13" x14ac:dyDescent="0.25">
      <c r="A865" s="675" t="s">
        <v>1187</v>
      </c>
      <c r="B865" s="675" t="s">
        <v>512</v>
      </c>
      <c r="C865" s="675" t="s">
        <v>1234</v>
      </c>
      <c r="D865" s="675" t="s">
        <v>21</v>
      </c>
      <c r="E865" s="675" t="s">
        <v>514</v>
      </c>
      <c r="F865" s="675" t="s">
        <v>515</v>
      </c>
      <c r="G865" s="675"/>
      <c r="H865" s="675"/>
      <c r="I865" s="675"/>
      <c r="J865" s="675"/>
      <c r="K865" s="675"/>
      <c r="L865" s="675"/>
      <c r="M865" s="675"/>
    </row>
    <row r="866" spans="1:13" x14ac:dyDescent="0.25">
      <c r="A866" s="675" t="s">
        <v>1187</v>
      </c>
      <c r="B866" s="675" t="s">
        <v>545</v>
      </c>
      <c r="C866" s="675" t="s">
        <v>1235</v>
      </c>
      <c r="D866" s="675" t="s">
        <v>21</v>
      </c>
      <c r="E866" s="675" t="s">
        <v>514</v>
      </c>
      <c r="F866" s="675" t="s">
        <v>515</v>
      </c>
      <c r="G866" s="675"/>
      <c r="H866" s="675"/>
      <c r="I866" s="675"/>
      <c r="J866" s="675"/>
      <c r="K866" s="675"/>
      <c r="L866" s="675"/>
      <c r="M866" s="675"/>
    </row>
    <row r="867" spans="1:13" x14ac:dyDescent="0.25">
      <c r="A867" s="675" t="s">
        <v>1187</v>
      </c>
      <c r="B867" s="675" t="s">
        <v>545</v>
      </c>
      <c r="C867" s="675" t="s">
        <v>1236</v>
      </c>
      <c r="D867" s="675" t="s">
        <v>21</v>
      </c>
      <c r="E867" s="675" t="s">
        <v>514</v>
      </c>
      <c r="F867" s="675" t="s">
        <v>515</v>
      </c>
      <c r="G867" s="675"/>
      <c r="H867" s="675"/>
      <c r="I867" s="675"/>
      <c r="J867" s="675"/>
      <c r="K867" s="675"/>
      <c r="L867" s="675"/>
      <c r="M867" s="675"/>
    </row>
    <row r="868" spans="1:13" x14ac:dyDescent="0.25">
      <c r="A868" s="675" t="s">
        <v>1187</v>
      </c>
      <c r="B868" s="675" t="s">
        <v>545</v>
      </c>
      <c r="C868" s="675" t="s">
        <v>1237</v>
      </c>
      <c r="D868" s="675" t="s">
        <v>21</v>
      </c>
      <c r="E868" s="675" t="s">
        <v>514</v>
      </c>
      <c r="F868" s="675" t="s">
        <v>515</v>
      </c>
      <c r="G868" s="675"/>
      <c r="H868" s="675"/>
      <c r="I868" s="675"/>
      <c r="J868" s="675"/>
      <c r="K868" s="675"/>
      <c r="L868" s="675"/>
      <c r="M868" s="675"/>
    </row>
    <row r="869" spans="1:13" x14ac:dyDescent="0.25">
      <c r="A869" s="678" t="s">
        <v>1187</v>
      </c>
      <c r="B869" s="678" t="s">
        <v>545</v>
      </c>
      <c r="C869" s="678" t="s">
        <v>1238</v>
      </c>
      <c r="D869" s="678" t="s">
        <v>21</v>
      </c>
      <c r="E869" s="678" t="s">
        <v>514</v>
      </c>
      <c r="F869" s="678" t="s">
        <v>636</v>
      </c>
      <c r="G869" s="675"/>
      <c r="H869" s="675"/>
      <c r="I869" s="675"/>
      <c r="J869" s="675"/>
      <c r="K869" s="675"/>
      <c r="L869" s="675"/>
      <c r="M869" s="675"/>
    </row>
    <row r="870" spans="1:13" x14ac:dyDescent="0.25">
      <c r="A870" s="675" t="s">
        <v>1187</v>
      </c>
      <c r="B870" s="675" t="s">
        <v>545</v>
      </c>
      <c r="C870" s="675" t="s">
        <v>1239</v>
      </c>
      <c r="D870" s="675" t="s">
        <v>21</v>
      </c>
      <c r="E870" s="675" t="s">
        <v>514</v>
      </c>
      <c r="F870" s="675" t="s">
        <v>515</v>
      </c>
      <c r="G870" s="675"/>
      <c r="H870" s="675"/>
      <c r="I870" s="675"/>
      <c r="J870" s="675"/>
      <c r="K870" s="675"/>
      <c r="L870" s="675"/>
      <c r="M870" s="675"/>
    </row>
    <row r="871" spans="1:13" x14ac:dyDescent="0.25">
      <c r="A871" s="675" t="s">
        <v>1187</v>
      </c>
      <c r="B871" s="675" t="s">
        <v>545</v>
      </c>
      <c r="C871" s="675" t="s">
        <v>1240</v>
      </c>
      <c r="D871" s="675" t="s">
        <v>21</v>
      </c>
      <c r="E871" s="675" t="s">
        <v>514</v>
      </c>
      <c r="F871" s="675" t="s">
        <v>515</v>
      </c>
      <c r="G871" s="675"/>
      <c r="H871" s="675"/>
      <c r="I871" s="675"/>
      <c r="J871" s="675"/>
      <c r="K871" s="675"/>
      <c r="L871" s="675"/>
      <c r="M871" s="675"/>
    </row>
    <row r="872" spans="1:13" x14ac:dyDescent="0.25">
      <c r="A872" s="675" t="s">
        <v>1187</v>
      </c>
      <c r="B872" s="675" t="s">
        <v>545</v>
      </c>
      <c r="C872" s="675" t="s">
        <v>1241</v>
      </c>
      <c r="D872" s="675" t="s">
        <v>21</v>
      </c>
      <c r="E872" s="675" t="s">
        <v>514</v>
      </c>
      <c r="F872" s="675" t="s">
        <v>515</v>
      </c>
      <c r="G872" s="675"/>
      <c r="H872" s="675"/>
      <c r="I872" s="675"/>
      <c r="J872" s="675"/>
      <c r="K872" s="675"/>
      <c r="L872" s="675"/>
      <c r="M872" s="675"/>
    </row>
    <row r="873" spans="1:13" x14ac:dyDescent="0.25">
      <c r="A873" s="675" t="s">
        <v>1187</v>
      </c>
      <c r="B873" s="675" t="s">
        <v>545</v>
      </c>
      <c r="C873" s="675" t="s">
        <v>1242</v>
      </c>
      <c r="D873" s="675" t="s">
        <v>21</v>
      </c>
      <c r="E873" s="675" t="s">
        <v>514</v>
      </c>
      <c r="F873" s="675" t="s">
        <v>515</v>
      </c>
      <c r="G873" s="675"/>
      <c r="H873" s="675"/>
      <c r="I873" s="675"/>
      <c r="J873" s="675"/>
      <c r="K873" s="675"/>
      <c r="L873" s="675"/>
      <c r="M873" s="675"/>
    </row>
    <row r="874" spans="1:13" x14ac:dyDescent="0.25">
      <c r="A874" s="681" t="s">
        <v>1187</v>
      </c>
      <c r="B874" s="681" t="s">
        <v>545</v>
      </c>
      <c r="C874" s="681" t="s">
        <v>1243</v>
      </c>
      <c r="D874" s="681" t="s">
        <v>21</v>
      </c>
      <c r="E874" s="681" t="s">
        <v>1244</v>
      </c>
      <c r="F874" s="681" t="s">
        <v>515</v>
      </c>
      <c r="G874" s="675"/>
      <c r="H874" s="675"/>
      <c r="I874" s="675"/>
      <c r="J874" s="675"/>
      <c r="K874" s="675"/>
      <c r="L874" s="675"/>
      <c r="M874" s="675"/>
    </row>
    <row r="875" spans="1:13" x14ac:dyDescent="0.25">
      <c r="A875" s="705" t="s">
        <v>1187</v>
      </c>
      <c r="B875" s="705" t="s">
        <v>545</v>
      </c>
      <c r="C875" s="681" t="s">
        <v>1245</v>
      </c>
      <c r="D875" s="705" t="s">
        <v>21</v>
      </c>
      <c r="E875" s="705" t="s">
        <v>1244</v>
      </c>
      <c r="F875" s="705" t="s">
        <v>515</v>
      </c>
      <c r="G875" s="702"/>
      <c r="H875" s="702"/>
      <c r="I875" s="702"/>
      <c r="J875" s="702"/>
      <c r="K875" s="702"/>
      <c r="L875" s="702"/>
      <c r="M875" s="702"/>
    </row>
    <row r="876" spans="1:13" x14ac:dyDescent="0.25">
      <c r="A876" s="705"/>
      <c r="B876" s="705"/>
      <c r="C876" s="681" t="s">
        <v>1246</v>
      </c>
      <c r="D876" s="705"/>
      <c r="E876" s="705"/>
      <c r="F876" s="705"/>
      <c r="G876" s="702"/>
      <c r="H876" s="702"/>
      <c r="I876" s="702"/>
      <c r="J876" s="702"/>
      <c r="K876" s="702"/>
      <c r="L876" s="702"/>
      <c r="M876" s="702"/>
    </row>
    <row r="877" spans="1:13" x14ac:dyDescent="0.25">
      <c r="A877" s="705" t="s">
        <v>1187</v>
      </c>
      <c r="B877" s="705" t="s">
        <v>545</v>
      </c>
      <c r="C877" s="681" t="s">
        <v>1245</v>
      </c>
      <c r="D877" s="705" t="s">
        <v>21</v>
      </c>
      <c r="E877" s="705" t="s">
        <v>1244</v>
      </c>
      <c r="F877" s="705" t="s">
        <v>515</v>
      </c>
      <c r="G877" s="702"/>
      <c r="H877" s="702"/>
      <c r="I877" s="702"/>
      <c r="J877" s="702"/>
      <c r="K877" s="702"/>
      <c r="L877" s="702"/>
      <c r="M877" s="702"/>
    </row>
    <row r="878" spans="1:13" x14ac:dyDescent="0.25">
      <c r="A878" s="705"/>
      <c r="B878" s="705"/>
      <c r="C878" s="681" t="s">
        <v>1247</v>
      </c>
      <c r="D878" s="705"/>
      <c r="E878" s="705"/>
      <c r="F878" s="705"/>
      <c r="G878" s="702"/>
      <c r="H878" s="702"/>
      <c r="I878" s="702"/>
      <c r="J878" s="702"/>
      <c r="K878" s="702"/>
      <c r="L878" s="702"/>
      <c r="M878" s="702"/>
    </row>
    <row r="879" spans="1:13" x14ac:dyDescent="0.25">
      <c r="A879" s="675" t="s">
        <v>1187</v>
      </c>
      <c r="B879" s="675" t="s">
        <v>545</v>
      </c>
      <c r="C879" s="675" t="s">
        <v>1248</v>
      </c>
      <c r="D879" s="675" t="s">
        <v>21</v>
      </c>
      <c r="E879" s="675" t="s">
        <v>514</v>
      </c>
      <c r="F879" s="675" t="s">
        <v>515</v>
      </c>
      <c r="G879" s="675"/>
      <c r="H879" s="675"/>
      <c r="I879" s="675"/>
      <c r="J879" s="675"/>
      <c r="K879" s="675"/>
      <c r="L879" s="675"/>
      <c r="M879" s="675"/>
    </row>
    <row r="880" spans="1:13" x14ac:dyDescent="0.25">
      <c r="A880" s="675" t="s">
        <v>1187</v>
      </c>
      <c r="B880" s="675" t="s">
        <v>545</v>
      </c>
      <c r="C880" s="675" t="s">
        <v>1249</v>
      </c>
      <c r="D880" s="675" t="s">
        <v>21</v>
      </c>
      <c r="E880" s="675" t="s">
        <v>514</v>
      </c>
      <c r="F880" s="675" t="s">
        <v>515</v>
      </c>
      <c r="G880" s="675"/>
      <c r="H880" s="675"/>
      <c r="I880" s="675"/>
      <c r="J880" s="675"/>
      <c r="K880" s="675"/>
      <c r="L880" s="675"/>
      <c r="M880" s="675"/>
    </row>
    <row r="881" spans="1:13" x14ac:dyDescent="0.25">
      <c r="A881" s="675" t="s">
        <v>1187</v>
      </c>
      <c r="B881" s="675" t="s">
        <v>564</v>
      </c>
      <c r="C881" s="675" t="s">
        <v>1250</v>
      </c>
      <c r="D881" s="675" t="s">
        <v>21</v>
      </c>
      <c r="E881" s="675" t="s">
        <v>514</v>
      </c>
      <c r="F881" s="675" t="s">
        <v>515</v>
      </c>
      <c r="G881" s="675"/>
      <c r="H881" s="675"/>
      <c r="I881" s="675"/>
      <c r="J881" s="675"/>
      <c r="K881" s="675"/>
      <c r="L881" s="675"/>
      <c r="M881" s="675"/>
    </row>
    <row r="882" spans="1:13" x14ac:dyDescent="0.25">
      <c r="A882" s="675" t="s">
        <v>1187</v>
      </c>
      <c r="B882" s="675" t="s">
        <v>564</v>
      </c>
      <c r="C882" s="675" t="s">
        <v>1251</v>
      </c>
      <c r="D882" s="675" t="s">
        <v>21</v>
      </c>
      <c r="E882" s="675" t="s">
        <v>514</v>
      </c>
      <c r="F882" s="675" t="s">
        <v>515</v>
      </c>
      <c r="G882" s="675"/>
      <c r="H882" s="675"/>
      <c r="I882" s="675"/>
      <c r="J882" s="675"/>
      <c r="K882" s="675"/>
      <c r="L882" s="675"/>
      <c r="M882" s="675"/>
    </row>
    <row r="883" spans="1:13" x14ac:dyDescent="0.25">
      <c r="A883" s="675" t="s">
        <v>1187</v>
      </c>
      <c r="B883" s="675" t="s">
        <v>564</v>
      </c>
      <c r="C883" s="675" t="s">
        <v>1252</v>
      </c>
      <c r="D883" s="675" t="s">
        <v>21</v>
      </c>
      <c r="E883" s="675" t="s">
        <v>514</v>
      </c>
      <c r="F883" s="675" t="s">
        <v>515</v>
      </c>
      <c r="G883" s="675"/>
      <c r="H883" s="675"/>
      <c r="I883" s="675"/>
      <c r="J883" s="675"/>
      <c r="K883" s="675"/>
      <c r="L883" s="675"/>
      <c r="M883" s="675"/>
    </row>
    <row r="884" spans="1:13" x14ac:dyDescent="0.25">
      <c r="A884" s="675" t="s">
        <v>1253</v>
      </c>
      <c r="B884" s="675" t="s">
        <v>512</v>
      </c>
      <c r="C884" s="675" t="s">
        <v>1254</v>
      </c>
      <c r="D884" s="675" t="s">
        <v>21</v>
      </c>
      <c r="E884" s="675" t="s">
        <v>514</v>
      </c>
      <c r="F884" s="675" t="s">
        <v>515</v>
      </c>
      <c r="G884" s="675"/>
      <c r="H884" s="675"/>
      <c r="I884" s="675"/>
      <c r="J884" s="675"/>
      <c r="K884" s="675"/>
      <c r="L884" s="675"/>
      <c r="M884" s="675"/>
    </row>
    <row r="885" spans="1:13" x14ac:dyDescent="0.25">
      <c r="A885" s="675" t="s">
        <v>1253</v>
      </c>
      <c r="B885" s="675" t="s">
        <v>512</v>
      </c>
      <c r="C885" s="675" t="s">
        <v>1255</v>
      </c>
      <c r="D885" s="675" t="s">
        <v>21</v>
      </c>
      <c r="E885" s="675" t="s">
        <v>514</v>
      </c>
      <c r="F885" s="675" t="s">
        <v>515</v>
      </c>
      <c r="G885" s="675"/>
      <c r="H885" s="675"/>
      <c r="I885" s="675"/>
      <c r="J885" s="675"/>
      <c r="K885" s="675"/>
      <c r="L885" s="675"/>
      <c r="M885" s="675"/>
    </row>
    <row r="886" spans="1:13" x14ac:dyDescent="0.25">
      <c r="A886" s="675" t="s">
        <v>1253</v>
      </c>
      <c r="B886" s="675" t="s">
        <v>512</v>
      </c>
      <c r="C886" s="675" t="s">
        <v>1256</v>
      </c>
      <c r="D886" s="675" t="s">
        <v>21</v>
      </c>
      <c r="E886" s="675" t="s">
        <v>514</v>
      </c>
      <c r="F886" s="675" t="s">
        <v>515</v>
      </c>
      <c r="G886" s="675"/>
      <c r="H886" s="675"/>
      <c r="I886" s="675"/>
      <c r="J886" s="675"/>
      <c r="K886" s="675"/>
      <c r="L886" s="675"/>
      <c r="M886" s="675"/>
    </row>
    <row r="887" spans="1:13" x14ac:dyDescent="0.25">
      <c r="A887" s="675" t="s">
        <v>1253</v>
      </c>
      <c r="B887" s="675" t="s">
        <v>512</v>
      </c>
      <c r="C887" s="675" t="s">
        <v>1227</v>
      </c>
      <c r="D887" s="675" t="s">
        <v>21</v>
      </c>
      <c r="E887" s="675" t="s">
        <v>514</v>
      </c>
      <c r="F887" s="675" t="s">
        <v>515</v>
      </c>
      <c r="G887" s="675"/>
      <c r="H887" s="675"/>
      <c r="I887" s="675"/>
      <c r="J887" s="675"/>
      <c r="K887" s="675"/>
      <c r="L887" s="675"/>
      <c r="M887" s="675"/>
    </row>
    <row r="888" spans="1:13" x14ac:dyDescent="0.25">
      <c r="A888" s="675" t="s">
        <v>1253</v>
      </c>
      <c r="B888" s="675" t="s">
        <v>512</v>
      </c>
      <c r="C888" s="675" t="s">
        <v>1257</v>
      </c>
      <c r="D888" s="675" t="s">
        <v>21</v>
      </c>
      <c r="E888" s="675" t="s">
        <v>514</v>
      </c>
      <c r="F888" s="675" t="s">
        <v>515</v>
      </c>
      <c r="G888" s="675"/>
      <c r="H888" s="675"/>
      <c r="I888" s="675"/>
      <c r="J888" s="675"/>
      <c r="K888" s="675"/>
      <c r="L888" s="675"/>
      <c r="M888" s="675"/>
    </row>
    <row r="889" spans="1:13" x14ac:dyDescent="0.25">
      <c r="A889" s="675" t="s">
        <v>1253</v>
      </c>
      <c r="B889" s="675" t="s">
        <v>545</v>
      </c>
      <c r="C889" s="675" t="s">
        <v>1258</v>
      </c>
      <c r="D889" s="675" t="s">
        <v>21</v>
      </c>
      <c r="E889" s="675" t="s">
        <v>514</v>
      </c>
      <c r="F889" s="675" t="s">
        <v>515</v>
      </c>
      <c r="G889" s="675"/>
      <c r="H889" s="675"/>
      <c r="I889" s="675"/>
      <c r="J889" s="675"/>
      <c r="K889" s="675"/>
      <c r="L889" s="675"/>
      <c r="M889" s="675"/>
    </row>
    <row r="890" spans="1:13" x14ac:dyDescent="0.25">
      <c r="A890" s="675" t="s">
        <v>1253</v>
      </c>
      <c r="B890" s="675" t="s">
        <v>545</v>
      </c>
      <c r="C890" s="675" t="s">
        <v>1259</v>
      </c>
      <c r="D890" s="675" t="s">
        <v>21</v>
      </c>
      <c r="E890" s="675" t="s">
        <v>514</v>
      </c>
      <c r="F890" s="675" t="s">
        <v>515</v>
      </c>
      <c r="G890" s="675"/>
      <c r="H890" s="675"/>
      <c r="I890" s="675"/>
      <c r="J890" s="675"/>
      <c r="K890" s="675"/>
      <c r="L890" s="675"/>
      <c r="M890" s="675"/>
    </row>
    <row r="891" spans="1:13" x14ac:dyDescent="0.25">
      <c r="A891" s="675" t="s">
        <v>1253</v>
      </c>
      <c r="B891" s="675" t="s">
        <v>545</v>
      </c>
      <c r="C891" s="675" t="s">
        <v>1260</v>
      </c>
      <c r="D891" s="675" t="s">
        <v>21</v>
      </c>
      <c r="E891" s="675" t="s">
        <v>514</v>
      </c>
      <c r="F891" s="675" t="s">
        <v>515</v>
      </c>
      <c r="G891" s="675"/>
      <c r="H891" s="675"/>
      <c r="I891" s="675"/>
      <c r="J891" s="675"/>
      <c r="K891" s="675"/>
      <c r="L891" s="675"/>
      <c r="M891" s="675"/>
    </row>
    <row r="892" spans="1:13" x14ac:dyDescent="0.25">
      <c r="A892" s="675" t="s">
        <v>1253</v>
      </c>
      <c r="B892" s="675" t="s">
        <v>564</v>
      </c>
      <c r="C892" s="675" t="s">
        <v>1261</v>
      </c>
      <c r="D892" s="675" t="s">
        <v>21</v>
      </c>
      <c r="E892" s="675" t="s">
        <v>514</v>
      </c>
      <c r="F892" s="675" t="s">
        <v>515</v>
      </c>
      <c r="G892" s="675"/>
      <c r="H892" s="675"/>
      <c r="I892" s="675"/>
      <c r="J892" s="675"/>
      <c r="K892" s="675"/>
      <c r="L892" s="675"/>
      <c r="M892" s="675"/>
    </row>
    <row r="893" spans="1:13" x14ac:dyDescent="0.25">
      <c r="A893" s="675" t="s">
        <v>1253</v>
      </c>
      <c r="B893" s="675" t="s">
        <v>564</v>
      </c>
      <c r="C893" s="675" t="s">
        <v>1262</v>
      </c>
      <c r="D893" s="675" t="s">
        <v>21</v>
      </c>
      <c r="E893" s="675" t="s">
        <v>514</v>
      </c>
      <c r="F893" s="675" t="s">
        <v>515</v>
      </c>
      <c r="G893" s="675"/>
      <c r="H893" s="675"/>
      <c r="I893" s="675"/>
      <c r="J893" s="675"/>
      <c r="K893" s="675"/>
      <c r="L893" s="675"/>
      <c r="M893" s="675"/>
    </row>
    <row r="894" spans="1:13" x14ac:dyDescent="0.25">
      <c r="A894" s="675" t="s">
        <v>1253</v>
      </c>
      <c r="B894" s="675" t="s">
        <v>564</v>
      </c>
      <c r="C894" s="675" t="s">
        <v>1263</v>
      </c>
      <c r="D894" s="675" t="s">
        <v>21</v>
      </c>
      <c r="E894" s="675" t="s">
        <v>514</v>
      </c>
      <c r="F894" s="675" t="s">
        <v>515</v>
      </c>
      <c r="G894" s="675"/>
      <c r="H894" s="675"/>
      <c r="I894" s="675"/>
      <c r="J894" s="675"/>
      <c r="K894" s="675"/>
      <c r="L894" s="675"/>
      <c r="M894" s="675"/>
    </row>
    <row r="895" spans="1:13" x14ac:dyDescent="0.25">
      <c r="A895" s="681" t="s">
        <v>1264</v>
      </c>
      <c r="B895" s="681" t="s">
        <v>512</v>
      </c>
      <c r="C895" s="681" t="s">
        <v>1265</v>
      </c>
      <c r="D895" s="681" t="s">
        <v>21</v>
      </c>
      <c r="E895" s="681" t="s">
        <v>1244</v>
      </c>
      <c r="F895" s="681" t="s">
        <v>515</v>
      </c>
      <c r="G895" s="675"/>
      <c r="H895" s="675"/>
      <c r="I895" s="675"/>
      <c r="J895" s="675"/>
      <c r="K895" s="675"/>
      <c r="L895" s="675"/>
      <c r="M895" s="675"/>
    </row>
    <row r="896" spans="1:13" x14ac:dyDescent="0.25">
      <c r="A896" s="675" t="s">
        <v>1264</v>
      </c>
      <c r="B896" s="675" t="s">
        <v>512</v>
      </c>
      <c r="C896" s="675" t="s">
        <v>1266</v>
      </c>
      <c r="D896" s="675" t="s">
        <v>21</v>
      </c>
      <c r="E896" s="675" t="s">
        <v>514</v>
      </c>
      <c r="F896" s="675" t="s">
        <v>515</v>
      </c>
      <c r="G896" s="675"/>
      <c r="H896" s="675"/>
      <c r="I896" s="675"/>
      <c r="J896" s="675"/>
      <c r="K896" s="675"/>
      <c r="L896" s="675"/>
      <c r="M896" s="675"/>
    </row>
    <row r="897" spans="1:13" x14ac:dyDescent="0.25">
      <c r="A897" s="675" t="s">
        <v>1264</v>
      </c>
      <c r="B897" s="675" t="s">
        <v>512</v>
      </c>
      <c r="C897" s="675" t="s">
        <v>1267</v>
      </c>
      <c r="D897" s="675" t="s">
        <v>21</v>
      </c>
      <c r="E897" s="675" t="s">
        <v>514</v>
      </c>
      <c r="F897" s="675" t="s">
        <v>515</v>
      </c>
      <c r="G897" s="675"/>
      <c r="H897" s="675"/>
      <c r="I897" s="675"/>
      <c r="J897" s="675"/>
      <c r="K897" s="675"/>
      <c r="L897" s="675"/>
      <c r="M897" s="675"/>
    </row>
    <row r="898" spans="1:13" x14ac:dyDescent="0.25">
      <c r="A898" s="675" t="s">
        <v>1264</v>
      </c>
      <c r="B898" s="675" t="s">
        <v>512</v>
      </c>
      <c r="C898" s="675" t="s">
        <v>1268</v>
      </c>
      <c r="D898" s="675" t="s">
        <v>21</v>
      </c>
      <c r="E898" s="675" t="s">
        <v>514</v>
      </c>
      <c r="F898" s="675" t="s">
        <v>515</v>
      </c>
      <c r="G898" s="675"/>
      <c r="H898" s="675"/>
      <c r="I898" s="675"/>
      <c r="J898" s="675"/>
      <c r="K898" s="675"/>
      <c r="L898" s="675"/>
      <c r="M898" s="675"/>
    </row>
    <row r="899" spans="1:13" x14ac:dyDescent="0.25">
      <c r="A899" s="675" t="s">
        <v>1264</v>
      </c>
      <c r="B899" s="675" t="s">
        <v>512</v>
      </c>
      <c r="C899" s="675" t="s">
        <v>1269</v>
      </c>
      <c r="D899" s="675" t="s">
        <v>21</v>
      </c>
      <c r="E899" s="675" t="s">
        <v>514</v>
      </c>
      <c r="F899" s="675" t="s">
        <v>515</v>
      </c>
      <c r="G899" s="675"/>
      <c r="H899" s="675"/>
      <c r="I899" s="675"/>
      <c r="J899" s="675"/>
      <c r="K899" s="675"/>
      <c r="L899" s="675"/>
      <c r="M899" s="675"/>
    </row>
    <row r="900" spans="1:13" x14ac:dyDescent="0.25">
      <c r="A900" s="675" t="s">
        <v>1264</v>
      </c>
      <c r="B900" s="675" t="s">
        <v>512</v>
      </c>
      <c r="C900" s="675" t="s">
        <v>1270</v>
      </c>
      <c r="D900" s="675" t="s">
        <v>21</v>
      </c>
      <c r="E900" s="675" t="s">
        <v>514</v>
      </c>
      <c r="F900" s="675" t="s">
        <v>515</v>
      </c>
      <c r="G900" s="675"/>
      <c r="H900" s="675"/>
      <c r="I900" s="675"/>
      <c r="J900" s="675"/>
      <c r="K900" s="675"/>
      <c r="L900" s="675"/>
      <c r="M900" s="675"/>
    </row>
    <row r="901" spans="1:13" x14ac:dyDescent="0.25">
      <c r="A901" s="675" t="s">
        <v>1264</v>
      </c>
      <c r="B901" s="675" t="s">
        <v>512</v>
      </c>
      <c r="C901" s="675" t="s">
        <v>1271</v>
      </c>
      <c r="D901" s="675" t="s">
        <v>21</v>
      </c>
      <c r="E901" s="675" t="s">
        <v>514</v>
      </c>
      <c r="F901" s="675" t="s">
        <v>515</v>
      </c>
      <c r="G901" s="675"/>
      <c r="H901" s="675"/>
      <c r="I901" s="675"/>
      <c r="J901" s="675"/>
      <c r="K901" s="675"/>
      <c r="L901" s="675"/>
      <c r="M901" s="675"/>
    </row>
    <row r="902" spans="1:13" x14ac:dyDescent="0.25">
      <c r="A902" s="675" t="s">
        <v>1264</v>
      </c>
      <c r="B902" s="675" t="s">
        <v>512</v>
      </c>
      <c r="C902" s="675" t="s">
        <v>1272</v>
      </c>
      <c r="D902" s="675" t="s">
        <v>21</v>
      </c>
      <c r="E902" s="675" t="s">
        <v>514</v>
      </c>
      <c r="F902" s="675" t="s">
        <v>515</v>
      </c>
      <c r="G902" s="675"/>
      <c r="H902" s="675"/>
      <c r="I902" s="675"/>
      <c r="J902" s="675"/>
      <c r="K902" s="675"/>
      <c r="L902" s="675"/>
      <c r="M902" s="675"/>
    </row>
    <row r="903" spans="1:13" x14ac:dyDescent="0.25">
      <c r="A903" s="675" t="s">
        <v>1264</v>
      </c>
      <c r="B903" s="675" t="s">
        <v>512</v>
      </c>
      <c r="C903" s="675" t="s">
        <v>1273</v>
      </c>
      <c r="D903" s="675" t="s">
        <v>21</v>
      </c>
      <c r="E903" s="675" t="s">
        <v>514</v>
      </c>
      <c r="F903" s="675" t="s">
        <v>515</v>
      </c>
      <c r="G903" s="675"/>
      <c r="H903" s="675"/>
      <c r="I903" s="675"/>
      <c r="J903" s="675"/>
      <c r="K903" s="675"/>
      <c r="L903" s="675"/>
      <c r="M903" s="675"/>
    </row>
    <row r="904" spans="1:13" x14ac:dyDescent="0.25">
      <c r="A904" s="675" t="s">
        <v>1264</v>
      </c>
      <c r="B904" s="675" t="s">
        <v>512</v>
      </c>
      <c r="C904" s="675" t="s">
        <v>1274</v>
      </c>
      <c r="D904" s="675" t="s">
        <v>21</v>
      </c>
      <c r="E904" s="675" t="s">
        <v>514</v>
      </c>
      <c r="F904" s="675" t="s">
        <v>515</v>
      </c>
      <c r="G904" s="675"/>
      <c r="H904" s="675"/>
      <c r="I904" s="675"/>
      <c r="J904" s="675"/>
      <c r="K904" s="675"/>
      <c r="L904" s="675"/>
      <c r="M904" s="675"/>
    </row>
    <row r="905" spans="1:13" x14ac:dyDescent="0.25">
      <c r="A905" s="675" t="s">
        <v>1264</v>
      </c>
      <c r="B905" s="675" t="s">
        <v>512</v>
      </c>
      <c r="C905" s="675" t="s">
        <v>1275</v>
      </c>
      <c r="D905" s="675" t="s">
        <v>21</v>
      </c>
      <c r="E905" s="675" t="s">
        <v>514</v>
      </c>
      <c r="F905" s="675" t="s">
        <v>515</v>
      </c>
      <c r="G905" s="675"/>
      <c r="H905" s="675"/>
      <c r="I905" s="675"/>
      <c r="J905" s="675"/>
      <c r="K905" s="675"/>
      <c r="L905" s="675"/>
      <c r="M905" s="675"/>
    </row>
    <row r="906" spans="1:13" x14ac:dyDescent="0.25">
      <c r="A906" s="675" t="s">
        <v>1264</v>
      </c>
      <c r="B906" s="675" t="s">
        <v>545</v>
      </c>
      <c r="C906" s="675" t="s">
        <v>1276</v>
      </c>
      <c r="D906" s="675" t="s">
        <v>21</v>
      </c>
      <c r="E906" s="675" t="s">
        <v>514</v>
      </c>
      <c r="F906" s="675" t="s">
        <v>515</v>
      </c>
      <c r="G906" s="675"/>
      <c r="H906" s="675"/>
      <c r="I906" s="675"/>
      <c r="J906" s="675"/>
      <c r="K906" s="675"/>
      <c r="L906" s="675"/>
      <c r="M906" s="675"/>
    </row>
    <row r="907" spans="1:13" x14ac:dyDescent="0.25">
      <c r="A907" s="675" t="s">
        <v>1264</v>
      </c>
      <c r="B907" s="675" t="s">
        <v>545</v>
      </c>
      <c r="C907" s="675" t="s">
        <v>1277</v>
      </c>
      <c r="D907" s="675" t="s">
        <v>21</v>
      </c>
      <c r="E907" s="675" t="s">
        <v>514</v>
      </c>
      <c r="F907" s="675" t="s">
        <v>515</v>
      </c>
      <c r="G907" s="675"/>
      <c r="H907" s="675"/>
      <c r="I907" s="675"/>
      <c r="J907" s="675"/>
      <c r="K907" s="675"/>
      <c r="L907" s="675"/>
      <c r="M907" s="675"/>
    </row>
    <row r="908" spans="1:13" x14ac:dyDescent="0.25">
      <c r="A908" s="675" t="s">
        <v>1264</v>
      </c>
      <c r="B908" s="675" t="s">
        <v>545</v>
      </c>
      <c r="C908" s="675" t="s">
        <v>1278</v>
      </c>
      <c r="D908" s="675" t="s">
        <v>21</v>
      </c>
      <c r="E908" s="675" t="s">
        <v>514</v>
      </c>
      <c r="F908" s="675" t="s">
        <v>515</v>
      </c>
      <c r="G908" s="675"/>
      <c r="H908" s="675"/>
      <c r="I908" s="675"/>
      <c r="J908" s="675"/>
      <c r="K908" s="675"/>
      <c r="L908" s="675"/>
      <c r="M908" s="675"/>
    </row>
    <row r="909" spans="1:13" x14ac:dyDescent="0.25">
      <c r="A909" s="675" t="s">
        <v>1264</v>
      </c>
      <c r="B909" s="675" t="s">
        <v>545</v>
      </c>
      <c r="C909" s="675" t="s">
        <v>1279</v>
      </c>
      <c r="D909" s="675" t="s">
        <v>21</v>
      </c>
      <c r="E909" s="675" t="s">
        <v>514</v>
      </c>
      <c r="F909" s="675" t="s">
        <v>515</v>
      </c>
      <c r="G909" s="675"/>
      <c r="H909" s="675"/>
      <c r="I909" s="675"/>
      <c r="J909" s="675"/>
      <c r="K909" s="675"/>
      <c r="L909" s="675"/>
      <c r="M909" s="675"/>
    </row>
    <row r="910" spans="1:13" x14ac:dyDescent="0.25">
      <c r="A910" s="675" t="s">
        <v>1264</v>
      </c>
      <c r="B910" s="675" t="s">
        <v>545</v>
      </c>
      <c r="C910" s="675" t="s">
        <v>1280</v>
      </c>
      <c r="D910" s="675" t="s">
        <v>21</v>
      </c>
      <c r="E910" s="675" t="s">
        <v>514</v>
      </c>
      <c r="F910" s="675" t="s">
        <v>515</v>
      </c>
      <c r="G910" s="675"/>
      <c r="H910" s="675"/>
      <c r="I910" s="675"/>
      <c r="J910" s="675"/>
      <c r="K910" s="675"/>
      <c r="L910" s="675"/>
      <c r="M910" s="675"/>
    </row>
    <row r="911" spans="1:13" x14ac:dyDescent="0.25">
      <c r="A911" s="675" t="s">
        <v>1264</v>
      </c>
      <c r="B911" s="675" t="s">
        <v>545</v>
      </c>
      <c r="C911" s="675" t="s">
        <v>1281</v>
      </c>
      <c r="D911" s="675" t="s">
        <v>21</v>
      </c>
      <c r="E911" s="675" t="s">
        <v>514</v>
      </c>
      <c r="F911" s="675" t="s">
        <v>515</v>
      </c>
      <c r="G911" s="675"/>
      <c r="H911" s="675"/>
      <c r="I911" s="675"/>
      <c r="J911" s="675"/>
      <c r="K911" s="675"/>
      <c r="L911" s="675"/>
      <c r="M911" s="675"/>
    </row>
    <row r="912" spans="1:13" x14ac:dyDescent="0.25">
      <c r="A912" s="675" t="s">
        <v>1264</v>
      </c>
      <c r="B912" s="675" t="s">
        <v>545</v>
      </c>
      <c r="C912" s="675" t="s">
        <v>1282</v>
      </c>
      <c r="D912" s="675" t="s">
        <v>21</v>
      </c>
      <c r="E912" s="675" t="s">
        <v>514</v>
      </c>
      <c r="F912" s="675" t="s">
        <v>515</v>
      </c>
      <c r="G912" s="675"/>
      <c r="H912" s="675"/>
      <c r="I912" s="675"/>
      <c r="J912" s="675"/>
      <c r="K912" s="675"/>
      <c r="L912" s="675"/>
      <c r="M912" s="675"/>
    </row>
    <row r="913" spans="1:13" x14ac:dyDescent="0.25">
      <c r="A913" s="675" t="s">
        <v>1264</v>
      </c>
      <c r="B913" s="675" t="s">
        <v>545</v>
      </c>
      <c r="C913" s="675" t="s">
        <v>1283</v>
      </c>
      <c r="D913" s="675" t="s">
        <v>21</v>
      </c>
      <c r="E913" s="675" t="s">
        <v>514</v>
      </c>
      <c r="F913" s="675" t="s">
        <v>515</v>
      </c>
      <c r="G913" s="675"/>
      <c r="H913" s="675"/>
      <c r="I913" s="675"/>
      <c r="J913" s="675"/>
      <c r="K913" s="675"/>
      <c r="L913" s="675"/>
      <c r="M913" s="675"/>
    </row>
    <row r="914" spans="1:13" x14ac:dyDescent="0.25">
      <c r="A914" s="675" t="s">
        <v>1264</v>
      </c>
      <c r="B914" s="675" t="s">
        <v>545</v>
      </c>
      <c r="C914" s="675" t="s">
        <v>1284</v>
      </c>
      <c r="D914" s="675" t="s">
        <v>21</v>
      </c>
      <c r="E914" s="675" t="s">
        <v>514</v>
      </c>
      <c r="F914" s="675" t="s">
        <v>515</v>
      </c>
      <c r="G914" s="675"/>
      <c r="H914" s="675"/>
      <c r="I914" s="675"/>
      <c r="J914" s="675"/>
      <c r="K914" s="675"/>
      <c r="L914" s="675"/>
      <c r="M914" s="675"/>
    </row>
    <row r="915" spans="1:13" x14ac:dyDescent="0.25">
      <c r="A915" s="675" t="s">
        <v>1264</v>
      </c>
      <c r="B915" s="675" t="s">
        <v>545</v>
      </c>
      <c r="C915" s="675" t="s">
        <v>1285</v>
      </c>
      <c r="D915" s="675" t="s">
        <v>21</v>
      </c>
      <c r="E915" s="675" t="s">
        <v>514</v>
      </c>
      <c r="F915" s="675" t="s">
        <v>515</v>
      </c>
      <c r="G915" s="675"/>
      <c r="H915" s="675"/>
      <c r="I915" s="675"/>
      <c r="J915" s="675"/>
      <c r="K915" s="675"/>
      <c r="L915" s="675"/>
      <c r="M915" s="675"/>
    </row>
    <row r="916" spans="1:13" x14ac:dyDescent="0.25">
      <c r="A916" s="675" t="s">
        <v>1264</v>
      </c>
      <c r="B916" s="675" t="s">
        <v>545</v>
      </c>
      <c r="C916" s="675" t="s">
        <v>1286</v>
      </c>
      <c r="D916" s="675" t="s">
        <v>21</v>
      </c>
      <c r="E916" s="675" t="s">
        <v>514</v>
      </c>
      <c r="F916" s="675" t="s">
        <v>515</v>
      </c>
      <c r="G916" s="675"/>
      <c r="H916" s="675"/>
      <c r="I916" s="675"/>
      <c r="J916" s="675"/>
      <c r="K916" s="675"/>
      <c r="L916" s="675"/>
      <c r="M916" s="675"/>
    </row>
    <row r="917" spans="1:13" x14ac:dyDescent="0.25">
      <c r="A917" s="675" t="s">
        <v>1264</v>
      </c>
      <c r="B917" s="675" t="s">
        <v>545</v>
      </c>
      <c r="C917" s="675" t="s">
        <v>1287</v>
      </c>
      <c r="D917" s="675" t="s">
        <v>21</v>
      </c>
      <c r="E917" s="675" t="s">
        <v>514</v>
      </c>
      <c r="F917" s="675" t="s">
        <v>515</v>
      </c>
      <c r="G917" s="675"/>
      <c r="H917" s="675"/>
      <c r="I917" s="675"/>
      <c r="J917" s="675"/>
      <c r="K917" s="675"/>
      <c r="L917" s="675"/>
      <c r="M917" s="675"/>
    </row>
    <row r="918" spans="1:13" x14ac:dyDescent="0.25">
      <c r="A918" s="675" t="s">
        <v>1264</v>
      </c>
      <c r="B918" s="675" t="s">
        <v>545</v>
      </c>
      <c r="C918" s="675" t="s">
        <v>1288</v>
      </c>
      <c r="D918" s="675" t="s">
        <v>21</v>
      </c>
      <c r="E918" s="675" t="s">
        <v>514</v>
      </c>
      <c r="F918" s="675" t="s">
        <v>515</v>
      </c>
      <c r="G918" s="675"/>
      <c r="H918" s="675"/>
      <c r="I918" s="675"/>
      <c r="J918" s="675"/>
      <c r="K918" s="675"/>
      <c r="L918" s="675"/>
      <c r="M918" s="675"/>
    </row>
    <row r="919" spans="1:13" x14ac:dyDescent="0.25">
      <c r="A919" s="675" t="s">
        <v>1264</v>
      </c>
      <c r="B919" s="675" t="s">
        <v>545</v>
      </c>
      <c r="C919" s="675" t="s">
        <v>1289</v>
      </c>
      <c r="D919" s="675" t="s">
        <v>21</v>
      </c>
      <c r="E919" s="675" t="s">
        <v>514</v>
      </c>
      <c r="F919" s="675" t="s">
        <v>515</v>
      </c>
      <c r="G919" s="675"/>
      <c r="H919" s="675"/>
      <c r="I919" s="675"/>
      <c r="J919" s="675"/>
      <c r="K919" s="675"/>
      <c r="L919" s="675"/>
      <c r="M919" s="675"/>
    </row>
    <row r="920" spans="1:13" x14ac:dyDescent="0.25">
      <c r="A920" s="675" t="s">
        <v>1264</v>
      </c>
      <c r="B920" s="675" t="s">
        <v>545</v>
      </c>
      <c r="C920" s="675" t="s">
        <v>609</v>
      </c>
      <c r="D920" s="675" t="s">
        <v>21</v>
      </c>
      <c r="E920" s="675" t="s">
        <v>514</v>
      </c>
      <c r="F920" s="675" t="s">
        <v>515</v>
      </c>
      <c r="G920" s="675"/>
      <c r="H920" s="675"/>
      <c r="I920" s="675"/>
      <c r="J920" s="675"/>
      <c r="K920" s="675"/>
      <c r="L920" s="675"/>
      <c r="M920" s="675"/>
    </row>
    <row r="921" spans="1:13" x14ac:dyDescent="0.25">
      <c r="A921" s="675" t="s">
        <v>1264</v>
      </c>
      <c r="B921" s="675" t="s">
        <v>545</v>
      </c>
      <c r="C921" s="675" t="s">
        <v>1290</v>
      </c>
      <c r="D921" s="675" t="s">
        <v>21</v>
      </c>
      <c r="E921" s="675" t="s">
        <v>514</v>
      </c>
      <c r="F921" s="675" t="s">
        <v>515</v>
      </c>
      <c r="G921" s="675"/>
      <c r="H921" s="675"/>
      <c r="I921" s="675"/>
      <c r="J921" s="675"/>
      <c r="K921" s="675"/>
      <c r="L921" s="675"/>
      <c r="M921" s="675"/>
    </row>
    <row r="922" spans="1:13" x14ac:dyDescent="0.25">
      <c r="A922" s="675" t="s">
        <v>1264</v>
      </c>
      <c r="B922" s="675" t="s">
        <v>564</v>
      </c>
      <c r="C922" s="675" t="s">
        <v>1291</v>
      </c>
      <c r="D922" s="675" t="s">
        <v>21</v>
      </c>
      <c r="E922" s="675" t="s">
        <v>514</v>
      </c>
      <c r="F922" s="675" t="s">
        <v>515</v>
      </c>
      <c r="G922" s="675"/>
      <c r="H922" s="675"/>
      <c r="I922" s="675"/>
      <c r="J922" s="675"/>
      <c r="K922" s="675"/>
      <c r="L922" s="675"/>
      <c r="M922" s="675"/>
    </row>
    <row r="923" spans="1:13" x14ac:dyDescent="0.25">
      <c r="A923" s="675" t="s">
        <v>1264</v>
      </c>
      <c r="B923" s="675" t="s">
        <v>564</v>
      </c>
      <c r="C923" s="675" t="s">
        <v>1292</v>
      </c>
      <c r="D923" s="675" t="s">
        <v>21</v>
      </c>
      <c r="E923" s="675" t="s">
        <v>514</v>
      </c>
      <c r="F923" s="675" t="s">
        <v>515</v>
      </c>
      <c r="G923" s="675"/>
      <c r="H923" s="675"/>
      <c r="I923" s="675"/>
      <c r="J923" s="675"/>
      <c r="K923" s="675"/>
      <c r="L923" s="675"/>
      <c r="M923" s="675"/>
    </row>
    <row r="924" spans="1:13" x14ac:dyDescent="0.25">
      <c r="A924" s="675" t="s">
        <v>1264</v>
      </c>
      <c r="B924" s="675" t="s">
        <v>564</v>
      </c>
      <c r="C924" s="675" t="s">
        <v>1293</v>
      </c>
      <c r="D924" s="675" t="s">
        <v>21</v>
      </c>
      <c r="E924" s="675" t="s">
        <v>514</v>
      </c>
      <c r="F924" s="675" t="s">
        <v>515</v>
      </c>
      <c r="G924" s="675"/>
      <c r="H924" s="675"/>
      <c r="I924" s="675"/>
      <c r="J924" s="675"/>
      <c r="K924" s="675"/>
      <c r="L924" s="675"/>
      <c r="M924" s="675"/>
    </row>
    <row r="925" spans="1:13" x14ac:dyDescent="0.25">
      <c r="A925" s="675" t="s">
        <v>1294</v>
      </c>
      <c r="B925" s="675" t="s">
        <v>512</v>
      </c>
      <c r="C925" s="675" t="s">
        <v>707</v>
      </c>
      <c r="D925" s="675" t="s">
        <v>21</v>
      </c>
      <c r="E925" s="675" t="s">
        <v>514</v>
      </c>
      <c r="F925" s="675" t="s">
        <v>515</v>
      </c>
      <c r="G925" s="675"/>
      <c r="H925" s="675"/>
      <c r="I925" s="675"/>
      <c r="J925" s="675"/>
      <c r="K925" s="675"/>
      <c r="L925" s="675"/>
      <c r="M925" s="675"/>
    </row>
    <row r="926" spans="1:13" x14ac:dyDescent="0.25">
      <c r="A926" s="675" t="s">
        <v>1294</v>
      </c>
      <c r="B926" s="675" t="s">
        <v>512</v>
      </c>
      <c r="C926" s="675" t="s">
        <v>1144</v>
      </c>
      <c r="D926" s="675" t="s">
        <v>21</v>
      </c>
      <c r="E926" s="675" t="s">
        <v>514</v>
      </c>
      <c r="F926" s="675" t="s">
        <v>515</v>
      </c>
      <c r="G926" s="675"/>
      <c r="H926" s="675"/>
      <c r="I926" s="675"/>
      <c r="J926" s="675"/>
      <c r="K926" s="675"/>
      <c r="L926" s="675"/>
      <c r="M926" s="675"/>
    </row>
    <row r="927" spans="1:13" x14ac:dyDescent="0.25">
      <c r="A927" s="675" t="s">
        <v>1294</v>
      </c>
      <c r="B927" s="675" t="s">
        <v>512</v>
      </c>
      <c r="C927" s="675" t="s">
        <v>1145</v>
      </c>
      <c r="D927" s="675" t="s">
        <v>21</v>
      </c>
      <c r="E927" s="675" t="s">
        <v>514</v>
      </c>
      <c r="F927" s="675" t="s">
        <v>515</v>
      </c>
      <c r="G927" s="675"/>
      <c r="H927" s="675"/>
      <c r="I927" s="675"/>
      <c r="J927" s="675"/>
      <c r="K927" s="675"/>
      <c r="L927" s="675"/>
      <c r="M927" s="675"/>
    </row>
    <row r="928" spans="1:13" x14ac:dyDescent="0.25">
      <c r="A928" s="675" t="s">
        <v>1294</v>
      </c>
      <c r="B928" s="675" t="s">
        <v>512</v>
      </c>
      <c r="C928" s="675" t="s">
        <v>1146</v>
      </c>
      <c r="D928" s="675" t="s">
        <v>21</v>
      </c>
      <c r="E928" s="675" t="s">
        <v>514</v>
      </c>
      <c r="F928" s="675" t="s">
        <v>515</v>
      </c>
      <c r="G928" s="675"/>
      <c r="H928" s="675"/>
      <c r="I928" s="675"/>
      <c r="J928" s="675"/>
      <c r="K928" s="675"/>
      <c r="L928" s="675"/>
      <c r="M928" s="675"/>
    </row>
    <row r="929" spans="1:13" x14ac:dyDescent="0.25">
      <c r="A929" s="675" t="s">
        <v>1294</v>
      </c>
      <c r="B929" s="675" t="s">
        <v>545</v>
      </c>
      <c r="C929" s="675" t="s">
        <v>1295</v>
      </c>
      <c r="D929" s="675" t="s">
        <v>21</v>
      </c>
      <c r="E929" s="675" t="s">
        <v>514</v>
      </c>
      <c r="F929" s="675" t="s">
        <v>515</v>
      </c>
      <c r="G929" s="675"/>
      <c r="H929" s="675"/>
      <c r="I929" s="675"/>
      <c r="J929" s="675"/>
      <c r="K929" s="675"/>
      <c r="L929" s="675"/>
      <c r="M929" s="675"/>
    </row>
    <row r="930" spans="1:13" x14ac:dyDescent="0.25">
      <c r="A930" s="675" t="s">
        <v>1294</v>
      </c>
      <c r="B930" s="675" t="s">
        <v>545</v>
      </c>
      <c r="C930" s="675" t="s">
        <v>1296</v>
      </c>
      <c r="D930" s="675" t="s">
        <v>21</v>
      </c>
      <c r="E930" s="675" t="s">
        <v>514</v>
      </c>
      <c r="F930" s="675" t="s">
        <v>515</v>
      </c>
      <c r="G930" s="675"/>
      <c r="H930" s="675"/>
      <c r="I930" s="675"/>
      <c r="J930" s="675"/>
      <c r="K930" s="675"/>
      <c r="L930" s="675"/>
      <c r="M930" s="675"/>
    </row>
    <row r="931" spans="1:13" x14ac:dyDescent="0.25">
      <c r="A931" s="675" t="s">
        <v>1294</v>
      </c>
      <c r="B931" s="675" t="s">
        <v>545</v>
      </c>
      <c r="C931" s="675" t="s">
        <v>1297</v>
      </c>
      <c r="D931" s="675" t="s">
        <v>21</v>
      </c>
      <c r="E931" s="675" t="s">
        <v>514</v>
      </c>
      <c r="F931" s="675" t="s">
        <v>515</v>
      </c>
      <c r="G931" s="675"/>
      <c r="H931" s="675"/>
      <c r="I931" s="675"/>
      <c r="J931" s="675"/>
      <c r="K931" s="675"/>
      <c r="L931" s="675"/>
      <c r="M931" s="675"/>
    </row>
    <row r="932" spans="1:13" x14ac:dyDescent="0.25">
      <c r="A932" s="675" t="s">
        <v>1294</v>
      </c>
      <c r="B932" s="675" t="s">
        <v>545</v>
      </c>
      <c r="C932" s="675" t="s">
        <v>1298</v>
      </c>
      <c r="D932" s="675" t="s">
        <v>21</v>
      </c>
      <c r="E932" s="675" t="s">
        <v>514</v>
      </c>
      <c r="F932" s="675" t="s">
        <v>515</v>
      </c>
      <c r="G932" s="675"/>
      <c r="H932" s="675"/>
      <c r="I932" s="675"/>
      <c r="J932" s="675"/>
      <c r="K932" s="675"/>
      <c r="L932" s="675"/>
      <c r="M932" s="675"/>
    </row>
    <row r="933" spans="1:13" x14ac:dyDescent="0.25">
      <c r="A933" s="675" t="s">
        <v>1294</v>
      </c>
      <c r="B933" s="675" t="s">
        <v>564</v>
      </c>
      <c r="C933" s="675" t="s">
        <v>738</v>
      </c>
      <c r="D933" s="675" t="s">
        <v>21</v>
      </c>
      <c r="E933" s="675" t="s">
        <v>514</v>
      </c>
      <c r="F933" s="675" t="s">
        <v>515</v>
      </c>
      <c r="G933" s="675"/>
      <c r="H933" s="675"/>
      <c r="I933" s="675"/>
      <c r="J933" s="675"/>
      <c r="K933" s="675"/>
      <c r="L933" s="675"/>
      <c r="M933" s="675"/>
    </row>
    <row r="934" spans="1:13" x14ac:dyDescent="0.25">
      <c r="A934" s="675" t="s">
        <v>1299</v>
      </c>
      <c r="B934" s="675" t="s">
        <v>512</v>
      </c>
      <c r="C934" s="675" t="s">
        <v>1300</v>
      </c>
      <c r="D934" s="675" t="s">
        <v>21</v>
      </c>
      <c r="E934" s="675" t="s">
        <v>514</v>
      </c>
      <c r="F934" s="675" t="s">
        <v>515</v>
      </c>
      <c r="G934" s="675"/>
      <c r="H934" s="675"/>
      <c r="I934" s="675"/>
      <c r="J934" s="675"/>
      <c r="K934" s="675"/>
      <c r="L934" s="675"/>
      <c r="M934" s="675"/>
    </row>
    <row r="935" spans="1:13" x14ac:dyDescent="0.25">
      <c r="A935" s="675" t="s">
        <v>1299</v>
      </c>
      <c r="B935" s="675" t="s">
        <v>512</v>
      </c>
      <c r="C935" s="675" t="s">
        <v>1301</v>
      </c>
      <c r="D935" s="675" t="s">
        <v>21</v>
      </c>
      <c r="E935" s="675" t="s">
        <v>514</v>
      </c>
      <c r="F935" s="675" t="s">
        <v>515</v>
      </c>
      <c r="G935" s="675"/>
      <c r="H935" s="675"/>
      <c r="I935" s="675"/>
      <c r="J935" s="675"/>
      <c r="K935" s="675"/>
      <c r="L935" s="675"/>
      <c r="M935" s="675"/>
    </row>
    <row r="936" spans="1:13" x14ac:dyDescent="0.25">
      <c r="A936" s="675" t="s">
        <v>1299</v>
      </c>
      <c r="B936" s="675" t="s">
        <v>512</v>
      </c>
      <c r="C936" s="675" t="s">
        <v>1302</v>
      </c>
      <c r="D936" s="675" t="s">
        <v>21</v>
      </c>
      <c r="E936" s="675" t="s">
        <v>514</v>
      </c>
      <c r="F936" s="675" t="s">
        <v>515</v>
      </c>
      <c r="G936" s="675"/>
      <c r="H936" s="675"/>
      <c r="I936" s="675"/>
      <c r="J936" s="675"/>
      <c r="K936" s="675"/>
      <c r="L936" s="675"/>
      <c r="M936" s="675"/>
    </row>
    <row r="937" spans="1:13" x14ac:dyDescent="0.25">
      <c r="A937" s="675" t="s">
        <v>1299</v>
      </c>
      <c r="B937" s="675" t="s">
        <v>512</v>
      </c>
      <c r="C937" s="675" t="s">
        <v>1303</v>
      </c>
      <c r="D937" s="675" t="s">
        <v>21</v>
      </c>
      <c r="E937" s="675" t="s">
        <v>514</v>
      </c>
      <c r="F937" s="675" t="s">
        <v>515</v>
      </c>
      <c r="G937" s="675"/>
      <c r="H937" s="675"/>
      <c r="I937" s="675"/>
      <c r="J937" s="675"/>
      <c r="K937" s="675"/>
      <c r="L937" s="675"/>
      <c r="M937" s="675"/>
    </row>
    <row r="938" spans="1:13" x14ac:dyDescent="0.25">
      <c r="A938" s="675" t="s">
        <v>1299</v>
      </c>
      <c r="B938" s="675" t="s">
        <v>512</v>
      </c>
      <c r="C938" s="675" t="s">
        <v>1304</v>
      </c>
      <c r="D938" s="675" t="s">
        <v>21</v>
      </c>
      <c r="E938" s="675" t="s">
        <v>514</v>
      </c>
      <c r="F938" s="675" t="s">
        <v>515</v>
      </c>
      <c r="G938" s="675"/>
      <c r="H938" s="675"/>
      <c r="I938" s="675"/>
      <c r="J938" s="675"/>
      <c r="K938" s="675"/>
      <c r="L938" s="675"/>
      <c r="M938" s="675"/>
    </row>
    <row r="939" spans="1:13" x14ac:dyDescent="0.25">
      <c r="A939" s="675" t="s">
        <v>1299</v>
      </c>
      <c r="B939" s="675" t="s">
        <v>512</v>
      </c>
      <c r="C939" s="675" t="s">
        <v>1305</v>
      </c>
      <c r="D939" s="675" t="s">
        <v>21</v>
      </c>
      <c r="E939" s="675" t="s">
        <v>514</v>
      </c>
      <c r="F939" s="675" t="s">
        <v>515</v>
      </c>
      <c r="G939" s="675"/>
      <c r="H939" s="675"/>
      <c r="I939" s="675"/>
      <c r="J939" s="675"/>
      <c r="K939" s="675"/>
      <c r="L939" s="675"/>
      <c r="M939" s="675"/>
    </row>
    <row r="940" spans="1:13" x14ac:dyDescent="0.25">
      <c r="A940" s="675" t="s">
        <v>1299</v>
      </c>
      <c r="B940" s="675" t="s">
        <v>512</v>
      </c>
      <c r="C940" s="675" t="s">
        <v>1306</v>
      </c>
      <c r="D940" s="675" t="s">
        <v>21</v>
      </c>
      <c r="E940" s="675" t="s">
        <v>514</v>
      </c>
      <c r="F940" s="675" t="s">
        <v>515</v>
      </c>
      <c r="G940" s="675"/>
      <c r="H940" s="675"/>
      <c r="I940" s="675"/>
      <c r="J940" s="675"/>
      <c r="K940" s="675"/>
      <c r="L940" s="675"/>
      <c r="M940" s="675"/>
    </row>
    <row r="941" spans="1:13" x14ac:dyDescent="0.25">
      <c r="A941" s="675" t="s">
        <v>1299</v>
      </c>
      <c r="B941" s="675" t="s">
        <v>512</v>
      </c>
      <c r="C941" s="675" t="s">
        <v>1307</v>
      </c>
      <c r="D941" s="675" t="s">
        <v>21</v>
      </c>
      <c r="E941" s="675" t="s">
        <v>514</v>
      </c>
      <c r="F941" s="675" t="s">
        <v>515</v>
      </c>
      <c r="G941" s="675"/>
      <c r="H941" s="675"/>
      <c r="I941" s="675"/>
      <c r="J941" s="675"/>
      <c r="K941" s="675"/>
      <c r="L941" s="675"/>
      <c r="M941" s="675"/>
    </row>
    <row r="942" spans="1:13" x14ac:dyDescent="0.25">
      <c r="A942" s="675" t="s">
        <v>1299</v>
      </c>
      <c r="B942" s="675" t="s">
        <v>512</v>
      </c>
      <c r="C942" s="675" t="s">
        <v>1216</v>
      </c>
      <c r="D942" s="675" t="s">
        <v>21</v>
      </c>
      <c r="E942" s="675" t="s">
        <v>514</v>
      </c>
      <c r="F942" s="675" t="s">
        <v>515</v>
      </c>
      <c r="G942" s="675"/>
      <c r="H942" s="675"/>
      <c r="I942" s="675"/>
      <c r="J942" s="675"/>
      <c r="K942" s="675"/>
      <c r="L942" s="675"/>
      <c r="M942" s="675"/>
    </row>
    <row r="943" spans="1:13" x14ac:dyDescent="0.25">
      <c r="A943" s="675" t="s">
        <v>1299</v>
      </c>
      <c r="B943" s="675" t="s">
        <v>512</v>
      </c>
      <c r="C943" s="675" t="s">
        <v>1308</v>
      </c>
      <c r="D943" s="675" t="s">
        <v>21</v>
      </c>
      <c r="E943" s="675" t="s">
        <v>514</v>
      </c>
      <c r="F943" s="675" t="s">
        <v>515</v>
      </c>
      <c r="G943" s="675"/>
      <c r="H943" s="675"/>
      <c r="I943" s="675"/>
      <c r="J943" s="675"/>
      <c r="K943" s="675"/>
      <c r="L943" s="675"/>
      <c r="M943" s="675"/>
    </row>
    <row r="944" spans="1:13" x14ac:dyDescent="0.25">
      <c r="A944" s="675" t="s">
        <v>1299</v>
      </c>
      <c r="B944" s="675" t="s">
        <v>512</v>
      </c>
      <c r="C944" s="675" t="s">
        <v>1309</v>
      </c>
      <c r="D944" s="675" t="s">
        <v>21</v>
      </c>
      <c r="E944" s="675" t="s">
        <v>514</v>
      </c>
      <c r="F944" s="675" t="s">
        <v>515</v>
      </c>
      <c r="G944" s="675"/>
      <c r="H944" s="675"/>
      <c r="I944" s="675"/>
      <c r="J944" s="675"/>
      <c r="K944" s="675"/>
      <c r="L944" s="675"/>
      <c r="M944" s="675"/>
    </row>
    <row r="945" spans="1:13" x14ac:dyDescent="0.25">
      <c r="A945" s="675" t="s">
        <v>1299</v>
      </c>
      <c r="B945" s="675" t="s">
        <v>512</v>
      </c>
      <c r="C945" s="675" t="s">
        <v>1310</v>
      </c>
      <c r="D945" s="675" t="s">
        <v>21</v>
      </c>
      <c r="E945" s="675" t="s">
        <v>514</v>
      </c>
      <c r="F945" s="675" t="s">
        <v>515</v>
      </c>
      <c r="G945" s="675"/>
      <c r="H945" s="675"/>
      <c r="I945" s="675"/>
      <c r="J945" s="675"/>
      <c r="K945" s="675"/>
      <c r="L945" s="675"/>
      <c r="M945" s="675"/>
    </row>
    <row r="946" spans="1:13" x14ac:dyDescent="0.25">
      <c r="A946" s="675" t="s">
        <v>1299</v>
      </c>
      <c r="B946" s="675" t="s">
        <v>512</v>
      </c>
      <c r="C946" s="675" t="s">
        <v>1311</v>
      </c>
      <c r="D946" s="675" t="s">
        <v>21</v>
      </c>
      <c r="E946" s="675" t="s">
        <v>514</v>
      </c>
      <c r="F946" s="675" t="s">
        <v>515</v>
      </c>
      <c r="G946" s="675"/>
      <c r="H946" s="675"/>
      <c r="I946" s="675"/>
      <c r="J946" s="675"/>
      <c r="K946" s="675"/>
      <c r="L946" s="675"/>
      <c r="M946" s="675"/>
    </row>
    <row r="947" spans="1:13" x14ac:dyDescent="0.25">
      <c r="A947" s="675" t="s">
        <v>1312</v>
      </c>
      <c r="B947" s="675" t="s">
        <v>512</v>
      </c>
      <c r="C947" s="675" t="s">
        <v>1266</v>
      </c>
      <c r="D947" s="675" t="s">
        <v>21</v>
      </c>
      <c r="E947" s="675" t="s">
        <v>514</v>
      </c>
      <c r="F947" s="675" t="s">
        <v>515</v>
      </c>
      <c r="G947" s="675"/>
      <c r="H947" s="675"/>
      <c r="I947" s="675"/>
      <c r="J947" s="675"/>
      <c r="K947" s="675"/>
      <c r="L947" s="675"/>
      <c r="M947" s="675"/>
    </row>
    <row r="948" spans="1:13" x14ac:dyDescent="0.25">
      <c r="A948" s="675" t="s">
        <v>1312</v>
      </c>
      <c r="B948" s="675" t="s">
        <v>512</v>
      </c>
      <c r="C948" s="675" t="s">
        <v>1267</v>
      </c>
      <c r="D948" s="675" t="s">
        <v>21</v>
      </c>
      <c r="E948" s="675" t="s">
        <v>514</v>
      </c>
      <c r="F948" s="675" t="s">
        <v>515</v>
      </c>
      <c r="G948" s="675"/>
      <c r="H948" s="675"/>
      <c r="I948" s="675"/>
      <c r="J948" s="675"/>
      <c r="K948" s="675"/>
      <c r="L948" s="675"/>
      <c r="M948" s="675"/>
    </row>
    <row r="949" spans="1:13" x14ac:dyDescent="0.25">
      <c r="A949" s="675" t="s">
        <v>1312</v>
      </c>
      <c r="B949" s="675" t="s">
        <v>512</v>
      </c>
      <c r="C949" s="675" t="s">
        <v>1268</v>
      </c>
      <c r="D949" s="675" t="s">
        <v>21</v>
      </c>
      <c r="E949" s="675" t="s">
        <v>514</v>
      </c>
      <c r="F949" s="675" t="s">
        <v>515</v>
      </c>
      <c r="G949" s="675"/>
      <c r="H949" s="675"/>
      <c r="I949" s="675"/>
      <c r="J949" s="675"/>
      <c r="K949" s="675"/>
      <c r="L949" s="675"/>
      <c r="M949" s="675"/>
    </row>
    <row r="950" spans="1:13" x14ac:dyDescent="0.25">
      <c r="A950" s="675" t="s">
        <v>1312</v>
      </c>
      <c r="B950" s="675" t="s">
        <v>545</v>
      </c>
      <c r="C950" s="675" t="s">
        <v>1283</v>
      </c>
      <c r="D950" s="675" t="s">
        <v>21</v>
      </c>
      <c r="E950" s="675" t="s">
        <v>514</v>
      </c>
      <c r="F950" s="675" t="s">
        <v>515</v>
      </c>
      <c r="G950" s="675"/>
      <c r="H950" s="675"/>
      <c r="I950" s="675"/>
      <c r="J950" s="675"/>
      <c r="K950" s="675"/>
      <c r="L950" s="675"/>
      <c r="M950" s="675"/>
    </row>
    <row r="951" spans="1:13" x14ac:dyDescent="0.25">
      <c r="A951" s="675" t="s">
        <v>1312</v>
      </c>
      <c r="B951" s="675" t="s">
        <v>545</v>
      </c>
      <c r="C951" s="675" t="s">
        <v>1286</v>
      </c>
      <c r="D951" s="675" t="s">
        <v>21</v>
      </c>
      <c r="E951" s="675" t="s">
        <v>514</v>
      </c>
      <c r="F951" s="675" t="s">
        <v>515</v>
      </c>
      <c r="G951" s="675"/>
      <c r="H951" s="675"/>
      <c r="I951" s="675"/>
      <c r="J951" s="675"/>
      <c r="K951" s="675"/>
      <c r="L951" s="675"/>
      <c r="M951" s="675"/>
    </row>
    <row r="952" spans="1:13" x14ac:dyDescent="0.25">
      <c r="A952" s="675" t="s">
        <v>1312</v>
      </c>
      <c r="B952" s="675" t="s">
        <v>564</v>
      </c>
      <c r="C952" s="675" t="s">
        <v>1292</v>
      </c>
      <c r="D952" s="675" t="s">
        <v>21</v>
      </c>
      <c r="E952" s="675" t="s">
        <v>514</v>
      </c>
      <c r="F952" s="675" t="s">
        <v>515</v>
      </c>
      <c r="G952" s="675"/>
      <c r="H952" s="675"/>
      <c r="I952" s="675"/>
      <c r="J952" s="675"/>
      <c r="K952" s="675"/>
      <c r="L952" s="675"/>
      <c r="M952" s="675"/>
    </row>
    <row r="953" spans="1:13" x14ac:dyDescent="0.25">
      <c r="A953" s="675" t="s">
        <v>1313</v>
      </c>
      <c r="B953" s="675" t="s">
        <v>512</v>
      </c>
      <c r="C953" s="675" t="s">
        <v>1314</v>
      </c>
      <c r="D953" s="675" t="s">
        <v>21</v>
      </c>
      <c r="E953" s="675" t="s">
        <v>514</v>
      </c>
      <c r="F953" s="675" t="s">
        <v>515</v>
      </c>
      <c r="G953" s="675"/>
      <c r="H953" s="675"/>
      <c r="I953" s="675"/>
      <c r="J953" s="675"/>
      <c r="K953" s="675"/>
      <c r="L953" s="675"/>
      <c r="M953" s="675"/>
    </row>
    <row r="954" spans="1:13" x14ac:dyDescent="0.25">
      <c r="A954" s="675" t="s">
        <v>1313</v>
      </c>
      <c r="B954" s="675" t="s">
        <v>545</v>
      </c>
      <c r="C954" s="675" t="s">
        <v>1276</v>
      </c>
      <c r="D954" s="675" t="s">
        <v>21</v>
      </c>
      <c r="E954" s="675" t="s">
        <v>514</v>
      </c>
      <c r="F954" s="675" t="s">
        <v>515</v>
      </c>
      <c r="G954" s="675"/>
      <c r="H954" s="675"/>
      <c r="I954" s="675"/>
      <c r="J954" s="675"/>
      <c r="K954" s="675"/>
      <c r="L954" s="675"/>
      <c r="M954" s="675"/>
    </row>
    <row r="955" spans="1:13" x14ac:dyDescent="0.25">
      <c r="A955" s="675" t="s">
        <v>1313</v>
      </c>
      <c r="B955" s="675" t="s">
        <v>545</v>
      </c>
      <c r="C955" s="675" t="s">
        <v>1278</v>
      </c>
      <c r="D955" s="675" t="s">
        <v>21</v>
      </c>
      <c r="E955" s="675" t="s">
        <v>514</v>
      </c>
      <c r="F955" s="675" t="s">
        <v>515</v>
      </c>
      <c r="G955" s="675"/>
      <c r="H955" s="675"/>
      <c r="I955" s="675"/>
      <c r="J955" s="675"/>
      <c r="K955" s="675"/>
      <c r="L955" s="675"/>
      <c r="M955" s="675"/>
    </row>
    <row r="956" spans="1:13" x14ac:dyDescent="0.25">
      <c r="A956" s="675" t="s">
        <v>1313</v>
      </c>
      <c r="B956" s="675" t="s">
        <v>545</v>
      </c>
      <c r="C956" s="675" t="s">
        <v>1284</v>
      </c>
      <c r="D956" s="675" t="s">
        <v>21</v>
      </c>
      <c r="E956" s="675" t="s">
        <v>514</v>
      </c>
      <c r="F956" s="675" t="s">
        <v>515</v>
      </c>
      <c r="G956" s="675"/>
      <c r="H956" s="675"/>
      <c r="I956" s="675"/>
      <c r="J956" s="675"/>
      <c r="K956" s="675"/>
      <c r="L956" s="675"/>
      <c r="M956" s="675"/>
    </row>
    <row r="957" spans="1:13" x14ac:dyDescent="0.25">
      <c r="A957" s="675" t="s">
        <v>1313</v>
      </c>
      <c r="B957" s="675" t="s">
        <v>564</v>
      </c>
      <c r="C957" s="675" t="s">
        <v>1315</v>
      </c>
      <c r="D957" s="675" t="s">
        <v>21</v>
      </c>
      <c r="E957" s="675" t="s">
        <v>514</v>
      </c>
      <c r="F957" s="675" t="s">
        <v>515</v>
      </c>
      <c r="G957" s="675"/>
      <c r="H957" s="675"/>
      <c r="I957" s="675"/>
      <c r="J957" s="675"/>
      <c r="K957" s="675"/>
      <c r="L957" s="675"/>
      <c r="M957" s="675"/>
    </row>
    <row r="958" spans="1:13" x14ac:dyDescent="0.25">
      <c r="A958" s="675" t="s">
        <v>1313</v>
      </c>
      <c r="B958" s="675" t="s">
        <v>564</v>
      </c>
      <c r="C958" s="675" t="s">
        <v>797</v>
      </c>
      <c r="D958" s="675" t="s">
        <v>21</v>
      </c>
      <c r="E958" s="675" t="s">
        <v>514</v>
      </c>
      <c r="F958" s="675" t="s">
        <v>515</v>
      </c>
      <c r="G958" s="675"/>
      <c r="H958" s="675"/>
      <c r="I958" s="675"/>
      <c r="J958" s="675"/>
      <c r="K958" s="675"/>
      <c r="L958" s="675"/>
      <c r="M958" s="675"/>
    </row>
    <row r="959" spans="1:13" x14ac:dyDescent="0.25">
      <c r="A959" s="675" t="s">
        <v>1313</v>
      </c>
      <c r="B959" s="675" t="s">
        <v>564</v>
      </c>
      <c r="C959" s="675" t="s">
        <v>1293</v>
      </c>
      <c r="D959" s="675" t="s">
        <v>21</v>
      </c>
      <c r="E959" s="675" t="s">
        <v>514</v>
      </c>
      <c r="F959" s="675" t="s">
        <v>515</v>
      </c>
      <c r="G959" s="675"/>
      <c r="H959" s="675"/>
      <c r="I959" s="675"/>
      <c r="J959" s="675"/>
      <c r="K959" s="675"/>
      <c r="L959" s="675"/>
      <c r="M959" s="675"/>
    </row>
    <row r="960" spans="1:13" x14ac:dyDescent="0.25">
      <c r="A960" s="675" t="s">
        <v>1313</v>
      </c>
      <c r="B960" s="675" t="s">
        <v>564</v>
      </c>
      <c r="C960" s="675" t="s">
        <v>800</v>
      </c>
      <c r="D960" s="675" t="s">
        <v>21</v>
      </c>
      <c r="E960" s="675" t="s">
        <v>514</v>
      </c>
      <c r="F960" s="675" t="s">
        <v>515</v>
      </c>
      <c r="G960" s="675"/>
      <c r="H960" s="675"/>
      <c r="I960" s="675"/>
      <c r="J960" s="675"/>
      <c r="K960" s="675"/>
      <c r="L960" s="675"/>
      <c r="M960" s="675"/>
    </row>
    <row r="961" spans="1:13" x14ac:dyDescent="0.25">
      <c r="A961" s="675" t="s">
        <v>1316</v>
      </c>
      <c r="B961" s="675" t="s">
        <v>512</v>
      </c>
      <c r="C961" s="675" t="s">
        <v>1317</v>
      </c>
      <c r="D961" s="675" t="s">
        <v>21</v>
      </c>
      <c r="E961" s="675" t="s">
        <v>514</v>
      </c>
      <c r="F961" s="675" t="s">
        <v>515</v>
      </c>
      <c r="G961" s="675"/>
      <c r="H961" s="675"/>
      <c r="I961" s="675"/>
      <c r="J961" s="675"/>
      <c r="K961" s="675"/>
      <c r="L961" s="675"/>
      <c r="M961" s="675"/>
    </row>
    <row r="962" spans="1:13" x14ac:dyDescent="0.25">
      <c r="A962" s="675" t="s">
        <v>1316</v>
      </c>
      <c r="B962" s="675" t="s">
        <v>512</v>
      </c>
      <c r="C962" s="675" t="s">
        <v>1318</v>
      </c>
      <c r="D962" s="675" t="s">
        <v>21</v>
      </c>
      <c r="E962" s="675" t="s">
        <v>514</v>
      </c>
      <c r="F962" s="675" t="s">
        <v>515</v>
      </c>
      <c r="G962" s="675"/>
      <c r="H962" s="675"/>
      <c r="I962" s="675"/>
      <c r="J962" s="675"/>
      <c r="K962" s="675"/>
      <c r="L962" s="675"/>
      <c r="M962" s="675"/>
    </row>
    <row r="963" spans="1:13" x14ac:dyDescent="0.25">
      <c r="A963" s="675" t="s">
        <v>1316</v>
      </c>
      <c r="B963" s="675" t="s">
        <v>512</v>
      </c>
      <c r="C963" s="675" t="s">
        <v>1319</v>
      </c>
      <c r="D963" s="675" t="s">
        <v>21</v>
      </c>
      <c r="E963" s="675" t="s">
        <v>514</v>
      </c>
      <c r="F963" s="675" t="s">
        <v>515</v>
      </c>
      <c r="G963" s="675"/>
      <c r="H963" s="675"/>
      <c r="I963" s="675"/>
      <c r="J963" s="675"/>
      <c r="K963" s="675"/>
      <c r="L963" s="675"/>
      <c r="M963" s="675"/>
    </row>
    <row r="964" spans="1:13" x14ac:dyDescent="0.25">
      <c r="A964" s="675" t="s">
        <v>1316</v>
      </c>
      <c r="B964" s="675" t="s">
        <v>512</v>
      </c>
      <c r="C964" s="675" t="s">
        <v>1320</v>
      </c>
      <c r="D964" s="675" t="s">
        <v>21</v>
      </c>
      <c r="E964" s="675" t="s">
        <v>514</v>
      </c>
      <c r="F964" s="675" t="s">
        <v>515</v>
      </c>
      <c r="G964" s="675"/>
      <c r="H964" s="675"/>
      <c r="I964" s="675"/>
      <c r="J964" s="675"/>
      <c r="K964" s="675"/>
      <c r="L964" s="675"/>
      <c r="M964" s="675"/>
    </row>
    <row r="965" spans="1:13" x14ac:dyDescent="0.25">
      <c r="A965" s="675" t="s">
        <v>1316</v>
      </c>
      <c r="B965" s="675" t="s">
        <v>512</v>
      </c>
      <c r="C965" s="675" t="s">
        <v>1321</v>
      </c>
      <c r="D965" s="675" t="s">
        <v>21</v>
      </c>
      <c r="E965" s="675" t="s">
        <v>514</v>
      </c>
      <c r="F965" s="675" t="s">
        <v>515</v>
      </c>
      <c r="G965" s="675"/>
      <c r="H965" s="675"/>
      <c r="I965" s="675"/>
      <c r="J965" s="675"/>
      <c r="K965" s="675"/>
      <c r="L965" s="675"/>
      <c r="M965" s="675"/>
    </row>
    <row r="966" spans="1:13" x14ac:dyDescent="0.25">
      <c r="A966" s="675" t="s">
        <v>1316</v>
      </c>
      <c r="B966" s="675" t="s">
        <v>512</v>
      </c>
      <c r="C966" s="675" t="s">
        <v>1322</v>
      </c>
      <c r="D966" s="675" t="s">
        <v>21</v>
      </c>
      <c r="E966" s="675" t="s">
        <v>514</v>
      </c>
      <c r="F966" s="675" t="s">
        <v>515</v>
      </c>
      <c r="G966" s="675"/>
      <c r="H966" s="675"/>
      <c r="I966" s="675"/>
      <c r="J966" s="675"/>
      <c r="K966" s="675"/>
      <c r="L966" s="675"/>
      <c r="M966" s="675"/>
    </row>
    <row r="967" spans="1:13" x14ac:dyDescent="0.25">
      <c r="A967" s="675" t="s">
        <v>1316</v>
      </c>
      <c r="B967" s="675" t="s">
        <v>512</v>
      </c>
      <c r="C967" s="675" t="s">
        <v>1323</v>
      </c>
      <c r="D967" s="675" t="s">
        <v>21</v>
      </c>
      <c r="E967" s="675" t="s">
        <v>514</v>
      </c>
      <c r="F967" s="675" t="s">
        <v>515</v>
      </c>
      <c r="G967" s="675"/>
      <c r="H967" s="675"/>
      <c r="I967" s="675"/>
      <c r="J967" s="675"/>
      <c r="K967" s="675"/>
      <c r="L967" s="675"/>
      <c r="M967" s="675"/>
    </row>
    <row r="968" spans="1:13" x14ac:dyDescent="0.25">
      <c r="A968" s="675" t="s">
        <v>1316</v>
      </c>
      <c r="B968" s="675" t="s">
        <v>545</v>
      </c>
      <c r="C968" s="675" t="s">
        <v>1324</v>
      </c>
      <c r="D968" s="675" t="s">
        <v>21</v>
      </c>
      <c r="E968" s="675" t="s">
        <v>514</v>
      </c>
      <c r="F968" s="675" t="s">
        <v>515</v>
      </c>
      <c r="G968" s="675"/>
      <c r="H968" s="675"/>
      <c r="I968" s="675"/>
      <c r="J968" s="675"/>
      <c r="K968" s="675"/>
      <c r="L968" s="675"/>
      <c r="M968" s="675"/>
    </row>
    <row r="969" spans="1:13" x14ac:dyDescent="0.25">
      <c r="A969" s="675" t="s">
        <v>1316</v>
      </c>
      <c r="B969" s="675" t="s">
        <v>545</v>
      </c>
      <c r="C969" s="675" t="s">
        <v>1325</v>
      </c>
      <c r="D969" s="675" t="s">
        <v>21</v>
      </c>
      <c r="E969" s="675" t="s">
        <v>514</v>
      </c>
      <c r="F969" s="675" t="s">
        <v>515</v>
      </c>
      <c r="G969" s="675"/>
      <c r="H969" s="675"/>
      <c r="I969" s="675"/>
      <c r="J969" s="675"/>
      <c r="K969" s="675"/>
      <c r="L969" s="675"/>
      <c r="M969" s="675"/>
    </row>
    <row r="970" spans="1:13" x14ac:dyDescent="0.25">
      <c r="A970" s="675" t="s">
        <v>1316</v>
      </c>
      <c r="B970" s="675" t="s">
        <v>545</v>
      </c>
      <c r="C970" s="675" t="s">
        <v>1326</v>
      </c>
      <c r="D970" s="675" t="s">
        <v>21</v>
      </c>
      <c r="E970" s="675" t="s">
        <v>514</v>
      </c>
      <c r="F970" s="675" t="s">
        <v>515</v>
      </c>
      <c r="G970" s="675"/>
      <c r="H970" s="675"/>
      <c r="I970" s="675"/>
      <c r="J970" s="675"/>
      <c r="K970" s="675"/>
      <c r="L970" s="675"/>
      <c r="M970" s="675"/>
    </row>
    <row r="971" spans="1:13" x14ac:dyDescent="0.25">
      <c r="A971" s="675" t="s">
        <v>1316</v>
      </c>
      <c r="B971" s="675" t="s">
        <v>545</v>
      </c>
      <c r="C971" s="675" t="s">
        <v>1327</v>
      </c>
      <c r="D971" s="675" t="s">
        <v>21</v>
      </c>
      <c r="E971" s="675" t="s">
        <v>514</v>
      </c>
      <c r="F971" s="675" t="s">
        <v>515</v>
      </c>
      <c r="G971" s="675"/>
      <c r="H971" s="675"/>
      <c r="I971" s="675"/>
      <c r="J971" s="675"/>
      <c r="K971" s="675"/>
      <c r="L971" s="675"/>
      <c r="M971" s="675"/>
    </row>
    <row r="972" spans="1:13" x14ac:dyDescent="0.25">
      <c r="A972" s="675" t="s">
        <v>1316</v>
      </c>
      <c r="B972" s="675" t="s">
        <v>564</v>
      </c>
      <c r="C972" s="675" t="s">
        <v>1328</v>
      </c>
      <c r="D972" s="675" t="s">
        <v>21</v>
      </c>
      <c r="E972" s="675" t="s">
        <v>514</v>
      </c>
      <c r="F972" s="675" t="s">
        <v>515</v>
      </c>
      <c r="G972" s="675"/>
      <c r="H972" s="675"/>
      <c r="I972" s="675"/>
      <c r="J972" s="675"/>
      <c r="K972" s="675"/>
      <c r="L972" s="675"/>
      <c r="M972" s="675"/>
    </row>
    <row r="973" spans="1:13" x14ac:dyDescent="0.25">
      <c r="A973" s="675" t="s">
        <v>1316</v>
      </c>
      <c r="B973" s="675" t="s">
        <v>564</v>
      </c>
      <c r="C973" s="675" t="s">
        <v>1329</v>
      </c>
      <c r="D973" s="675" t="s">
        <v>21</v>
      </c>
      <c r="E973" s="675" t="s">
        <v>514</v>
      </c>
      <c r="F973" s="675" t="s">
        <v>515</v>
      </c>
      <c r="G973" s="675"/>
      <c r="H973" s="675"/>
      <c r="I973" s="675"/>
      <c r="J973" s="675"/>
      <c r="K973" s="675"/>
      <c r="L973" s="675"/>
      <c r="M973" s="675"/>
    </row>
    <row r="974" spans="1:13" x14ac:dyDescent="0.25">
      <c r="A974" s="675" t="s">
        <v>1330</v>
      </c>
      <c r="B974" s="675" t="s">
        <v>512</v>
      </c>
      <c r="C974" s="675" t="s">
        <v>1331</v>
      </c>
      <c r="D974" s="675" t="s">
        <v>21</v>
      </c>
      <c r="E974" s="675" t="s">
        <v>514</v>
      </c>
      <c r="F974" s="675" t="s">
        <v>515</v>
      </c>
      <c r="G974" s="675"/>
      <c r="H974" s="675"/>
      <c r="I974" s="675"/>
      <c r="J974" s="675"/>
      <c r="K974" s="675"/>
      <c r="L974" s="675"/>
      <c r="M974" s="675"/>
    </row>
    <row r="975" spans="1:13" x14ac:dyDescent="0.25">
      <c r="A975" s="675" t="s">
        <v>1330</v>
      </c>
      <c r="B975" s="675" t="s">
        <v>512</v>
      </c>
      <c r="C975" s="675" t="s">
        <v>1332</v>
      </c>
      <c r="D975" s="675" t="s">
        <v>21</v>
      </c>
      <c r="E975" s="675" t="s">
        <v>514</v>
      </c>
      <c r="F975" s="675" t="s">
        <v>515</v>
      </c>
      <c r="G975" s="675"/>
      <c r="H975" s="675"/>
      <c r="I975" s="675"/>
      <c r="J975" s="675"/>
      <c r="K975" s="675"/>
      <c r="L975" s="675"/>
      <c r="M975" s="675"/>
    </row>
    <row r="976" spans="1:13" x14ac:dyDescent="0.25">
      <c r="A976" s="675" t="s">
        <v>1330</v>
      </c>
      <c r="B976" s="675" t="s">
        <v>512</v>
      </c>
      <c r="C976" s="675" t="s">
        <v>1333</v>
      </c>
      <c r="D976" s="675" t="s">
        <v>21</v>
      </c>
      <c r="E976" s="675" t="s">
        <v>514</v>
      </c>
      <c r="F976" s="675" t="s">
        <v>515</v>
      </c>
      <c r="G976" s="675"/>
      <c r="H976" s="675"/>
      <c r="I976" s="675"/>
      <c r="J976" s="675"/>
      <c r="K976" s="675"/>
      <c r="L976" s="675"/>
      <c r="M976" s="675"/>
    </row>
    <row r="977" spans="1:13" x14ac:dyDescent="0.25">
      <c r="A977" s="675" t="s">
        <v>1330</v>
      </c>
      <c r="B977" s="675" t="s">
        <v>512</v>
      </c>
      <c r="C977" s="675" t="s">
        <v>1334</v>
      </c>
      <c r="D977" s="675" t="s">
        <v>21</v>
      </c>
      <c r="E977" s="675" t="s">
        <v>514</v>
      </c>
      <c r="F977" s="675" t="s">
        <v>515</v>
      </c>
      <c r="G977" s="675"/>
      <c r="H977" s="675"/>
      <c r="I977" s="675"/>
      <c r="J977" s="675"/>
      <c r="K977" s="675"/>
      <c r="L977" s="675"/>
      <c r="M977" s="675"/>
    </row>
    <row r="978" spans="1:13" x14ac:dyDescent="0.25">
      <c r="A978" s="675" t="s">
        <v>1330</v>
      </c>
      <c r="B978" s="675" t="s">
        <v>512</v>
      </c>
      <c r="C978" s="675" t="s">
        <v>1335</v>
      </c>
      <c r="D978" s="675" t="s">
        <v>21</v>
      </c>
      <c r="E978" s="675" t="s">
        <v>514</v>
      </c>
      <c r="F978" s="675" t="s">
        <v>515</v>
      </c>
      <c r="G978" s="675"/>
      <c r="H978" s="675"/>
      <c r="I978" s="675"/>
      <c r="J978" s="675"/>
      <c r="K978" s="675"/>
      <c r="L978" s="675"/>
      <c r="M978" s="675"/>
    </row>
    <row r="979" spans="1:13" x14ac:dyDescent="0.25">
      <c r="A979" s="675" t="s">
        <v>1330</v>
      </c>
      <c r="B979" s="675" t="s">
        <v>512</v>
      </c>
      <c r="C979" s="675" t="s">
        <v>1336</v>
      </c>
      <c r="D979" s="675" t="s">
        <v>21</v>
      </c>
      <c r="E979" s="675" t="s">
        <v>514</v>
      </c>
      <c r="F979" s="675" t="s">
        <v>515</v>
      </c>
      <c r="G979" s="675"/>
      <c r="H979" s="675"/>
      <c r="I979" s="675"/>
      <c r="J979" s="675"/>
      <c r="K979" s="675"/>
      <c r="L979" s="675"/>
      <c r="M979" s="675"/>
    </row>
    <row r="980" spans="1:13" x14ac:dyDescent="0.25">
      <c r="A980" s="678" t="s">
        <v>1330</v>
      </c>
      <c r="B980" s="678" t="s">
        <v>512</v>
      </c>
      <c r="C980" s="678" t="s">
        <v>1337</v>
      </c>
      <c r="D980" s="678" t="s">
        <v>21</v>
      </c>
      <c r="E980" s="678" t="s">
        <v>514</v>
      </c>
      <c r="F980" s="678" t="s">
        <v>596</v>
      </c>
      <c r="G980" s="675"/>
      <c r="H980" s="675"/>
      <c r="I980" s="675"/>
      <c r="J980" s="675"/>
      <c r="K980" s="675"/>
      <c r="L980" s="675"/>
      <c r="M980" s="675"/>
    </row>
    <row r="981" spans="1:13" x14ac:dyDescent="0.25">
      <c r="A981" s="675" t="s">
        <v>1330</v>
      </c>
      <c r="B981" s="675" t="s">
        <v>512</v>
      </c>
      <c r="C981" s="675" t="s">
        <v>1338</v>
      </c>
      <c r="D981" s="675" t="s">
        <v>21</v>
      </c>
      <c r="E981" s="675" t="s">
        <v>514</v>
      </c>
      <c r="F981" s="675" t="s">
        <v>515</v>
      </c>
      <c r="G981" s="675"/>
      <c r="H981" s="675"/>
      <c r="I981" s="675"/>
      <c r="J981" s="675"/>
      <c r="K981" s="675"/>
      <c r="L981" s="675"/>
      <c r="M981" s="675"/>
    </row>
    <row r="982" spans="1:13" x14ac:dyDescent="0.25">
      <c r="A982" s="675" t="s">
        <v>1330</v>
      </c>
      <c r="B982" s="675" t="s">
        <v>512</v>
      </c>
      <c r="C982" s="675" t="s">
        <v>1339</v>
      </c>
      <c r="D982" s="675" t="s">
        <v>21</v>
      </c>
      <c r="E982" s="675" t="s">
        <v>514</v>
      </c>
      <c r="F982" s="675" t="s">
        <v>515</v>
      </c>
      <c r="G982" s="675"/>
      <c r="H982" s="675"/>
      <c r="I982" s="675"/>
      <c r="J982" s="675"/>
      <c r="K982" s="675"/>
      <c r="L982" s="675"/>
      <c r="M982" s="675"/>
    </row>
    <row r="983" spans="1:13" x14ac:dyDescent="0.25">
      <c r="A983" s="675" t="s">
        <v>1330</v>
      </c>
      <c r="B983" s="675" t="s">
        <v>512</v>
      </c>
      <c r="C983" s="675" t="s">
        <v>1340</v>
      </c>
      <c r="D983" s="675" t="s">
        <v>21</v>
      </c>
      <c r="E983" s="675" t="s">
        <v>514</v>
      </c>
      <c r="F983" s="675" t="s">
        <v>515</v>
      </c>
      <c r="G983" s="675"/>
      <c r="H983" s="675"/>
      <c r="I983" s="675"/>
      <c r="J983" s="675"/>
      <c r="K983" s="675"/>
      <c r="L983" s="675"/>
      <c r="M983" s="675"/>
    </row>
    <row r="984" spans="1:13" x14ac:dyDescent="0.25">
      <c r="A984" s="675" t="s">
        <v>1330</v>
      </c>
      <c r="B984" s="675" t="s">
        <v>512</v>
      </c>
      <c r="C984" s="675" t="s">
        <v>1341</v>
      </c>
      <c r="D984" s="675" t="s">
        <v>21</v>
      </c>
      <c r="E984" s="675" t="s">
        <v>514</v>
      </c>
      <c r="F984" s="675" t="s">
        <v>515</v>
      </c>
      <c r="G984" s="675"/>
      <c r="H984" s="675"/>
      <c r="I984" s="675"/>
      <c r="J984" s="675"/>
      <c r="K984" s="675"/>
      <c r="L984" s="675"/>
      <c r="M984" s="675"/>
    </row>
    <row r="985" spans="1:13" x14ac:dyDescent="0.25">
      <c r="A985" s="675" t="s">
        <v>1330</v>
      </c>
      <c r="B985" s="675" t="s">
        <v>512</v>
      </c>
      <c r="C985" s="675" t="s">
        <v>1300</v>
      </c>
      <c r="D985" s="675" t="s">
        <v>21</v>
      </c>
      <c r="E985" s="675" t="s">
        <v>514</v>
      </c>
      <c r="F985" s="675" t="s">
        <v>515</v>
      </c>
      <c r="G985" s="675"/>
      <c r="H985" s="675"/>
      <c r="I985" s="675"/>
      <c r="J985" s="675"/>
      <c r="K985" s="675"/>
      <c r="L985" s="675"/>
      <c r="M985" s="675"/>
    </row>
    <row r="986" spans="1:13" x14ac:dyDescent="0.25">
      <c r="A986" s="675" t="s">
        <v>1330</v>
      </c>
      <c r="B986" s="675" t="s">
        <v>512</v>
      </c>
      <c r="C986" s="675" t="s">
        <v>1342</v>
      </c>
      <c r="D986" s="675" t="s">
        <v>21</v>
      </c>
      <c r="E986" s="675" t="s">
        <v>514</v>
      </c>
      <c r="F986" s="675" t="s">
        <v>515</v>
      </c>
      <c r="G986" s="675"/>
      <c r="H986" s="675"/>
      <c r="I986" s="675"/>
      <c r="J986" s="675"/>
      <c r="K986" s="675"/>
      <c r="L986" s="675"/>
      <c r="M986" s="675"/>
    </row>
    <row r="987" spans="1:13" x14ac:dyDescent="0.25">
      <c r="A987" s="675" t="s">
        <v>1330</v>
      </c>
      <c r="B987" s="675" t="s">
        <v>512</v>
      </c>
      <c r="C987" s="675" t="s">
        <v>1343</v>
      </c>
      <c r="D987" s="675" t="s">
        <v>21</v>
      </c>
      <c r="E987" s="675" t="s">
        <v>514</v>
      </c>
      <c r="F987" s="675" t="s">
        <v>515</v>
      </c>
      <c r="G987" s="675"/>
      <c r="H987" s="675"/>
      <c r="I987" s="675"/>
      <c r="J987" s="675"/>
      <c r="K987" s="675"/>
      <c r="L987" s="675"/>
      <c r="M987" s="675"/>
    </row>
    <row r="988" spans="1:13" x14ac:dyDescent="0.25">
      <c r="A988" s="675" t="s">
        <v>1330</v>
      </c>
      <c r="B988" s="675" t="s">
        <v>512</v>
      </c>
      <c r="C988" s="675" t="s">
        <v>1344</v>
      </c>
      <c r="D988" s="675" t="s">
        <v>21</v>
      </c>
      <c r="E988" s="675" t="s">
        <v>514</v>
      </c>
      <c r="F988" s="675" t="s">
        <v>515</v>
      </c>
      <c r="G988" s="675"/>
      <c r="H988" s="675"/>
      <c r="I988" s="675"/>
      <c r="J988" s="675"/>
      <c r="K988" s="675"/>
      <c r="L988" s="675"/>
      <c r="M988" s="675"/>
    </row>
    <row r="989" spans="1:13" x14ac:dyDescent="0.25">
      <c r="A989" s="675" t="s">
        <v>1330</v>
      </c>
      <c r="B989" s="675" t="s">
        <v>512</v>
      </c>
      <c r="C989" s="675" t="s">
        <v>1345</v>
      </c>
      <c r="D989" s="675" t="s">
        <v>21</v>
      </c>
      <c r="E989" s="675" t="s">
        <v>514</v>
      </c>
      <c r="F989" s="675" t="s">
        <v>515</v>
      </c>
      <c r="G989" s="675"/>
      <c r="H989" s="675"/>
      <c r="I989" s="675"/>
      <c r="J989" s="675"/>
      <c r="K989" s="675"/>
      <c r="L989" s="675"/>
      <c r="M989" s="675"/>
    </row>
    <row r="990" spans="1:13" x14ac:dyDescent="0.25">
      <c r="A990" s="675" t="s">
        <v>1330</v>
      </c>
      <c r="B990" s="675" t="s">
        <v>512</v>
      </c>
      <c r="C990" s="675" t="s">
        <v>1346</v>
      </c>
      <c r="D990" s="675" t="s">
        <v>21</v>
      </c>
      <c r="E990" s="675" t="s">
        <v>514</v>
      </c>
      <c r="F990" s="675" t="s">
        <v>515</v>
      </c>
      <c r="G990" s="675"/>
      <c r="H990" s="675"/>
      <c r="I990" s="675"/>
      <c r="J990" s="675"/>
      <c r="K990" s="675"/>
      <c r="L990" s="675"/>
      <c r="M990" s="675"/>
    </row>
    <row r="991" spans="1:13" x14ac:dyDescent="0.25">
      <c r="A991" s="675" t="s">
        <v>1330</v>
      </c>
      <c r="B991" s="675" t="s">
        <v>512</v>
      </c>
      <c r="C991" s="675" t="s">
        <v>1347</v>
      </c>
      <c r="D991" s="675" t="s">
        <v>21</v>
      </c>
      <c r="E991" s="675" t="s">
        <v>514</v>
      </c>
      <c r="F991" s="675" t="s">
        <v>515</v>
      </c>
      <c r="G991" s="675"/>
      <c r="H991" s="675"/>
      <c r="I991" s="675"/>
      <c r="J991" s="675"/>
      <c r="K991" s="675"/>
      <c r="L991" s="675"/>
      <c r="M991" s="675"/>
    </row>
    <row r="992" spans="1:13" x14ac:dyDescent="0.25">
      <c r="A992" s="675" t="s">
        <v>1330</v>
      </c>
      <c r="B992" s="675" t="s">
        <v>512</v>
      </c>
      <c r="C992" s="675" t="s">
        <v>1348</v>
      </c>
      <c r="D992" s="675" t="s">
        <v>21</v>
      </c>
      <c r="E992" s="675" t="s">
        <v>514</v>
      </c>
      <c r="F992" s="675" t="s">
        <v>515</v>
      </c>
      <c r="G992" s="675"/>
      <c r="H992" s="675"/>
      <c r="I992" s="675"/>
      <c r="J992" s="675"/>
      <c r="K992" s="675"/>
      <c r="L992" s="675"/>
      <c r="M992" s="675"/>
    </row>
    <row r="993" spans="1:13" x14ac:dyDescent="0.25">
      <c r="A993" s="675" t="s">
        <v>1330</v>
      </c>
      <c r="B993" s="675" t="s">
        <v>512</v>
      </c>
      <c r="C993" s="675" t="s">
        <v>1349</v>
      </c>
      <c r="D993" s="675" t="s">
        <v>21</v>
      </c>
      <c r="E993" s="675" t="s">
        <v>514</v>
      </c>
      <c r="F993" s="675" t="s">
        <v>515</v>
      </c>
      <c r="G993" s="675"/>
      <c r="H993" s="675"/>
      <c r="I993" s="675"/>
      <c r="J993" s="675"/>
      <c r="K993" s="675"/>
      <c r="L993" s="675"/>
      <c r="M993" s="675"/>
    </row>
    <row r="994" spans="1:13" x14ac:dyDescent="0.25">
      <c r="A994" s="675" t="s">
        <v>1330</v>
      </c>
      <c r="B994" s="675" t="s">
        <v>512</v>
      </c>
      <c r="C994" s="675" t="s">
        <v>1216</v>
      </c>
      <c r="D994" s="675" t="s">
        <v>21</v>
      </c>
      <c r="E994" s="675" t="s">
        <v>514</v>
      </c>
      <c r="F994" s="675" t="s">
        <v>515</v>
      </c>
      <c r="G994" s="675"/>
      <c r="H994" s="675"/>
      <c r="I994" s="675"/>
      <c r="J994" s="675"/>
      <c r="K994" s="675"/>
      <c r="L994" s="675"/>
      <c r="M994" s="675"/>
    </row>
    <row r="995" spans="1:13" x14ac:dyDescent="0.25">
      <c r="A995" s="681" t="s">
        <v>1330</v>
      </c>
      <c r="B995" s="681" t="s">
        <v>512</v>
      </c>
      <c r="C995" s="681" t="s">
        <v>1350</v>
      </c>
      <c r="D995" s="681" t="s">
        <v>21</v>
      </c>
      <c r="E995" s="681" t="s">
        <v>1244</v>
      </c>
      <c r="F995" s="681" t="s">
        <v>515</v>
      </c>
      <c r="G995" s="675"/>
      <c r="H995" s="675"/>
      <c r="I995" s="675"/>
      <c r="J995" s="675"/>
      <c r="K995" s="675"/>
      <c r="L995" s="675"/>
      <c r="M995" s="675"/>
    </row>
    <row r="996" spans="1:13" x14ac:dyDescent="0.25">
      <c r="A996" s="681" t="s">
        <v>1330</v>
      </c>
      <c r="B996" s="681" t="s">
        <v>512</v>
      </c>
      <c r="C996" s="681" t="s">
        <v>1351</v>
      </c>
      <c r="D996" s="681" t="s">
        <v>21</v>
      </c>
      <c r="E996" s="681" t="s">
        <v>1244</v>
      </c>
      <c r="F996" s="681" t="s">
        <v>515</v>
      </c>
      <c r="G996" s="675"/>
      <c r="H996" s="675"/>
      <c r="I996" s="675"/>
      <c r="J996" s="675"/>
      <c r="K996" s="675"/>
      <c r="L996" s="675"/>
      <c r="M996" s="675"/>
    </row>
    <row r="997" spans="1:13" x14ac:dyDescent="0.25">
      <c r="A997" s="681" t="s">
        <v>1330</v>
      </c>
      <c r="B997" s="681" t="s">
        <v>512</v>
      </c>
      <c r="C997" s="681" t="s">
        <v>1352</v>
      </c>
      <c r="D997" s="681" t="s">
        <v>21</v>
      </c>
      <c r="E997" s="681" t="s">
        <v>1244</v>
      </c>
      <c r="F997" s="681" t="s">
        <v>515</v>
      </c>
      <c r="G997" s="675"/>
      <c r="H997" s="675"/>
      <c r="I997" s="675"/>
      <c r="J997" s="675"/>
      <c r="K997" s="675"/>
      <c r="L997" s="675"/>
      <c r="M997" s="675"/>
    </row>
    <row r="998" spans="1:13" x14ac:dyDescent="0.25">
      <c r="A998" s="681" t="s">
        <v>1330</v>
      </c>
      <c r="B998" s="681" t="s">
        <v>512</v>
      </c>
      <c r="C998" s="681" t="s">
        <v>1353</v>
      </c>
      <c r="D998" s="681" t="s">
        <v>21</v>
      </c>
      <c r="E998" s="681" t="s">
        <v>1244</v>
      </c>
      <c r="F998" s="681" t="s">
        <v>515</v>
      </c>
      <c r="G998" s="675"/>
      <c r="H998" s="675"/>
      <c r="I998" s="675"/>
      <c r="J998" s="675"/>
      <c r="K998" s="675"/>
      <c r="L998" s="675"/>
      <c r="M998" s="675"/>
    </row>
    <row r="999" spans="1:13" x14ac:dyDescent="0.25">
      <c r="A999" s="675" t="s">
        <v>1330</v>
      </c>
      <c r="B999" s="675" t="s">
        <v>512</v>
      </c>
      <c r="C999" s="675" t="s">
        <v>1354</v>
      </c>
      <c r="D999" s="675" t="s">
        <v>21</v>
      </c>
      <c r="E999" s="675" t="s">
        <v>514</v>
      </c>
      <c r="F999" s="675" t="s">
        <v>515</v>
      </c>
      <c r="G999" s="675"/>
      <c r="H999" s="675"/>
      <c r="I999" s="675"/>
      <c r="J999" s="675"/>
      <c r="K999" s="675"/>
      <c r="L999" s="675"/>
      <c r="M999" s="675"/>
    </row>
    <row r="1000" spans="1:13" x14ac:dyDescent="0.25">
      <c r="A1000" s="678" t="s">
        <v>1330</v>
      </c>
      <c r="B1000" s="678" t="s">
        <v>512</v>
      </c>
      <c r="C1000" s="678" t="s">
        <v>665</v>
      </c>
      <c r="D1000" s="678" t="s">
        <v>21</v>
      </c>
      <c r="E1000" s="678" t="s">
        <v>514</v>
      </c>
      <c r="F1000" s="678" t="s">
        <v>596</v>
      </c>
      <c r="G1000" s="675"/>
      <c r="H1000" s="675"/>
      <c r="I1000" s="675"/>
      <c r="J1000" s="675"/>
      <c r="K1000" s="675"/>
      <c r="L1000" s="675"/>
      <c r="M1000" s="675"/>
    </row>
    <row r="1001" spans="1:13" x14ac:dyDescent="0.25">
      <c r="A1001" s="675" t="s">
        <v>1330</v>
      </c>
      <c r="B1001" s="675" t="s">
        <v>512</v>
      </c>
      <c r="C1001" s="675" t="s">
        <v>1220</v>
      </c>
      <c r="D1001" s="675" t="s">
        <v>21</v>
      </c>
      <c r="E1001" s="675" t="s">
        <v>514</v>
      </c>
      <c r="F1001" s="675" t="s">
        <v>515</v>
      </c>
      <c r="G1001" s="675"/>
      <c r="H1001" s="675"/>
      <c r="I1001" s="675"/>
      <c r="J1001" s="675"/>
      <c r="K1001" s="675"/>
      <c r="L1001" s="675"/>
      <c r="M1001" s="675"/>
    </row>
    <row r="1002" spans="1:13" x14ac:dyDescent="0.25">
      <c r="A1002" s="675" t="s">
        <v>1330</v>
      </c>
      <c r="B1002" s="675" t="s">
        <v>512</v>
      </c>
      <c r="C1002" s="675" t="s">
        <v>1355</v>
      </c>
      <c r="D1002" s="675" t="s">
        <v>21</v>
      </c>
      <c r="E1002" s="675" t="s">
        <v>514</v>
      </c>
      <c r="F1002" s="675" t="s">
        <v>515</v>
      </c>
      <c r="G1002" s="675"/>
      <c r="H1002" s="675"/>
      <c r="I1002" s="675"/>
      <c r="J1002" s="675"/>
      <c r="K1002" s="675"/>
      <c r="L1002" s="675"/>
      <c r="M1002" s="675"/>
    </row>
    <row r="1003" spans="1:13" x14ac:dyDescent="0.25">
      <c r="A1003" s="675" t="s">
        <v>1330</v>
      </c>
      <c r="B1003" s="675" t="s">
        <v>512</v>
      </c>
      <c r="C1003" s="675" t="s">
        <v>1356</v>
      </c>
      <c r="D1003" s="675" t="s">
        <v>21</v>
      </c>
      <c r="E1003" s="675" t="s">
        <v>514</v>
      </c>
      <c r="F1003" s="675" t="s">
        <v>515</v>
      </c>
      <c r="G1003" s="675"/>
      <c r="H1003" s="675"/>
      <c r="I1003" s="675"/>
      <c r="J1003" s="675"/>
      <c r="K1003" s="675"/>
      <c r="L1003" s="675"/>
      <c r="M1003" s="675"/>
    </row>
    <row r="1004" spans="1:13" x14ac:dyDescent="0.25">
      <c r="A1004" s="675" t="s">
        <v>1330</v>
      </c>
      <c r="B1004" s="675" t="s">
        <v>512</v>
      </c>
      <c r="C1004" s="675" t="s">
        <v>1357</v>
      </c>
      <c r="D1004" s="675" t="s">
        <v>21</v>
      </c>
      <c r="E1004" s="675" t="s">
        <v>514</v>
      </c>
      <c r="F1004" s="675" t="s">
        <v>515</v>
      </c>
      <c r="G1004" s="675"/>
      <c r="H1004" s="675"/>
      <c r="I1004" s="675"/>
      <c r="J1004" s="675"/>
      <c r="K1004" s="675"/>
      <c r="L1004" s="675"/>
      <c r="M1004" s="675"/>
    </row>
    <row r="1005" spans="1:13" x14ac:dyDescent="0.25">
      <c r="A1005" s="675" t="s">
        <v>1330</v>
      </c>
      <c r="B1005" s="675" t="s">
        <v>512</v>
      </c>
      <c r="C1005" s="675" t="s">
        <v>1358</v>
      </c>
      <c r="D1005" s="675" t="s">
        <v>21</v>
      </c>
      <c r="E1005" s="675" t="s">
        <v>514</v>
      </c>
      <c r="F1005" s="675" t="s">
        <v>515</v>
      </c>
      <c r="G1005" s="675"/>
      <c r="H1005" s="675"/>
      <c r="I1005" s="675"/>
      <c r="J1005" s="675"/>
      <c r="K1005" s="675"/>
      <c r="L1005" s="675"/>
      <c r="M1005" s="675"/>
    </row>
    <row r="1006" spans="1:13" x14ac:dyDescent="0.25">
      <c r="A1006" s="675" t="s">
        <v>1330</v>
      </c>
      <c r="B1006" s="675" t="s">
        <v>545</v>
      </c>
      <c r="C1006" s="675" t="s">
        <v>1359</v>
      </c>
      <c r="D1006" s="675" t="s">
        <v>21</v>
      </c>
      <c r="E1006" s="675" t="s">
        <v>514</v>
      </c>
      <c r="F1006" s="675" t="s">
        <v>515</v>
      </c>
      <c r="G1006" s="675"/>
      <c r="H1006" s="675"/>
      <c r="I1006" s="675"/>
      <c r="J1006" s="675"/>
      <c r="K1006" s="675"/>
      <c r="L1006" s="675"/>
      <c r="M1006" s="675"/>
    </row>
    <row r="1007" spans="1:13" x14ac:dyDescent="0.25">
      <c r="A1007" s="675" t="s">
        <v>1330</v>
      </c>
      <c r="B1007" s="675" t="s">
        <v>545</v>
      </c>
      <c r="C1007" s="675" t="s">
        <v>1360</v>
      </c>
      <c r="D1007" s="675" t="s">
        <v>21</v>
      </c>
      <c r="E1007" s="675" t="s">
        <v>514</v>
      </c>
      <c r="F1007" s="675" t="s">
        <v>515</v>
      </c>
      <c r="G1007" s="675"/>
      <c r="H1007" s="675"/>
      <c r="I1007" s="675"/>
      <c r="J1007" s="675"/>
      <c r="K1007" s="675"/>
      <c r="L1007" s="675"/>
      <c r="M1007" s="675"/>
    </row>
    <row r="1008" spans="1:13" x14ac:dyDescent="0.25">
      <c r="A1008" s="675" t="s">
        <v>1330</v>
      </c>
      <c r="B1008" s="675" t="s">
        <v>545</v>
      </c>
      <c r="C1008" s="675" t="s">
        <v>1280</v>
      </c>
      <c r="D1008" s="675" t="s">
        <v>21</v>
      </c>
      <c r="E1008" s="675" t="s">
        <v>514</v>
      </c>
      <c r="F1008" s="675" t="s">
        <v>515</v>
      </c>
      <c r="G1008" s="675"/>
      <c r="H1008" s="675"/>
      <c r="I1008" s="675"/>
      <c r="J1008" s="675"/>
      <c r="K1008" s="675"/>
      <c r="L1008" s="675"/>
      <c r="M1008" s="675"/>
    </row>
    <row r="1009" spans="1:13" x14ac:dyDescent="0.25">
      <c r="A1009" s="675" t="s">
        <v>1330</v>
      </c>
      <c r="B1009" s="675" t="s">
        <v>545</v>
      </c>
      <c r="C1009" s="675" t="s">
        <v>1361</v>
      </c>
      <c r="D1009" s="675" t="s">
        <v>21</v>
      </c>
      <c r="E1009" s="675" t="s">
        <v>514</v>
      </c>
      <c r="F1009" s="675" t="s">
        <v>515</v>
      </c>
      <c r="G1009" s="675"/>
      <c r="H1009" s="675"/>
      <c r="I1009" s="675"/>
      <c r="J1009" s="675"/>
      <c r="K1009" s="675"/>
      <c r="L1009" s="675"/>
      <c r="M1009" s="675"/>
    </row>
    <row r="1010" spans="1:13" x14ac:dyDescent="0.25">
      <c r="A1010" s="675" t="s">
        <v>1330</v>
      </c>
      <c r="B1010" s="675" t="s">
        <v>545</v>
      </c>
      <c r="C1010" s="675" t="s">
        <v>1362</v>
      </c>
      <c r="D1010" s="675" t="s">
        <v>21</v>
      </c>
      <c r="E1010" s="675" t="s">
        <v>514</v>
      </c>
      <c r="F1010" s="675" t="s">
        <v>515</v>
      </c>
      <c r="G1010" s="675"/>
      <c r="H1010" s="675"/>
      <c r="I1010" s="675"/>
      <c r="J1010" s="675"/>
      <c r="K1010" s="675"/>
      <c r="L1010" s="675"/>
      <c r="M1010" s="675"/>
    </row>
    <row r="1011" spans="1:13" x14ac:dyDescent="0.25">
      <c r="A1011" s="675" t="s">
        <v>1330</v>
      </c>
      <c r="B1011" s="675" t="s">
        <v>545</v>
      </c>
      <c r="C1011" s="675" t="s">
        <v>1363</v>
      </c>
      <c r="D1011" s="675" t="s">
        <v>21</v>
      </c>
      <c r="E1011" s="675" t="s">
        <v>514</v>
      </c>
      <c r="F1011" s="675" t="s">
        <v>515</v>
      </c>
      <c r="G1011" s="675"/>
      <c r="H1011" s="675"/>
      <c r="I1011" s="675"/>
      <c r="J1011" s="675"/>
      <c r="K1011" s="675"/>
      <c r="L1011" s="675"/>
      <c r="M1011" s="675"/>
    </row>
    <row r="1012" spans="1:13" x14ac:dyDescent="0.25">
      <c r="A1012" s="675" t="s">
        <v>1330</v>
      </c>
      <c r="B1012" s="675" t="s">
        <v>545</v>
      </c>
      <c r="C1012" s="675" t="s">
        <v>1364</v>
      </c>
      <c r="D1012" s="675" t="s">
        <v>21</v>
      </c>
      <c r="E1012" s="675" t="s">
        <v>514</v>
      </c>
      <c r="F1012" s="675" t="s">
        <v>515</v>
      </c>
      <c r="G1012" s="675"/>
      <c r="H1012" s="675"/>
      <c r="I1012" s="675"/>
      <c r="J1012" s="675"/>
      <c r="K1012" s="675"/>
      <c r="L1012" s="675"/>
      <c r="M1012" s="675"/>
    </row>
    <row r="1013" spans="1:13" x14ac:dyDescent="0.25">
      <c r="A1013" s="675" t="s">
        <v>1330</v>
      </c>
      <c r="B1013" s="675" t="s">
        <v>545</v>
      </c>
      <c r="C1013" s="675" t="s">
        <v>1365</v>
      </c>
      <c r="D1013" s="675" t="s">
        <v>21</v>
      </c>
      <c r="E1013" s="675" t="s">
        <v>514</v>
      </c>
      <c r="F1013" s="675" t="s">
        <v>515</v>
      </c>
      <c r="G1013" s="675"/>
      <c r="H1013" s="675"/>
      <c r="I1013" s="675"/>
      <c r="J1013" s="675"/>
      <c r="K1013" s="675"/>
      <c r="L1013" s="675"/>
      <c r="M1013" s="675"/>
    </row>
    <row r="1014" spans="1:13" x14ac:dyDescent="0.25">
      <c r="A1014" s="675" t="s">
        <v>1330</v>
      </c>
      <c r="B1014" s="675" t="s">
        <v>545</v>
      </c>
      <c r="C1014" s="675" t="s">
        <v>1366</v>
      </c>
      <c r="D1014" s="675" t="s">
        <v>21</v>
      </c>
      <c r="E1014" s="675" t="s">
        <v>514</v>
      </c>
      <c r="F1014" s="675" t="s">
        <v>515</v>
      </c>
      <c r="G1014" s="675"/>
      <c r="H1014" s="675"/>
      <c r="I1014" s="675"/>
      <c r="J1014" s="675"/>
      <c r="K1014" s="675"/>
      <c r="L1014" s="675"/>
      <c r="M1014" s="675"/>
    </row>
    <row r="1015" spans="1:13" x14ac:dyDescent="0.25">
      <c r="A1015" s="675" t="s">
        <v>1330</v>
      </c>
      <c r="B1015" s="675" t="s">
        <v>545</v>
      </c>
      <c r="C1015" s="675" t="s">
        <v>1282</v>
      </c>
      <c r="D1015" s="675" t="s">
        <v>21</v>
      </c>
      <c r="E1015" s="675" t="s">
        <v>514</v>
      </c>
      <c r="F1015" s="675" t="s">
        <v>515</v>
      </c>
      <c r="G1015" s="675"/>
      <c r="H1015" s="675"/>
      <c r="I1015" s="675"/>
      <c r="J1015" s="675"/>
      <c r="K1015" s="675"/>
      <c r="L1015" s="675"/>
      <c r="M1015" s="675"/>
    </row>
    <row r="1016" spans="1:13" x14ac:dyDescent="0.25">
      <c r="A1016" s="675" t="s">
        <v>1330</v>
      </c>
      <c r="B1016" s="675" t="s">
        <v>545</v>
      </c>
      <c r="C1016" s="675" t="s">
        <v>1367</v>
      </c>
      <c r="D1016" s="675" t="s">
        <v>21</v>
      </c>
      <c r="E1016" s="675" t="s">
        <v>514</v>
      </c>
      <c r="F1016" s="675" t="s">
        <v>515</v>
      </c>
      <c r="G1016" s="675"/>
      <c r="H1016" s="675"/>
      <c r="I1016" s="675"/>
      <c r="J1016" s="675"/>
      <c r="K1016" s="675"/>
      <c r="L1016" s="675"/>
      <c r="M1016" s="675"/>
    </row>
    <row r="1017" spans="1:13" x14ac:dyDescent="0.25">
      <c r="A1017" s="675" t="s">
        <v>1330</v>
      </c>
      <c r="B1017" s="675" t="s">
        <v>545</v>
      </c>
      <c r="C1017" s="675" t="s">
        <v>1235</v>
      </c>
      <c r="D1017" s="675" t="s">
        <v>21</v>
      </c>
      <c r="E1017" s="675" t="s">
        <v>514</v>
      </c>
      <c r="F1017" s="675" t="s">
        <v>515</v>
      </c>
      <c r="G1017" s="675"/>
      <c r="H1017" s="675"/>
      <c r="I1017" s="675"/>
      <c r="J1017" s="675"/>
      <c r="K1017" s="675"/>
      <c r="L1017" s="675"/>
      <c r="M1017" s="675"/>
    </row>
    <row r="1018" spans="1:13" x14ac:dyDescent="0.25">
      <c r="A1018" s="675" t="s">
        <v>1330</v>
      </c>
      <c r="B1018" s="675" t="s">
        <v>545</v>
      </c>
      <c r="C1018" s="675" t="s">
        <v>1368</v>
      </c>
      <c r="D1018" s="675" t="s">
        <v>21</v>
      </c>
      <c r="E1018" s="675" t="s">
        <v>514</v>
      </c>
      <c r="F1018" s="675" t="s">
        <v>515</v>
      </c>
      <c r="G1018" s="675"/>
      <c r="H1018" s="675"/>
      <c r="I1018" s="675"/>
      <c r="J1018" s="675"/>
      <c r="K1018" s="675"/>
      <c r="L1018" s="675"/>
      <c r="M1018" s="675"/>
    </row>
    <row r="1019" spans="1:13" x14ac:dyDescent="0.25">
      <c r="A1019" s="675" t="s">
        <v>1330</v>
      </c>
      <c r="B1019" s="675" t="s">
        <v>545</v>
      </c>
      <c r="C1019" s="675" t="s">
        <v>1369</v>
      </c>
      <c r="D1019" s="675" t="s">
        <v>21</v>
      </c>
      <c r="E1019" s="675" t="s">
        <v>514</v>
      </c>
      <c r="F1019" s="675" t="s">
        <v>515</v>
      </c>
      <c r="G1019" s="675"/>
      <c r="H1019" s="675"/>
      <c r="I1019" s="675"/>
      <c r="J1019" s="675"/>
      <c r="K1019" s="675"/>
      <c r="L1019" s="675"/>
      <c r="M1019" s="675"/>
    </row>
    <row r="1020" spans="1:13" x14ac:dyDescent="0.25">
      <c r="A1020" s="675" t="s">
        <v>1330</v>
      </c>
      <c r="B1020" s="675" t="s">
        <v>545</v>
      </c>
      <c r="C1020" s="675" t="s">
        <v>1240</v>
      </c>
      <c r="D1020" s="675" t="s">
        <v>21</v>
      </c>
      <c r="E1020" s="675" t="s">
        <v>514</v>
      </c>
      <c r="F1020" s="675" t="s">
        <v>515</v>
      </c>
      <c r="G1020" s="675"/>
      <c r="H1020" s="675"/>
      <c r="I1020" s="675"/>
      <c r="J1020" s="675"/>
      <c r="K1020" s="675"/>
      <c r="L1020" s="675"/>
      <c r="M1020" s="675"/>
    </row>
    <row r="1021" spans="1:13" x14ac:dyDescent="0.25">
      <c r="A1021" s="675" t="s">
        <v>1330</v>
      </c>
      <c r="B1021" s="675" t="s">
        <v>545</v>
      </c>
      <c r="C1021" s="675" t="s">
        <v>1370</v>
      </c>
      <c r="D1021" s="675" t="s">
        <v>21</v>
      </c>
      <c r="E1021" s="675" t="s">
        <v>514</v>
      </c>
      <c r="F1021" s="675" t="s">
        <v>515</v>
      </c>
      <c r="G1021" s="675"/>
      <c r="H1021" s="675"/>
      <c r="I1021" s="675"/>
      <c r="J1021" s="675"/>
      <c r="K1021" s="675"/>
      <c r="L1021" s="675"/>
      <c r="M1021" s="675"/>
    </row>
    <row r="1022" spans="1:13" x14ac:dyDescent="0.25">
      <c r="A1022" s="675" t="s">
        <v>1330</v>
      </c>
      <c r="B1022" s="675" t="s">
        <v>545</v>
      </c>
      <c r="C1022" s="675" t="s">
        <v>1371</v>
      </c>
      <c r="D1022" s="675" t="s">
        <v>21</v>
      </c>
      <c r="E1022" s="675" t="s">
        <v>514</v>
      </c>
      <c r="F1022" s="675" t="s">
        <v>515</v>
      </c>
      <c r="G1022" s="675"/>
      <c r="H1022" s="675"/>
      <c r="I1022" s="675"/>
      <c r="J1022" s="675"/>
      <c r="K1022" s="675"/>
      <c r="L1022" s="675"/>
      <c r="M1022" s="675"/>
    </row>
    <row r="1023" spans="1:13" x14ac:dyDescent="0.25">
      <c r="A1023" s="675" t="s">
        <v>1330</v>
      </c>
      <c r="B1023" s="675" t="s">
        <v>545</v>
      </c>
      <c r="C1023" s="675" t="s">
        <v>1372</v>
      </c>
      <c r="D1023" s="675" t="s">
        <v>21</v>
      </c>
      <c r="E1023" s="675" t="s">
        <v>514</v>
      </c>
      <c r="F1023" s="675" t="s">
        <v>515</v>
      </c>
      <c r="G1023" s="675"/>
      <c r="H1023" s="675"/>
      <c r="I1023" s="675"/>
      <c r="J1023" s="675"/>
      <c r="K1023" s="675"/>
      <c r="L1023" s="675"/>
      <c r="M1023" s="675"/>
    </row>
    <row r="1024" spans="1:13" x14ac:dyDescent="0.25">
      <c r="A1024" s="675" t="s">
        <v>1330</v>
      </c>
      <c r="B1024" s="675" t="s">
        <v>545</v>
      </c>
      <c r="C1024" s="675" t="s">
        <v>1373</v>
      </c>
      <c r="D1024" s="675" t="s">
        <v>21</v>
      </c>
      <c r="E1024" s="675" t="s">
        <v>514</v>
      </c>
      <c r="F1024" s="675" t="s">
        <v>515</v>
      </c>
      <c r="G1024" s="675"/>
      <c r="H1024" s="675"/>
      <c r="I1024" s="675"/>
      <c r="J1024" s="675"/>
      <c r="K1024" s="675"/>
      <c r="L1024" s="675"/>
      <c r="M1024" s="675"/>
    </row>
    <row r="1025" spans="1:13" x14ac:dyDescent="0.25">
      <c r="A1025" s="675" t="s">
        <v>1330</v>
      </c>
      <c r="B1025" s="675" t="s">
        <v>564</v>
      </c>
      <c r="C1025" s="675" t="s">
        <v>1374</v>
      </c>
      <c r="D1025" s="675" t="s">
        <v>21</v>
      </c>
      <c r="E1025" s="675" t="s">
        <v>514</v>
      </c>
      <c r="F1025" s="675" t="s">
        <v>515</v>
      </c>
      <c r="G1025" s="675"/>
      <c r="H1025" s="675"/>
      <c r="I1025" s="675"/>
      <c r="J1025" s="675"/>
      <c r="K1025" s="675"/>
      <c r="L1025" s="675"/>
      <c r="M1025" s="675"/>
    </row>
    <row r="1026" spans="1:13" x14ac:dyDescent="0.25">
      <c r="A1026" s="675" t="s">
        <v>1330</v>
      </c>
      <c r="B1026" s="675" t="s">
        <v>564</v>
      </c>
      <c r="C1026" s="675" t="s">
        <v>1375</v>
      </c>
      <c r="D1026" s="675" t="s">
        <v>21</v>
      </c>
      <c r="E1026" s="675" t="s">
        <v>514</v>
      </c>
      <c r="F1026" s="675" t="s">
        <v>515</v>
      </c>
      <c r="G1026" s="675"/>
      <c r="H1026" s="675"/>
      <c r="I1026" s="675"/>
      <c r="J1026" s="675"/>
      <c r="K1026" s="675"/>
      <c r="L1026" s="675"/>
      <c r="M1026" s="675"/>
    </row>
    <row r="1027" spans="1:13" x14ac:dyDescent="0.25">
      <c r="A1027" s="675" t="s">
        <v>1330</v>
      </c>
      <c r="B1027" s="675" t="s">
        <v>564</v>
      </c>
      <c r="C1027" s="675" t="s">
        <v>1376</v>
      </c>
      <c r="D1027" s="675" t="s">
        <v>21</v>
      </c>
      <c r="E1027" s="675" t="s">
        <v>514</v>
      </c>
      <c r="F1027" s="675" t="s">
        <v>515</v>
      </c>
      <c r="G1027" s="675"/>
      <c r="H1027" s="675"/>
      <c r="I1027" s="675"/>
      <c r="J1027" s="675"/>
      <c r="K1027" s="675"/>
      <c r="L1027" s="675"/>
      <c r="M1027" s="675"/>
    </row>
    <row r="1028" spans="1:13" x14ac:dyDescent="0.25">
      <c r="A1028" s="675" t="s">
        <v>1330</v>
      </c>
      <c r="B1028" s="675" t="s">
        <v>564</v>
      </c>
      <c r="C1028" s="675" t="s">
        <v>1377</v>
      </c>
      <c r="D1028" s="675" t="s">
        <v>21</v>
      </c>
      <c r="E1028" s="675" t="s">
        <v>514</v>
      </c>
      <c r="F1028" s="675" t="s">
        <v>515</v>
      </c>
      <c r="G1028" s="675"/>
      <c r="H1028" s="675"/>
      <c r="I1028" s="675"/>
      <c r="J1028" s="675"/>
      <c r="K1028" s="675"/>
      <c r="L1028" s="675"/>
      <c r="M1028" s="675"/>
    </row>
    <row r="1029" spans="1:13" x14ac:dyDescent="0.25">
      <c r="A1029" s="675" t="s">
        <v>1330</v>
      </c>
      <c r="B1029" s="675" t="s">
        <v>564</v>
      </c>
      <c r="C1029" s="675" t="s">
        <v>1378</v>
      </c>
      <c r="D1029" s="675" t="s">
        <v>21</v>
      </c>
      <c r="E1029" s="675" t="s">
        <v>514</v>
      </c>
      <c r="F1029" s="675" t="s">
        <v>515</v>
      </c>
      <c r="G1029" s="675"/>
      <c r="H1029" s="675"/>
      <c r="I1029" s="675"/>
      <c r="J1029" s="675"/>
      <c r="K1029" s="675"/>
      <c r="L1029" s="675"/>
      <c r="M1029" s="675"/>
    </row>
    <row r="1030" spans="1:13" x14ac:dyDescent="0.25">
      <c r="A1030" s="675" t="s">
        <v>1330</v>
      </c>
      <c r="B1030" s="675" t="s">
        <v>564</v>
      </c>
      <c r="C1030" s="675" t="s">
        <v>1379</v>
      </c>
      <c r="D1030" s="675" t="s">
        <v>21</v>
      </c>
      <c r="E1030" s="675" t="s">
        <v>514</v>
      </c>
      <c r="F1030" s="675" t="s">
        <v>515</v>
      </c>
      <c r="G1030" s="675"/>
      <c r="H1030" s="675"/>
      <c r="I1030" s="675"/>
      <c r="J1030" s="675"/>
      <c r="K1030" s="675"/>
      <c r="L1030" s="675"/>
      <c r="M1030" s="675"/>
    </row>
    <row r="1031" spans="1:13" x14ac:dyDescent="0.25">
      <c r="A1031" s="675" t="s">
        <v>1330</v>
      </c>
      <c r="B1031" s="675" t="s">
        <v>564</v>
      </c>
      <c r="C1031" s="675" t="s">
        <v>1250</v>
      </c>
      <c r="D1031" s="675" t="s">
        <v>21</v>
      </c>
      <c r="E1031" s="675" t="s">
        <v>514</v>
      </c>
      <c r="F1031" s="675" t="s">
        <v>515</v>
      </c>
      <c r="G1031" s="675"/>
      <c r="H1031" s="675"/>
      <c r="I1031" s="675"/>
      <c r="J1031" s="675"/>
      <c r="K1031" s="675"/>
      <c r="L1031" s="675"/>
      <c r="M1031" s="675"/>
    </row>
    <row r="1032" spans="1:13" x14ac:dyDescent="0.25">
      <c r="A1032" s="675" t="s">
        <v>1330</v>
      </c>
      <c r="B1032" s="675" t="s">
        <v>564</v>
      </c>
      <c r="C1032" s="675" t="s">
        <v>1380</v>
      </c>
      <c r="D1032" s="675" t="s">
        <v>21</v>
      </c>
      <c r="E1032" s="675" t="s">
        <v>514</v>
      </c>
      <c r="F1032" s="675" t="s">
        <v>515</v>
      </c>
      <c r="G1032" s="675"/>
      <c r="H1032" s="675"/>
      <c r="I1032" s="675"/>
      <c r="J1032" s="675"/>
      <c r="K1032" s="675"/>
      <c r="L1032" s="675"/>
      <c r="M1032" s="675"/>
    </row>
    <row r="1033" spans="1:13" x14ac:dyDescent="0.25">
      <c r="A1033" s="675" t="s">
        <v>1330</v>
      </c>
      <c r="B1033" s="675" t="s">
        <v>564</v>
      </c>
      <c r="C1033" s="675" t="s">
        <v>1381</v>
      </c>
      <c r="D1033" s="675" t="s">
        <v>21</v>
      </c>
      <c r="E1033" s="675" t="s">
        <v>514</v>
      </c>
      <c r="F1033" s="675" t="s">
        <v>515</v>
      </c>
      <c r="G1033" s="675"/>
      <c r="H1033" s="675"/>
      <c r="I1033" s="675"/>
      <c r="J1033" s="675"/>
      <c r="K1033" s="675"/>
      <c r="L1033" s="675"/>
      <c r="M1033" s="675"/>
    </row>
    <row r="1034" spans="1:13" x14ac:dyDescent="0.25">
      <c r="A1034" s="675" t="s">
        <v>1330</v>
      </c>
      <c r="B1034" s="675" t="s">
        <v>564</v>
      </c>
      <c r="C1034" s="675" t="s">
        <v>1382</v>
      </c>
      <c r="D1034" s="675" t="s">
        <v>21</v>
      </c>
      <c r="E1034" s="675" t="s">
        <v>514</v>
      </c>
      <c r="F1034" s="675" t="s">
        <v>515</v>
      </c>
      <c r="G1034" s="675"/>
      <c r="H1034" s="675"/>
      <c r="I1034" s="675"/>
      <c r="J1034" s="675"/>
      <c r="K1034" s="675"/>
      <c r="L1034" s="675"/>
      <c r="M1034" s="675"/>
    </row>
    <row r="1035" spans="1:13" x14ac:dyDescent="0.25">
      <c r="A1035" s="675" t="s">
        <v>1330</v>
      </c>
      <c r="B1035" s="675" t="s">
        <v>564</v>
      </c>
      <c r="C1035" s="675" t="s">
        <v>1383</v>
      </c>
      <c r="D1035" s="675" t="s">
        <v>21</v>
      </c>
      <c r="E1035" s="675" t="s">
        <v>514</v>
      </c>
      <c r="F1035" s="675" t="s">
        <v>515</v>
      </c>
      <c r="G1035" s="675"/>
      <c r="H1035" s="675"/>
      <c r="I1035" s="675"/>
      <c r="J1035" s="675"/>
      <c r="K1035" s="675"/>
      <c r="L1035" s="675"/>
      <c r="M1035" s="675"/>
    </row>
    <row r="1036" spans="1:13" x14ac:dyDescent="0.25">
      <c r="A1036" s="675" t="s">
        <v>1330</v>
      </c>
      <c r="B1036" s="675" t="s">
        <v>564</v>
      </c>
      <c r="C1036" s="675" t="s">
        <v>1384</v>
      </c>
      <c r="D1036" s="675" t="s">
        <v>21</v>
      </c>
      <c r="E1036" s="675" t="s">
        <v>514</v>
      </c>
      <c r="F1036" s="675" t="s">
        <v>515</v>
      </c>
      <c r="G1036" s="675"/>
      <c r="H1036" s="675"/>
      <c r="I1036" s="675"/>
      <c r="J1036" s="675"/>
      <c r="K1036" s="675"/>
      <c r="L1036" s="675"/>
      <c r="M1036" s="675"/>
    </row>
    <row r="1037" spans="1:13" x14ac:dyDescent="0.25">
      <c r="A1037" s="675" t="s">
        <v>1330</v>
      </c>
      <c r="B1037" s="675" t="s">
        <v>564</v>
      </c>
      <c r="C1037" s="675" t="s">
        <v>1385</v>
      </c>
      <c r="D1037" s="675" t="s">
        <v>21</v>
      </c>
      <c r="E1037" s="675" t="s">
        <v>514</v>
      </c>
      <c r="F1037" s="675" t="s">
        <v>515</v>
      </c>
      <c r="G1037" s="675"/>
      <c r="H1037" s="675"/>
      <c r="I1037" s="675"/>
      <c r="J1037" s="675"/>
      <c r="K1037" s="675"/>
      <c r="L1037" s="675"/>
      <c r="M1037" s="675"/>
    </row>
    <row r="1038" spans="1:13" x14ac:dyDescent="0.25">
      <c r="A1038" s="675" t="s">
        <v>1330</v>
      </c>
      <c r="B1038" s="675" t="s">
        <v>564</v>
      </c>
      <c r="C1038" s="675" t="s">
        <v>1386</v>
      </c>
      <c r="D1038" s="675" t="s">
        <v>21</v>
      </c>
      <c r="E1038" s="675" t="s">
        <v>514</v>
      </c>
      <c r="F1038" s="675" t="s">
        <v>515</v>
      </c>
      <c r="G1038" s="675"/>
      <c r="H1038" s="675"/>
      <c r="I1038" s="675"/>
      <c r="J1038" s="675"/>
      <c r="K1038" s="675"/>
      <c r="L1038" s="675"/>
      <c r="M1038" s="675"/>
    </row>
    <row r="1039" spans="1:13" x14ac:dyDescent="0.25">
      <c r="A1039" s="675" t="s">
        <v>1387</v>
      </c>
      <c r="B1039" s="675" t="s">
        <v>512</v>
      </c>
      <c r="C1039" s="675" t="s">
        <v>1388</v>
      </c>
      <c r="D1039" s="675" t="s">
        <v>21</v>
      </c>
      <c r="E1039" s="675" t="s">
        <v>514</v>
      </c>
      <c r="F1039" s="675" t="s">
        <v>515</v>
      </c>
      <c r="G1039" s="675"/>
      <c r="H1039" s="675"/>
      <c r="I1039" s="675"/>
      <c r="J1039" s="675"/>
      <c r="K1039" s="675"/>
      <c r="L1039" s="675"/>
      <c r="M1039" s="675"/>
    </row>
    <row r="1040" spans="1:13" x14ac:dyDescent="0.25">
      <c r="A1040" s="675" t="s">
        <v>1387</v>
      </c>
      <c r="B1040" s="675" t="s">
        <v>512</v>
      </c>
      <c r="C1040" s="675" t="s">
        <v>1389</v>
      </c>
      <c r="D1040" s="675" t="s">
        <v>21</v>
      </c>
      <c r="E1040" s="675" t="s">
        <v>514</v>
      </c>
      <c r="F1040" s="675" t="s">
        <v>515</v>
      </c>
      <c r="G1040" s="675"/>
      <c r="H1040" s="675"/>
      <c r="I1040" s="675"/>
      <c r="J1040" s="675"/>
      <c r="K1040" s="675"/>
      <c r="L1040" s="675"/>
      <c r="M1040" s="675"/>
    </row>
    <row r="1041" spans="1:13" x14ac:dyDescent="0.25">
      <c r="A1041" s="675" t="s">
        <v>1387</v>
      </c>
      <c r="B1041" s="675" t="s">
        <v>512</v>
      </c>
      <c r="C1041" s="675" t="s">
        <v>1390</v>
      </c>
      <c r="D1041" s="675" t="s">
        <v>21</v>
      </c>
      <c r="E1041" s="675" t="s">
        <v>514</v>
      </c>
      <c r="F1041" s="675" t="s">
        <v>515</v>
      </c>
      <c r="G1041" s="675"/>
      <c r="H1041" s="675"/>
      <c r="I1041" s="675"/>
      <c r="J1041" s="675"/>
      <c r="K1041" s="675"/>
      <c r="L1041" s="675"/>
      <c r="M1041" s="675"/>
    </row>
    <row r="1042" spans="1:13" x14ac:dyDescent="0.25">
      <c r="A1042" s="675" t="s">
        <v>1387</v>
      </c>
      <c r="B1042" s="675" t="s">
        <v>512</v>
      </c>
      <c r="C1042" s="675" t="s">
        <v>1391</v>
      </c>
      <c r="D1042" s="675" t="s">
        <v>21</v>
      </c>
      <c r="E1042" s="675" t="s">
        <v>514</v>
      </c>
      <c r="F1042" s="675" t="s">
        <v>515</v>
      </c>
      <c r="G1042" s="675"/>
      <c r="H1042" s="675"/>
      <c r="I1042" s="675"/>
      <c r="J1042" s="675"/>
      <c r="K1042" s="675"/>
      <c r="L1042" s="675"/>
      <c r="M1042" s="675"/>
    </row>
    <row r="1043" spans="1:13" x14ac:dyDescent="0.25">
      <c r="A1043" s="678" t="s">
        <v>1387</v>
      </c>
      <c r="B1043" s="678" t="s">
        <v>512</v>
      </c>
      <c r="C1043" s="678" t="s">
        <v>1392</v>
      </c>
      <c r="D1043" s="678" t="s">
        <v>21</v>
      </c>
      <c r="E1043" s="678" t="s">
        <v>514</v>
      </c>
      <c r="F1043" s="678" t="s">
        <v>596</v>
      </c>
      <c r="G1043" s="675"/>
      <c r="H1043" s="675"/>
      <c r="I1043" s="675"/>
      <c r="J1043" s="675"/>
      <c r="K1043" s="675"/>
      <c r="L1043" s="675"/>
      <c r="M1043" s="675"/>
    </row>
    <row r="1044" spans="1:13" x14ac:dyDescent="0.25">
      <c r="A1044" s="678" t="s">
        <v>1387</v>
      </c>
      <c r="B1044" s="678" t="s">
        <v>512</v>
      </c>
      <c r="C1044" s="678" t="s">
        <v>1393</v>
      </c>
      <c r="D1044" s="678" t="s">
        <v>21</v>
      </c>
      <c r="E1044" s="678" t="s">
        <v>514</v>
      </c>
      <c r="F1044" s="678" t="s">
        <v>596</v>
      </c>
      <c r="G1044" s="675"/>
      <c r="H1044" s="675"/>
      <c r="I1044" s="675"/>
      <c r="J1044" s="675"/>
      <c r="K1044" s="675"/>
      <c r="L1044" s="675"/>
      <c r="M1044" s="675"/>
    </row>
    <row r="1045" spans="1:13" x14ac:dyDescent="0.25">
      <c r="A1045" s="675" t="s">
        <v>1387</v>
      </c>
      <c r="B1045" s="675" t="s">
        <v>512</v>
      </c>
      <c r="C1045" s="675" t="s">
        <v>1394</v>
      </c>
      <c r="D1045" s="675" t="s">
        <v>21</v>
      </c>
      <c r="E1045" s="675" t="s">
        <v>514</v>
      </c>
      <c r="F1045" s="675" t="s">
        <v>515</v>
      </c>
      <c r="G1045" s="675"/>
      <c r="H1045" s="675"/>
      <c r="I1045" s="675"/>
      <c r="J1045" s="675"/>
      <c r="K1045" s="675"/>
      <c r="L1045" s="675"/>
      <c r="M1045" s="675"/>
    </row>
    <row r="1046" spans="1:13" x14ac:dyDescent="0.25">
      <c r="A1046" s="675" t="s">
        <v>1387</v>
      </c>
      <c r="B1046" s="675" t="s">
        <v>512</v>
      </c>
      <c r="C1046" s="675" t="s">
        <v>1395</v>
      </c>
      <c r="D1046" s="675" t="s">
        <v>21</v>
      </c>
      <c r="E1046" s="675" t="s">
        <v>514</v>
      </c>
      <c r="F1046" s="675" t="s">
        <v>515</v>
      </c>
      <c r="G1046" s="675"/>
      <c r="H1046" s="675"/>
      <c r="I1046" s="675"/>
      <c r="J1046" s="675"/>
      <c r="K1046" s="675"/>
      <c r="L1046" s="675"/>
      <c r="M1046" s="675"/>
    </row>
    <row r="1047" spans="1:13" x14ac:dyDescent="0.25">
      <c r="A1047" s="675" t="s">
        <v>1387</v>
      </c>
      <c r="B1047" s="675" t="s">
        <v>512</v>
      </c>
      <c r="C1047" s="675" t="s">
        <v>1396</v>
      </c>
      <c r="D1047" s="675" t="s">
        <v>21</v>
      </c>
      <c r="E1047" s="675" t="s">
        <v>514</v>
      </c>
      <c r="F1047" s="675" t="s">
        <v>515</v>
      </c>
      <c r="G1047" s="675"/>
      <c r="H1047" s="675"/>
      <c r="I1047" s="675"/>
      <c r="J1047" s="675"/>
      <c r="K1047" s="675"/>
      <c r="L1047" s="675"/>
      <c r="M1047" s="675"/>
    </row>
    <row r="1048" spans="1:13" x14ac:dyDescent="0.25">
      <c r="A1048" s="675" t="s">
        <v>1387</v>
      </c>
      <c r="B1048" s="675" t="s">
        <v>512</v>
      </c>
      <c r="C1048" s="675" t="s">
        <v>1397</v>
      </c>
      <c r="D1048" s="675" t="s">
        <v>21</v>
      </c>
      <c r="E1048" s="675" t="s">
        <v>514</v>
      </c>
      <c r="F1048" s="675" t="s">
        <v>515</v>
      </c>
      <c r="G1048" s="675"/>
      <c r="H1048" s="675"/>
      <c r="I1048" s="675"/>
      <c r="J1048" s="675"/>
      <c r="K1048" s="675"/>
      <c r="L1048" s="675"/>
      <c r="M1048" s="675"/>
    </row>
    <row r="1049" spans="1:13" x14ac:dyDescent="0.25">
      <c r="A1049" s="675" t="s">
        <v>1387</v>
      </c>
      <c r="B1049" s="675" t="s">
        <v>512</v>
      </c>
      <c r="C1049" s="675" t="s">
        <v>1398</v>
      </c>
      <c r="D1049" s="675" t="s">
        <v>21</v>
      </c>
      <c r="E1049" s="675" t="s">
        <v>514</v>
      </c>
      <c r="F1049" s="675" t="s">
        <v>515</v>
      </c>
      <c r="G1049" s="675"/>
      <c r="H1049" s="675"/>
      <c r="I1049" s="675"/>
      <c r="J1049" s="675"/>
      <c r="K1049" s="675"/>
      <c r="L1049" s="675"/>
      <c r="M1049" s="675"/>
    </row>
    <row r="1050" spans="1:13" x14ac:dyDescent="0.25">
      <c r="A1050" s="675" t="s">
        <v>1387</v>
      </c>
      <c r="B1050" s="675" t="s">
        <v>512</v>
      </c>
      <c r="C1050" s="675" t="s">
        <v>1399</v>
      </c>
      <c r="D1050" s="675" t="s">
        <v>21</v>
      </c>
      <c r="E1050" s="675" t="s">
        <v>514</v>
      </c>
      <c r="F1050" s="675" t="s">
        <v>515</v>
      </c>
      <c r="G1050" s="675"/>
      <c r="H1050" s="675"/>
      <c r="I1050" s="675"/>
      <c r="J1050" s="675"/>
      <c r="K1050" s="675"/>
      <c r="L1050" s="675"/>
      <c r="M1050" s="675"/>
    </row>
    <row r="1051" spans="1:13" x14ac:dyDescent="0.25">
      <c r="A1051" s="675" t="s">
        <v>1387</v>
      </c>
      <c r="B1051" s="675" t="s">
        <v>512</v>
      </c>
      <c r="C1051" s="675" t="s">
        <v>1400</v>
      </c>
      <c r="D1051" s="675" t="s">
        <v>21</v>
      </c>
      <c r="E1051" s="675" t="s">
        <v>514</v>
      </c>
      <c r="F1051" s="675" t="s">
        <v>515</v>
      </c>
      <c r="G1051" s="675"/>
      <c r="H1051" s="675"/>
      <c r="I1051" s="675"/>
      <c r="J1051" s="675"/>
      <c r="K1051" s="675"/>
      <c r="L1051" s="675"/>
      <c r="M1051" s="675"/>
    </row>
    <row r="1052" spans="1:13" x14ac:dyDescent="0.25">
      <c r="A1052" s="675" t="s">
        <v>1387</v>
      </c>
      <c r="B1052" s="675" t="s">
        <v>512</v>
      </c>
      <c r="C1052" s="675" t="s">
        <v>1401</v>
      </c>
      <c r="D1052" s="675" t="s">
        <v>21</v>
      </c>
      <c r="E1052" s="675" t="s">
        <v>514</v>
      </c>
      <c r="F1052" s="675" t="s">
        <v>515</v>
      </c>
      <c r="G1052" s="675"/>
      <c r="H1052" s="675"/>
      <c r="I1052" s="675"/>
      <c r="J1052" s="675"/>
      <c r="K1052" s="675"/>
      <c r="L1052" s="675"/>
      <c r="M1052" s="675"/>
    </row>
    <row r="1053" spans="1:13" x14ac:dyDescent="0.25">
      <c r="A1053" s="675" t="s">
        <v>1387</v>
      </c>
      <c r="B1053" s="675" t="s">
        <v>512</v>
      </c>
      <c r="C1053" s="675" t="s">
        <v>1402</v>
      </c>
      <c r="D1053" s="675" t="s">
        <v>21</v>
      </c>
      <c r="E1053" s="675" t="s">
        <v>514</v>
      </c>
      <c r="F1053" s="675" t="s">
        <v>515</v>
      </c>
      <c r="G1053" s="675"/>
      <c r="H1053" s="675"/>
      <c r="I1053" s="675"/>
      <c r="J1053" s="675"/>
      <c r="K1053" s="675"/>
      <c r="L1053" s="675"/>
      <c r="M1053" s="675"/>
    </row>
    <row r="1054" spans="1:13" x14ac:dyDescent="0.25">
      <c r="A1054" s="675" t="s">
        <v>1387</v>
      </c>
      <c r="B1054" s="675" t="s">
        <v>512</v>
      </c>
      <c r="C1054" s="675" t="s">
        <v>1403</v>
      </c>
      <c r="D1054" s="675" t="s">
        <v>21</v>
      </c>
      <c r="E1054" s="675" t="s">
        <v>514</v>
      </c>
      <c r="F1054" s="675" t="s">
        <v>515</v>
      </c>
      <c r="G1054" s="675"/>
      <c r="H1054" s="675"/>
      <c r="I1054" s="675"/>
      <c r="J1054" s="675"/>
      <c r="K1054" s="675"/>
      <c r="L1054" s="675"/>
      <c r="M1054" s="675"/>
    </row>
    <row r="1055" spans="1:13" x14ac:dyDescent="0.25">
      <c r="A1055" s="675" t="s">
        <v>1404</v>
      </c>
      <c r="B1055" s="675" t="s">
        <v>512</v>
      </c>
      <c r="C1055" s="675" t="s">
        <v>1405</v>
      </c>
      <c r="D1055" s="675" t="s">
        <v>21</v>
      </c>
      <c r="E1055" s="675" t="s">
        <v>514</v>
      </c>
      <c r="F1055" s="675" t="s">
        <v>515</v>
      </c>
      <c r="G1055" s="675"/>
      <c r="H1055" s="675"/>
      <c r="I1055" s="675"/>
      <c r="J1055" s="675"/>
      <c r="K1055" s="675"/>
      <c r="L1055" s="675"/>
      <c r="M1055" s="675"/>
    </row>
    <row r="1056" spans="1:13" x14ac:dyDescent="0.25">
      <c r="A1056" s="675" t="s">
        <v>1404</v>
      </c>
      <c r="B1056" s="675" t="s">
        <v>512</v>
      </c>
      <c r="C1056" s="675" t="s">
        <v>1406</v>
      </c>
      <c r="D1056" s="675" t="s">
        <v>21</v>
      </c>
      <c r="E1056" s="675" t="s">
        <v>514</v>
      </c>
      <c r="F1056" s="675" t="s">
        <v>515</v>
      </c>
      <c r="G1056" s="675"/>
      <c r="H1056" s="675"/>
      <c r="I1056" s="675"/>
      <c r="J1056" s="675"/>
      <c r="K1056" s="675"/>
      <c r="L1056" s="675"/>
      <c r="M1056" s="675"/>
    </row>
    <row r="1057" spans="1:13" x14ac:dyDescent="0.25">
      <c r="A1057" s="675" t="s">
        <v>1404</v>
      </c>
      <c r="B1057" s="675" t="s">
        <v>512</v>
      </c>
      <c r="C1057" s="675" t="s">
        <v>1407</v>
      </c>
      <c r="D1057" s="675" t="s">
        <v>21</v>
      </c>
      <c r="E1057" s="675" t="s">
        <v>514</v>
      </c>
      <c r="F1057" s="675" t="s">
        <v>515</v>
      </c>
      <c r="G1057" s="675"/>
      <c r="H1057" s="675"/>
      <c r="I1057" s="675"/>
      <c r="J1057" s="675"/>
      <c r="K1057" s="675"/>
      <c r="L1057" s="675"/>
      <c r="M1057" s="675"/>
    </row>
    <row r="1058" spans="1:13" x14ac:dyDescent="0.25">
      <c r="A1058" s="675" t="s">
        <v>1404</v>
      </c>
      <c r="B1058" s="675" t="s">
        <v>512</v>
      </c>
      <c r="C1058" s="675" t="s">
        <v>1408</v>
      </c>
      <c r="D1058" s="675" t="s">
        <v>21</v>
      </c>
      <c r="E1058" s="675" t="s">
        <v>514</v>
      </c>
      <c r="F1058" s="675" t="s">
        <v>515</v>
      </c>
      <c r="G1058" s="675"/>
      <c r="H1058" s="675"/>
      <c r="I1058" s="675"/>
      <c r="J1058" s="675"/>
      <c r="K1058" s="675"/>
      <c r="L1058" s="675"/>
      <c r="M1058" s="675"/>
    </row>
    <row r="1059" spans="1:13" x14ac:dyDescent="0.25">
      <c r="A1059" s="675" t="s">
        <v>1404</v>
      </c>
      <c r="B1059" s="675" t="s">
        <v>512</v>
      </c>
      <c r="C1059" s="675" t="s">
        <v>1267</v>
      </c>
      <c r="D1059" s="675" t="s">
        <v>21</v>
      </c>
      <c r="E1059" s="675" t="s">
        <v>514</v>
      </c>
      <c r="F1059" s="675" t="s">
        <v>515</v>
      </c>
      <c r="G1059" s="675"/>
      <c r="H1059" s="675"/>
      <c r="I1059" s="675"/>
      <c r="J1059" s="675"/>
      <c r="K1059" s="675"/>
      <c r="L1059" s="675"/>
      <c r="M1059" s="675"/>
    </row>
    <row r="1060" spans="1:13" x14ac:dyDescent="0.25">
      <c r="A1060" s="675" t="s">
        <v>1404</v>
      </c>
      <c r="B1060" s="675" t="s">
        <v>512</v>
      </c>
      <c r="C1060" s="675" t="s">
        <v>1409</v>
      </c>
      <c r="D1060" s="675" t="s">
        <v>21</v>
      </c>
      <c r="E1060" s="675" t="s">
        <v>514</v>
      </c>
      <c r="F1060" s="675" t="s">
        <v>515</v>
      </c>
      <c r="G1060" s="675"/>
      <c r="H1060" s="675"/>
      <c r="I1060" s="675"/>
      <c r="J1060" s="675"/>
      <c r="K1060" s="675"/>
      <c r="L1060" s="675"/>
      <c r="M1060" s="675"/>
    </row>
    <row r="1061" spans="1:13" x14ac:dyDescent="0.25">
      <c r="A1061" s="675" t="s">
        <v>1404</v>
      </c>
      <c r="B1061" s="675" t="s">
        <v>512</v>
      </c>
      <c r="C1061" s="675" t="s">
        <v>1410</v>
      </c>
      <c r="D1061" s="675" t="s">
        <v>21</v>
      </c>
      <c r="E1061" s="675" t="s">
        <v>514</v>
      </c>
      <c r="F1061" s="675" t="s">
        <v>515</v>
      </c>
      <c r="G1061" s="675"/>
      <c r="H1061" s="675"/>
      <c r="I1061" s="675"/>
      <c r="J1061" s="675"/>
      <c r="K1061" s="675"/>
      <c r="L1061" s="675"/>
      <c r="M1061" s="675"/>
    </row>
    <row r="1062" spans="1:13" x14ac:dyDescent="0.25">
      <c r="A1062" s="675" t="s">
        <v>1404</v>
      </c>
      <c r="B1062" s="675" t="s">
        <v>512</v>
      </c>
      <c r="C1062" s="675" t="s">
        <v>1268</v>
      </c>
      <c r="D1062" s="675" t="s">
        <v>21</v>
      </c>
      <c r="E1062" s="675" t="s">
        <v>514</v>
      </c>
      <c r="F1062" s="675" t="s">
        <v>515</v>
      </c>
      <c r="G1062" s="675"/>
      <c r="H1062" s="675"/>
      <c r="I1062" s="675"/>
      <c r="J1062" s="675"/>
      <c r="K1062" s="675"/>
      <c r="L1062" s="675"/>
      <c r="M1062" s="675"/>
    </row>
    <row r="1063" spans="1:13" x14ac:dyDescent="0.25">
      <c r="A1063" s="675" t="s">
        <v>1404</v>
      </c>
      <c r="B1063" s="675" t="s">
        <v>512</v>
      </c>
      <c r="C1063" s="675" t="s">
        <v>1411</v>
      </c>
      <c r="D1063" s="675" t="s">
        <v>21</v>
      </c>
      <c r="E1063" s="675" t="s">
        <v>514</v>
      </c>
      <c r="F1063" s="675" t="s">
        <v>515</v>
      </c>
      <c r="G1063" s="675"/>
      <c r="H1063" s="675"/>
      <c r="I1063" s="675"/>
      <c r="J1063" s="675"/>
      <c r="K1063" s="675"/>
      <c r="L1063" s="675"/>
      <c r="M1063" s="675"/>
    </row>
    <row r="1064" spans="1:13" x14ac:dyDescent="0.25">
      <c r="A1064" s="675" t="s">
        <v>1404</v>
      </c>
      <c r="B1064" s="675" t="s">
        <v>512</v>
      </c>
      <c r="C1064" s="675" t="s">
        <v>1412</v>
      </c>
      <c r="D1064" s="675" t="s">
        <v>21</v>
      </c>
      <c r="E1064" s="675" t="s">
        <v>514</v>
      </c>
      <c r="F1064" s="675" t="s">
        <v>515</v>
      </c>
      <c r="G1064" s="675"/>
      <c r="H1064" s="675"/>
      <c r="I1064" s="675"/>
      <c r="J1064" s="675"/>
      <c r="K1064" s="675"/>
      <c r="L1064" s="675"/>
      <c r="M1064" s="675"/>
    </row>
    <row r="1065" spans="1:13" x14ac:dyDescent="0.25">
      <c r="A1065" s="675" t="s">
        <v>1404</v>
      </c>
      <c r="B1065" s="675" t="s">
        <v>545</v>
      </c>
      <c r="C1065" s="675" t="s">
        <v>1413</v>
      </c>
      <c r="D1065" s="675" t="s">
        <v>21</v>
      </c>
      <c r="E1065" s="675" t="s">
        <v>514</v>
      </c>
      <c r="F1065" s="675" t="s">
        <v>515</v>
      </c>
      <c r="G1065" s="675"/>
      <c r="H1065" s="675"/>
      <c r="I1065" s="675"/>
      <c r="J1065" s="675"/>
      <c r="K1065" s="675"/>
      <c r="L1065" s="675"/>
      <c r="M1065" s="675"/>
    </row>
    <row r="1066" spans="1:13" x14ac:dyDescent="0.25">
      <c r="A1066" s="675" t="s">
        <v>1404</v>
      </c>
      <c r="B1066" s="675" t="s">
        <v>545</v>
      </c>
      <c r="C1066" s="675" t="s">
        <v>1283</v>
      </c>
      <c r="D1066" s="675" t="s">
        <v>21</v>
      </c>
      <c r="E1066" s="675" t="s">
        <v>514</v>
      </c>
      <c r="F1066" s="675" t="s">
        <v>515</v>
      </c>
      <c r="G1066" s="675"/>
      <c r="H1066" s="675"/>
      <c r="I1066" s="675"/>
      <c r="J1066" s="675"/>
      <c r="K1066" s="675"/>
      <c r="L1066" s="675"/>
      <c r="M1066" s="675"/>
    </row>
    <row r="1067" spans="1:13" x14ac:dyDescent="0.25">
      <c r="A1067" s="675" t="s">
        <v>1404</v>
      </c>
      <c r="B1067" s="675" t="s">
        <v>545</v>
      </c>
      <c r="C1067" s="675" t="s">
        <v>1414</v>
      </c>
      <c r="D1067" s="675" t="s">
        <v>21</v>
      </c>
      <c r="E1067" s="675" t="s">
        <v>514</v>
      </c>
      <c r="F1067" s="675" t="s">
        <v>515</v>
      </c>
      <c r="G1067" s="675"/>
      <c r="H1067" s="675"/>
      <c r="I1067" s="675"/>
      <c r="J1067" s="675"/>
      <c r="K1067" s="675"/>
      <c r="L1067" s="675"/>
      <c r="M1067" s="675"/>
    </row>
    <row r="1068" spans="1:13" x14ac:dyDescent="0.25">
      <c r="A1068" s="675" t="s">
        <v>1404</v>
      </c>
      <c r="B1068" s="675" t="s">
        <v>545</v>
      </c>
      <c r="C1068" s="675" t="s">
        <v>1415</v>
      </c>
      <c r="D1068" s="675" t="s">
        <v>21</v>
      </c>
      <c r="E1068" s="675" t="s">
        <v>514</v>
      </c>
      <c r="F1068" s="675" t="s">
        <v>515</v>
      </c>
      <c r="G1068" s="675"/>
      <c r="H1068" s="675"/>
      <c r="I1068" s="675"/>
      <c r="J1068" s="675"/>
      <c r="K1068" s="675"/>
      <c r="L1068" s="675"/>
      <c r="M1068" s="675"/>
    </row>
    <row r="1069" spans="1:13" x14ac:dyDescent="0.25">
      <c r="A1069" s="675" t="s">
        <v>1404</v>
      </c>
      <c r="B1069" s="675" t="s">
        <v>545</v>
      </c>
      <c r="C1069" s="675" t="s">
        <v>1416</v>
      </c>
      <c r="D1069" s="675" t="s">
        <v>21</v>
      </c>
      <c r="E1069" s="675" t="s">
        <v>514</v>
      </c>
      <c r="F1069" s="675" t="s">
        <v>515</v>
      </c>
      <c r="G1069" s="675"/>
      <c r="H1069" s="675"/>
      <c r="I1069" s="675"/>
      <c r="J1069" s="675"/>
      <c r="K1069" s="675"/>
      <c r="L1069" s="675"/>
      <c r="M1069" s="675"/>
    </row>
    <row r="1070" spans="1:13" x14ac:dyDescent="0.25">
      <c r="A1070" s="675" t="s">
        <v>1404</v>
      </c>
      <c r="B1070" s="675" t="s">
        <v>564</v>
      </c>
      <c r="C1070" s="675" t="s">
        <v>1417</v>
      </c>
      <c r="D1070" s="675" t="s">
        <v>21</v>
      </c>
      <c r="E1070" s="675" t="s">
        <v>514</v>
      </c>
      <c r="F1070" s="675" t="s">
        <v>515</v>
      </c>
      <c r="G1070" s="675"/>
      <c r="H1070" s="675"/>
      <c r="I1070" s="675"/>
      <c r="J1070" s="675"/>
      <c r="K1070" s="675"/>
      <c r="L1070" s="675"/>
      <c r="M1070" s="675"/>
    </row>
    <row r="1071" spans="1:13" x14ac:dyDescent="0.25">
      <c r="A1071" s="675" t="s">
        <v>1418</v>
      </c>
      <c r="B1071" s="675" t="s">
        <v>512</v>
      </c>
      <c r="C1071" s="675" t="s">
        <v>1419</v>
      </c>
      <c r="D1071" s="675" t="s">
        <v>21</v>
      </c>
      <c r="E1071" s="675" t="s">
        <v>514</v>
      </c>
      <c r="F1071" s="675" t="s">
        <v>515</v>
      </c>
      <c r="G1071" s="675"/>
      <c r="H1071" s="675"/>
      <c r="I1071" s="675"/>
      <c r="J1071" s="675"/>
      <c r="K1071" s="675"/>
      <c r="L1071" s="675"/>
      <c r="M1071" s="675"/>
    </row>
    <row r="1072" spans="1:13" x14ac:dyDescent="0.25">
      <c r="A1072" s="675" t="s">
        <v>1418</v>
      </c>
      <c r="B1072" s="675" t="s">
        <v>512</v>
      </c>
      <c r="C1072" s="675" t="s">
        <v>1420</v>
      </c>
      <c r="D1072" s="675" t="s">
        <v>21</v>
      </c>
      <c r="E1072" s="675" t="s">
        <v>514</v>
      </c>
      <c r="F1072" s="675" t="s">
        <v>515</v>
      </c>
      <c r="G1072" s="675"/>
      <c r="H1072" s="675"/>
      <c r="I1072" s="675"/>
      <c r="J1072" s="675"/>
      <c r="K1072" s="675"/>
      <c r="L1072" s="675"/>
      <c r="M1072" s="675"/>
    </row>
    <row r="1073" spans="1:13" x14ac:dyDescent="0.25">
      <c r="A1073" s="675" t="s">
        <v>1418</v>
      </c>
      <c r="B1073" s="675" t="s">
        <v>512</v>
      </c>
      <c r="C1073" s="675" t="s">
        <v>1421</v>
      </c>
      <c r="D1073" s="675" t="s">
        <v>21</v>
      </c>
      <c r="E1073" s="675" t="s">
        <v>514</v>
      </c>
      <c r="F1073" s="675" t="s">
        <v>515</v>
      </c>
      <c r="G1073" s="675"/>
      <c r="H1073" s="675"/>
      <c r="I1073" s="675"/>
      <c r="J1073" s="675"/>
      <c r="K1073" s="675"/>
      <c r="L1073" s="675"/>
      <c r="M1073" s="675"/>
    </row>
    <row r="1074" spans="1:13" x14ac:dyDescent="0.25">
      <c r="A1074" s="675" t="s">
        <v>1418</v>
      </c>
      <c r="B1074" s="675" t="s">
        <v>512</v>
      </c>
      <c r="C1074" s="675" t="s">
        <v>1348</v>
      </c>
      <c r="D1074" s="675" t="s">
        <v>21</v>
      </c>
      <c r="E1074" s="675" t="s">
        <v>514</v>
      </c>
      <c r="F1074" s="675" t="s">
        <v>515</v>
      </c>
      <c r="G1074" s="675"/>
      <c r="H1074" s="675"/>
      <c r="I1074" s="675"/>
      <c r="J1074" s="675"/>
      <c r="K1074" s="675"/>
      <c r="L1074" s="675"/>
      <c r="M1074" s="675"/>
    </row>
    <row r="1075" spans="1:13" x14ac:dyDescent="0.25">
      <c r="A1075" s="675" t="s">
        <v>1418</v>
      </c>
      <c r="B1075" s="675" t="s">
        <v>512</v>
      </c>
      <c r="C1075" s="675" t="s">
        <v>1216</v>
      </c>
      <c r="D1075" s="675" t="s">
        <v>21</v>
      </c>
      <c r="E1075" s="675" t="s">
        <v>514</v>
      </c>
      <c r="F1075" s="675" t="s">
        <v>515</v>
      </c>
      <c r="G1075" s="675"/>
      <c r="H1075" s="675"/>
      <c r="I1075" s="675"/>
      <c r="J1075" s="675"/>
      <c r="K1075" s="675"/>
      <c r="L1075" s="675"/>
      <c r="M1075" s="675"/>
    </row>
    <row r="1076" spans="1:13" x14ac:dyDescent="0.25">
      <c r="A1076" s="675" t="s">
        <v>1418</v>
      </c>
      <c r="B1076" s="675" t="s">
        <v>512</v>
      </c>
      <c r="C1076" s="675" t="s">
        <v>1218</v>
      </c>
      <c r="D1076" s="675" t="s">
        <v>21</v>
      </c>
      <c r="E1076" s="675" t="s">
        <v>514</v>
      </c>
      <c r="F1076" s="675" t="s">
        <v>515</v>
      </c>
      <c r="G1076" s="675"/>
      <c r="H1076" s="675"/>
      <c r="I1076" s="675"/>
      <c r="J1076" s="675"/>
      <c r="K1076" s="675"/>
      <c r="L1076" s="675"/>
      <c r="M1076" s="675"/>
    </row>
    <row r="1077" spans="1:13" x14ac:dyDescent="0.25">
      <c r="A1077" s="675" t="s">
        <v>1418</v>
      </c>
      <c r="B1077" s="675" t="s">
        <v>545</v>
      </c>
      <c r="C1077" s="675" t="s">
        <v>1422</v>
      </c>
      <c r="D1077" s="675" t="s">
        <v>21</v>
      </c>
      <c r="E1077" s="675" t="s">
        <v>514</v>
      </c>
      <c r="F1077" s="675" t="s">
        <v>515</v>
      </c>
      <c r="G1077" s="675"/>
      <c r="H1077" s="675"/>
      <c r="I1077" s="675"/>
      <c r="J1077" s="675"/>
      <c r="K1077" s="675"/>
      <c r="L1077" s="675"/>
      <c r="M1077" s="675"/>
    </row>
    <row r="1078" spans="1:13" x14ac:dyDescent="0.25">
      <c r="A1078" s="675" t="s">
        <v>1418</v>
      </c>
      <c r="B1078" s="675" t="s">
        <v>545</v>
      </c>
      <c r="C1078" s="675" t="s">
        <v>1423</v>
      </c>
      <c r="D1078" s="675" t="s">
        <v>21</v>
      </c>
      <c r="E1078" s="675" t="s">
        <v>514</v>
      </c>
      <c r="F1078" s="675" t="s">
        <v>515</v>
      </c>
      <c r="G1078" s="675"/>
      <c r="H1078" s="675"/>
      <c r="I1078" s="675"/>
      <c r="J1078" s="675"/>
      <c r="K1078" s="675"/>
      <c r="L1078" s="675"/>
      <c r="M1078" s="675"/>
    </row>
    <row r="1079" spans="1:13" x14ac:dyDescent="0.25">
      <c r="A1079" s="675" t="s">
        <v>1418</v>
      </c>
      <c r="B1079" s="675" t="s">
        <v>545</v>
      </c>
      <c r="C1079" s="675" t="s">
        <v>1424</v>
      </c>
      <c r="D1079" s="675" t="s">
        <v>21</v>
      </c>
      <c r="E1079" s="675" t="s">
        <v>514</v>
      </c>
      <c r="F1079" s="675" t="s">
        <v>515</v>
      </c>
      <c r="G1079" s="675"/>
      <c r="H1079" s="675"/>
      <c r="I1079" s="675"/>
      <c r="J1079" s="675"/>
      <c r="K1079" s="675"/>
      <c r="L1079" s="675"/>
      <c r="M1079" s="675"/>
    </row>
    <row r="1080" spans="1:13" x14ac:dyDescent="0.25">
      <c r="A1080" s="675" t="s">
        <v>1418</v>
      </c>
      <c r="B1080" s="675" t="s">
        <v>545</v>
      </c>
      <c r="C1080" s="675" t="s">
        <v>1364</v>
      </c>
      <c r="D1080" s="675" t="s">
        <v>21</v>
      </c>
      <c r="E1080" s="675" t="s">
        <v>514</v>
      </c>
      <c r="F1080" s="675" t="s">
        <v>515</v>
      </c>
      <c r="G1080" s="675"/>
      <c r="H1080" s="675"/>
      <c r="I1080" s="675"/>
      <c r="J1080" s="675"/>
      <c r="K1080" s="675"/>
      <c r="L1080" s="675"/>
      <c r="M1080" s="675"/>
    </row>
    <row r="1081" spans="1:13" x14ac:dyDescent="0.25">
      <c r="A1081" s="675" t="s">
        <v>1418</v>
      </c>
      <c r="B1081" s="675" t="s">
        <v>545</v>
      </c>
      <c r="C1081" s="675" t="s">
        <v>1425</v>
      </c>
      <c r="D1081" s="675" t="s">
        <v>21</v>
      </c>
      <c r="E1081" s="675" t="s">
        <v>514</v>
      </c>
      <c r="F1081" s="675" t="s">
        <v>515</v>
      </c>
      <c r="G1081" s="675"/>
      <c r="H1081" s="675"/>
      <c r="I1081" s="675"/>
      <c r="J1081" s="675"/>
      <c r="K1081" s="675"/>
      <c r="L1081" s="675"/>
      <c r="M1081" s="675"/>
    </row>
    <row r="1082" spans="1:13" x14ac:dyDescent="0.25">
      <c r="A1082" s="675" t="s">
        <v>1418</v>
      </c>
      <c r="B1082" s="675" t="s">
        <v>564</v>
      </c>
      <c r="C1082" s="675" t="s">
        <v>1375</v>
      </c>
      <c r="D1082" s="675" t="s">
        <v>21</v>
      </c>
      <c r="E1082" s="675" t="s">
        <v>514</v>
      </c>
      <c r="F1082" s="675" t="s">
        <v>515</v>
      </c>
      <c r="G1082" s="675"/>
      <c r="H1082" s="675"/>
      <c r="I1082" s="675"/>
      <c r="J1082" s="675"/>
      <c r="K1082" s="675"/>
      <c r="L1082" s="675"/>
      <c r="M1082" s="675"/>
    </row>
    <row r="1083" spans="1:13" x14ac:dyDescent="0.25">
      <c r="A1083" s="675" t="s">
        <v>1418</v>
      </c>
      <c r="B1083" s="675" t="s">
        <v>564</v>
      </c>
      <c r="C1083" s="675" t="s">
        <v>1426</v>
      </c>
      <c r="D1083" s="675" t="s">
        <v>21</v>
      </c>
      <c r="E1083" s="675" t="s">
        <v>514</v>
      </c>
      <c r="F1083" s="675" t="s">
        <v>515</v>
      </c>
      <c r="G1083" s="675"/>
      <c r="H1083" s="675"/>
      <c r="I1083" s="675"/>
      <c r="J1083" s="675"/>
      <c r="K1083" s="675"/>
      <c r="L1083" s="675"/>
      <c r="M1083" s="675"/>
    </row>
    <row r="1084" spans="1:13" x14ac:dyDescent="0.25">
      <c r="A1084" s="675" t="s">
        <v>1418</v>
      </c>
      <c r="B1084" s="675" t="s">
        <v>564</v>
      </c>
      <c r="C1084" s="675" t="s">
        <v>1427</v>
      </c>
      <c r="D1084" s="675" t="s">
        <v>21</v>
      </c>
      <c r="E1084" s="675" t="s">
        <v>514</v>
      </c>
      <c r="F1084" s="675" t="s">
        <v>515</v>
      </c>
      <c r="G1084" s="675"/>
      <c r="H1084" s="675"/>
      <c r="I1084" s="675"/>
      <c r="J1084" s="675"/>
      <c r="K1084" s="675"/>
      <c r="L1084" s="675"/>
      <c r="M1084" s="675"/>
    </row>
    <row r="1085" spans="1:13" x14ac:dyDescent="0.25">
      <c r="A1085" s="675" t="s">
        <v>1418</v>
      </c>
      <c r="B1085" s="675" t="s">
        <v>564</v>
      </c>
      <c r="C1085" s="675" t="s">
        <v>1378</v>
      </c>
      <c r="D1085" s="675" t="s">
        <v>21</v>
      </c>
      <c r="E1085" s="675" t="s">
        <v>514</v>
      </c>
      <c r="F1085" s="675" t="s">
        <v>515</v>
      </c>
      <c r="G1085" s="675"/>
      <c r="H1085" s="675"/>
      <c r="I1085" s="675"/>
      <c r="J1085" s="675"/>
      <c r="K1085" s="675"/>
      <c r="L1085" s="675"/>
      <c r="M1085" s="675"/>
    </row>
    <row r="1086" spans="1:13" x14ac:dyDescent="0.25">
      <c r="A1086" s="675" t="s">
        <v>1418</v>
      </c>
      <c r="B1086" s="675" t="s">
        <v>564</v>
      </c>
      <c r="C1086" s="675" t="s">
        <v>1379</v>
      </c>
      <c r="D1086" s="675" t="s">
        <v>21</v>
      </c>
      <c r="E1086" s="675" t="s">
        <v>514</v>
      </c>
      <c r="F1086" s="675" t="s">
        <v>515</v>
      </c>
      <c r="G1086" s="675"/>
      <c r="H1086" s="675"/>
      <c r="I1086" s="675"/>
      <c r="J1086" s="675"/>
      <c r="K1086" s="675"/>
      <c r="L1086" s="675"/>
      <c r="M1086" s="675"/>
    </row>
    <row r="1087" spans="1:13" x14ac:dyDescent="0.25">
      <c r="A1087" s="675" t="s">
        <v>1428</v>
      </c>
      <c r="B1087" s="675" t="s">
        <v>512</v>
      </c>
      <c r="C1087" s="675" t="s">
        <v>1429</v>
      </c>
      <c r="D1087" s="675" t="s">
        <v>21</v>
      </c>
      <c r="E1087" s="702"/>
      <c r="F1087" s="702"/>
      <c r="G1087" s="675"/>
      <c r="H1087" s="675"/>
      <c r="I1087" s="675"/>
      <c r="J1087" s="675"/>
      <c r="K1087" s="675"/>
      <c r="L1087" s="675"/>
      <c r="M1087" s="675"/>
    </row>
    <row r="1088" spans="1:13" x14ac:dyDescent="0.25">
      <c r="A1088" s="675" t="s">
        <v>1428</v>
      </c>
      <c r="B1088" s="675" t="s">
        <v>512</v>
      </c>
      <c r="C1088" s="675" t="s">
        <v>1430</v>
      </c>
      <c r="D1088" s="675" t="s">
        <v>21</v>
      </c>
      <c r="E1088" s="702"/>
      <c r="F1088" s="702"/>
      <c r="G1088" s="675"/>
      <c r="H1088" s="675"/>
      <c r="I1088" s="675"/>
      <c r="J1088" s="675"/>
      <c r="K1088" s="675"/>
      <c r="L1088" s="675"/>
      <c r="M1088" s="675"/>
    </row>
    <row r="1089" spans="1:13" x14ac:dyDescent="0.25">
      <c r="A1089" s="675" t="s">
        <v>1428</v>
      </c>
      <c r="B1089" s="675" t="s">
        <v>512</v>
      </c>
      <c r="C1089" s="675" t="s">
        <v>1431</v>
      </c>
      <c r="D1089" s="675" t="s">
        <v>21</v>
      </c>
      <c r="E1089" s="702"/>
      <c r="F1089" s="702"/>
      <c r="G1089" s="675"/>
      <c r="H1089" s="675"/>
      <c r="I1089" s="675"/>
      <c r="J1089" s="675"/>
      <c r="K1089" s="675"/>
      <c r="L1089" s="675"/>
      <c r="M1089" s="675"/>
    </row>
    <row r="1090" spans="1:13" x14ac:dyDescent="0.25">
      <c r="A1090" s="675" t="s">
        <v>1428</v>
      </c>
      <c r="B1090" s="675" t="s">
        <v>512</v>
      </c>
      <c r="C1090" s="675" t="s">
        <v>1432</v>
      </c>
      <c r="D1090" s="675" t="s">
        <v>21</v>
      </c>
      <c r="E1090" s="702"/>
      <c r="F1090" s="702"/>
      <c r="G1090" s="675"/>
      <c r="H1090" s="675"/>
      <c r="I1090" s="675"/>
      <c r="J1090" s="675"/>
      <c r="K1090" s="675"/>
      <c r="L1090" s="675"/>
      <c r="M1090" s="675"/>
    </row>
    <row r="1091" spans="1:13" x14ac:dyDescent="0.25">
      <c r="A1091" s="675" t="s">
        <v>1428</v>
      </c>
      <c r="B1091" s="675" t="s">
        <v>512</v>
      </c>
      <c r="C1091" s="675" t="s">
        <v>1433</v>
      </c>
      <c r="D1091" s="675" t="s">
        <v>21</v>
      </c>
      <c r="E1091" s="702"/>
      <c r="F1091" s="702"/>
      <c r="G1091" s="675"/>
      <c r="H1091" s="675"/>
      <c r="I1091" s="675"/>
      <c r="J1091" s="675"/>
      <c r="K1091" s="675"/>
      <c r="L1091" s="675"/>
      <c r="M1091" s="675"/>
    </row>
    <row r="1092" spans="1:13" x14ac:dyDescent="0.25">
      <c r="A1092" s="675" t="s">
        <v>1428</v>
      </c>
      <c r="B1092" s="675" t="s">
        <v>545</v>
      </c>
      <c r="C1092" s="675" t="s">
        <v>1434</v>
      </c>
      <c r="D1092" s="675" t="s">
        <v>21</v>
      </c>
      <c r="E1092" s="702"/>
      <c r="F1092" s="702"/>
      <c r="G1092" s="675"/>
      <c r="H1092" s="675"/>
      <c r="I1092" s="675"/>
      <c r="J1092" s="675"/>
      <c r="K1092" s="675"/>
      <c r="L1092" s="675"/>
      <c r="M1092" s="675"/>
    </row>
    <row r="1093" spans="1:13" x14ac:dyDescent="0.25">
      <c r="A1093" s="675" t="s">
        <v>1428</v>
      </c>
      <c r="B1093" s="675" t="s">
        <v>545</v>
      </c>
      <c r="C1093" s="675" t="s">
        <v>1435</v>
      </c>
      <c r="D1093" s="675" t="s">
        <v>21</v>
      </c>
      <c r="E1093" s="702"/>
      <c r="F1093" s="702"/>
      <c r="G1093" s="675"/>
      <c r="H1093" s="675"/>
      <c r="I1093" s="675"/>
      <c r="J1093" s="675"/>
      <c r="K1093" s="675"/>
      <c r="L1093" s="675"/>
      <c r="M1093" s="675"/>
    </row>
    <row r="1094" spans="1:13" x14ac:dyDescent="0.25">
      <c r="A1094" s="675" t="s">
        <v>1428</v>
      </c>
      <c r="B1094" s="675" t="s">
        <v>545</v>
      </c>
      <c r="C1094" s="675" t="s">
        <v>1436</v>
      </c>
      <c r="D1094" s="675" t="s">
        <v>21</v>
      </c>
      <c r="E1094" s="702"/>
      <c r="F1094" s="702"/>
      <c r="G1094" s="675"/>
      <c r="H1094" s="675"/>
      <c r="I1094" s="675"/>
      <c r="J1094" s="675"/>
      <c r="K1094" s="675"/>
      <c r="L1094" s="675"/>
      <c r="M1094" s="675"/>
    </row>
    <row r="1095" spans="1:13" x14ac:dyDescent="0.25">
      <c r="A1095" s="675" t="s">
        <v>1428</v>
      </c>
      <c r="B1095" s="675" t="s">
        <v>545</v>
      </c>
      <c r="C1095" s="675" t="s">
        <v>1437</v>
      </c>
      <c r="D1095" s="675" t="s">
        <v>21</v>
      </c>
      <c r="E1095" s="702"/>
      <c r="F1095" s="702"/>
      <c r="G1095" s="675"/>
      <c r="H1095" s="675"/>
      <c r="I1095" s="675"/>
      <c r="J1095" s="675"/>
      <c r="K1095" s="675"/>
      <c r="L1095" s="675"/>
      <c r="M1095" s="675"/>
    </row>
    <row r="1096" spans="1:13" x14ac:dyDescent="0.25">
      <c r="A1096" s="675" t="s">
        <v>1428</v>
      </c>
      <c r="B1096" s="675" t="s">
        <v>545</v>
      </c>
      <c r="C1096" s="675" t="s">
        <v>1438</v>
      </c>
      <c r="D1096" s="675" t="s">
        <v>21</v>
      </c>
      <c r="E1096" s="702"/>
      <c r="F1096" s="702"/>
      <c r="G1096" s="675"/>
      <c r="H1096" s="675"/>
      <c r="I1096" s="675"/>
      <c r="J1096" s="675"/>
      <c r="K1096" s="675"/>
      <c r="L1096" s="675"/>
      <c r="M1096" s="675"/>
    </row>
    <row r="1097" spans="1:13" x14ac:dyDescent="0.25">
      <c r="A1097" s="675" t="s">
        <v>1428</v>
      </c>
      <c r="B1097" s="675" t="s">
        <v>564</v>
      </c>
      <c r="C1097" s="675" t="s">
        <v>1439</v>
      </c>
      <c r="D1097" s="675" t="s">
        <v>21</v>
      </c>
      <c r="E1097" s="702"/>
      <c r="F1097" s="702"/>
      <c r="G1097" s="675"/>
      <c r="H1097" s="675"/>
      <c r="I1097" s="675"/>
      <c r="J1097" s="675"/>
      <c r="K1097" s="675"/>
      <c r="L1097" s="675"/>
      <c r="M1097" s="675"/>
    </row>
    <row r="1098" spans="1:13" x14ac:dyDescent="0.25">
      <c r="A1098" s="675" t="s">
        <v>1428</v>
      </c>
      <c r="B1098" s="675" t="s">
        <v>564</v>
      </c>
      <c r="C1098" s="675" t="s">
        <v>1440</v>
      </c>
      <c r="D1098" s="675" t="s">
        <v>21</v>
      </c>
      <c r="E1098" s="702"/>
      <c r="F1098" s="702"/>
      <c r="G1098" s="675"/>
      <c r="H1098" s="675"/>
      <c r="I1098" s="675"/>
      <c r="J1098" s="675"/>
      <c r="K1098" s="675"/>
      <c r="L1098" s="675"/>
      <c r="M1098" s="675"/>
    </row>
    <row r="1099" spans="1:13" x14ac:dyDescent="0.25">
      <c r="A1099" s="675" t="s">
        <v>1428</v>
      </c>
      <c r="B1099" s="675" t="s">
        <v>564</v>
      </c>
      <c r="C1099" s="675" t="s">
        <v>1441</v>
      </c>
      <c r="D1099" s="675" t="s">
        <v>21</v>
      </c>
      <c r="E1099" s="702"/>
      <c r="F1099" s="702"/>
      <c r="G1099" s="675"/>
      <c r="H1099" s="675"/>
      <c r="I1099" s="675"/>
      <c r="J1099" s="675"/>
      <c r="K1099" s="675"/>
      <c r="L1099" s="675"/>
      <c r="M1099" s="675"/>
    </row>
    <row r="1100" spans="1:13" x14ac:dyDescent="0.25">
      <c r="A1100" s="675" t="s">
        <v>1428</v>
      </c>
      <c r="B1100" s="675" t="s">
        <v>564</v>
      </c>
      <c r="C1100" s="675" t="s">
        <v>1442</v>
      </c>
      <c r="D1100" s="675" t="s">
        <v>21</v>
      </c>
      <c r="E1100" s="702"/>
      <c r="F1100" s="702"/>
      <c r="G1100" s="675"/>
      <c r="H1100" s="675"/>
      <c r="I1100" s="675"/>
      <c r="J1100" s="675"/>
      <c r="K1100" s="675"/>
      <c r="L1100" s="675"/>
      <c r="M1100" s="675"/>
    </row>
    <row r="1101" spans="1:13" x14ac:dyDescent="0.25">
      <c r="A1101" s="675" t="s">
        <v>1428</v>
      </c>
      <c r="B1101" s="675" t="s">
        <v>564</v>
      </c>
      <c r="C1101" s="675" t="s">
        <v>1443</v>
      </c>
      <c r="D1101" s="675" t="s">
        <v>21</v>
      </c>
      <c r="E1101" s="702"/>
      <c r="F1101" s="702"/>
      <c r="G1101" s="675"/>
      <c r="H1101" s="675"/>
      <c r="I1101" s="675"/>
      <c r="J1101" s="675"/>
      <c r="K1101" s="675"/>
      <c r="L1101" s="675"/>
      <c r="M1101" s="675"/>
    </row>
    <row r="1102" spans="1:13" x14ac:dyDescent="0.25">
      <c r="A1102" s="675" t="s">
        <v>1444</v>
      </c>
      <c r="B1102" s="675" t="s">
        <v>512</v>
      </c>
      <c r="C1102" s="675" t="s">
        <v>1445</v>
      </c>
      <c r="D1102" s="675" t="s">
        <v>21</v>
      </c>
      <c r="E1102" s="702"/>
      <c r="F1102" s="702"/>
      <c r="G1102" s="675"/>
      <c r="H1102" s="675"/>
      <c r="I1102" s="675"/>
      <c r="J1102" s="675"/>
      <c r="K1102" s="675"/>
      <c r="L1102" s="675"/>
      <c r="M1102" s="675"/>
    </row>
    <row r="1103" spans="1:13" x14ac:dyDescent="0.25">
      <c r="A1103" s="675" t="s">
        <v>1444</v>
      </c>
      <c r="B1103" s="675" t="s">
        <v>512</v>
      </c>
      <c r="C1103" s="675" t="s">
        <v>1446</v>
      </c>
      <c r="D1103" s="675" t="s">
        <v>21</v>
      </c>
      <c r="E1103" s="702"/>
      <c r="F1103" s="702"/>
      <c r="G1103" s="675"/>
      <c r="H1103" s="675"/>
      <c r="I1103" s="675"/>
      <c r="J1103" s="675"/>
      <c r="K1103" s="675"/>
      <c r="L1103" s="675"/>
      <c r="M1103" s="675"/>
    </row>
    <row r="1104" spans="1:13" x14ac:dyDescent="0.25">
      <c r="A1104" s="675" t="s">
        <v>1444</v>
      </c>
      <c r="B1104" s="675" t="s">
        <v>512</v>
      </c>
      <c r="C1104" s="675" t="s">
        <v>1447</v>
      </c>
      <c r="D1104" s="675" t="s">
        <v>21</v>
      </c>
      <c r="E1104" s="702"/>
      <c r="F1104" s="702"/>
      <c r="G1104" s="675"/>
      <c r="H1104" s="675"/>
      <c r="I1104" s="675"/>
      <c r="J1104" s="675"/>
      <c r="K1104" s="675"/>
      <c r="L1104" s="675"/>
      <c r="M1104" s="675"/>
    </row>
    <row r="1105" spans="1:13" x14ac:dyDescent="0.25">
      <c r="A1105" s="675" t="s">
        <v>1444</v>
      </c>
      <c r="B1105" s="675" t="s">
        <v>512</v>
      </c>
      <c r="C1105" s="675" t="s">
        <v>1448</v>
      </c>
      <c r="D1105" s="675" t="s">
        <v>21</v>
      </c>
      <c r="E1105" s="702"/>
      <c r="F1105" s="702"/>
      <c r="G1105" s="675"/>
      <c r="H1105" s="675"/>
      <c r="I1105" s="675"/>
      <c r="J1105" s="675"/>
      <c r="K1105" s="675"/>
      <c r="L1105" s="675"/>
      <c r="M1105" s="675"/>
    </row>
    <row r="1106" spans="1:13" x14ac:dyDescent="0.25">
      <c r="A1106" s="675" t="s">
        <v>1444</v>
      </c>
      <c r="B1106" s="675" t="s">
        <v>512</v>
      </c>
      <c r="C1106" s="675" t="s">
        <v>1449</v>
      </c>
      <c r="D1106" s="675" t="s">
        <v>21</v>
      </c>
      <c r="E1106" s="702"/>
      <c r="F1106" s="702"/>
      <c r="G1106" s="675"/>
      <c r="H1106" s="675"/>
      <c r="I1106" s="675"/>
      <c r="J1106" s="675"/>
      <c r="K1106" s="675"/>
      <c r="L1106" s="675"/>
      <c r="M1106" s="675"/>
    </row>
    <row r="1107" spans="1:13" x14ac:dyDescent="0.25">
      <c r="A1107" s="675" t="s">
        <v>1444</v>
      </c>
      <c r="B1107" s="675" t="s">
        <v>545</v>
      </c>
      <c r="C1107" s="675" t="s">
        <v>1450</v>
      </c>
      <c r="D1107" s="675" t="s">
        <v>21</v>
      </c>
      <c r="E1107" s="702"/>
      <c r="F1107" s="702"/>
      <c r="G1107" s="675"/>
      <c r="H1107" s="675"/>
      <c r="I1107" s="675"/>
      <c r="J1107" s="675"/>
      <c r="K1107" s="675"/>
      <c r="L1107" s="675"/>
      <c r="M1107" s="675"/>
    </row>
    <row r="1108" spans="1:13" x14ac:dyDescent="0.25">
      <c r="A1108" s="675" t="s">
        <v>1444</v>
      </c>
      <c r="B1108" s="675" t="s">
        <v>545</v>
      </c>
      <c r="C1108" s="675" t="s">
        <v>1451</v>
      </c>
      <c r="D1108" s="675" t="s">
        <v>21</v>
      </c>
      <c r="E1108" s="702"/>
      <c r="F1108" s="702"/>
      <c r="G1108" s="675"/>
      <c r="H1108" s="675"/>
      <c r="I1108" s="675"/>
      <c r="J1108" s="675"/>
      <c r="K1108" s="675"/>
      <c r="L1108" s="675"/>
      <c r="M1108" s="675"/>
    </row>
    <row r="1109" spans="1:13" x14ac:dyDescent="0.25">
      <c r="A1109" s="675" t="s">
        <v>1444</v>
      </c>
      <c r="B1109" s="675" t="s">
        <v>545</v>
      </c>
      <c r="C1109" s="675" t="s">
        <v>1452</v>
      </c>
      <c r="D1109" s="675" t="s">
        <v>21</v>
      </c>
      <c r="E1109" s="702"/>
      <c r="F1109" s="702"/>
      <c r="G1109" s="675"/>
      <c r="H1109" s="675"/>
      <c r="I1109" s="675"/>
      <c r="J1109" s="675"/>
      <c r="K1109" s="675"/>
      <c r="L1109" s="675"/>
      <c r="M1109" s="675"/>
    </row>
    <row r="1110" spans="1:13" x14ac:dyDescent="0.25">
      <c r="A1110" s="675" t="s">
        <v>1444</v>
      </c>
      <c r="B1110" s="675" t="s">
        <v>545</v>
      </c>
      <c r="C1110" s="675" t="s">
        <v>1453</v>
      </c>
      <c r="D1110" s="675" t="s">
        <v>21</v>
      </c>
      <c r="E1110" s="702"/>
      <c r="F1110" s="702"/>
      <c r="G1110" s="675"/>
      <c r="H1110" s="675"/>
      <c r="I1110" s="675"/>
      <c r="J1110" s="675"/>
      <c r="K1110" s="675"/>
      <c r="L1110" s="675"/>
      <c r="M1110" s="675"/>
    </row>
    <row r="1111" spans="1:13" x14ac:dyDescent="0.25">
      <c r="A1111" s="675" t="s">
        <v>1444</v>
      </c>
      <c r="B1111" s="675" t="s">
        <v>545</v>
      </c>
      <c r="C1111" s="675" t="s">
        <v>1454</v>
      </c>
      <c r="D1111" s="675" t="s">
        <v>21</v>
      </c>
      <c r="E1111" s="702"/>
      <c r="F1111" s="702"/>
      <c r="G1111" s="675"/>
      <c r="H1111" s="675"/>
      <c r="I1111" s="675"/>
      <c r="J1111" s="675"/>
      <c r="K1111" s="675"/>
      <c r="L1111" s="675"/>
      <c r="M1111" s="675"/>
    </row>
    <row r="1112" spans="1:13" x14ac:dyDescent="0.25">
      <c r="A1112" s="675" t="s">
        <v>1444</v>
      </c>
      <c r="B1112" s="675" t="s">
        <v>564</v>
      </c>
      <c r="C1112" s="675" t="s">
        <v>1455</v>
      </c>
      <c r="D1112" s="675" t="s">
        <v>21</v>
      </c>
      <c r="E1112" s="702"/>
      <c r="F1112" s="702"/>
      <c r="G1112" s="675"/>
      <c r="H1112" s="675"/>
      <c r="I1112" s="675"/>
      <c r="J1112" s="675"/>
      <c r="K1112" s="675"/>
      <c r="L1112" s="675"/>
      <c r="M1112" s="675"/>
    </row>
    <row r="1113" spans="1:13" x14ac:dyDescent="0.25">
      <c r="A1113" s="675" t="s">
        <v>1444</v>
      </c>
      <c r="B1113" s="675" t="s">
        <v>564</v>
      </c>
      <c r="C1113" s="675" t="s">
        <v>1456</v>
      </c>
      <c r="D1113" s="675" t="s">
        <v>21</v>
      </c>
      <c r="E1113" s="702"/>
      <c r="F1113" s="702"/>
      <c r="G1113" s="675"/>
      <c r="H1113" s="675"/>
      <c r="I1113" s="675"/>
      <c r="J1113" s="675"/>
      <c r="K1113" s="675"/>
      <c r="L1113" s="675"/>
      <c r="M1113" s="675"/>
    </row>
    <row r="1114" spans="1:13" x14ac:dyDescent="0.25">
      <c r="A1114" s="675" t="s">
        <v>1444</v>
      </c>
      <c r="B1114" s="675" t="s">
        <v>564</v>
      </c>
      <c r="C1114" s="675" t="s">
        <v>1457</v>
      </c>
      <c r="D1114" s="675" t="s">
        <v>21</v>
      </c>
      <c r="E1114" s="702"/>
      <c r="F1114" s="702"/>
      <c r="G1114" s="675"/>
      <c r="H1114" s="675"/>
      <c r="I1114" s="675"/>
      <c r="J1114" s="675"/>
      <c r="K1114" s="675"/>
      <c r="L1114" s="675"/>
      <c r="M1114" s="675"/>
    </row>
    <row r="1115" spans="1:13" x14ac:dyDescent="0.25">
      <c r="A1115" s="675" t="s">
        <v>1444</v>
      </c>
      <c r="B1115" s="675" t="s">
        <v>564</v>
      </c>
      <c r="C1115" s="675" t="s">
        <v>1458</v>
      </c>
      <c r="D1115" s="675" t="s">
        <v>21</v>
      </c>
      <c r="E1115" s="702"/>
      <c r="F1115" s="702"/>
      <c r="G1115" s="675"/>
      <c r="H1115" s="675"/>
      <c r="I1115" s="675"/>
      <c r="J1115" s="675"/>
      <c r="K1115" s="675"/>
      <c r="L1115" s="675"/>
      <c r="M1115" s="675"/>
    </row>
    <row r="1116" spans="1:13" x14ac:dyDescent="0.25">
      <c r="A1116" s="675" t="s">
        <v>1444</v>
      </c>
      <c r="B1116" s="675" t="s">
        <v>564</v>
      </c>
      <c r="C1116" s="675" t="s">
        <v>1459</v>
      </c>
      <c r="D1116" s="675" t="s">
        <v>21</v>
      </c>
      <c r="E1116" s="702"/>
      <c r="F1116" s="702"/>
      <c r="G1116" s="675"/>
      <c r="H1116" s="675"/>
      <c r="I1116" s="675"/>
      <c r="J1116" s="675"/>
      <c r="K1116" s="675"/>
      <c r="L1116" s="675"/>
      <c r="M1116" s="675"/>
    </row>
    <row r="1117" spans="1:13" x14ac:dyDescent="0.25">
      <c r="A1117" s="675" t="s">
        <v>1460</v>
      </c>
      <c r="B1117" s="675" t="s">
        <v>512</v>
      </c>
      <c r="C1117" s="675" t="s">
        <v>1461</v>
      </c>
      <c r="D1117" s="675" t="s">
        <v>21</v>
      </c>
      <c r="E1117" s="675" t="s">
        <v>514</v>
      </c>
      <c r="F1117" s="675" t="s">
        <v>515</v>
      </c>
      <c r="G1117" s="675"/>
      <c r="H1117" s="675"/>
      <c r="I1117" s="675"/>
      <c r="J1117" s="675"/>
      <c r="K1117" s="675"/>
      <c r="L1117" s="675"/>
      <c r="M1117" s="675"/>
    </row>
    <row r="1118" spans="1:13" x14ac:dyDescent="0.25">
      <c r="A1118" s="675" t="s">
        <v>1460</v>
      </c>
      <c r="B1118" s="675" t="s">
        <v>512</v>
      </c>
      <c r="C1118" s="675" t="s">
        <v>1462</v>
      </c>
      <c r="D1118" s="675" t="s">
        <v>21</v>
      </c>
      <c r="E1118" s="675" t="s">
        <v>514</v>
      </c>
      <c r="F1118" s="675" t="s">
        <v>515</v>
      </c>
      <c r="G1118" s="675"/>
      <c r="H1118" s="675"/>
      <c r="I1118" s="675"/>
      <c r="J1118" s="675"/>
      <c r="K1118" s="675"/>
      <c r="L1118" s="675"/>
      <c r="M1118" s="675"/>
    </row>
    <row r="1119" spans="1:13" x14ac:dyDescent="0.25">
      <c r="A1119" s="675" t="s">
        <v>1460</v>
      </c>
      <c r="B1119" s="675" t="s">
        <v>512</v>
      </c>
      <c r="C1119" s="675" t="s">
        <v>1463</v>
      </c>
      <c r="D1119" s="675" t="s">
        <v>21</v>
      </c>
      <c r="E1119" s="675" t="s">
        <v>514</v>
      </c>
      <c r="F1119" s="675" t="s">
        <v>515</v>
      </c>
      <c r="G1119" s="675"/>
      <c r="H1119" s="675"/>
      <c r="I1119" s="675"/>
      <c r="J1119" s="675"/>
      <c r="K1119" s="675"/>
      <c r="L1119" s="675"/>
      <c r="M1119" s="675"/>
    </row>
    <row r="1120" spans="1:13" x14ac:dyDescent="0.25">
      <c r="A1120" s="675" t="s">
        <v>1460</v>
      </c>
      <c r="B1120" s="675" t="s">
        <v>512</v>
      </c>
      <c r="C1120" s="675" t="s">
        <v>1464</v>
      </c>
      <c r="D1120" s="675" t="s">
        <v>21</v>
      </c>
      <c r="E1120" s="675" t="s">
        <v>514</v>
      </c>
      <c r="F1120" s="675" t="s">
        <v>515</v>
      </c>
      <c r="G1120" s="675"/>
      <c r="H1120" s="675"/>
      <c r="I1120" s="675"/>
      <c r="J1120" s="675"/>
      <c r="K1120" s="675"/>
      <c r="L1120" s="675"/>
      <c r="M1120" s="675"/>
    </row>
    <row r="1121" spans="1:13" x14ac:dyDescent="0.25">
      <c r="A1121" s="675" t="s">
        <v>1460</v>
      </c>
      <c r="B1121" s="675" t="s">
        <v>512</v>
      </c>
      <c r="C1121" s="675" t="s">
        <v>1465</v>
      </c>
      <c r="D1121" s="675" t="s">
        <v>21</v>
      </c>
      <c r="E1121" s="675" t="s">
        <v>514</v>
      </c>
      <c r="F1121" s="675" t="s">
        <v>515</v>
      </c>
      <c r="G1121" s="675"/>
      <c r="H1121" s="675"/>
      <c r="I1121" s="675"/>
      <c r="J1121" s="675"/>
      <c r="K1121" s="675"/>
      <c r="L1121" s="675"/>
      <c r="M1121" s="675"/>
    </row>
    <row r="1122" spans="1:13" x14ac:dyDescent="0.25">
      <c r="A1122" s="675" t="s">
        <v>1460</v>
      </c>
      <c r="B1122" s="675" t="s">
        <v>512</v>
      </c>
      <c r="C1122" s="675" t="s">
        <v>1466</v>
      </c>
      <c r="D1122" s="675" t="s">
        <v>21</v>
      </c>
      <c r="E1122" s="675" t="s">
        <v>514</v>
      </c>
      <c r="F1122" s="675" t="s">
        <v>515</v>
      </c>
      <c r="G1122" s="675"/>
      <c r="H1122" s="675"/>
      <c r="I1122" s="675"/>
      <c r="J1122" s="675"/>
      <c r="K1122" s="675"/>
      <c r="L1122" s="675"/>
      <c r="M1122" s="675"/>
    </row>
    <row r="1123" spans="1:13" x14ac:dyDescent="0.25">
      <c r="A1123" s="675" t="s">
        <v>1467</v>
      </c>
      <c r="B1123" s="675" t="s">
        <v>512</v>
      </c>
      <c r="C1123" s="675" t="s">
        <v>1468</v>
      </c>
      <c r="D1123" s="675" t="s">
        <v>21</v>
      </c>
      <c r="E1123" s="675" t="s">
        <v>514</v>
      </c>
      <c r="F1123" s="675" t="s">
        <v>515</v>
      </c>
      <c r="G1123" s="675"/>
      <c r="H1123" s="675"/>
      <c r="I1123" s="675"/>
      <c r="J1123" s="675"/>
      <c r="K1123" s="675"/>
      <c r="L1123" s="675"/>
      <c r="M1123" s="675"/>
    </row>
    <row r="1124" spans="1:13" x14ac:dyDescent="0.25">
      <c r="A1124" s="675" t="s">
        <v>1467</v>
      </c>
      <c r="B1124" s="675" t="s">
        <v>512</v>
      </c>
      <c r="C1124" s="675" t="s">
        <v>874</v>
      </c>
      <c r="D1124" s="675" t="s">
        <v>21</v>
      </c>
      <c r="E1124" s="675" t="s">
        <v>514</v>
      </c>
      <c r="F1124" s="675" t="s">
        <v>515</v>
      </c>
      <c r="G1124" s="675"/>
      <c r="H1124" s="675"/>
      <c r="I1124" s="675"/>
      <c r="J1124" s="675"/>
      <c r="K1124" s="675"/>
      <c r="L1124" s="675"/>
      <c r="M1124" s="675"/>
    </row>
    <row r="1125" spans="1:13" x14ac:dyDescent="0.25">
      <c r="A1125" s="675" t="s">
        <v>1467</v>
      </c>
      <c r="B1125" s="675" t="s">
        <v>512</v>
      </c>
      <c r="C1125" s="675" t="s">
        <v>1469</v>
      </c>
      <c r="D1125" s="675" t="s">
        <v>21</v>
      </c>
      <c r="E1125" s="675" t="s">
        <v>514</v>
      </c>
      <c r="F1125" s="675" t="s">
        <v>515</v>
      </c>
      <c r="G1125" s="675"/>
      <c r="H1125" s="675"/>
      <c r="I1125" s="675"/>
      <c r="J1125" s="675"/>
      <c r="K1125" s="675"/>
      <c r="L1125" s="675"/>
      <c r="M1125" s="675"/>
    </row>
    <row r="1126" spans="1:13" x14ac:dyDescent="0.25">
      <c r="A1126" s="675" t="s">
        <v>1467</v>
      </c>
      <c r="B1126" s="675" t="s">
        <v>512</v>
      </c>
      <c r="C1126" s="675" t="s">
        <v>1470</v>
      </c>
      <c r="D1126" s="675" t="s">
        <v>21</v>
      </c>
      <c r="E1126" s="675" t="s">
        <v>514</v>
      </c>
      <c r="F1126" s="675" t="s">
        <v>515</v>
      </c>
      <c r="G1126" s="675"/>
      <c r="H1126" s="675"/>
      <c r="I1126" s="675"/>
      <c r="J1126" s="675"/>
      <c r="K1126" s="675"/>
      <c r="L1126" s="675"/>
      <c r="M1126" s="675"/>
    </row>
    <row r="1127" spans="1:13" x14ac:dyDescent="0.25">
      <c r="A1127" s="675" t="s">
        <v>1467</v>
      </c>
      <c r="B1127" s="675" t="s">
        <v>512</v>
      </c>
      <c r="C1127" s="675" t="s">
        <v>1471</v>
      </c>
      <c r="D1127" s="675" t="s">
        <v>21</v>
      </c>
      <c r="E1127" s="675" t="s">
        <v>514</v>
      </c>
      <c r="F1127" s="675" t="s">
        <v>515</v>
      </c>
      <c r="G1127" s="675"/>
      <c r="H1127" s="675"/>
      <c r="I1127" s="675"/>
      <c r="J1127" s="675"/>
      <c r="K1127" s="675"/>
      <c r="L1127" s="675"/>
      <c r="M1127" s="675"/>
    </row>
    <row r="1128" spans="1:13" x14ac:dyDescent="0.25">
      <c r="A1128" s="675" t="s">
        <v>1467</v>
      </c>
      <c r="B1128" s="675" t="s">
        <v>512</v>
      </c>
      <c r="C1128" s="675" t="s">
        <v>1472</v>
      </c>
      <c r="D1128" s="675" t="s">
        <v>21</v>
      </c>
      <c r="E1128" s="675" t="s">
        <v>514</v>
      </c>
      <c r="F1128" s="675" t="s">
        <v>515</v>
      </c>
      <c r="G1128" s="675"/>
      <c r="H1128" s="675"/>
      <c r="I1128" s="675"/>
      <c r="J1128" s="675"/>
      <c r="K1128" s="675"/>
      <c r="L1128" s="675"/>
      <c r="M1128" s="675"/>
    </row>
    <row r="1129" spans="1:13" x14ac:dyDescent="0.25">
      <c r="A1129" s="675" t="s">
        <v>1473</v>
      </c>
      <c r="B1129" s="675" t="s">
        <v>512</v>
      </c>
      <c r="C1129" s="675" t="s">
        <v>873</v>
      </c>
      <c r="D1129" s="675" t="s">
        <v>21</v>
      </c>
      <c r="E1129" s="675" t="s">
        <v>514</v>
      </c>
      <c r="F1129" s="675" t="s">
        <v>515</v>
      </c>
      <c r="G1129" s="675"/>
      <c r="H1129" s="675"/>
      <c r="I1129" s="675"/>
      <c r="J1129" s="675"/>
      <c r="K1129" s="675"/>
      <c r="L1129" s="675"/>
      <c r="M1129" s="675"/>
    </row>
    <row r="1130" spans="1:13" x14ac:dyDescent="0.25">
      <c r="A1130" s="675" t="s">
        <v>1473</v>
      </c>
      <c r="B1130" s="675" t="s">
        <v>512</v>
      </c>
      <c r="C1130" s="675" t="s">
        <v>1474</v>
      </c>
      <c r="D1130" s="675" t="s">
        <v>21</v>
      </c>
      <c r="E1130" s="675" t="s">
        <v>514</v>
      </c>
      <c r="F1130" s="675" t="s">
        <v>515</v>
      </c>
      <c r="G1130" s="675"/>
      <c r="H1130" s="675"/>
      <c r="I1130" s="675"/>
      <c r="J1130" s="675"/>
      <c r="K1130" s="675"/>
      <c r="L1130" s="675"/>
      <c r="M1130" s="675"/>
    </row>
    <row r="1131" spans="1:13" x14ac:dyDescent="0.25">
      <c r="A1131" s="675" t="s">
        <v>1473</v>
      </c>
      <c r="B1131" s="675" t="s">
        <v>512</v>
      </c>
      <c r="C1131" s="675" t="s">
        <v>1475</v>
      </c>
      <c r="D1131" s="675" t="s">
        <v>21</v>
      </c>
      <c r="E1131" s="675" t="s">
        <v>514</v>
      </c>
      <c r="F1131" s="675" t="s">
        <v>515</v>
      </c>
      <c r="G1131" s="675"/>
      <c r="H1131" s="675"/>
      <c r="I1131" s="675"/>
      <c r="J1131" s="675"/>
      <c r="K1131" s="675"/>
      <c r="L1131" s="675"/>
      <c r="M1131" s="675"/>
    </row>
    <row r="1132" spans="1:13" x14ac:dyDescent="0.25">
      <c r="A1132" s="675" t="s">
        <v>1476</v>
      </c>
      <c r="B1132" s="675" t="s">
        <v>512</v>
      </c>
      <c r="C1132" s="675" t="s">
        <v>1477</v>
      </c>
      <c r="D1132" s="675" t="s">
        <v>21</v>
      </c>
      <c r="E1132" s="675" t="s">
        <v>514</v>
      </c>
      <c r="F1132" s="675" t="s">
        <v>515</v>
      </c>
      <c r="G1132" s="675"/>
      <c r="H1132" s="675"/>
      <c r="I1132" s="675"/>
      <c r="J1132" s="675"/>
      <c r="K1132" s="675"/>
      <c r="L1132" s="675"/>
      <c r="M1132" s="675"/>
    </row>
    <row r="1133" spans="1:13" x14ac:dyDescent="0.25">
      <c r="A1133" s="675" t="s">
        <v>1476</v>
      </c>
      <c r="B1133" s="675" t="s">
        <v>512</v>
      </c>
      <c r="C1133" s="675" t="s">
        <v>1478</v>
      </c>
      <c r="D1133" s="675" t="s">
        <v>21</v>
      </c>
      <c r="E1133" s="675" t="s">
        <v>514</v>
      </c>
      <c r="F1133" s="675" t="s">
        <v>515</v>
      </c>
      <c r="G1133" s="675"/>
      <c r="H1133" s="675"/>
      <c r="I1133" s="675"/>
      <c r="J1133" s="675"/>
      <c r="K1133" s="675"/>
      <c r="L1133" s="675"/>
      <c r="M1133" s="675"/>
    </row>
    <row r="1134" spans="1:13" x14ac:dyDescent="0.25">
      <c r="A1134" s="675" t="s">
        <v>1476</v>
      </c>
      <c r="B1134" s="675" t="s">
        <v>512</v>
      </c>
      <c r="C1134" s="675" t="s">
        <v>1479</v>
      </c>
      <c r="D1134" s="675" t="s">
        <v>21</v>
      </c>
      <c r="E1134" s="675" t="s">
        <v>514</v>
      </c>
      <c r="F1134" s="675" t="s">
        <v>515</v>
      </c>
      <c r="G1134" s="675"/>
      <c r="H1134" s="675"/>
      <c r="I1134" s="675"/>
      <c r="J1134" s="675"/>
      <c r="K1134" s="675"/>
      <c r="L1134" s="675"/>
      <c r="M1134" s="675"/>
    </row>
    <row r="1135" spans="1:13" x14ac:dyDescent="0.25">
      <c r="A1135" s="675" t="s">
        <v>1480</v>
      </c>
      <c r="B1135" s="675" t="s">
        <v>512</v>
      </c>
      <c r="C1135" s="675" t="s">
        <v>1481</v>
      </c>
      <c r="D1135" s="675" t="s">
        <v>21</v>
      </c>
      <c r="E1135" s="675" t="s">
        <v>514</v>
      </c>
      <c r="F1135" s="675" t="s">
        <v>515</v>
      </c>
      <c r="G1135" s="675"/>
      <c r="H1135" s="675"/>
      <c r="I1135" s="675"/>
      <c r="J1135" s="675"/>
      <c r="K1135" s="675"/>
      <c r="L1135" s="675"/>
      <c r="M1135" s="675"/>
    </row>
    <row r="1136" spans="1:13" x14ac:dyDescent="0.25">
      <c r="A1136" s="675" t="s">
        <v>1480</v>
      </c>
      <c r="B1136" s="675" t="s">
        <v>512</v>
      </c>
      <c r="C1136" s="675" t="s">
        <v>1482</v>
      </c>
      <c r="D1136" s="675" t="s">
        <v>21</v>
      </c>
      <c r="E1136" s="675" t="s">
        <v>514</v>
      </c>
      <c r="F1136" s="675" t="s">
        <v>515</v>
      </c>
      <c r="G1136" s="675"/>
      <c r="H1136" s="675"/>
      <c r="I1136" s="675"/>
      <c r="J1136" s="675"/>
      <c r="K1136" s="675"/>
      <c r="L1136" s="675"/>
      <c r="M1136" s="675"/>
    </row>
    <row r="1137" spans="1:13" x14ac:dyDescent="0.25">
      <c r="A1137" s="675" t="s">
        <v>1480</v>
      </c>
      <c r="B1137" s="675" t="s">
        <v>512</v>
      </c>
      <c r="C1137" s="675" t="s">
        <v>1483</v>
      </c>
      <c r="D1137" s="675" t="s">
        <v>21</v>
      </c>
      <c r="E1137" s="675" t="s">
        <v>514</v>
      </c>
      <c r="F1137" s="675" t="s">
        <v>515</v>
      </c>
      <c r="G1137" s="675"/>
      <c r="H1137" s="675"/>
      <c r="I1137" s="675"/>
      <c r="J1137" s="675"/>
      <c r="K1137" s="675"/>
      <c r="L1137" s="675"/>
      <c r="M1137" s="675"/>
    </row>
    <row r="1138" spans="1:13" x14ac:dyDescent="0.25">
      <c r="A1138" s="675" t="s">
        <v>1480</v>
      </c>
      <c r="B1138" s="675" t="s">
        <v>512</v>
      </c>
      <c r="C1138" s="675" t="s">
        <v>1484</v>
      </c>
      <c r="D1138" s="675" t="s">
        <v>21</v>
      </c>
      <c r="E1138" s="675" t="s">
        <v>514</v>
      </c>
      <c r="F1138" s="675" t="s">
        <v>515</v>
      </c>
      <c r="G1138" s="675"/>
      <c r="H1138" s="675"/>
      <c r="I1138" s="675"/>
      <c r="J1138" s="675"/>
      <c r="K1138" s="675"/>
      <c r="L1138" s="675"/>
      <c r="M1138" s="675"/>
    </row>
    <row r="1139" spans="1:13" x14ac:dyDescent="0.25">
      <c r="A1139" s="675" t="s">
        <v>1480</v>
      </c>
      <c r="B1139" s="675" t="s">
        <v>512</v>
      </c>
      <c r="C1139" s="675" t="s">
        <v>1485</v>
      </c>
      <c r="D1139" s="675" t="s">
        <v>21</v>
      </c>
      <c r="E1139" s="675" t="s">
        <v>514</v>
      </c>
      <c r="F1139" s="675" t="s">
        <v>515</v>
      </c>
      <c r="G1139" s="675"/>
      <c r="H1139" s="675"/>
      <c r="I1139" s="675"/>
      <c r="J1139" s="675"/>
      <c r="K1139" s="675"/>
      <c r="L1139" s="675"/>
      <c r="M1139" s="675"/>
    </row>
    <row r="1140" spans="1:13" x14ac:dyDescent="0.25">
      <c r="A1140" s="675" t="s">
        <v>1486</v>
      </c>
      <c r="B1140" s="675" t="s">
        <v>512</v>
      </c>
      <c r="C1140" s="675" t="s">
        <v>1141</v>
      </c>
      <c r="D1140" s="675" t="s">
        <v>21</v>
      </c>
      <c r="E1140" s="675" t="s">
        <v>514</v>
      </c>
      <c r="F1140" s="675" t="s">
        <v>515</v>
      </c>
      <c r="G1140" s="675"/>
      <c r="H1140" s="675"/>
      <c r="I1140" s="675"/>
      <c r="J1140" s="675"/>
      <c r="K1140" s="675"/>
      <c r="L1140" s="675"/>
      <c r="M1140" s="675"/>
    </row>
    <row r="1141" spans="1:13" x14ac:dyDescent="0.25">
      <c r="A1141" s="675" t="s">
        <v>1486</v>
      </c>
      <c r="B1141" s="675" t="s">
        <v>512</v>
      </c>
      <c r="C1141" s="675" t="s">
        <v>1487</v>
      </c>
      <c r="D1141" s="675" t="s">
        <v>21</v>
      </c>
      <c r="E1141" s="675" t="s">
        <v>514</v>
      </c>
      <c r="F1141" s="675" t="s">
        <v>515</v>
      </c>
      <c r="G1141" s="675"/>
      <c r="H1141" s="675"/>
      <c r="I1141" s="675"/>
      <c r="J1141" s="675"/>
      <c r="K1141" s="675"/>
      <c r="L1141" s="675"/>
      <c r="M1141" s="675"/>
    </row>
    <row r="1142" spans="1:13" x14ac:dyDescent="0.25">
      <c r="A1142" s="675" t="s">
        <v>1486</v>
      </c>
      <c r="B1142" s="675" t="s">
        <v>512</v>
      </c>
      <c r="C1142" s="675" t="s">
        <v>887</v>
      </c>
      <c r="D1142" s="675" t="s">
        <v>21</v>
      </c>
      <c r="E1142" s="675" t="s">
        <v>514</v>
      </c>
      <c r="F1142" s="675" t="s">
        <v>515</v>
      </c>
      <c r="G1142" s="675"/>
      <c r="H1142" s="675"/>
      <c r="I1142" s="675"/>
      <c r="J1142" s="681"/>
      <c r="K1142" s="681"/>
      <c r="L1142" s="681"/>
      <c r="M1142" s="681"/>
    </row>
    <row r="1143" spans="1:13" x14ac:dyDescent="0.25">
      <c r="A1143" s="675" t="s">
        <v>1486</v>
      </c>
      <c r="B1143" s="675" t="s">
        <v>512</v>
      </c>
      <c r="C1143" s="675" t="s">
        <v>1156</v>
      </c>
      <c r="D1143" s="675" t="s">
        <v>21</v>
      </c>
      <c r="E1143" s="675" t="s">
        <v>514</v>
      </c>
      <c r="F1143" s="675" t="s">
        <v>515</v>
      </c>
      <c r="G1143" s="675"/>
      <c r="H1143" s="675"/>
      <c r="I1143" s="675"/>
      <c r="J1143" s="675"/>
      <c r="K1143" s="675"/>
      <c r="L1143" s="675"/>
      <c r="M1143" s="675"/>
    </row>
    <row r="1144" spans="1:13" x14ac:dyDescent="0.25">
      <c r="A1144" s="675" t="s">
        <v>1486</v>
      </c>
      <c r="B1144" s="675" t="s">
        <v>512</v>
      </c>
      <c r="C1144" s="675" t="s">
        <v>892</v>
      </c>
      <c r="D1144" s="675" t="s">
        <v>21</v>
      </c>
      <c r="E1144" s="675" t="s">
        <v>514</v>
      </c>
      <c r="F1144" s="675" t="s">
        <v>515</v>
      </c>
      <c r="G1144" s="675"/>
      <c r="H1144" s="675"/>
      <c r="I1144" s="675"/>
      <c r="J1144" s="675"/>
      <c r="K1144" s="675"/>
      <c r="L1144" s="675"/>
      <c r="M1144" s="675"/>
    </row>
    <row r="1145" spans="1:13" x14ac:dyDescent="0.25">
      <c r="A1145" s="675" t="s">
        <v>1486</v>
      </c>
      <c r="B1145" s="675" t="s">
        <v>545</v>
      </c>
      <c r="C1145" s="675" t="s">
        <v>1157</v>
      </c>
      <c r="D1145" s="675" t="s">
        <v>21</v>
      </c>
      <c r="E1145" s="675" t="s">
        <v>514</v>
      </c>
      <c r="F1145" s="675" t="s">
        <v>515</v>
      </c>
      <c r="G1145" s="675"/>
      <c r="H1145" s="675"/>
      <c r="I1145" s="675"/>
      <c r="J1145" s="675"/>
      <c r="K1145" s="675"/>
      <c r="L1145" s="675"/>
      <c r="M1145" s="675"/>
    </row>
    <row r="1146" spans="1:13" x14ac:dyDescent="0.25">
      <c r="A1146" s="675" t="s">
        <v>1486</v>
      </c>
      <c r="B1146" s="675" t="s">
        <v>545</v>
      </c>
      <c r="C1146" s="675" t="s">
        <v>797</v>
      </c>
      <c r="D1146" s="675" t="s">
        <v>21</v>
      </c>
      <c r="E1146" s="675" t="s">
        <v>514</v>
      </c>
      <c r="F1146" s="675" t="s">
        <v>515</v>
      </c>
      <c r="G1146" s="675"/>
      <c r="H1146" s="675"/>
      <c r="I1146" s="675"/>
      <c r="J1146" s="675"/>
      <c r="K1146" s="675"/>
      <c r="L1146" s="675"/>
      <c r="M1146" s="675"/>
    </row>
    <row r="1147" spans="1:13" x14ac:dyDescent="0.25">
      <c r="A1147" s="675" t="s">
        <v>1486</v>
      </c>
      <c r="B1147" s="675" t="s">
        <v>545</v>
      </c>
      <c r="C1147" s="675" t="s">
        <v>800</v>
      </c>
      <c r="D1147" s="675" t="s">
        <v>21</v>
      </c>
      <c r="E1147" s="675" t="s">
        <v>514</v>
      </c>
      <c r="F1147" s="675" t="s">
        <v>515</v>
      </c>
      <c r="G1147" s="675"/>
      <c r="H1147" s="675"/>
      <c r="I1147" s="675"/>
      <c r="J1147" s="675"/>
      <c r="K1147" s="675"/>
      <c r="L1147" s="675"/>
      <c r="M1147" s="675"/>
    </row>
    <row r="1148" spans="1:13" x14ac:dyDescent="0.25">
      <c r="A1148" s="675" t="s">
        <v>1486</v>
      </c>
      <c r="B1148" s="675" t="s">
        <v>545</v>
      </c>
      <c r="C1148" s="675" t="s">
        <v>1488</v>
      </c>
      <c r="D1148" s="675" t="s">
        <v>21</v>
      </c>
      <c r="E1148" s="675" t="s">
        <v>514</v>
      </c>
      <c r="F1148" s="675" t="s">
        <v>515</v>
      </c>
      <c r="G1148" s="675"/>
      <c r="H1148" s="675"/>
      <c r="I1148" s="675"/>
      <c r="J1148" s="675"/>
      <c r="K1148" s="675"/>
      <c r="L1148" s="675"/>
      <c r="M1148" s="675"/>
    </row>
    <row r="1149" spans="1:13" x14ac:dyDescent="0.25">
      <c r="A1149" s="675" t="s">
        <v>1486</v>
      </c>
      <c r="B1149" s="675" t="s">
        <v>564</v>
      </c>
      <c r="C1149" s="675" t="s">
        <v>1489</v>
      </c>
      <c r="D1149" s="675" t="s">
        <v>21</v>
      </c>
      <c r="E1149" s="675" t="s">
        <v>514</v>
      </c>
      <c r="F1149" s="675" t="s">
        <v>515</v>
      </c>
      <c r="G1149" s="675"/>
      <c r="H1149" s="675"/>
      <c r="I1149" s="675"/>
      <c r="J1149" s="681"/>
      <c r="K1149" s="681"/>
      <c r="L1149" s="681"/>
      <c r="M1149" s="681"/>
    </row>
    <row r="1150" spans="1:13" x14ac:dyDescent="0.25">
      <c r="A1150" s="675" t="s">
        <v>1486</v>
      </c>
      <c r="B1150" s="675" t="s">
        <v>564</v>
      </c>
      <c r="C1150" s="675" t="s">
        <v>1161</v>
      </c>
      <c r="D1150" s="675" t="s">
        <v>21</v>
      </c>
      <c r="E1150" s="675" t="s">
        <v>514</v>
      </c>
      <c r="F1150" s="675" t="s">
        <v>515</v>
      </c>
      <c r="G1150" s="675"/>
      <c r="H1150" s="675"/>
      <c r="I1150" s="675"/>
      <c r="J1150" s="675"/>
      <c r="K1150" s="675"/>
      <c r="L1150" s="675"/>
      <c r="M1150" s="675"/>
    </row>
    <row r="1151" spans="1:13" x14ac:dyDescent="0.25">
      <c r="A1151" s="675" t="s">
        <v>1490</v>
      </c>
      <c r="B1151" s="675" t="s">
        <v>512</v>
      </c>
      <c r="C1151" s="675" t="s">
        <v>1491</v>
      </c>
      <c r="D1151" s="675" t="s">
        <v>21</v>
      </c>
      <c r="E1151" s="675" t="s">
        <v>514</v>
      </c>
      <c r="F1151" s="675" t="s">
        <v>515</v>
      </c>
      <c r="G1151" s="675"/>
      <c r="H1151" s="675"/>
      <c r="I1151" s="675"/>
      <c r="J1151" s="675"/>
      <c r="K1151" s="675"/>
      <c r="L1151" s="675"/>
      <c r="M1151" s="675"/>
    </row>
    <row r="1152" spans="1:13" x14ac:dyDescent="0.25">
      <c r="A1152" s="678" t="s">
        <v>1492</v>
      </c>
      <c r="B1152" s="678" t="s">
        <v>512</v>
      </c>
      <c r="C1152" s="678" t="s">
        <v>1493</v>
      </c>
      <c r="D1152" s="678" t="s">
        <v>21</v>
      </c>
      <c r="E1152" s="678" t="s">
        <v>514</v>
      </c>
      <c r="F1152" s="678" t="s">
        <v>596</v>
      </c>
      <c r="G1152" s="675"/>
      <c r="H1152" s="675"/>
      <c r="I1152" s="675"/>
      <c r="J1152" s="675"/>
      <c r="K1152" s="675"/>
      <c r="L1152" s="675"/>
      <c r="M1152" s="675"/>
    </row>
    <row r="1153" spans="1:13" x14ac:dyDescent="0.25">
      <c r="A1153" s="675" t="s">
        <v>1492</v>
      </c>
      <c r="B1153" s="675" t="s">
        <v>512</v>
      </c>
      <c r="C1153" s="675" t="s">
        <v>1494</v>
      </c>
      <c r="D1153" s="675" t="s">
        <v>21</v>
      </c>
      <c r="E1153" s="675" t="s">
        <v>514</v>
      </c>
      <c r="F1153" s="675" t="s">
        <v>515</v>
      </c>
      <c r="G1153" s="675"/>
      <c r="H1153" s="675"/>
      <c r="I1153" s="675"/>
      <c r="J1153" s="675"/>
      <c r="K1153" s="675"/>
      <c r="L1153" s="675"/>
      <c r="M1153" s="675"/>
    </row>
    <row r="1154" spans="1:13" x14ac:dyDescent="0.25">
      <c r="A1154" s="675" t="s">
        <v>1492</v>
      </c>
      <c r="B1154" s="675" t="s">
        <v>512</v>
      </c>
      <c r="C1154" s="675" t="s">
        <v>1495</v>
      </c>
      <c r="D1154" s="675" t="s">
        <v>21</v>
      </c>
      <c r="E1154" s="675" t="s">
        <v>514</v>
      </c>
      <c r="F1154" s="675" t="s">
        <v>515</v>
      </c>
      <c r="G1154" s="675"/>
      <c r="H1154" s="675"/>
      <c r="I1154" s="675"/>
      <c r="J1154" s="675"/>
      <c r="K1154" s="675"/>
      <c r="L1154" s="675"/>
      <c r="M1154" s="675"/>
    </row>
    <row r="1155" spans="1:13" x14ac:dyDescent="0.25">
      <c r="A1155" s="675" t="s">
        <v>1492</v>
      </c>
      <c r="B1155" s="675" t="s">
        <v>564</v>
      </c>
      <c r="C1155" s="675" t="s">
        <v>1496</v>
      </c>
      <c r="D1155" s="675" t="s">
        <v>21</v>
      </c>
      <c r="E1155" s="675" t="s">
        <v>514</v>
      </c>
      <c r="F1155" s="675" t="s">
        <v>515</v>
      </c>
      <c r="G1155" s="675"/>
      <c r="H1155" s="675"/>
      <c r="I1155" s="675"/>
      <c r="J1155" s="675"/>
      <c r="K1155" s="675"/>
      <c r="L1155" s="675"/>
      <c r="M1155" s="675"/>
    </row>
    <row r="1156" spans="1:13" x14ac:dyDescent="0.25">
      <c r="A1156" s="675" t="s">
        <v>1492</v>
      </c>
      <c r="B1156" s="675" t="s">
        <v>564</v>
      </c>
      <c r="C1156" s="675" t="s">
        <v>1497</v>
      </c>
      <c r="D1156" s="675" t="s">
        <v>21</v>
      </c>
      <c r="E1156" s="675" t="s">
        <v>514</v>
      </c>
      <c r="F1156" s="675" t="s">
        <v>515</v>
      </c>
      <c r="G1156" s="675"/>
      <c r="H1156" s="675"/>
      <c r="I1156" s="675"/>
      <c r="J1156" s="675"/>
      <c r="K1156" s="675"/>
      <c r="L1156" s="675"/>
      <c r="M1156" s="675"/>
    </row>
    <row r="1157" spans="1:13" x14ac:dyDescent="0.25">
      <c r="A1157" s="675" t="s">
        <v>1492</v>
      </c>
      <c r="B1157" s="675" t="s">
        <v>564</v>
      </c>
      <c r="C1157" s="675" t="s">
        <v>1498</v>
      </c>
      <c r="D1157" s="675" t="s">
        <v>21</v>
      </c>
      <c r="E1157" s="675" t="s">
        <v>514</v>
      </c>
      <c r="F1157" s="675" t="s">
        <v>515</v>
      </c>
      <c r="G1157" s="675"/>
      <c r="H1157" s="675"/>
      <c r="I1157" s="675"/>
      <c r="J1157" s="675"/>
      <c r="K1157" s="675"/>
      <c r="L1157" s="675"/>
      <c r="M1157" s="675"/>
    </row>
    <row r="1158" spans="1:13" x14ac:dyDescent="0.25">
      <c r="A1158" s="678" t="s">
        <v>1499</v>
      </c>
      <c r="B1158" s="678" t="s">
        <v>512</v>
      </c>
      <c r="C1158" s="678" t="s">
        <v>1500</v>
      </c>
      <c r="D1158" s="675" t="s">
        <v>21</v>
      </c>
      <c r="E1158" s="678" t="s">
        <v>514</v>
      </c>
      <c r="F1158" s="678" t="s">
        <v>596</v>
      </c>
      <c r="G1158" s="675"/>
      <c r="H1158" s="675"/>
      <c r="I1158" s="675"/>
      <c r="J1158" s="675"/>
      <c r="K1158" s="675"/>
      <c r="L1158" s="675"/>
      <c r="M1158" s="675"/>
    </row>
    <row r="1159" spans="1:13" x14ac:dyDescent="0.25">
      <c r="A1159" s="675" t="s">
        <v>1499</v>
      </c>
      <c r="B1159" s="675" t="s">
        <v>512</v>
      </c>
      <c r="C1159" s="675" t="s">
        <v>1501</v>
      </c>
      <c r="D1159" s="675" t="s">
        <v>21</v>
      </c>
      <c r="E1159" s="675" t="s">
        <v>514</v>
      </c>
      <c r="F1159" s="675" t="s">
        <v>515</v>
      </c>
      <c r="G1159" s="675"/>
      <c r="H1159" s="675"/>
      <c r="I1159" s="675"/>
      <c r="J1159" s="681"/>
      <c r="K1159" s="681"/>
      <c r="L1159" s="681"/>
      <c r="M1159" s="681"/>
    </row>
    <row r="1160" spans="1:13" x14ac:dyDescent="0.25">
      <c r="A1160" s="675" t="s">
        <v>1499</v>
      </c>
      <c r="B1160" s="675" t="s">
        <v>512</v>
      </c>
      <c r="C1160" s="675" t="s">
        <v>1502</v>
      </c>
      <c r="D1160" s="675" t="s">
        <v>21</v>
      </c>
      <c r="E1160" s="675" t="s">
        <v>514</v>
      </c>
      <c r="F1160" s="675" t="s">
        <v>515</v>
      </c>
      <c r="G1160" s="675"/>
      <c r="H1160" s="675"/>
      <c r="I1160" s="675"/>
      <c r="J1160" s="675"/>
      <c r="K1160" s="675"/>
      <c r="L1160" s="675"/>
      <c r="M1160" s="675"/>
    </row>
    <row r="1161" spans="1:13" x14ac:dyDescent="0.25">
      <c r="A1161" s="675" t="s">
        <v>1499</v>
      </c>
      <c r="B1161" s="675" t="s">
        <v>512</v>
      </c>
      <c r="C1161" s="675" t="s">
        <v>1503</v>
      </c>
      <c r="D1161" s="675" t="s">
        <v>21</v>
      </c>
      <c r="E1161" s="675" t="s">
        <v>514</v>
      </c>
      <c r="F1161" s="675" t="s">
        <v>515</v>
      </c>
      <c r="G1161" s="675"/>
      <c r="H1161" s="675"/>
      <c r="I1161" s="675"/>
      <c r="J1161" s="675"/>
      <c r="K1161" s="675"/>
      <c r="L1161" s="675"/>
      <c r="M1161" s="675"/>
    </row>
    <row r="1162" spans="1:13" x14ac:dyDescent="0.25">
      <c r="A1162" s="675" t="s">
        <v>1499</v>
      </c>
      <c r="B1162" s="675" t="s">
        <v>512</v>
      </c>
      <c r="C1162" s="675" t="s">
        <v>1504</v>
      </c>
      <c r="D1162" s="675" t="s">
        <v>21</v>
      </c>
      <c r="E1162" s="675" t="s">
        <v>514</v>
      </c>
      <c r="F1162" s="675" t="s">
        <v>515</v>
      </c>
      <c r="G1162" s="675"/>
      <c r="H1162" s="675"/>
      <c r="I1162" s="675"/>
      <c r="J1162" s="675"/>
      <c r="K1162" s="675"/>
      <c r="L1162" s="675"/>
      <c r="M1162" s="675"/>
    </row>
    <row r="1163" spans="1:13" x14ac:dyDescent="0.25">
      <c r="A1163" s="675" t="s">
        <v>1499</v>
      </c>
      <c r="B1163" s="675" t="s">
        <v>512</v>
      </c>
      <c r="C1163" s="675" t="s">
        <v>1505</v>
      </c>
      <c r="D1163" s="675" t="s">
        <v>21</v>
      </c>
      <c r="E1163" s="675" t="s">
        <v>514</v>
      </c>
      <c r="F1163" s="675" t="s">
        <v>515</v>
      </c>
      <c r="G1163" s="675"/>
      <c r="H1163" s="675"/>
      <c r="I1163" s="675"/>
      <c r="J1163" s="675"/>
      <c r="K1163" s="675"/>
      <c r="L1163" s="675"/>
      <c r="M1163" s="675"/>
    </row>
    <row r="1164" spans="1:13" x14ac:dyDescent="0.25">
      <c r="A1164" s="675" t="s">
        <v>1499</v>
      </c>
      <c r="B1164" s="675" t="s">
        <v>512</v>
      </c>
      <c r="C1164" s="675" t="s">
        <v>1506</v>
      </c>
      <c r="D1164" s="675" t="s">
        <v>21</v>
      </c>
      <c r="E1164" s="675" t="s">
        <v>514</v>
      </c>
      <c r="F1164" s="675" t="s">
        <v>515</v>
      </c>
      <c r="G1164" s="675"/>
      <c r="H1164" s="675"/>
      <c r="I1164" s="675"/>
      <c r="J1164" s="681"/>
      <c r="K1164" s="681"/>
      <c r="L1164" s="681"/>
      <c r="M1164" s="681"/>
    </row>
    <row r="1165" spans="1:13" x14ac:dyDescent="0.25">
      <c r="A1165" s="675" t="s">
        <v>1499</v>
      </c>
      <c r="B1165" s="675" t="s">
        <v>545</v>
      </c>
      <c r="C1165" s="675" t="s">
        <v>1507</v>
      </c>
      <c r="D1165" s="675" t="s">
        <v>21</v>
      </c>
      <c r="E1165" s="675" t="s">
        <v>514</v>
      </c>
      <c r="F1165" s="675" t="s">
        <v>515</v>
      </c>
      <c r="G1165" s="675"/>
      <c r="H1165" s="675"/>
      <c r="I1165" s="675"/>
      <c r="J1165" s="675"/>
      <c r="K1165" s="675"/>
      <c r="L1165" s="675"/>
      <c r="M1165" s="675"/>
    </row>
    <row r="1166" spans="1:13" x14ac:dyDescent="0.25">
      <c r="A1166" s="675" t="s">
        <v>1499</v>
      </c>
      <c r="B1166" s="675" t="s">
        <v>545</v>
      </c>
      <c r="C1166" s="675" t="s">
        <v>1508</v>
      </c>
      <c r="D1166" s="675" t="s">
        <v>21</v>
      </c>
      <c r="E1166" s="675" t="s">
        <v>514</v>
      </c>
      <c r="F1166" s="675" t="s">
        <v>515</v>
      </c>
      <c r="G1166" s="675"/>
      <c r="H1166" s="675"/>
      <c r="I1166" s="675"/>
      <c r="J1166" s="675"/>
      <c r="K1166" s="675"/>
      <c r="L1166" s="675"/>
      <c r="M1166" s="675"/>
    </row>
    <row r="1167" spans="1:13" x14ac:dyDescent="0.25">
      <c r="A1167" s="675" t="s">
        <v>1499</v>
      </c>
      <c r="B1167" s="675" t="s">
        <v>545</v>
      </c>
      <c r="C1167" s="675" t="s">
        <v>1509</v>
      </c>
      <c r="D1167" s="675" t="s">
        <v>21</v>
      </c>
      <c r="E1167" s="675" t="s">
        <v>514</v>
      </c>
      <c r="F1167" s="675" t="s">
        <v>515</v>
      </c>
      <c r="G1167" s="675"/>
      <c r="H1167" s="675"/>
      <c r="I1167" s="675"/>
      <c r="J1167" s="675"/>
      <c r="K1167" s="675"/>
      <c r="L1167" s="675"/>
      <c r="M1167" s="675"/>
    </row>
    <row r="1168" spans="1:13" x14ac:dyDescent="0.25">
      <c r="A1168" s="675" t="s">
        <v>1499</v>
      </c>
      <c r="B1168" s="675" t="s">
        <v>545</v>
      </c>
      <c r="C1168" s="675" t="s">
        <v>1510</v>
      </c>
      <c r="D1168" s="675" t="s">
        <v>21</v>
      </c>
      <c r="E1168" s="675" t="s">
        <v>514</v>
      </c>
      <c r="F1168" s="675" t="s">
        <v>515</v>
      </c>
      <c r="G1168" s="675"/>
      <c r="H1168" s="675"/>
      <c r="I1168" s="675"/>
      <c r="J1168" s="675"/>
      <c r="K1168" s="675"/>
      <c r="L1168" s="675"/>
      <c r="M1168" s="675"/>
    </row>
    <row r="1169" spans="1:13" x14ac:dyDescent="0.25">
      <c r="A1169" s="675" t="s">
        <v>1499</v>
      </c>
      <c r="B1169" s="675" t="s">
        <v>545</v>
      </c>
      <c r="C1169" s="675" t="s">
        <v>1511</v>
      </c>
      <c r="D1169" s="675" t="s">
        <v>21</v>
      </c>
      <c r="E1169" s="675" t="s">
        <v>514</v>
      </c>
      <c r="F1169" s="675" t="s">
        <v>515</v>
      </c>
      <c r="G1169" s="675"/>
      <c r="H1169" s="675"/>
      <c r="I1169" s="675"/>
      <c r="J1169" s="675"/>
      <c r="K1169" s="675"/>
      <c r="L1169" s="675"/>
      <c r="M1169" s="675"/>
    </row>
    <row r="1170" spans="1:13" x14ac:dyDescent="0.25">
      <c r="A1170" s="675" t="s">
        <v>1499</v>
      </c>
      <c r="B1170" s="675" t="s">
        <v>545</v>
      </c>
      <c r="C1170" s="675" t="s">
        <v>1512</v>
      </c>
      <c r="D1170" s="675" t="s">
        <v>21</v>
      </c>
      <c r="E1170" s="675" t="s">
        <v>514</v>
      </c>
      <c r="F1170" s="675" t="s">
        <v>515</v>
      </c>
      <c r="G1170" s="675"/>
      <c r="H1170" s="675"/>
      <c r="I1170" s="675"/>
      <c r="J1170" s="675"/>
      <c r="K1170" s="675"/>
      <c r="L1170" s="675"/>
      <c r="M1170" s="675"/>
    </row>
    <row r="1171" spans="1:13" x14ac:dyDescent="0.25">
      <c r="A1171" s="675" t="s">
        <v>1499</v>
      </c>
      <c r="B1171" s="675" t="s">
        <v>545</v>
      </c>
      <c r="C1171" s="675" t="s">
        <v>1513</v>
      </c>
      <c r="D1171" s="675" t="s">
        <v>21</v>
      </c>
      <c r="E1171" s="675" t="s">
        <v>514</v>
      </c>
      <c r="F1171" s="675" t="s">
        <v>515</v>
      </c>
      <c r="G1171" s="675"/>
      <c r="H1171" s="675"/>
      <c r="I1171" s="675"/>
      <c r="J1171" s="681"/>
      <c r="K1171" s="681"/>
      <c r="L1171" s="681"/>
      <c r="M1171" s="681"/>
    </row>
    <row r="1172" spans="1:13" x14ac:dyDescent="0.25">
      <c r="A1172" s="675" t="s">
        <v>1499</v>
      </c>
      <c r="B1172" s="675" t="s">
        <v>545</v>
      </c>
      <c r="C1172" s="675" t="s">
        <v>1514</v>
      </c>
      <c r="D1172" s="675" t="s">
        <v>21</v>
      </c>
      <c r="E1172" s="675" t="s">
        <v>514</v>
      </c>
      <c r="F1172" s="675" t="s">
        <v>515</v>
      </c>
      <c r="G1172" s="675"/>
      <c r="H1172" s="675"/>
      <c r="I1172" s="675"/>
      <c r="J1172" s="675"/>
      <c r="K1172" s="675"/>
      <c r="L1172" s="675"/>
      <c r="M1172" s="675"/>
    </row>
    <row r="1173" spans="1:13" x14ac:dyDescent="0.25">
      <c r="A1173" s="675" t="s">
        <v>1499</v>
      </c>
      <c r="B1173" s="675" t="s">
        <v>545</v>
      </c>
      <c r="C1173" s="675" t="s">
        <v>1515</v>
      </c>
      <c r="D1173" s="675" t="s">
        <v>21</v>
      </c>
      <c r="E1173" s="675" t="s">
        <v>514</v>
      </c>
      <c r="F1173" s="675" t="s">
        <v>515</v>
      </c>
      <c r="G1173" s="675"/>
      <c r="H1173" s="675"/>
      <c r="I1173" s="675"/>
      <c r="J1173" s="675"/>
      <c r="K1173" s="675"/>
      <c r="L1173" s="675"/>
      <c r="M1173" s="675"/>
    </row>
    <row r="1174" spans="1:13" x14ac:dyDescent="0.25">
      <c r="A1174" s="675" t="s">
        <v>1499</v>
      </c>
      <c r="B1174" s="675" t="s">
        <v>564</v>
      </c>
      <c r="C1174" s="675" t="s">
        <v>1516</v>
      </c>
      <c r="D1174" s="675" t="s">
        <v>21</v>
      </c>
      <c r="E1174" s="675" t="s">
        <v>514</v>
      </c>
      <c r="F1174" s="675" t="s">
        <v>515</v>
      </c>
      <c r="G1174" s="675"/>
      <c r="H1174" s="675"/>
      <c r="I1174" s="675"/>
      <c r="J1174" s="675"/>
      <c r="K1174" s="675"/>
      <c r="L1174" s="675"/>
      <c r="M1174" s="675"/>
    </row>
    <row r="1175" spans="1:13" x14ac:dyDescent="0.25">
      <c r="A1175" s="675" t="s">
        <v>1517</v>
      </c>
      <c r="B1175" s="675" t="s">
        <v>512</v>
      </c>
      <c r="C1175" s="675" t="s">
        <v>1518</v>
      </c>
      <c r="D1175" s="675" t="s">
        <v>21</v>
      </c>
      <c r="E1175" s="675" t="s">
        <v>514</v>
      </c>
      <c r="F1175" s="675" t="s">
        <v>515</v>
      </c>
      <c r="G1175" s="675"/>
      <c r="H1175" s="675"/>
      <c r="I1175" s="675"/>
      <c r="J1175" s="675"/>
      <c r="K1175" s="675"/>
      <c r="L1175" s="675"/>
      <c r="M1175" s="675"/>
    </row>
    <row r="1176" spans="1:13" x14ac:dyDescent="0.25">
      <c r="A1176" s="675" t="s">
        <v>1517</v>
      </c>
      <c r="B1176" s="675" t="s">
        <v>512</v>
      </c>
      <c r="C1176" s="675" t="s">
        <v>1519</v>
      </c>
      <c r="D1176" s="675" t="s">
        <v>21</v>
      </c>
      <c r="E1176" s="675" t="s">
        <v>514</v>
      </c>
      <c r="F1176" s="675" t="s">
        <v>515</v>
      </c>
      <c r="G1176" s="675"/>
      <c r="H1176" s="675"/>
      <c r="I1176" s="675"/>
      <c r="J1176" s="675"/>
      <c r="K1176" s="675"/>
      <c r="L1176" s="675"/>
      <c r="M1176" s="675"/>
    </row>
    <row r="1177" spans="1:13" x14ac:dyDescent="0.25">
      <c r="A1177" s="675" t="s">
        <v>1520</v>
      </c>
      <c r="B1177" s="675" t="s">
        <v>512</v>
      </c>
      <c r="C1177" s="675" t="s">
        <v>1078</v>
      </c>
      <c r="D1177" s="675" t="s">
        <v>21</v>
      </c>
      <c r="E1177" s="675" t="s">
        <v>514</v>
      </c>
      <c r="F1177" s="675" t="s">
        <v>515</v>
      </c>
      <c r="G1177" s="675"/>
      <c r="H1177" s="675"/>
      <c r="I1177" s="675"/>
      <c r="J1177" s="675"/>
      <c r="K1177" s="675"/>
      <c r="L1177" s="675"/>
      <c r="M1177" s="675"/>
    </row>
    <row r="1178" spans="1:13" x14ac:dyDescent="0.25">
      <c r="A1178" s="675" t="s">
        <v>1520</v>
      </c>
      <c r="B1178" s="675" t="s">
        <v>512</v>
      </c>
      <c r="C1178" s="675" t="s">
        <v>1521</v>
      </c>
      <c r="D1178" s="675" t="s">
        <v>21</v>
      </c>
      <c r="E1178" s="675" t="s">
        <v>514</v>
      </c>
      <c r="F1178" s="675" t="s">
        <v>515</v>
      </c>
      <c r="G1178" s="675"/>
      <c r="H1178" s="675"/>
      <c r="I1178" s="675"/>
      <c r="J1178" s="675"/>
      <c r="K1178" s="675"/>
      <c r="L1178" s="675"/>
      <c r="M1178" s="675"/>
    </row>
    <row r="1179" spans="1:13" x14ac:dyDescent="0.25">
      <c r="A1179" s="675" t="s">
        <v>1520</v>
      </c>
      <c r="B1179" s="675" t="s">
        <v>545</v>
      </c>
      <c r="C1179" s="675" t="s">
        <v>1522</v>
      </c>
      <c r="D1179" s="675" t="s">
        <v>21</v>
      </c>
      <c r="E1179" s="675" t="s">
        <v>514</v>
      </c>
      <c r="F1179" s="675" t="s">
        <v>515</v>
      </c>
      <c r="G1179" s="675"/>
      <c r="H1179" s="675"/>
      <c r="I1179" s="675"/>
      <c r="J1179" s="675"/>
      <c r="K1179" s="675"/>
      <c r="L1179" s="675"/>
      <c r="M1179" s="675"/>
    </row>
    <row r="1180" spans="1:13" x14ac:dyDescent="0.25">
      <c r="A1180" s="675" t="s">
        <v>1523</v>
      </c>
      <c r="B1180" s="675" t="s">
        <v>512</v>
      </c>
      <c r="C1180" s="675" t="s">
        <v>1524</v>
      </c>
      <c r="D1180" s="675" t="s">
        <v>21</v>
      </c>
      <c r="E1180" s="675" t="s">
        <v>514</v>
      </c>
      <c r="F1180" s="675" t="s">
        <v>515</v>
      </c>
      <c r="G1180" s="675"/>
      <c r="H1180" s="675"/>
      <c r="I1180" s="675"/>
      <c r="J1180" s="675"/>
      <c r="K1180" s="675"/>
      <c r="L1180" s="675"/>
      <c r="M1180" s="675"/>
    </row>
    <row r="1181" spans="1:13" x14ac:dyDescent="0.25">
      <c r="A1181" s="675" t="s">
        <v>1523</v>
      </c>
      <c r="B1181" s="675" t="s">
        <v>545</v>
      </c>
      <c r="C1181" s="675" t="s">
        <v>1525</v>
      </c>
      <c r="D1181" s="675" t="s">
        <v>21</v>
      </c>
      <c r="E1181" s="675" t="s">
        <v>514</v>
      </c>
      <c r="F1181" s="675" t="s">
        <v>515</v>
      </c>
      <c r="G1181" s="675"/>
      <c r="H1181" s="675"/>
      <c r="I1181" s="675"/>
      <c r="J1181" s="675"/>
      <c r="K1181" s="675"/>
      <c r="L1181" s="675"/>
      <c r="M1181" s="675"/>
    </row>
    <row r="1182" spans="1:13" x14ac:dyDescent="0.25">
      <c r="A1182" s="675" t="s">
        <v>1523</v>
      </c>
      <c r="B1182" s="675" t="s">
        <v>545</v>
      </c>
      <c r="C1182" s="675" t="s">
        <v>1526</v>
      </c>
      <c r="D1182" s="675" t="s">
        <v>21</v>
      </c>
      <c r="E1182" s="675" t="s">
        <v>514</v>
      </c>
      <c r="F1182" s="675" t="s">
        <v>515</v>
      </c>
      <c r="G1182" s="675"/>
      <c r="H1182" s="675"/>
      <c r="I1182" s="675"/>
      <c r="J1182" s="675"/>
      <c r="K1182" s="675"/>
      <c r="L1182" s="675"/>
      <c r="M1182" s="675"/>
    </row>
    <row r="1183" spans="1:13" x14ac:dyDescent="0.25">
      <c r="A1183" s="675" t="s">
        <v>1523</v>
      </c>
      <c r="B1183" s="675" t="s">
        <v>545</v>
      </c>
      <c r="C1183" s="675" t="s">
        <v>1527</v>
      </c>
      <c r="D1183" s="675" t="s">
        <v>21</v>
      </c>
      <c r="E1183" s="675" t="s">
        <v>514</v>
      </c>
      <c r="F1183" s="675" t="s">
        <v>515</v>
      </c>
      <c r="G1183" s="675"/>
      <c r="H1183" s="675"/>
      <c r="I1183" s="675"/>
      <c r="J1183" s="675"/>
      <c r="K1183" s="675"/>
      <c r="L1183" s="675"/>
      <c r="M1183" s="675"/>
    </row>
    <row r="1184" spans="1:13" x14ac:dyDescent="0.25">
      <c r="A1184" s="675" t="s">
        <v>1528</v>
      </c>
      <c r="B1184" s="675" t="s">
        <v>512</v>
      </c>
      <c r="C1184" s="675" t="s">
        <v>1201</v>
      </c>
      <c r="D1184" s="675" t="s">
        <v>21</v>
      </c>
      <c r="E1184" s="675" t="s">
        <v>514</v>
      </c>
      <c r="F1184" s="675" t="s">
        <v>515</v>
      </c>
      <c r="G1184" s="675"/>
      <c r="H1184" s="675"/>
      <c r="I1184" s="675"/>
      <c r="J1184" s="675"/>
      <c r="K1184" s="675"/>
      <c r="L1184" s="675"/>
      <c r="M1184" s="675"/>
    </row>
    <row r="1185" spans="1:13" x14ac:dyDescent="0.25">
      <c r="A1185" s="675" t="s">
        <v>1528</v>
      </c>
      <c r="B1185" s="675" t="s">
        <v>512</v>
      </c>
      <c r="C1185" s="675" t="s">
        <v>1270</v>
      </c>
      <c r="D1185" s="675" t="s">
        <v>21</v>
      </c>
      <c r="E1185" s="675" t="s">
        <v>514</v>
      </c>
      <c r="F1185" s="675" t="s">
        <v>515</v>
      </c>
      <c r="G1185" s="675"/>
      <c r="H1185" s="675"/>
      <c r="I1185" s="675"/>
      <c r="J1185" s="675"/>
      <c r="K1185" s="675"/>
      <c r="L1185" s="675"/>
      <c r="M1185" s="675"/>
    </row>
    <row r="1186" spans="1:13" x14ac:dyDescent="0.25">
      <c r="A1186" s="675" t="s">
        <v>1528</v>
      </c>
      <c r="B1186" s="675" t="s">
        <v>512</v>
      </c>
      <c r="C1186" s="675" t="s">
        <v>1529</v>
      </c>
      <c r="D1186" s="675" t="s">
        <v>21</v>
      </c>
      <c r="E1186" s="675" t="s">
        <v>514</v>
      </c>
      <c r="F1186" s="675" t="s">
        <v>515</v>
      </c>
      <c r="G1186" s="675"/>
      <c r="H1186" s="675"/>
      <c r="I1186" s="675"/>
      <c r="J1186" s="675"/>
      <c r="K1186" s="675"/>
      <c r="L1186" s="675"/>
      <c r="M1186" s="675"/>
    </row>
    <row r="1187" spans="1:13" x14ac:dyDescent="0.25">
      <c r="A1187" s="675" t="s">
        <v>1528</v>
      </c>
      <c r="B1187" s="675" t="s">
        <v>545</v>
      </c>
      <c r="C1187" s="675" t="s">
        <v>1530</v>
      </c>
      <c r="D1187" s="675" t="s">
        <v>21</v>
      </c>
      <c r="E1187" s="675" t="s">
        <v>514</v>
      </c>
      <c r="F1187" s="675" t="s">
        <v>515</v>
      </c>
      <c r="G1187" s="675"/>
      <c r="H1187" s="675"/>
      <c r="I1187" s="675"/>
      <c r="J1187" s="675"/>
      <c r="K1187" s="675"/>
      <c r="L1187" s="675"/>
      <c r="M1187" s="675"/>
    </row>
    <row r="1188" spans="1:13" x14ac:dyDescent="0.25">
      <c r="A1188" s="675" t="s">
        <v>1528</v>
      </c>
      <c r="B1188" s="675" t="s">
        <v>545</v>
      </c>
      <c r="C1188" s="675" t="s">
        <v>799</v>
      </c>
      <c r="D1188" s="675" t="s">
        <v>21</v>
      </c>
      <c r="E1188" s="675" t="s">
        <v>514</v>
      </c>
      <c r="F1188" s="675" t="s">
        <v>515</v>
      </c>
      <c r="G1188" s="675"/>
      <c r="H1188" s="675"/>
      <c r="I1188" s="675"/>
      <c r="J1188" s="675"/>
      <c r="K1188" s="675"/>
      <c r="L1188" s="675"/>
      <c r="M1188" s="675"/>
    </row>
    <row r="1189" spans="1:13" x14ac:dyDescent="0.25">
      <c r="A1189" s="678" t="s">
        <v>1528</v>
      </c>
      <c r="B1189" s="678" t="s">
        <v>545</v>
      </c>
      <c r="C1189" s="678" t="s">
        <v>1531</v>
      </c>
      <c r="D1189" s="678" t="s">
        <v>21</v>
      </c>
      <c r="E1189" s="678" t="s">
        <v>514</v>
      </c>
      <c r="F1189" s="678" t="s">
        <v>636</v>
      </c>
      <c r="G1189" s="675"/>
      <c r="H1189" s="675"/>
      <c r="I1189" s="675"/>
      <c r="J1189" s="675"/>
      <c r="K1189" s="675"/>
      <c r="L1189" s="675"/>
      <c r="M1189" s="675"/>
    </row>
    <row r="1190" spans="1:13" x14ac:dyDescent="0.25">
      <c r="A1190" s="675" t="s">
        <v>1528</v>
      </c>
      <c r="B1190" s="675" t="s">
        <v>564</v>
      </c>
      <c r="C1190" s="675" t="s">
        <v>1532</v>
      </c>
      <c r="D1190" s="675" t="s">
        <v>21</v>
      </c>
      <c r="E1190" s="675" t="s">
        <v>514</v>
      </c>
      <c r="F1190" s="675" t="s">
        <v>515</v>
      </c>
      <c r="G1190" s="675"/>
      <c r="H1190" s="675"/>
      <c r="I1190" s="675"/>
      <c r="J1190" s="675"/>
      <c r="K1190" s="675"/>
      <c r="L1190" s="675"/>
      <c r="M1190" s="675"/>
    </row>
    <row r="1191" spans="1:13" x14ac:dyDescent="0.25">
      <c r="A1191" s="675" t="s">
        <v>1528</v>
      </c>
      <c r="B1191" s="675" t="s">
        <v>564</v>
      </c>
      <c r="C1191" s="675" t="s">
        <v>1533</v>
      </c>
      <c r="D1191" s="675" t="s">
        <v>21</v>
      </c>
      <c r="E1191" s="675" t="s">
        <v>514</v>
      </c>
      <c r="F1191" s="675" t="s">
        <v>515</v>
      </c>
      <c r="G1191" s="675"/>
      <c r="H1191" s="675"/>
      <c r="I1191" s="675"/>
      <c r="J1191" s="675"/>
      <c r="K1191" s="675"/>
      <c r="L1191" s="675"/>
      <c r="M1191" s="675"/>
    </row>
    <row r="1192" spans="1:13" x14ac:dyDescent="0.25">
      <c r="A1192" s="675" t="s">
        <v>1528</v>
      </c>
      <c r="B1192" s="675" t="s">
        <v>564</v>
      </c>
      <c r="C1192" s="675" t="s">
        <v>1534</v>
      </c>
      <c r="D1192" s="675" t="s">
        <v>21</v>
      </c>
      <c r="E1192" s="675" t="s">
        <v>514</v>
      </c>
      <c r="F1192" s="675" t="s">
        <v>515</v>
      </c>
      <c r="G1192" s="675"/>
      <c r="H1192" s="675"/>
      <c r="I1192" s="675"/>
      <c r="J1192" s="675"/>
      <c r="K1192" s="675"/>
      <c r="L1192" s="675"/>
      <c r="M1192" s="675"/>
    </row>
    <row r="1193" spans="1:13" x14ac:dyDescent="0.25">
      <c r="A1193" s="675" t="s">
        <v>1535</v>
      </c>
      <c r="B1193" s="675" t="s">
        <v>512</v>
      </c>
      <c r="C1193" s="675" t="s">
        <v>1227</v>
      </c>
      <c r="D1193" s="675" t="s">
        <v>21</v>
      </c>
      <c r="E1193" s="675" t="s">
        <v>514</v>
      </c>
      <c r="F1193" s="675" t="s">
        <v>515</v>
      </c>
      <c r="G1193" s="675"/>
      <c r="H1193" s="675"/>
      <c r="I1193" s="675"/>
      <c r="J1193" s="675"/>
      <c r="K1193" s="675"/>
      <c r="L1193" s="675"/>
      <c r="M1193" s="675"/>
    </row>
    <row r="1194" spans="1:13" x14ac:dyDescent="0.25">
      <c r="A1194" s="675" t="s">
        <v>1535</v>
      </c>
      <c r="B1194" s="675" t="s">
        <v>545</v>
      </c>
      <c r="C1194" s="675" t="s">
        <v>1148</v>
      </c>
      <c r="D1194" s="675" t="s">
        <v>21</v>
      </c>
      <c r="E1194" s="675" t="s">
        <v>514</v>
      </c>
      <c r="F1194" s="675" t="s">
        <v>515</v>
      </c>
      <c r="G1194" s="675"/>
      <c r="H1194" s="675"/>
      <c r="I1194" s="675"/>
      <c r="J1194" s="675"/>
      <c r="K1194" s="675"/>
      <c r="L1194" s="675"/>
      <c r="M1194" s="675"/>
    </row>
    <row r="1195" spans="1:13" x14ac:dyDescent="0.25">
      <c r="A1195" s="675" t="s">
        <v>1535</v>
      </c>
      <c r="B1195" s="675" t="s">
        <v>545</v>
      </c>
      <c r="C1195" s="675" t="s">
        <v>1149</v>
      </c>
      <c r="D1195" s="675" t="s">
        <v>21</v>
      </c>
      <c r="E1195" s="675" t="s">
        <v>514</v>
      </c>
      <c r="F1195" s="675" t="s">
        <v>515</v>
      </c>
      <c r="G1195" s="675"/>
      <c r="H1195" s="675"/>
      <c r="I1195" s="675"/>
      <c r="J1195" s="675"/>
      <c r="K1195" s="675"/>
      <c r="L1195" s="675"/>
      <c r="M1195" s="675"/>
    </row>
    <row r="1196" spans="1:13" x14ac:dyDescent="0.25">
      <c r="A1196" s="678" t="s">
        <v>1535</v>
      </c>
      <c r="B1196" s="678" t="s">
        <v>545</v>
      </c>
      <c r="C1196" s="678" t="s">
        <v>1536</v>
      </c>
      <c r="D1196" s="678" t="s">
        <v>21</v>
      </c>
      <c r="E1196" s="678" t="s">
        <v>514</v>
      </c>
      <c r="F1196" s="678" t="s">
        <v>636</v>
      </c>
      <c r="G1196" s="675"/>
      <c r="H1196" s="675"/>
      <c r="I1196" s="675"/>
      <c r="J1196" s="675"/>
      <c r="K1196" s="675"/>
      <c r="L1196" s="675"/>
      <c r="M1196" s="675"/>
    </row>
    <row r="1197" spans="1:13" x14ac:dyDescent="0.25">
      <c r="A1197" s="675" t="s">
        <v>1535</v>
      </c>
      <c r="B1197" s="675" t="s">
        <v>545</v>
      </c>
      <c r="C1197" s="675" t="s">
        <v>1151</v>
      </c>
      <c r="D1197" s="675" t="s">
        <v>21</v>
      </c>
      <c r="E1197" s="675" t="s">
        <v>514</v>
      </c>
      <c r="F1197" s="675" t="s">
        <v>515</v>
      </c>
      <c r="G1197" s="675"/>
      <c r="H1197" s="675"/>
      <c r="I1197" s="675"/>
      <c r="J1197" s="675"/>
      <c r="K1197" s="675"/>
      <c r="L1197" s="675"/>
      <c r="M1197" s="675"/>
    </row>
    <row r="1198" spans="1:13" x14ac:dyDescent="0.25">
      <c r="A1198" s="675" t="s">
        <v>1535</v>
      </c>
      <c r="B1198" s="675" t="s">
        <v>564</v>
      </c>
      <c r="C1198" s="675" t="s">
        <v>1537</v>
      </c>
      <c r="D1198" s="675" t="s">
        <v>21</v>
      </c>
      <c r="E1198" s="675" t="s">
        <v>514</v>
      </c>
      <c r="F1198" s="675" t="s">
        <v>515</v>
      </c>
      <c r="G1198" s="675"/>
      <c r="H1198" s="675"/>
      <c r="I1198" s="675"/>
      <c r="J1198" s="675"/>
      <c r="K1198" s="675"/>
      <c r="L1198" s="675"/>
      <c r="M1198" s="675"/>
    </row>
    <row r="1199" spans="1:13" x14ac:dyDescent="0.25">
      <c r="A1199" s="675" t="s">
        <v>1535</v>
      </c>
      <c r="B1199" s="675" t="s">
        <v>564</v>
      </c>
      <c r="C1199" s="675" t="s">
        <v>1538</v>
      </c>
      <c r="D1199" s="675" t="s">
        <v>21</v>
      </c>
      <c r="E1199" s="675" t="s">
        <v>514</v>
      </c>
      <c r="F1199" s="675" t="s">
        <v>515</v>
      </c>
      <c r="G1199" s="675"/>
      <c r="H1199" s="675"/>
      <c r="I1199" s="675"/>
      <c r="J1199" s="675"/>
      <c r="K1199" s="675"/>
      <c r="L1199" s="675"/>
      <c r="M1199" s="675"/>
    </row>
    <row r="1200" spans="1:13" x14ac:dyDescent="0.25">
      <c r="A1200" s="675" t="s">
        <v>1535</v>
      </c>
      <c r="B1200" s="675" t="s">
        <v>564</v>
      </c>
      <c r="C1200" s="675" t="s">
        <v>1539</v>
      </c>
      <c r="D1200" s="675" t="s">
        <v>21</v>
      </c>
      <c r="E1200" s="675" t="s">
        <v>514</v>
      </c>
      <c r="F1200" s="675" t="s">
        <v>515</v>
      </c>
      <c r="G1200" s="675"/>
      <c r="H1200" s="675"/>
      <c r="I1200" s="675"/>
      <c r="J1200" s="675"/>
      <c r="K1200" s="675"/>
      <c r="L1200" s="675"/>
      <c r="M1200" s="675"/>
    </row>
    <row r="1201" spans="1:13" x14ac:dyDescent="0.25">
      <c r="A1201" s="675" t="s">
        <v>1535</v>
      </c>
      <c r="B1201" s="675" t="s">
        <v>564</v>
      </c>
      <c r="C1201" s="675" t="s">
        <v>1152</v>
      </c>
      <c r="D1201" s="675" t="s">
        <v>21</v>
      </c>
      <c r="E1201" s="675" t="s">
        <v>514</v>
      </c>
      <c r="F1201" s="675" t="s">
        <v>515</v>
      </c>
      <c r="G1201" s="675"/>
      <c r="H1201" s="675"/>
      <c r="I1201" s="675"/>
      <c r="J1201" s="675"/>
      <c r="K1201" s="675"/>
      <c r="L1201" s="675"/>
      <c r="M1201" s="675"/>
    </row>
    <row r="1202" spans="1:13" x14ac:dyDescent="0.25">
      <c r="A1202" s="675" t="s">
        <v>1535</v>
      </c>
      <c r="B1202" s="675" t="s">
        <v>564</v>
      </c>
      <c r="C1202" s="675" t="s">
        <v>1153</v>
      </c>
      <c r="D1202" s="675" t="s">
        <v>21</v>
      </c>
      <c r="E1202" s="675" t="s">
        <v>514</v>
      </c>
      <c r="F1202" s="675" t="s">
        <v>515</v>
      </c>
      <c r="G1202" s="675"/>
      <c r="H1202" s="675"/>
      <c r="I1202" s="675"/>
      <c r="J1202" s="675"/>
      <c r="K1202" s="675"/>
      <c r="L1202" s="675"/>
      <c r="M1202" s="675"/>
    </row>
    <row r="1203" spans="1:13" x14ac:dyDescent="0.25">
      <c r="A1203" s="678" t="s">
        <v>1540</v>
      </c>
      <c r="B1203" s="678" t="s">
        <v>545</v>
      </c>
      <c r="C1203" s="678" t="s">
        <v>907</v>
      </c>
      <c r="D1203" s="678" t="s">
        <v>21</v>
      </c>
      <c r="E1203" s="678" t="s">
        <v>514</v>
      </c>
      <c r="F1203" s="678" t="s">
        <v>636</v>
      </c>
      <c r="G1203" s="675"/>
      <c r="H1203" s="675"/>
      <c r="I1203" s="675"/>
      <c r="J1203" s="675"/>
      <c r="K1203" s="675"/>
      <c r="L1203" s="675"/>
      <c r="M1203" s="675"/>
    </row>
    <row r="1204" spans="1:13" x14ac:dyDescent="0.25">
      <c r="A1204" s="675" t="s">
        <v>1540</v>
      </c>
      <c r="B1204" s="675" t="s">
        <v>545</v>
      </c>
      <c r="C1204" s="675" t="s">
        <v>908</v>
      </c>
      <c r="D1204" s="675" t="s">
        <v>21</v>
      </c>
      <c r="E1204" s="675" t="s">
        <v>514</v>
      </c>
      <c r="F1204" s="675" t="s">
        <v>515</v>
      </c>
      <c r="G1204" s="675"/>
      <c r="H1204" s="675"/>
      <c r="I1204" s="675"/>
      <c r="J1204" s="675"/>
      <c r="K1204" s="675"/>
      <c r="L1204" s="675"/>
      <c r="M1204" s="675"/>
    </row>
    <row r="1205" spans="1:13" x14ac:dyDescent="0.25">
      <c r="A1205" s="675" t="s">
        <v>1540</v>
      </c>
      <c r="B1205" s="675" t="s">
        <v>545</v>
      </c>
      <c r="C1205" s="675" t="s">
        <v>960</v>
      </c>
      <c r="D1205" s="675" t="s">
        <v>21</v>
      </c>
      <c r="E1205" s="675" t="s">
        <v>514</v>
      </c>
      <c r="F1205" s="675" t="s">
        <v>515</v>
      </c>
      <c r="G1205" s="675"/>
      <c r="H1205" s="675"/>
      <c r="I1205" s="675"/>
      <c r="J1205" s="675"/>
      <c r="K1205" s="675"/>
      <c r="L1205" s="675"/>
      <c r="M1205" s="675"/>
    </row>
    <row r="1206" spans="1:13" x14ac:dyDescent="0.25">
      <c r="A1206" s="675" t="s">
        <v>1540</v>
      </c>
      <c r="B1206" s="675" t="s">
        <v>545</v>
      </c>
      <c r="C1206" s="675" t="s">
        <v>913</v>
      </c>
      <c r="D1206" s="675" t="s">
        <v>21</v>
      </c>
      <c r="E1206" s="675" t="s">
        <v>514</v>
      </c>
      <c r="F1206" s="675" t="s">
        <v>515</v>
      </c>
      <c r="G1206" s="675"/>
      <c r="H1206" s="675"/>
      <c r="I1206" s="675"/>
      <c r="J1206" s="675"/>
      <c r="K1206" s="675"/>
      <c r="L1206" s="675"/>
      <c r="M1206" s="675"/>
    </row>
    <row r="1207" spans="1:13" x14ac:dyDescent="0.25">
      <c r="A1207" s="678" t="s">
        <v>1540</v>
      </c>
      <c r="B1207" s="678" t="s">
        <v>545</v>
      </c>
      <c r="C1207" s="678" t="s">
        <v>1541</v>
      </c>
      <c r="D1207" s="678" t="s">
        <v>21</v>
      </c>
      <c r="E1207" s="678" t="s">
        <v>514</v>
      </c>
      <c r="F1207" s="678" t="s">
        <v>636</v>
      </c>
      <c r="G1207" s="675"/>
      <c r="H1207" s="675"/>
      <c r="I1207" s="675"/>
      <c r="J1207" s="675"/>
      <c r="K1207" s="675"/>
      <c r="L1207" s="675"/>
      <c r="M1207" s="675"/>
    </row>
    <row r="1208" spans="1:13" x14ac:dyDescent="0.25">
      <c r="A1208" s="675" t="s">
        <v>1540</v>
      </c>
      <c r="B1208" s="675" t="s">
        <v>545</v>
      </c>
      <c r="C1208" s="675" t="s">
        <v>626</v>
      </c>
      <c r="D1208" s="675" t="s">
        <v>21</v>
      </c>
      <c r="E1208" s="675" t="s">
        <v>514</v>
      </c>
      <c r="F1208" s="675" t="s">
        <v>515</v>
      </c>
      <c r="G1208" s="675"/>
      <c r="H1208" s="675"/>
      <c r="I1208" s="675"/>
      <c r="J1208" s="675"/>
      <c r="K1208" s="675"/>
      <c r="L1208" s="675"/>
      <c r="M1208" s="675"/>
    </row>
    <row r="1209" spans="1:13" x14ac:dyDescent="0.25">
      <c r="A1209" s="675" t="s">
        <v>1542</v>
      </c>
      <c r="B1209" s="675" t="s">
        <v>512</v>
      </c>
      <c r="C1209" s="675" t="s">
        <v>1543</v>
      </c>
      <c r="D1209" s="675" t="s">
        <v>21</v>
      </c>
      <c r="E1209" s="675" t="s">
        <v>514</v>
      </c>
      <c r="F1209" s="675" t="s">
        <v>515</v>
      </c>
      <c r="G1209" s="675"/>
      <c r="H1209" s="675"/>
      <c r="I1209" s="675"/>
      <c r="J1209" s="675"/>
      <c r="K1209" s="675"/>
      <c r="L1209" s="675"/>
      <c r="M1209" s="675"/>
    </row>
    <row r="1210" spans="1:13" x14ac:dyDescent="0.25">
      <c r="A1210" s="675" t="s">
        <v>1542</v>
      </c>
      <c r="B1210" s="675" t="s">
        <v>512</v>
      </c>
      <c r="C1210" s="675" t="s">
        <v>1544</v>
      </c>
      <c r="D1210" s="675" t="s">
        <v>21</v>
      </c>
      <c r="E1210" s="675" t="s">
        <v>514</v>
      </c>
      <c r="F1210" s="675" t="s">
        <v>515</v>
      </c>
      <c r="G1210" s="675"/>
      <c r="H1210" s="675"/>
      <c r="I1210" s="675"/>
      <c r="J1210" s="675"/>
      <c r="K1210" s="675"/>
      <c r="L1210" s="675"/>
      <c r="M1210" s="675"/>
    </row>
    <row r="1211" spans="1:13" x14ac:dyDescent="0.25">
      <c r="A1211" s="675" t="s">
        <v>1542</v>
      </c>
      <c r="B1211" s="675" t="s">
        <v>512</v>
      </c>
      <c r="C1211" s="675" t="s">
        <v>1545</v>
      </c>
      <c r="D1211" s="675" t="s">
        <v>21</v>
      </c>
      <c r="E1211" s="675" t="s">
        <v>514</v>
      </c>
      <c r="F1211" s="675" t="s">
        <v>515</v>
      </c>
      <c r="G1211" s="675"/>
      <c r="H1211" s="675"/>
      <c r="I1211" s="675"/>
      <c r="J1211" s="675"/>
      <c r="K1211" s="675"/>
      <c r="L1211" s="675"/>
      <c r="M1211" s="675"/>
    </row>
    <row r="1212" spans="1:13" x14ac:dyDescent="0.25">
      <c r="A1212" s="675" t="s">
        <v>1546</v>
      </c>
      <c r="B1212" s="675" t="s">
        <v>512</v>
      </c>
      <c r="C1212" s="675" t="s">
        <v>1547</v>
      </c>
      <c r="D1212" s="675" t="s">
        <v>21</v>
      </c>
      <c r="E1212" s="675" t="s">
        <v>514</v>
      </c>
      <c r="F1212" s="675" t="s">
        <v>515</v>
      </c>
      <c r="G1212" s="675"/>
      <c r="H1212" s="675"/>
      <c r="I1212" s="675"/>
      <c r="J1212" s="675"/>
      <c r="K1212" s="675"/>
      <c r="L1212" s="675"/>
      <c r="M1212" s="675"/>
    </row>
    <row r="1213" spans="1:13" x14ac:dyDescent="0.25">
      <c r="A1213" s="675" t="s">
        <v>1546</v>
      </c>
      <c r="B1213" s="675" t="s">
        <v>512</v>
      </c>
      <c r="C1213" s="675" t="s">
        <v>873</v>
      </c>
      <c r="D1213" s="675" t="s">
        <v>21</v>
      </c>
      <c r="E1213" s="675" t="s">
        <v>514</v>
      </c>
      <c r="F1213" s="675" t="s">
        <v>515</v>
      </c>
      <c r="G1213" s="675"/>
      <c r="H1213" s="675"/>
      <c r="I1213" s="675"/>
      <c r="J1213" s="675"/>
      <c r="K1213" s="675"/>
      <c r="L1213" s="675"/>
      <c r="M1213" s="675"/>
    </row>
    <row r="1214" spans="1:13" x14ac:dyDescent="0.25">
      <c r="A1214" s="675" t="s">
        <v>1546</v>
      </c>
      <c r="B1214" s="675" t="s">
        <v>512</v>
      </c>
      <c r="C1214" s="675" t="s">
        <v>810</v>
      </c>
      <c r="D1214" s="675" t="s">
        <v>21</v>
      </c>
      <c r="E1214" s="675" t="s">
        <v>514</v>
      </c>
      <c r="F1214" s="675" t="s">
        <v>515</v>
      </c>
      <c r="G1214" s="675"/>
      <c r="H1214" s="675"/>
      <c r="I1214" s="675"/>
      <c r="J1214" s="675"/>
      <c r="K1214" s="675"/>
      <c r="L1214" s="675"/>
      <c r="M1214" s="675"/>
    </row>
    <row r="1215" spans="1:13" x14ac:dyDescent="0.25">
      <c r="A1215" s="675" t="s">
        <v>1546</v>
      </c>
      <c r="B1215" s="675" t="s">
        <v>512</v>
      </c>
      <c r="C1215" s="675" t="s">
        <v>811</v>
      </c>
      <c r="D1215" s="675" t="s">
        <v>21</v>
      </c>
      <c r="E1215" s="675" t="s">
        <v>514</v>
      </c>
      <c r="F1215" s="675" t="s">
        <v>515</v>
      </c>
      <c r="G1215" s="675"/>
      <c r="H1215" s="675"/>
      <c r="I1215" s="675"/>
      <c r="J1215" s="675"/>
      <c r="K1215" s="675"/>
      <c r="L1215" s="675"/>
      <c r="M1215" s="675"/>
    </row>
    <row r="1216" spans="1:13" x14ac:dyDescent="0.25">
      <c r="A1216" s="675" t="s">
        <v>1546</v>
      </c>
      <c r="B1216" s="675" t="s">
        <v>512</v>
      </c>
      <c r="C1216" s="675" t="s">
        <v>1548</v>
      </c>
      <c r="D1216" s="675" t="s">
        <v>21</v>
      </c>
      <c r="E1216" s="675" t="s">
        <v>514</v>
      </c>
      <c r="F1216" s="675" t="s">
        <v>515</v>
      </c>
      <c r="G1216" s="675"/>
      <c r="H1216" s="675"/>
      <c r="I1216" s="675"/>
      <c r="J1216" s="675"/>
      <c r="K1216" s="675"/>
      <c r="L1216" s="675"/>
      <c r="M1216" s="675"/>
    </row>
    <row r="1217" spans="1:13" x14ac:dyDescent="0.25">
      <c r="A1217" s="678" t="s">
        <v>1546</v>
      </c>
      <c r="B1217" s="678" t="s">
        <v>512</v>
      </c>
      <c r="C1217" s="678" t="s">
        <v>1549</v>
      </c>
      <c r="D1217" s="678" t="s">
        <v>21</v>
      </c>
      <c r="E1217" s="678" t="s">
        <v>514</v>
      </c>
      <c r="F1217" s="678" t="s">
        <v>596</v>
      </c>
      <c r="G1217" s="681"/>
      <c r="H1217" s="681"/>
      <c r="I1217" s="681"/>
      <c r="J1217" s="675"/>
      <c r="K1217" s="675"/>
      <c r="L1217" s="675"/>
      <c r="M1217" s="675"/>
    </row>
    <row r="1218" spans="1:13" x14ac:dyDescent="0.25">
      <c r="A1218" s="675" t="s">
        <v>1546</v>
      </c>
      <c r="B1218" s="675" t="s">
        <v>545</v>
      </c>
      <c r="C1218" s="675" t="s">
        <v>1550</v>
      </c>
      <c r="D1218" s="675" t="s">
        <v>21</v>
      </c>
      <c r="E1218" s="675" t="s">
        <v>514</v>
      </c>
      <c r="F1218" s="675" t="s">
        <v>515</v>
      </c>
      <c r="G1218" s="675"/>
      <c r="H1218" s="675"/>
      <c r="I1218" s="675"/>
      <c r="J1218" s="675"/>
      <c r="K1218" s="675"/>
      <c r="L1218" s="675"/>
      <c r="M1218" s="675"/>
    </row>
    <row r="1219" spans="1:13" x14ac:dyDescent="0.25">
      <c r="A1219" s="678" t="s">
        <v>1546</v>
      </c>
      <c r="B1219" s="678" t="s">
        <v>545</v>
      </c>
      <c r="C1219" s="678" t="s">
        <v>1551</v>
      </c>
      <c r="D1219" s="678" t="s">
        <v>21</v>
      </c>
      <c r="E1219" s="678" t="s">
        <v>514</v>
      </c>
      <c r="F1219" s="678" t="s">
        <v>636</v>
      </c>
      <c r="G1219" s="675"/>
      <c r="H1219" s="675"/>
      <c r="I1219" s="675"/>
      <c r="J1219" s="675"/>
      <c r="K1219" s="675"/>
      <c r="L1219" s="675"/>
      <c r="M1219" s="675"/>
    </row>
    <row r="1220" spans="1:13" x14ac:dyDescent="0.25">
      <c r="A1220" s="675" t="s">
        <v>1546</v>
      </c>
      <c r="B1220" s="675" t="s">
        <v>545</v>
      </c>
      <c r="C1220" s="675" t="s">
        <v>626</v>
      </c>
      <c r="D1220" s="675" t="s">
        <v>21</v>
      </c>
      <c r="E1220" s="675" t="s">
        <v>514</v>
      </c>
      <c r="F1220" s="675" t="s">
        <v>515</v>
      </c>
      <c r="G1220" s="675"/>
      <c r="H1220" s="675"/>
      <c r="I1220" s="675"/>
      <c r="J1220" s="675"/>
      <c r="K1220" s="675"/>
      <c r="L1220" s="675"/>
      <c r="M1220" s="675"/>
    </row>
    <row r="1221" spans="1:13" x14ac:dyDescent="0.25">
      <c r="A1221" s="675" t="s">
        <v>1546</v>
      </c>
      <c r="B1221" s="675" t="s">
        <v>564</v>
      </c>
      <c r="C1221" s="675" t="s">
        <v>1552</v>
      </c>
      <c r="D1221" s="675" t="s">
        <v>21</v>
      </c>
      <c r="E1221" s="675" t="s">
        <v>514</v>
      </c>
      <c r="F1221" s="675" t="s">
        <v>515</v>
      </c>
      <c r="G1221" s="675"/>
      <c r="H1221" s="675"/>
      <c r="I1221" s="675"/>
      <c r="J1221" s="675"/>
      <c r="K1221" s="675"/>
      <c r="L1221" s="675"/>
      <c r="M1221" s="675"/>
    </row>
    <row r="1222" spans="1:13" x14ac:dyDescent="0.25">
      <c r="A1222" s="675" t="s">
        <v>1546</v>
      </c>
      <c r="B1222" s="675" t="s">
        <v>564</v>
      </c>
      <c r="C1222" s="675" t="s">
        <v>1553</v>
      </c>
      <c r="D1222" s="675" t="s">
        <v>21</v>
      </c>
      <c r="E1222" s="675" t="s">
        <v>514</v>
      </c>
      <c r="F1222" s="675" t="s">
        <v>515</v>
      </c>
      <c r="G1222" s="675"/>
      <c r="H1222" s="675"/>
      <c r="I1222" s="675"/>
      <c r="J1222" s="675"/>
      <c r="K1222" s="675"/>
      <c r="L1222" s="675"/>
      <c r="M1222" s="675"/>
    </row>
    <row r="1223" spans="1:13" x14ac:dyDescent="0.25">
      <c r="A1223" s="675" t="s">
        <v>1554</v>
      </c>
      <c r="B1223" s="675" t="s">
        <v>512</v>
      </c>
      <c r="C1223" s="675" t="s">
        <v>1141</v>
      </c>
      <c r="D1223" s="675" t="s">
        <v>21</v>
      </c>
      <c r="E1223" s="675" t="s">
        <v>514</v>
      </c>
      <c r="F1223" s="675" t="s">
        <v>515</v>
      </c>
      <c r="G1223" s="675"/>
      <c r="H1223" s="675"/>
      <c r="I1223" s="675"/>
      <c r="J1223" s="675"/>
      <c r="K1223" s="675"/>
      <c r="L1223" s="675"/>
      <c r="M1223" s="675"/>
    </row>
    <row r="1224" spans="1:13" x14ac:dyDescent="0.25">
      <c r="A1224" s="678" t="s">
        <v>1554</v>
      </c>
      <c r="B1224" s="678" t="s">
        <v>512</v>
      </c>
      <c r="C1224" s="678" t="s">
        <v>1555</v>
      </c>
      <c r="D1224" s="678" t="s">
        <v>21</v>
      </c>
      <c r="E1224" s="678" t="s">
        <v>514</v>
      </c>
      <c r="F1224" s="678" t="s">
        <v>596</v>
      </c>
      <c r="G1224" s="681"/>
      <c r="H1224" s="681"/>
      <c r="I1224" s="681"/>
      <c r="J1224" s="675"/>
      <c r="K1224" s="675"/>
      <c r="L1224" s="675"/>
      <c r="M1224" s="675"/>
    </row>
    <row r="1225" spans="1:13" x14ac:dyDescent="0.25">
      <c r="A1225" s="675" t="s">
        <v>1554</v>
      </c>
      <c r="B1225" s="675" t="s">
        <v>512</v>
      </c>
      <c r="C1225" s="675" t="s">
        <v>1556</v>
      </c>
      <c r="D1225" s="675" t="s">
        <v>21</v>
      </c>
      <c r="E1225" s="675" t="s">
        <v>514</v>
      </c>
      <c r="F1225" s="675" t="s">
        <v>515</v>
      </c>
      <c r="G1225" s="675"/>
      <c r="H1225" s="675"/>
      <c r="I1225" s="675"/>
      <c r="J1225" s="675"/>
      <c r="K1225" s="675"/>
      <c r="L1225" s="675"/>
      <c r="M1225" s="675"/>
    </row>
    <row r="1226" spans="1:13" x14ac:dyDescent="0.25">
      <c r="A1226" s="675" t="s">
        <v>1554</v>
      </c>
      <c r="B1226" s="675" t="s">
        <v>512</v>
      </c>
      <c r="C1226" s="675" t="s">
        <v>1557</v>
      </c>
      <c r="D1226" s="675" t="s">
        <v>21</v>
      </c>
      <c r="E1226" s="675" t="s">
        <v>514</v>
      </c>
      <c r="F1226" s="675" t="s">
        <v>515</v>
      </c>
      <c r="G1226" s="675"/>
      <c r="H1226" s="675"/>
      <c r="I1226" s="675"/>
      <c r="J1226" s="675"/>
      <c r="K1226" s="675"/>
      <c r="L1226" s="675"/>
      <c r="M1226" s="675"/>
    </row>
    <row r="1227" spans="1:13" x14ac:dyDescent="0.25">
      <c r="A1227" s="675" t="s">
        <v>1554</v>
      </c>
      <c r="B1227" s="675" t="s">
        <v>512</v>
      </c>
      <c r="C1227" s="675" t="s">
        <v>1558</v>
      </c>
      <c r="D1227" s="675" t="s">
        <v>21</v>
      </c>
      <c r="E1227" s="675" t="s">
        <v>514</v>
      </c>
      <c r="F1227" s="675" t="s">
        <v>515</v>
      </c>
      <c r="G1227" s="675"/>
      <c r="H1227" s="675"/>
      <c r="I1227" s="675"/>
      <c r="J1227" s="675"/>
      <c r="K1227" s="675"/>
      <c r="L1227" s="675"/>
      <c r="M1227" s="675"/>
    </row>
    <row r="1228" spans="1:13" x14ac:dyDescent="0.25">
      <c r="A1228" s="675" t="s">
        <v>1554</v>
      </c>
      <c r="B1228" s="675" t="s">
        <v>512</v>
      </c>
      <c r="C1228" s="675" t="s">
        <v>1559</v>
      </c>
      <c r="D1228" s="675" t="s">
        <v>21</v>
      </c>
      <c r="E1228" s="675" t="s">
        <v>514</v>
      </c>
      <c r="F1228" s="675" t="s">
        <v>515</v>
      </c>
      <c r="G1228" s="675"/>
      <c r="H1228" s="675"/>
      <c r="I1228" s="675"/>
      <c r="J1228" s="675"/>
      <c r="K1228" s="675"/>
      <c r="L1228" s="675"/>
      <c r="M1228" s="675"/>
    </row>
    <row r="1229" spans="1:13" x14ac:dyDescent="0.25">
      <c r="A1229" s="675" t="s">
        <v>1554</v>
      </c>
      <c r="B1229" s="675" t="s">
        <v>512</v>
      </c>
      <c r="C1229" s="675" t="s">
        <v>1560</v>
      </c>
      <c r="D1229" s="675" t="s">
        <v>21</v>
      </c>
      <c r="E1229" s="675" t="s">
        <v>514</v>
      </c>
      <c r="F1229" s="675" t="s">
        <v>515</v>
      </c>
      <c r="G1229" s="675"/>
      <c r="H1229" s="675"/>
      <c r="I1229" s="675"/>
      <c r="J1229" s="675"/>
      <c r="K1229" s="675"/>
      <c r="L1229" s="675"/>
      <c r="M1229" s="675"/>
    </row>
    <row r="1230" spans="1:13" x14ac:dyDescent="0.25">
      <c r="A1230" s="675" t="s">
        <v>1554</v>
      </c>
      <c r="B1230" s="675" t="s">
        <v>512</v>
      </c>
      <c r="C1230" s="675" t="s">
        <v>1561</v>
      </c>
      <c r="D1230" s="675" t="s">
        <v>21</v>
      </c>
      <c r="E1230" s="675" t="s">
        <v>514</v>
      </c>
      <c r="F1230" s="675" t="s">
        <v>515</v>
      </c>
      <c r="G1230" s="675"/>
      <c r="H1230" s="675"/>
      <c r="I1230" s="675"/>
      <c r="J1230" s="675"/>
      <c r="K1230" s="675"/>
      <c r="L1230" s="675"/>
      <c r="M1230" s="675"/>
    </row>
    <row r="1231" spans="1:13" x14ac:dyDescent="0.25">
      <c r="A1231" s="675" t="s">
        <v>1554</v>
      </c>
      <c r="B1231" s="675" t="s">
        <v>512</v>
      </c>
      <c r="C1231" s="675" t="s">
        <v>1562</v>
      </c>
      <c r="D1231" s="675" t="s">
        <v>21</v>
      </c>
      <c r="E1231" s="675" t="s">
        <v>514</v>
      </c>
      <c r="F1231" s="675" t="s">
        <v>515</v>
      </c>
      <c r="G1231" s="675"/>
      <c r="H1231" s="675"/>
      <c r="I1231" s="675"/>
      <c r="J1231" s="675"/>
      <c r="K1231" s="675"/>
      <c r="L1231" s="675"/>
      <c r="M1231" s="675"/>
    </row>
    <row r="1232" spans="1:13" x14ac:dyDescent="0.25">
      <c r="A1232" s="675" t="s">
        <v>1554</v>
      </c>
      <c r="B1232" s="675" t="s">
        <v>512</v>
      </c>
      <c r="C1232" s="675" t="s">
        <v>878</v>
      </c>
      <c r="D1232" s="675" t="s">
        <v>21</v>
      </c>
      <c r="E1232" s="675" t="s">
        <v>514</v>
      </c>
      <c r="F1232" s="675" t="s">
        <v>515</v>
      </c>
      <c r="G1232" s="675"/>
      <c r="H1232" s="675"/>
      <c r="I1232" s="675"/>
      <c r="J1232" s="675"/>
      <c r="K1232" s="675"/>
      <c r="L1232" s="675"/>
      <c r="M1232" s="675"/>
    </row>
    <row r="1233" spans="1:13" x14ac:dyDescent="0.25">
      <c r="A1233" s="675" t="s">
        <v>1554</v>
      </c>
      <c r="B1233" s="675" t="s">
        <v>512</v>
      </c>
      <c r="C1233" s="675" t="s">
        <v>1548</v>
      </c>
      <c r="D1233" s="675" t="s">
        <v>21</v>
      </c>
      <c r="E1233" s="675" t="s">
        <v>514</v>
      </c>
      <c r="F1233" s="675" t="s">
        <v>515</v>
      </c>
      <c r="G1233" s="675"/>
      <c r="H1233" s="675"/>
      <c r="I1233" s="675"/>
      <c r="J1233" s="675"/>
      <c r="K1233" s="675"/>
      <c r="L1233" s="675"/>
      <c r="M1233" s="675"/>
    </row>
    <row r="1234" spans="1:13" x14ac:dyDescent="0.25">
      <c r="A1234" s="678" t="s">
        <v>1554</v>
      </c>
      <c r="B1234" s="678" t="s">
        <v>512</v>
      </c>
      <c r="C1234" s="678" t="s">
        <v>1549</v>
      </c>
      <c r="D1234" s="678" t="s">
        <v>21</v>
      </c>
      <c r="E1234" s="678" t="s">
        <v>514</v>
      </c>
      <c r="F1234" s="678" t="s">
        <v>596</v>
      </c>
      <c r="G1234" s="681"/>
      <c r="H1234" s="681"/>
      <c r="I1234" s="681"/>
      <c r="J1234" s="675"/>
      <c r="K1234" s="675"/>
      <c r="L1234" s="675"/>
      <c r="M1234" s="675"/>
    </row>
    <row r="1235" spans="1:13" x14ac:dyDescent="0.25">
      <c r="A1235" s="675" t="s">
        <v>1554</v>
      </c>
      <c r="B1235" s="675" t="s">
        <v>512</v>
      </c>
      <c r="C1235" s="675" t="s">
        <v>1563</v>
      </c>
      <c r="D1235" s="675" t="s">
        <v>21</v>
      </c>
      <c r="E1235" s="675" t="s">
        <v>514</v>
      </c>
      <c r="F1235" s="675" t="s">
        <v>515</v>
      </c>
      <c r="G1235" s="675"/>
      <c r="H1235" s="675"/>
      <c r="I1235" s="675"/>
      <c r="J1235" s="675"/>
      <c r="K1235" s="675"/>
      <c r="L1235" s="675"/>
      <c r="M1235" s="675"/>
    </row>
    <row r="1236" spans="1:13" x14ac:dyDescent="0.25">
      <c r="A1236" s="675" t="s">
        <v>1554</v>
      </c>
      <c r="B1236" s="675" t="s">
        <v>512</v>
      </c>
      <c r="C1236" s="675" t="s">
        <v>1564</v>
      </c>
      <c r="D1236" s="675" t="s">
        <v>21</v>
      </c>
      <c r="E1236" s="675" t="s">
        <v>514</v>
      </c>
      <c r="F1236" s="675" t="s">
        <v>515</v>
      </c>
      <c r="G1236" s="675"/>
      <c r="H1236" s="675"/>
      <c r="I1236" s="675"/>
      <c r="J1236" s="675"/>
      <c r="K1236" s="675"/>
      <c r="L1236" s="675"/>
      <c r="M1236" s="675"/>
    </row>
    <row r="1237" spans="1:13" x14ac:dyDescent="0.25">
      <c r="A1237" s="675" t="s">
        <v>1554</v>
      </c>
      <c r="B1237" s="675" t="s">
        <v>512</v>
      </c>
      <c r="C1237" s="675" t="s">
        <v>1565</v>
      </c>
      <c r="D1237" s="675" t="s">
        <v>21</v>
      </c>
      <c r="E1237" s="675" t="s">
        <v>514</v>
      </c>
      <c r="F1237" s="675" t="s">
        <v>515</v>
      </c>
      <c r="G1237" s="675"/>
      <c r="H1237" s="675"/>
      <c r="I1237" s="675"/>
      <c r="J1237" s="675"/>
      <c r="K1237" s="675"/>
      <c r="L1237" s="675"/>
      <c r="M1237" s="675"/>
    </row>
    <row r="1238" spans="1:13" x14ac:dyDescent="0.25">
      <c r="A1238" s="675" t="s">
        <v>1554</v>
      </c>
      <c r="B1238" s="675" t="s">
        <v>512</v>
      </c>
      <c r="C1238" s="675" t="s">
        <v>1566</v>
      </c>
      <c r="D1238" s="675" t="s">
        <v>21</v>
      </c>
      <c r="E1238" s="675" t="s">
        <v>514</v>
      </c>
      <c r="F1238" s="675" t="s">
        <v>515</v>
      </c>
      <c r="G1238" s="675"/>
      <c r="H1238" s="675"/>
      <c r="I1238" s="675"/>
      <c r="J1238" s="675"/>
      <c r="K1238" s="675"/>
      <c r="L1238" s="675"/>
      <c r="M1238" s="675"/>
    </row>
    <row r="1239" spans="1:13" x14ac:dyDescent="0.25">
      <c r="A1239" s="678" t="s">
        <v>1554</v>
      </c>
      <c r="B1239" s="678" t="s">
        <v>512</v>
      </c>
      <c r="C1239" s="678" t="s">
        <v>1567</v>
      </c>
      <c r="D1239" s="678" t="s">
        <v>21</v>
      </c>
      <c r="E1239" s="678" t="s">
        <v>514</v>
      </c>
      <c r="F1239" s="678" t="s">
        <v>596</v>
      </c>
      <c r="G1239" s="681"/>
      <c r="H1239" s="681"/>
      <c r="I1239" s="681"/>
      <c r="J1239" s="675"/>
      <c r="K1239" s="675"/>
      <c r="L1239" s="675"/>
      <c r="M1239" s="675"/>
    </row>
    <row r="1240" spans="1:13" x14ac:dyDescent="0.25">
      <c r="A1240" s="675" t="s">
        <v>1554</v>
      </c>
      <c r="B1240" s="675" t="s">
        <v>512</v>
      </c>
      <c r="C1240" s="675" t="s">
        <v>1568</v>
      </c>
      <c r="D1240" s="675" t="s">
        <v>21</v>
      </c>
      <c r="E1240" s="675" t="s">
        <v>514</v>
      </c>
      <c r="F1240" s="675" t="s">
        <v>515</v>
      </c>
      <c r="G1240" s="675"/>
      <c r="H1240" s="675"/>
      <c r="I1240" s="675"/>
      <c r="J1240" s="675"/>
      <c r="K1240" s="675"/>
      <c r="L1240" s="675"/>
      <c r="M1240" s="675"/>
    </row>
    <row r="1241" spans="1:13" x14ac:dyDescent="0.25">
      <c r="A1241" s="675" t="s">
        <v>1554</v>
      </c>
      <c r="B1241" s="675" t="s">
        <v>512</v>
      </c>
      <c r="C1241" s="675" t="s">
        <v>885</v>
      </c>
      <c r="D1241" s="675" t="s">
        <v>21</v>
      </c>
      <c r="E1241" s="675" t="s">
        <v>514</v>
      </c>
      <c r="F1241" s="675" t="s">
        <v>515</v>
      </c>
      <c r="G1241" s="675"/>
      <c r="H1241" s="675"/>
      <c r="I1241" s="675"/>
      <c r="J1241" s="675"/>
      <c r="K1241" s="675"/>
      <c r="L1241" s="675"/>
      <c r="M1241" s="675"/>
    </row>
    <row r="1242" spans="1:13" x14ac:dyDescent="0.25">
      <c r="A1242" s="675" t="s">
        <v>1554</v>
      </c>
      <c r="B1242" s="675" t="s">
        <v>512</v>
      </c>
      <c r="C1242" s="675" t="s">
        <v>1569</v>
      </c>
      <c r="D1242" s="675" t="s">
        <v>21</v>
      </c>
      <c r="E1242" s="675" t="s">
        <v>514</v>
      </c>
      <c r="F1242" s="675" t="s">
        <v>515</v>
      </c>
      <c r="G1242" s="675"/>
      <c r="H1242" s="675"/>
      <c r="I1242" s="675"/>
      <c r="J1242" s="675"/>
      <c r="K1242" s="675"/>
      <c r="L1242" s="675"/>
      <c r="M1242" s="675"/>
    </row>
    <row r="1243" spans="1:13" x14ac:dyDescent="0.25">
      <c r="A1243" s="675" t="s">
        <v>1554</v>
      </c>
      <c r="B1243" s="675" t="s">
        <v>512</v>
      </c>
      <c r="C1243" s="675" t="s">
        <v>1570</v>
      </c>
      <c r="D1243" s="675" t="s">
        <v>21</v>
      </c>
      <c r="E1243" s="675" t="s">
        <v>514</v>
      </c>
      <c r="F1243" s="675" t="s">
        <v>515</v>
      </c>
      <c r="G1243" s="675"/>
      <c r="H1243" s="675"/>
      <c r="I1243" s="675"/>
      <c r="J1243" s="675"/>
      <c r="K1243" s="675"/>
      <c r="L1243" s="675"/>
      <c r="M1243" s="675"/>
    </row>
    <row r="1244" spans="1:13" x14ac:dyDescent="0.25">
      <c r="A1244" s="678" t="s">
        <v>1554</v>
      </c>
      <c r="B1244" s="678" t="s">
        <v>512</v>
      </c>
      <c r="C1244" s="678" t="s">
        <v>665</v>
      </c>
      <c r="D1244" s="678" t="s">
        <v>21</v>
      </c>
      <c r="E1244" s="678" t="s">
        <v>514</v>
      </c>
      <c r="F1244" s="678" t="s">
        <v>596</v>
      </c>
      <c r="G1244" s="681"/>
      <c r="H1244" s="681"/>
      <c r="I1244" s="681"/>
      <c r="J1244" s="675"/>
      <c r="K1244" s="675"/>
      <c r="L1244" s="675"/>
      <c r="M1244" s="675"/>
    </row>
    <row r="1245" spans="1:13" x14ac:dyDescent="0.25">
      <c r="A1245" s="675" t="s">
        <v>1554</v>
      </c>
      <c r="B1245" s="675" t="s">
        <v>512</v>
      </c>
      <c r="C1245" s="675" t="s">
        <v>891</v>
      </c>
      <c r="D1245" s="675" t="s">
        <v>21</v>
      </c>
      <c r="E1245" s="675" t="s">
        <v>514</v>
      </c>
      <c r="F1245" s="675" t="s">
        <v>515</v>
      </c>
      <c r="G1245" s="675"/>
      <c r="H1245" s="675"/>
      <c r="I1245" s="675"/>
      <c r="J1245" s="675"/>
      <c r="K1245" s="675"/>
      <c r="L1245" s="675"/>
      <c r="M1245" s="675"/>
    </row>
    <row r="1246" spans="1:13" x14ac:dyDescent="0.25">
      <c r="A1246" s="675" t="s">
        <v>1554</v>
      </c>
      <c r="B1246" s="675" t="s">
        <v>512</v>
      </c>
      <c r="C1246" s="675" t="s">
        <v>892</v>
      </c>
      <c r="D1246" s="675" t="s">
        <v>21</v>
      </c>
      <c r="E1246" s="675" t="s">
        <v>514</v>
      </c>
      <c r="F1246" s="675" t="s">
        <v>515</v>
      </c>
      <c r="G1246" s="675"/>
      <c r="H1246" s="675"/>
      <c r="I1246" s="675"/>
      <c r="J1246" s="675"/>
      <c r="K1246" s="675"/>
      <c r="L1246" s="675"/>
      <c r="M1246" s="675"/>
    </row>
    <row r="1247" spans="1:13" x14ac:dyDescent="0.25">
      <c r="A1247" s="675" t="s">
        <v>1554</v>
      </c>
      <c r="B1247" s="675" t="s">
        <v>512</v>
      </c>
      <c r="C1247" s="675" t="s">
        <v>893</v>
      </c>
      <c r="D1247" s="675" t="s">
        <v>21</v>
      </c>
      <c r="E1247" s="675" t="s">
        <v>514</v>
      </c>
      <c r="F1247" s="675" t="s">
        <v>515</v>
      </c>
      <c r="G1247" s="675"/>
      <c r="H1247" s="675"/>
      <c r="I1247" s="675"/>
      <c r="J1247" s="675"/>
      <c r="K1247" s="675"/>
      <c r="L1247" s="675"/>
      <c r="M1247" s="675"/>
    </row>
    <row r="1248" spans="1:13" x14ac:dyDescent="0.25">
      <c r="A1248" s="675" t="s">
        <v>1554</v>
      </c>
      <c r="B1248" s="675" t="s">
        <v>512</v>
      </c>
      <c r="C1248" s="675" t="s">
        <v>1571</v>
      </c>
      <c r="D1248" s="675" t="s">
        <v>21</v>
      </c>
      <c r="E1248" s="675" t="s">
        <v>514</v>
      </c>
      <c r="F1248" s="675" t="s">
        <v>515</v>
      </c>
      <c r="G1248" s="675"/>
      <c r="H1248" s="675"/>
      <c r="I1248" s="675"/>
      <c r="J1248" s="675"/>
      <c r="K1248" s="675"/>
      <c r="L1248" s="675"/>
      <c r="M1248" s="675"/>
    </row>
    <row r="1249" spans="1:13" x14ac:dyDescent="0.25">
      <c r="A1249" s="675" t="s">
        <v>1554</v>
      </c>
      <c r="B1249" s="675" t="s">
        <v>512</v>
      </c>
      <c r="C1249" s="675" t="s">
        <v>897</v>
      </c>
      <c r="D1249" s="675" t="s">
        <v>21</v>
      </c>
      <c r="E1249" s="675" t="s">
        <v>514</v>
      </c>
      <c r="F1249" s="675" t="s">
        <v>515</v>
      </c>
      <c r="G1249" s="675"/>
      <c r="H1249" s="675"/>
      <c r="I1249" s="675"/>
      <c r="J1249" s="675"/>
      <c r="K1249" s="675"/>
      <c r="L1249" s="675"/>
      <c r="M1249" s="675"/>
    </row>
    <row r="1250" spans="1:13" x14ac:dyDescent="0.25">
      <c r="A1250" s="675" t="s">
        <v>1554</v>
      </c>
      <c r="B1250" s="675" t="s">
        <v>512</v>
      </c>
      <c r="C1250" s="675" t="s">
        <v>1572</v>
      </c>
      <c r="D1250" s="675" t="s">
        <v>21</v>
      </c>
      <c r="E1250" s="675" t="s">
        <v>514</v>
      </c>
      <c r="F1250" s="675" t="s">
        <v>515</v>
      </c>
      <c r="G1250" s="675"/>
      <c r="H1250" s="675"/>
      <c r="I1250" s="675"/>
      <c r="J1250" s="675"/>
      <c r="K1250" s="675"/>
      <c r="L1250" s="675"/>
      <c r="M1250" s="675"/>
    </row>
    <row r="1251" spans="1:13" x14ac:dyDescent="0.25">
      <c r="A1251" s="675" t="s">
        <v>1554</v>
      </c>
      <c r="B1251" s="675" t="s">
        <v>512</v>
      </c>
      <c r="C1251" s="675" t="s">
        <v>1357</v>
      </c>
      <c r="D1251" s="675" t="s">
        <v>21</v>
      </c>
      <c r="E1251" s="675" t="s">
        <v>514</v>
      </c>
      <c r="F1251" s="675" t="s">
        <v>515</v>
      </c>
      <c r="G1251" s="675"/>
      <c r="H1251" s="675"/>
      <c r="I1251" s="675"/>
      <c r="J1251" s="675"/>
      <c r="K1251" s="675"/>
      <c r="L1251" s="675"/>
      <c r="M1251" s="675"/>
    </row>
    <row r="1252" spans="1:13" x14ac:dyDescent="0.25">
      <c r="A1252" s="675" t="s">
        <v>1554</v>
      </c>
      <c r="B1252" s="675" t="s">
        <v>512</v>
      </c>
      <c r="C1252" s="675" t="s">
        <v>1573</v>
      </c>
      <c r="D1252" s="675" t="s">
        <v>21</v>
      </c>
      <c r="E1252" s="675" t="s">
        <v>514</v>
      </c>
      <c r="F1252" s="675" t="s">
        <v>515</v>
      </c>
      <c r="G1252" s="675"/>
      <c r="H1252" s="675"/>
      <c r="I1252" s="675"/>
      <c r="J1252" s="675"/>
      <c r="K1252" s="675"/>
      <c r="L1252" s="675"/>
      <c r="M1252" s="675"/>
    </row>
    <row r="1253" spans="1:13" x14ac:dyDescent="0.25">
      <c r="A1253" s="675" t="s">
        <v>1554</v>
      </c>
      <c r="B1253" s="675" t="s">
        <v>512</v>
      </c>
      <c r="C1253" s="675" t="s">
        <v>898</v>
      </c>
      <c r="D1253" s="675" t="s">
        <v>21</v>
      </c>
      <c r="E1253" s="675" t="s">
        <v>514</v>
      </c>
      <c r="F1253" s="675" t="s">
        <v>515</v>
      </c>
      <c r="G1253" s="675"/>
      <c r="H1253" s="675"/>
      <c r="I1253" s="675"/>
      <c r="J1253" s="675"/>
      <c r="K1253" s="675"/>
      <c r="L1253" s="675"/>
      <c r="M1253" s="675"/>
    </row>
    <row r="1254" spans="1:13" x14ac:dyDescent="0.25">
      <c r="A1254" s="675" t="s">
        <v>1554</v>
      </c>
      <c r="B1254" s="675" t="s">
        <v>512</v>
      </c>
      <c r="C1254" s="675" t="s">
        <v>1574</v>
      </c>
      <c r="D1254" s="675" t="s">
        <v>21</v>
      </c>
      <c r="E1254" s="675" t="s">
        <v>514</v>
      </c>
      <c r="F1254" s="675" t="s">
        <v>515</v>
      </c>
      <c r="G1254" s="675"/>
      <c r="H1254" s="675"/>
      <c r="I1254" s="675"/>
      <c r="J1254" s="675"/>
      <c r="K1254" s="675"/>
      <c r="L1254" s="675"/>
      <c r="M1254" s="675"/>
    </row>
    <row r="1255" spans="1:13" x14ac:dyDescent="0.25">
      <c r="A1255" s="675" t="s">
        <v>1554</v>
      </c>
      <c r="B1255" s="675" t="s">
        <v>512</v>
      </c>
      <c r="C1255" s="675" t="s">
        <v>1575</v>
      </c>
      <c r="D1255" s="675" t="s">
        <v>21</v>
      </c>
      <c r="E1255" s="675" t="s">
        <v>514</v>
      </c>
      <c r="F1255" s="675" t="s">
        <v>515</v>
      </c>
      <c r="G1255" s="675"/>
      <c r="H1255" s="675"/>
      <c r="I1255" s="675"/>
      <c r="J1255" s="675"/>
      <c r="K1255" s="675"/>
      <c r="L1255" s="675"/>
      <c r="M1255" s="675"/>
    </row>
    <row r="1256" spans="1:13" x14ac:dyDescent="0.25">
      <c r="A1256" s="675" t="s">
        <v>1554</v>
      </c>
      <c r="B1256" s="675" t="s">
        <v>512</v>
      </c>
      <c r="C1256" s="675" t="s">
        <v>1576</v>
      </c>
      <c r="D1256" s="675" t="s">
        <v>21</v>
      </c>
      <c r="E1256" s="675" t="s">
        <v>514</v>
      </c>
      <c r="F1256" s="675" t="s">
        <v>515</v>
      </c>
      <c r="G1256" s="675"/>
      <c r="H1256" s="675"/>
      <c r="I1256" s="675"/>
      <c r="J1256" s="675"/>
      <c r="K1256" s="675"/>
      <c r="L1256" s="675"/>
      <c r="M1256" s="675"/>
    </row>
    <row r="1257" spans="1:13" x14ac:dyDescent="0.25">
      <c r="A1257" s="675" t="s">
        <v>1554</v>
      </c>
      <c r="B1257" s="675" t="s">
        <v>512</v>
      </c>
      <c r="C1257" s="675" t="s">
        <v>1321</v>
      </c>
      <c r="D1257" s="675" t="s">
        <v>21</v>
      </c>
      <c r="E1257" s="675" t="s">
        <v>514</v>
      </c>
      <c r="F1257" s="675" t="s">
        <v>515</v>
      </c>
      <c r="G1257" s="675"/>
      <c r="H1257" s="675"/>
      <c r="I1257" s="675"/>
      <c r="J1257" s="675"/>
      <c r="K1257" s="675"/>
      <c r="L1257" s="675"/>
      <c r="M1257" s="675"/>
    </row>
    <row r="1258" spans="1:13" x14ac:dyDescent="0.25">
      <c r="A1258" s="675" t="s">
        <v>1554</v>
      </c>
      <c r="B1258" s="675" t="s">
        <v>512</v>
      </c>
      <c r="C1258" s="675" t="s">
        <v>1577</v>
      </c>
      <c r="D1258" s="675" t="s">
        <v>21</v>
      </c>
      <c r="E1258" s="675" t="s">
        <v>514</v>
      </c>
      <c r="F1258" s="675" t="s">
        <v>515</v>
      </c>
      <c r="G1258" s="675"/>
      <c r="H1258" s="675"/>
      <c r="I1258" s="675"/>
      <c r="J1258" s="675"/>
      <c r="K1258" s="675"/>
      <c r="L1258" s="675"/>
      <c r="M1258" s="675"/>
    </row>
    <row r="1259" spans="1:13" x14ac:dyDescent="0.25">
      <c r="A1259" s="675" t="s">
        <v>1554</v>
      </c>
      <c r="B1259" s="675" t="s">
        <v>512</v>
      </c>
      <c r="C1259" s="675" t="s">
        <v>1578</v>
      </c>
      <c r="D1259" s="675" t="s">
        <v>21</v>
      </c>
      <c r="E1259" s="675" t="s">
        <v>514</v>
      </c>
      <c r="F1259" s="675" t="s">
        <v>515</v>
      </c>
      <c r="G1259" s="675"/>
      <c r="H1259" s="675"/>
      <c r="I1259" s="675"/>
      <c r="J1259" s="675"/>
      <c r="K1259" s="675"/>
      <c r="L1259" s="675"/>
      <c r="M1259" s="675"/>
    </row>
    <row r="1260" spans="1:13" x14ac:dyDescent="0.25">
      <c r="A1260" s="675" t="s">
        <v>1554</v>
      </c>
      <c r="B1260" s="675" t="s">
        <v>512</v>
      </c>
      <c r="C1260" s="675" t="s">
        <v>900</v>
      </c>
      <c r="D1260" s="675" t="s">
        <v>21</v>
      </c>
      <c r="E1260" s="675" t="s">
        <v>514</v>
      </c>
      <c r="F1260" s="675" t="s">
        <v>515</v>
      </c>
      <c r="G1260" s="675"/>
      <c r="H1260" s="675"/>
      <c r="I1260" s="675"/>
      <c r="J1260" s="675"/>
      <c r="K1260" s="675"/>
      <c r="L1260" s="675"/>
      <c r="M1260" s="675"/>
    </row>
    <row r="1261" spans="1:13" x14ac:dyDescent="0.25">
      <c r="A1261" s="675" t="s">
        <v>1554</v>
      </c>
      <c r="B1261" s="675" t="s">
        <v>512</v>
      </c>
      <c r="C1261" s="675" t="s">
        <v>991</v>
      </c>
      <c r="D1261" s="675" t="s">
        <v>21</v>
      </c>
      <c r="E1261" s="675" t="s">
        <v>514</v>
      </c>
      <c r="F1261" s="675" t="s">
        <v>515</v>
      </c>
      <c r="G1261" s="675"/>
      <c r="H1261" s="675"/>
      <c r="I1261" s="675"/>
      <c r="J1261" s="675"/>
      <c r="K1261" s="675"/>
      <c r="L1261" s="675"/>
      <c r="M1261" s="675"/>
    </row>
    <row r="1262" spans="1:13" x14ac:dyDescent="0.25">
      <c r="A1262" s="675" t="s">
        <v>1554</v>
      </c>
      <c r="B1262" s="675" t="s">
        <v>512</v>
      </c>
      <c r="C1262" s="675" t="s">
        <v>902</v>
      </c>
      <c r="D1262" s="675" t="s">
        <v>21</v>
      </c>
      <c r="E1262" s="675" t="s">
        <v>514</v>
      </c>
      <c r="F1262" s="675" t="s">
        <v>515</v>
      </c>
      <c r="G1262" s="675"/>
      <c r="H1262" s="675"/>
      <c r="I1262" s="675"/>
      <c r="J1262" s="675"/>
      <c r="K1262" s="675"/>
      <c r="L1262" s="675"/>
      <c r="M1262" s="675"/>
    </row>
    <row r="1263" spans="1:13" x14ac:dyDescent="0.25">
      <c r="A1263" s="675" t="s">
        <v>1554</v>
      </c>
      <c r="B1263" s="675" t="s">
        <v>545</v>
      </c>
      <c r="C1263" s="675" t="s">
        <v>1579</v>
      </c>
      <c r="D1263" s="675" t="s">
        <v>21</v>
      </c>
      <c r="E1263" s="675" t="s">
        <v>514</v>
      </c>
      <c r="F1263" s="675" t="s">
        <v>515</v>
      </c>
      <c r="G1263" s="675"/>
      <c r="H1263" s="675"/>
      <c r="I1263" s="675"/>
      <c r="J1263" s="675"/>
      <c r="K1263" s="675"/>
      <c r="L1263" s="675"/>
      <c r="M1263" s="675"/>
    </row>
    <row r="1264" spans="1:13" x14ac:dyDescent="0.25">
      <c r="A1264" s="675" t="s">
        <v>1554</v>
      </c>
      <c r="B1264" s="675" t="s">
        <v>545</v>
      </c>
      <c r="C1264" s="675" t="s">
        <v>1580</v>
      </c>
      <c r="D1264" s="675" t="s">
        <v>21</v>
      </c>
      <c r="E1264" s="675" t="s">
        <v>514</v>
      </c>
      <c r="F1264" s="675" t="s">
        <v>515</v>
      </c>
      <c r="G1264" s="675"/>
      <c r="H1264" s="675"/>
      <c r="I1264" s="675"/>
      <c r="J1264" s="675"/>
      <c r="K1264" s="675"/>
      <c r="L1264" s="675"/>
      <c r="M1264" s="675"/>
    </row>
    <row r="1265" spans="1:13" x14ac:dyDescent="0.25">
      <c r="A1265" s="675" t="s">
        <v>1554</v>
      </c>
      <c r="B1265" s="675" t="s">
        <v>545</v>
      </c>
      <c r="C1265" s="675" t="s">
        <v>1581</v>
      </c>
      <c r="D1265" s="675" t="s">
        <v>21</v>
      </c>
      <c r="E1265" s="675" t="s">
        <v>514</v>
      </c>
      <c r="F1265" s="675" t="s">
        <v>515</v>
      </c>
      <c r="G1265" s="675"/>
      <c r="H1265" s="675"/>
      <c r="I1265" s="675"/>
      <c r="J1265" s="675"/>
      <c r="K1265" s="675"/>
      <c r="L1265" s="675"/>
      <c r="M1265" s="675"/>
    </row>
    <row r="1266" spans="1:13" x14ac:dyDescent="0.25">
      <c r="A1266" s="675" t="s">
        <v>1554</v>
      </c>
      <c r="B1266" s="675" t="s">
        <v>545</v>
      </c>
      <c r="C1266" s="675" t="s">
        <v>1582</v>
      </c>
      <c r="D1266" s="675" t="s">
        <v>21</v>
      </c>
      <c r="E1266" s="675" t="s">
        <v>514</v>
      </c>
      <c r="F1266" s="675" t="s">
        <v>515</v>
      </c>
      <c r="G1266" s="675"/>
      <c r="H1266" s="675"/>
      <c r="I1266" s="675"/>
      <c r="J1266" s="675"/>
      <c r="K1266" s="675"/>
      <c r="L1266" s="675"/>
      <c r="M1266" s="675"/>
    </row>
    <row r="1267" spans="1:13" x14ac:dyDescent="0.25">
      <c r="A1267" s="675" t="s">
        <v>1554</v>
      </c>
      <c r="B1267" s="675" t="s">
        <v>545</v>
      </c>
      <c r="C1267" s="675" t="s">
        <v>846</v>
      </c>
      <c r="D1267" s="675" t="s">
        <v>21</v>
      </c>
      <c r="E1267" s="675" t="s">
        <v>514</v>
      </c>
      <c r="F1267" s="675" t="s">
        <v>515</v>
      </c>
      <c r="G1267" s="675"/>
      <c r="H1267" s="675"/>
      <c r="I1267" s="675"/>
      <c r="J1267" s="675"/>
      <c r="K1267" s="675"/>
      <c r="L1267" s="675"/>
      <c r="M1267" s="675"/>
    </row>
    <row r="1268" spans="1:13" x14ac:dyDescent="0.25">
      <c r="A1268" s="675" t="s">
        <v>1554</v>
      </c>
      <c r="B1268" s="675" t="s">
        <v>545</v>
      </c>
      <c r="C1268" s="675" t="s">
        <v>1583</v>
      </c>
      <c r="D1268" s="675" t="s">
        <v>21</v>
      </c>
      <c r="E1268" s="675" t="s">
        <v>514</v>
      </c>
      <c r="F1268" s="675" t="s">
        <v>515</v>
      </c>
      <c r="G1268" s="675"/>
      <c r="H1268" s="675"/>
      <c r="I1268" s="675"/>
      <c r="J1268" s="675"/>
      <c r="K1268" s="675"/>
      <c r="L1268" s="675"/>
      <c r="M1268" s="675"/>
    </row>
    <row r="1269" spans="1:13" x14ac:dyDescent="0.25">
      <c r="A1269" s="675" t="s">
        <v>1554</v>
      </c>
      <c r="B1269" s="675" t="s">
        <v>545</v>
      </c>
      <c r="C1269" s="675" t="s">
        <v>1584</v>
      </c>
      <c r="D1269" s="675" t="s">
        <v>21</v>
      </c>
      <c r="E1269" s="675" t="s">
        <v>514</v>
      </c>
      <c r="F1269" s="675" t="s">
        <v>515</v>
      </c>
      <c r="G1269" s="675"/>
      <c r="H1269" s="675"/>
      <c r="I1269" s="675"/>
      <c r="J1269" s="675"/>
      <c r="K1269" s="675"/>
      <c r="L1269" s="675"/>
      <c r="M1269" s="675"/>
    </row>
    <row r="1270" spans="1:13" x14ac:dyDescent="0.25">
      <c r="A1270" s="675" t="s">
        <v>1554</v>
      </c>
      <c r="B1270" s="675" t="s">
        <v>545</v>
      </c>
      <c r="C1270" s="675" t="s">
        <v>1585</v>
      </c>
      <c r="D1270" s="675" t="s">
        <v>21</v>
      </c>
      <c r="E1270" s="675" t="s">
        <v>514</v>
      </c>
      <c r="F1270" s="675" t="s">
        <v>515</v>
      </c>
      <c r="G1270" s="675"/>
      <c r="H1270" s="675"/>
      <c r="I1270" s="675"/>
      <c r="J1270" s="675"/>
      <c r="K1270" s="675"/>
      <c r="L1270" s="675"/>
      <c r="M1270" s="675"/>
    </row>
    <row r="1271" spans="1:13" x14ac:dyDescent="0.25">
      <c r="A1271" s="675" t="s">
        <v>1554</v>
      </c>
      <c r="B1271" s="675" t="s">
        <v>545</v>
      </c>
      <c r="C1271" s="675" t="s">
        <v>1586</v>
      </c>
      <c r="D1271" s="675" t="s">
        <v>21</v>
      </c>
      <c r="E1271" s="675" t="s">
        <v>514</v>
      </c>
      <c r="F1271" s="675" t="s">
        <v>515</v>
      </c>
      <c r="G1271" s="675"/>
      <c r="H1271" s="675"/>
      <c r="I1271" s="675"/>
      <c r="J1271" s="675"/>
      <c r="K1271" s="675"/>
      <c r="L1271" s="675"/>
      <c r="M1271" s="675"/>
    </row>
    <row r="1272" spans="1:13" x14ac:dyDescent="0.25">
      <c r="A1272" s="675" t="s">
        <v>1554</v>
      </c>
      <c r="B1272" s="675" t="s">
        <v>545</v>
      </c>
      <c r="C1272" s="675" t="s">
        <v>1587</v>
      </c>
      <c r="D1272" s="675" t="s">
        <v>21</v>
      </c>
      <c r="E1272" s="675" t="s">
        <v>514</v>
      </c>
      <c r="F1272" s="675" t="s">
        <v>515</v>
      </c>
      <c r="G1272" s="675"/>
      <c r="H1272" s="675"/>
      <c r="I1272" s="675"/>
      <c r="J1272" s="675"/>
      <c r="K1272" s="675"/>
      <c r="L1272" s="675"/>
      <c r="M1272" s="675"/>
    </row>
    <row r="1273" spans="1:13" x14ac:dyDescent="0.25">
      <c r="A1273" s="675" t="s">
        <v>1554</v>
      </c>
      <c r="B1273" s="675" t="s">
        <v>545</v>
      </c>
      <c r="C1273" s="675" t="s">
        <v>1588</v>
      </c>
      <c r="D1273" s="675" t="s">
        <v>21</v>
      </c>
      <c r="E1273" s="675" t="s">
        <v>514</v>
      </c>
      <c r="F1273" s="675" t="s">
        <v>515</v>
      </c>
      <c r="G1273" s="675"/>
      <c r="H1273" s="675"/>
      <c r="I1273" s="675"/>
      <c r="J1273" s="675"/>
      <c r="K1273" s="675"/>
      <c r="L1273" s="675"/>
      <c r="M1273" s="675"/>
    </row>
    <row r="1274" spans="1:13" x14ac:dyDescent="0.25">
      <c r="A1274" s="675" t="s">
        <v>1554</v>
      </c>
      <c r="B1274" s="675" t="s">
        <v>545</v>
      </c>
      <c r="C1274" s="675" t="s">
        <v>819</v>
      </c>
      <c r="D1274" s="675" t="s">
        <v>21</v>
      </c>
      <c r="E1274" s="675" t="s">
        <v>514</v>
      </c>
      <c r="F1274" s="675" t="s">
        <v>515</v>
      </c>
      <c r="G1274" s="675"/>
      <c r="H1274" s="675"/>
      <c r="I1274" s="675"/>
      <c r="J1274" s="675"/>
      <c r="K1274" s="675"/>
      <c r="L1274" s="675"/>
      <c r="M1274" s="675"/>
    </row>
    <row r="1275" spans="1:13" x14ac:dyDescent="0.25">
      <c r="A1275" s="675" t="s">
        <v>1554</v>
      </c>
      <c r="B1275" s="675" t="s">
        <v>545</v>
      </c>
      <c r="C1275" s="675" t="s">
        <v>1589</v>
      </c>
      <c r="D1275" s="675" t="s">
        <v>21</v>
      </c>
      <c r="E1275" s="675" t="s">
        <v>514</v>
      </c>
      <c r="F1275" s="675" t="s">
        <v>515</v>
      </c>
      <c r="G1275" s="675"/>
      <c r="H1275" s="675"/>
      <c r="I1275" s="675"/>
      <c r="J1275" s="675"/>
      <c r="K1275" s="675"/>
      <c r="L1275" s="675"/>
      <c r="M1275" s="675"/>
    </row>
    <row r="1276" spans="1:13" x14ac:dyDescent="0.25">
      <c r="A1276" s="675" t="s">
        <v>1554</v>
      </c>
      <c r="B1276" s="675" t="s">
        <v>545</v>
      </c>
      <c r="C1276" s="675" t="s">
        <v>1590</v>
      </c>
      <c r="D1276" s="675" t="s">
        <v>21</v>
      </c>
      <c r="E1276" s="675" t="s">
        <v>514</v>
      </c>
      <c r="F1276" s="675" t="s">
        <v>515</v>
      </c>
      <c r="G1276" s="675"/>
      <c r="H1276" s="675"/>
      <c r="I1276" s="675"/>
      <c r="J1276" s="675"/>
      <c r="K1276" s="675"/>
      <c r="L1276" s="675"/>
      <c r="M1276" s="675"/>
    </row>
    <row r="1277" spans="1:13" x14ac:dyDescent="0.25">
      <c r="A1277" s="675" t="s">
        <v>1554</v>
      </c>
      <c r="B1277" s="675" t="s">
        <v>545</v>
      </c>
      <c r="C1277" s="675" t="s">
        <v>852</v>
      </c>
      <c r="D1277" s="675" t="s">
        <v>21</v>
      </c>
      <c r="E1277" s="675" t="s">
        <v>514</v>
      </c>
      <c r="F1277" s="675" t="s">
        <v>515</v>
      </c>
      <c r="G1277" s="675"/>
      <c r="H1277" s="675"/>
      <c r="I1277" s="675"/>
      <c r="J1277" s="675"/>
      <c r="K1277" s="675"/>
      <c r="L1277" s="675"/>
      <c r="M1277" s="675"/>
    </row>
    <row r="1278" spans="1:13" x14ac:dyDescent="0.25">
      <c r="A1278" s="675" t="s">
        <v>1554</v>
      </c>
      <c r="B1278" s="675" t="s">
        <v>545</v>
      </c>
      <c r="C1278" s="675" t="s">
        <v>1591</v>
      </c>
      <c r="D1278" s="675" t="s">
        <v>21</v>
      </c>
      <c r="E1278" s="675" t="s">
        <v>514</v>
      </c>
      <c r="F1278" s="675" t="s">
        <v>515</v>
      </c>
      <c r="G1278" s="675"/>
      <c r="H1278" s="675"/>
      <c r="I1278" s="675"/>
      <c r="J1278" s="675"/>
      <c r="K1278" s="675"/>
      <c r="L1278" s="675"/>
      <c r="M1278" s="675"/>
    </row>
    <row r="1279" spans="1:13" x14ac:dyDescent="0.25">
      <c r="A1279" s="675" t="s">
        <v>1554</v>
      </c>
      <c r="B1279" s="675" t="s">
        <v>545</v>
      </c>
      <c r="C1279" s="675" t="s">
        <v>1592</v>
      </c>
      <c r="D1279" s="675" t="s">
        <v>21</v>
      </c>
      <c r="E1279" s="675" t="s">
        <v>514</v>
      </c>
      <c r="F1279" s="675" t="s">
        <v>515</v>
      </c>
      <c r="G1279" s="675"/>
      <c r="H1279" s="675"/>
      <c r="I1279" s="675"/>
      <c r="J1279" s="675"/>
      <c r="K1279" s="675"/>
      <c r="L1279" s="675"/>
      <c r="M1279" s="675"/>
    </row>
    <row r="1280" spans="1:13" x14ac:dyDescent="0.25">
      <c r="A1280" s="675" t="s">
        <v>1554</v>
      </c>
      <c r="B1280" s="675" t="s">
        <v>564</v>
      </c>
      <c r="C1280" s="675" t="s">
        <v>1593</v>
      </c>
      <c r="D1280" s="675" t="s">
        <v>21</v>
      </c>
      <c r="E1280" s="675" t="s">
        <v>514</v>
      </c>
      <c r="F1280" s="675" t="s">
        <v>515</v>
      </c>
      <c r="G1280" s="675"/>
      <c r="H1280" s="675"/>
      <c r="I1280" s="675"/>
      <c r="J1280" s="675"/>
      <c r="K1280" s="675"/>
      <c r="L1280" s="675"/>
      <c r="M1280" s="675"/>
    </row>
    <row r="1281" spans="1:13" x14ac:dyDescent="0.25">
      <c r="A1281" s="675" t="s">
        <v>1554</v>
      </c>
      <c r="B1281" s="675" t="s">
        <v>564</v>
      </c>
      <c r="C1281" s="675" t="s">
        <v>1594</v>
      </c>
      <c r="D1281" s="675" t="s">
        <v>21</v>
      </c>
      <c r="E1281" s="675" t="s">
        <v>514</v>
      </c>
      <c r="F1281" s="675" t="s">
        <v>515</v>
      </c>
      <c r="G1281" s="675"/>
      <c r="H1281" s="675"/>
      <c r="I1281" s="675"/>
      <c r="J1281" s="675"/>
      <c r="K1281" s="675"/>
      <c r="L1281" s="675"/>
      <c r="M1281" s="675"/>
    </row>
    <row r="1282" spans="1:13" x14ac:dyDescent="0.25">
      <c r="A1282" s="675" t="s">
        <v>1554</v>
      </c>
      <c r="B1282" s="675" t="s">
        <v>564</v>
      </c>
      <c r="C1282" s="675" t="s">
        <v>1595</v>
      </c>
      <c r="D1282" s="675" t="s">
        <v>21</v>
      </c>
      <c r="E1282" s="675" t="s">
        <v>514</v>
      </c>
      <c r="F1282" s="675" t="s">
        <v>515</v>
      </c>
      <c r="G1282" s="675"/>
      <c r="H1282" s="675"/>
      <c r="I1282" s="675"/>
      <c r="J1282" s="675"/>
      <c r="K1282" s="675"/>
      <c r="L1282" s="675"/>
      <c r="M1282" s="675"/>
    </row>
    <row r="1283" spans="1:13" x14ac:dyDescent="0.25">
      <c r="A1283" s="675" t="s">
        <v>1554</v>
      </c>
      <c r="B1283" s="675" t="s">
        <v>564</v>
      </c>
      <c r="C1283" s="675" t="s">
        <v>1596</v>
      </c>
      <c r="D1283" s="675" t="s">
        <v>21</v>
      </c>
      <c r="E1283" s="675" t="s">
        <v>514</v>
      </c>
      <c r="F1283" s="675" t="s">
        <v>515</v>
      </c>
      <c r="G1283" s="675"/>
      <c r="H1283" s="675"/>
      <c r="I1283" s="675"/>
      <c r="J1283" s="675"/>
      <c r="K1283" s="675"/>
      <c r="L1283" s="675"/>
      <c r="M1283" s="675"/>
    </row>
    <row r="1284" spans="1:13" x14ac:dyDescent="0.25">
      <c r="A1284" s="675" t="s">
        <v>1554</v>
      </c>
      <c r="B1284" s="675" t="s">
        <v>564</v>
      </c>
      <c r="C1284" s="675" t="s">
        <v>855</v>
      </c>
      <c r="D1284" s="675" t="s">
        <v>21</v>
      </c>
      <c r="E1284" s="675" t="s">
        <v>514</v>
      </c>
      <c r="F1284" s="675" t="s">
        <v>515</v>
      </c>
      <c r="G1284" s="675"/>
      <c r="H1284" s="675"/>
      <c r="I1284" s="675"/>
      <c r="J1284" s="675"/>
      <c r="K1284" s="675"/>
      <c r="L1284" s="675"/>
      <c r="M1284" s="675"/>
    </row>
    <row r="1285" spans="1:13" x14ac:dyDescent="0.25">
      <c r="A1285" s="675" t="s">
        <v>1554</v>
      </c>
      <c r="B1285" s="675" t="s">
        <v>564</v>
      </c>
      <c r="C1285" s="675" t="s">
        <v>1597</v>
      </c>
      <c r="D1285" s="675" t="s">
        <v>21</v>
      </c>
      <c r="E1285" s="675" t="s">
        <v>514</v>
      </c>
      <c r="F1285" s="675" t="s">
        <v>515</v>
      </c>
      <c r="G1285" s="675"/>
      <c r="H1285" s="675"/>
      <c r="I1285" s="675"/>
      <c r="J1285" s="675"/>
      <c r="K1285" s="675"/>
      <c r="L1285" s="675"/>
      <c r="M1285" s="675"/>
    </row>
    <row r="1286" spans="1:13" x14ac:dyDescent="0.25">
      <c r="A1286" s="675" t="s">
        <v>1554</v>
      </c>
      <c r="B1286" s="675" t="s">
        <v>564</v>
      </c>
      <c r="C1286" s="675" t="s">
        <v>1598</v>
      </c>
      <c r="D1286" s="675" t="s">
        <v>21</v>
      </c>
      <c r="E1286" s="675" t="s">
        <v>514</v>
      </c>
      <c r="F1286" s="675" t="s">
        <v>515</v>
      </c>
      <c r="G1286" s="675"/>
      <c r="H1286" s="675"/>
      <c r="I1286" s="675"/>
      <c r="J1286" s="675"/>
      <c r="K1286" s="675"/>
      <c r="L1286" s="675"/>
      <c r="M1286" s="675"/>
    </row>
    <row r="1287" spans="1:13" x14ac:dyDescent="0.25">
      <c r="A1287" s="675" t="s">
        <v>1554</v>
      </c>
      <c r="B1287" s="675" t="s">
        <v>564</v>
      </c>
      <c r="C1287" s="675" t="s">
        <v>1599</v>
      </c>
      <c r="D1287" s="675" t="s">
        <v>21</v>
      </c>
      <c r="E1287" s="675" t="s">
        <v>514</v>
      </c>
      <c r="F1287" s="675" t="s">
        <v>515</v>
      </c>
      <c r="G1287" s="675"/>
      <c r="H1287" s="675"/>
      <c r="I1287" s="675"/>
      <c r="J1287" s="675"/>
      <c r="K1287" s="675"/>
      <c r="L1287" s="675"/>
      <c r="M1287" s="675"/>
    </row>
    <row r="1288" spans="1:13" x14ac:dyDescent="0.25">
      <c r="A1288" s="678" t="s">
        <v>1600</v>
      </c>
      <c r="B1288" s="678" t="s">
        <v>545</v>
      </c>
      <c r="C1288" s="678" t="s">
        <v>796</v>
      </c>
      <c r="D1288" s="678" t="s">
        <v>21</v>
      </c>
      <c r="E1288" s="678" t="s">
        <v>514</v>
      </c>
      <c r="F1288" s="678" t="s">
        <v>636</v>
      </c>
      <c r="G1288" s="675"/>
      <c r="H1288" s="675"/>
      <c r="I1288" s="675"/>
      <c r="J1288" s="675"/>
      <c r="K1288" s="675"/>
      <c r="L1288" s="675"/>
      <c r="M1288" s="675"/>
    </row>
    <row r="1289" spans="1:13" x14ac:dyDescent="0.25">
      <c r="A1289" s="675" t="s">
        <v>1600</v>
      </c>
      <c r="B1289" s="675" t="s">
        <v>545</v>
      </c>
      <c r="C1289" s="675" t="s">
        <v>799</v>
      </c>
      <c r="D1289" s="675" t="s">
        <v>21</v>
      </c>
      <c r="E1289" s="675" t="s">
        <v>514</v>
      </c>
      <c r="F1289" s="675" t="s">
        <v>515</v>
      </c>
      <c r="G1289" s="675"/>
      <c r="H1289" s="675"/>
      <c r="I1289" s="675"/>
      <c r="J1289" s="675"/>
      <c r="K1289" s="675"/>
      <c r="L1289" s="675"/>
      <c r="M1289" s="675"/>
    </row>
    <row r="1290" spans="1:13" x14ac:dyDescent="0.25">
      <c r="A1290" s="675" t="s">
        <v>1600</v>
      </c>
      <c r="B1290" s="675" t="s">
        <v>545</v>
      </c>
      <c r="C1290" s="675" t="s">
        <v>1364</v>
      </c>
      <c r="D1290" s="675" t="s">
        <v>21</v>
      </c>
      <c r="E1290" s="675" t="s">
        <v>514</v>
      </c>
      <c r="F1290" s="675" t="s">
        <v>515</v>
      </c>
      <c r="G1290" s="675"/>
      <c r="H1290" s="675"/>
      <c r="I1290" s="675"/>
      <c r="J1290" s="675"/>
      <c r="K1290" s="675"/>
      <c r="L1290" s="675"/>
      <c r="M1290" s="675"/>
    </row>
    <row r="1291" spans="1:13" x14ac:dyDescent="0.25">
      <c r="A1291" s="675" t="s">
        <v>1600</v>
      </c>
      <c r="B1291" s="675" t="s">
        <v>545</v>
      </c>
      <c r="C1291" s="675" t="s">
        <v>1488</v>
      </c>
      <c r="D1291" s="675" t="s">
        <v>21</v>
      </c>
      <c r="E1291" s="675" t="s">
        <v>514</v>
      </c>
      <c r="F1291" s="675" t="s">
        <v>515</v>
      </c>
      <c r="G1291" s="675"/>
      <c r="H1291" s="675"/>
      <c r="I1291" s="675"/>
      <c r="J1291" s="675"/>
      <c r="K1291" s="675"/>
      <c r="L1291" s="675"/>
      <c r="M1291" s="675"/>
    </row>
    <row r="1292" spans="1:13" x14ac:dyDescent="0.25">
      <c r="A1292" s="675" t="s">
        <v>1601</v>
      </c>
      <c r="B1292" s="675" t="s">
        <v>512</v>
      </c>
      <c r="C1292" s="675" t="s">
        <v>1602</v>
      </c>
      <c r="D1292" s="675" t="s">
        <v>21</v>
      </c>
      <c r="E1292" s="675" t="s">
        <v>514</v>
      </c>
      <c r="F1292" s="675" t="s">
        <v>515</v>
      </c>
      <c r="G1292" s="675"/>
      <c r="H1292" s="675"/>
      <c r="I1292" s="675"/>
      <c r="J1292" s="675"/>
      <c r="K1292" s="675"/>
      <c r="L1292" s="675"/>
      <c r="M1292" s="675"/>
    </row>
    <row r="1293" spans="1:13" x14ac:dyDescent="0.25">
      <c r="A1293" s="678" t="s">
        <v>1601</v>
      </c>
      <c r="B1293" s="678" t="s">
        <v>512</v>
      </c>
      <c r="C1293" s="678" t="s">
        <v>1603</v>
      </c>
      <c r="D1293" s="678" t="s">
        <v>21</v>
      </c>
      <c r="E1293" s="678" t="s">
        <v>514</v>
      </c>
      <c r="F1293" s="678" t="s">
        <v>596</v>
      </c>
      <c r="G1293" s="675"/>
      <c r="H1293" s="675"/>
      <c r="I1293" s="675"/>
      <c r="J1293" s="675"/>
      <c r="K1293" s="675"/>
      <c r="L1293" s="675"/>
      <c r="M1293" s="675"/>
    </row>
    <row r="1294" spans="1:13" x14ac:dyDescent="0.25">
      <c r="A1294" s="675" t="s">
        <v>1601</v>
      </c>
      <c r="B1294" s="675" t="s">
        <v>512</v>
      </c>
      <c r="C1294" s="675" t="s">
        <v>1604</v>
      </c>
      <c r="D1294" s="675" t="s">
        <v>21</v>
      </c>
      <c r="E1294" s="675" t="s">
        <v>514</v>
      </c>
      <c r="F1294" s="675" t="s">
        <v>515</v>
      </c>
      <c r="G1294" s="675"/>
      <c r="H1294" s="675"/>
      <c r="I1294" s="675"/>
      <c r="J1294" s="675"/>
      <c r="K1294" s="675"/>
      <c r="L1294" s="675"/>
      <c r="M1294" s="675"/>
    </row>
    <row r="1295" spans="1:13" x14ac:dyDescent="0.25">
      <c r="A1295" s="675" t="s">
        <v>1601</v>
      </c>
      <c r="B1295" s="675" t="s">
        <v>512</v>
      </c>
      <c r="C1295" s="675" t="s">
        <v>1605</v>
      </c>
      <c r="D1295" s="675" t="s">
        <v>21</v>
      </c>
      <c r="E1295" s="675" t="s">
        <v>514</v>
      </c>
      <c r="F1295" s="675" t="s">
        <v>515</v>
      </c>
      <c r="G1295" s="675"/>
      <c r="H1295" s="675"/>
      <c r="I1295" s="675"/>
      <c r="J1295" s="675"/>
      <c r="K1295" s="675"/>
      <c r="L1295" s="675"/>
      <c r="M1295" s="675"/>
    </row>
    <row r="1296" spans="1:13" x14ac:dyDescent="0.25">
      <c r="A1296" s="675" t="s">
        <v>1601</v>
      </c>
      <c r="B1296" s="675" t="s">
        <v>512</v>
      </c>
      <c r="C1296" s="675" t="s">
        <v>1606</v>
      </c>
      <c r="D1296" s="675" t="s">
        <v>21</v>
      </c>
      <c r="E1296" s="675" t="s">
        <v>514</v>
      </c>
      <c r="F1296" s="675" t="s">
        <v>515</v>
      </c>
      <c r="G1296" s="675"/>
      <c r="H1296" s="675"/>
      <c r="I1296" s="675"/>
      <c r="J1296" s="675"/>
      <c r="K1296" s="675"/>
      <c r="L1296" s="675"/>
      <c r="M1296" s="675"/>
    </row>
    <row r="1297" spans="1:13" x14ac:dyDescent="0.25">
      <c r="A1297" s="675" t="s">
        <v>1601</v>
      </c>
      <c r="B1297" s="675" t="s">
        <v>512</v>
      </c>
      <c r="C1297" s="675" t="s">
        <v>1607</v>
      </c>
      <c r="D1297" s="675" t="s">
        <v>21</v>
      </c>
      <c r="E1297" s="675" t="s">
        <v>514</v>
      </c>
      <c r="F1297" s="675" t="s">
        <v>515</v>
      </c>
      <c r="G1297" s="675"/>
      <c r="H1297" s="675"/>
      <c r="I1297" s="675"/>
      <c r="J1297" s="675"/>
      <c r="K1297" s="675"/>
      <c r="L1297" s="675"/>
      <c r="M1297" s="675"/>
    </row>
    <row r="1298" spans="1:13" ht="17.25" x14ac:dyDescent="0.3">
      <c r="A1298" s="678" t="s">
        <v>1601</v>
      </c>
      <c r="B1298" s="678" t="s">
        <v>512</v>
      </c>
      <c r="C1298" s="679" t="s">
        <v>1608</v>
      </c>
      <c r="D1298" s="678" t="s">
        <v>21</v>
      </c>
      <c r="E1298" s="678" t="s">
        <v>514</v>
      </c>
      <c r="F1298" s="678" t="s">
        <v>596</v>
      </c>
      <c r="G1298" s="675"/>
      <c r="H1298" s="675"/>
      <c r="I1298" s="675"/>
      <c r="J1298" s="675"/>
      <c r="K1298" s="675"/>
      <c r="L1298" s="675"/>
      <c r="M1298" s="675"/>
    </row>
    <row r="1299" spans="1:13" x14ac:dyDescent="0.25">
      <c r="A1299" s="678" t="s">
        <v>1601</v>
      </c>
      <c r="B1299" s="678" t="s">
        <v>545</v>
      </c>
      <c r="C1299" s="678" t="s">
        <v>1609</v>
      </c>
      <c r="D1299" s="678" t="s">
        <v>21</v>
      </c>
      <c r="E1299" s="678" t="s">
        <v>514</v>
      </c>
      <c r="F1299" s="678" t="s">
        <v>636</v>
      </c>
      <c r="G1299" s="675"/>
      <c r="H1299" s="675"/>
      <c r="I1299" s="675"/>
      <c r="J1299" s="675"/>
      <c r="K1299" s="675"/>
      <c r="L1299" s="675"/>
      <c r="M1299" s="675"/>
    </row>
    <row r="1300" spans="1:13" x14ac:dyDescent="0.25">
      <c r="A1300" s="675" t="s">
        <v>1601</v>
      </c>
      <c r="B1300" s="675" t="s">
        <v>545</v>
      </c>
      <c r="C1300" s="675" t="s">
        <v>1610</v>
      </c>
      <c r="D1300" s="675" t="s">
        <v>21</v>
      </c>
      <c r="E1300" s="675" t="s">
        <v>514</v>
      </c>
      <c r="F1300" s="675" t="s">
        <v>515</v>
      </c>
      <c r="G1300" s="675"/>
      <c r="H1300" s="675"/>
      <c r="I1300" s="675"/>
      <c r="J1300" s="675"/>
      <c r="K1300" s="675"/>
      <c r="L1300" s="675"/>
      <c r="M1300" s="675"/>
    </row>
    <row r="1301" spans="1:13" ht="17.25" x14ac:dyDescent="0.3">
      <c r="A1301" s="675" t="s">
        <v>1601</v>
      </c>
      <c r="B1301" s="675" t="s">
        <v>545</v>
      </c>
      <c r="C1301" s="679" t="s">
        <v>1611</v>
      </c>
      <c r="D1301" s="678" t="s">
        <v>21</v>
      </c>
      <c r="E1301" s="675" t="s">
        <v>514</v>
      </c>
      <c r="F1301" s="675" t="s">
        <v>515</v>
      </c>
      <c r="G1301" s="675"/>
      <c r="H1301" s="675"/>
      <c r="I1301" s="675"/>
      <c r="J1301" s="675"/>
      <c r="K1301" s="675"/>
      <c r="L1301" s="675"/>
      <c r="M1301" s="675"/>
    </row>
    <row r="1302" spans="1:13" x14ac:dyDescent="0.25">
      <c r="A1302" s="675" t="s">
        <v>1601</v>
      </c>
      <c r="B1302" s="675" t="s">
        <v>545</v>
      </c>
      <c r="C1302" s="675" t="s">
        <v>1279</v>
      </c>
      <c r="D1302" s="675" t="s">
        <v>21</v>
      </c>
      <c r="E1302" s="675" t="s">
        <v>514</v>
      </c>
      <c r="F1302" s="675" t="s">
        <v>515</v>
      </c>
      <c r="G1302" s="675"/>
      <c r="H1302" s="675"/>
      <c r="I1302" s="675"/>
      <c r="J1302" s="675"/>
      <c r="K1302" s="675"/>
      <c r="L1302" s="675"/>
      <c r="M1302" s="675"/>
    </row>
    <row r="1303" spans="1:13" x14ac:dyDescent="0.25">
      <c r="A1303" s="675" t="s">
        <v>1601</v>
      </c>
      <c r="B1303" s="675" t="s">
        <v>545</v>
      </c>
      <c r="C1303" s="675" t="s">
        <v>1612</v>
      </c>
      <c r="D1303" s="675" t="s">
        <v>21</v>
      </c>
      <c r="E1303" s="675" t="s">
        <v>514</v>
      </c>
      <c r="F1303" s="675" t="s">
        <v>515</v>
      </c>
      <c r="G1303" s="675"/>
      <c r="H1303" s="675"/>
      <c r="I1303" s="675"/>
      <c r="J1303" s="675"/>
      <c r="K1303" s="675"/>
      <c r="L1303" s="675"/>
      <c r="M1303" s="675"/>
    </row>
    <row r="1304" spans="1:13" x14ac:dyDescent="0.25">
      <c r="A1304" s="678" t="s">
        <v>1601</v>
      </c>
      <c r="B1304" s="678" t="s">
        <v>545</v>
      </c>
      <c r="C1304" s="678" t="s">
        <v>1613</v>
      </c>
      <c r="D1304" s="678" t="s">
        <v>21</v>
      </c>
      <c r="E1304" s="678" t="s">
        <v>514</v>
      </c>
      <c r="F1304" s="678" t="s">
        <v>636</v>
      </c>
      <c r="G1304" s="675"/>
      <c r="H1304" s="675"/>
      <c r="I1304" s="675"/>
      <c r="J1304" s="675"/>
      <c r="K1304" s="675"/>
      <c r="L1304" s="675"/>
      <c r="M1304" s="675"/>
    </row>
    <row r="1305" spans="1:13" x14ac:dyDescent="0.25">
      <c r="A1305" s="675" t="s">
        <v>1601</v>
      </c>
      <c r="B1305" s="675" t="s">
        <v>545</v>
      </c>
      <c r="C1305" s="675" t="s">
        <v>1614</v>
      </c>
      <c r="D1305" s="675" t="s">
        <v>21</v>
      </c>
      <c r="E1305" s="675" t="s">
        <v>514</v>
      </c>
      <c r="F1305" s="675" t="s">
        <v>515</v>
      </c>
      <c r="G1305" s="675"/>
      <c r="H1305" s="675"/>
      <c r="I1305" s="675"/>
      <c r="J1305" s="675"/>
      <c r="K1305" s="675"/>
      <c r="L1305" s="675"/>
      <c r="M1305" s="675"/>
    </row>
    <row r="1306" spans="1:13" ht="17.25" x14ac:dyDescent="0.3">
      <c r="A1306" s="678" t="s">
        <v>1601</v>
      </c>
      <c r="B1306" s="678" t="s">
        <v>545</v>
      </c>
      <c r="C1306" s="679" t="s">
        <v>1615</v>
      </c>
      <c r="D1306" s="678" t="s">
        <v>21</v>
      </c>
      <c r="E1306" s="678" t="s">
        <v>514</v>
      </c>
      <c r="F1306" s="678" t="s">
        <v>636</v>
      </c>
      <c r="G1306" s="675"/>
      <c r="H1306" s="675"/>
      <c r="I1306" s="675"/>
      <c r="J1306" s="675"/>
      <c r="K1306" s="675"/>
      <c r="L1306" s="675"/>
      <c r="M1306" s="675"/>
    </row>
    <row r="1307" spans="1:13" x14ac:dyDescent="0.25">
      <c r="A1307" s="675" t="s">
        <v>1601</v>
      </c>
      <c r="B1307" s="675" t="s">
        <v>545</v>
      </c>
      <c r="C1307" s="675" t="s">
        <v>1616</v>
      </c>
      <c r="D1307" s="675" t="s">
        <v>21</v>
      </c>
      <c r="E1307" s="675" t="s">
        <v>514</v>
      </c>
      <c r="F1307" s="675" t="s">
        <v>515</v>
      </c>
      <c r="G1307" s="675"/>
      <c r="H1307" s="675"/>
      <c r="I1307" s="675"/>
      <c r="J1307" s="675"/>
      <c r="K1307" s="675"/>
      <c r="L1307" s="675"/>
      <c r="M1307" s="675"/>
    </row>
    <row r="1308" spans="1:13" x14ac:dyDescent="0.25">
      <c r="A1308" s="675" t="s">
        <v>1601</v>
      </c>
      <c r="B1308" s="675" t="s">
        <v>564</v>
      </c>
      <c r="C1308" s="675" t="s">
        <v>1617</v>
      </c>
      <c r="D1308" s="675" t="s">
        <v>21</v>
      </c>
      <c r="E1308" s="675" t="s">
        <v>514</v>
      </c>
      <c r="F1308" s="675" t="s">
        <v>515</v>
      </c>
      <c r="G1308" s="675"/>
      <c r="H1308" s="675"/>
      <c r="I1308" s="675"/>
      <c r="J1308" s="675"/>
      <c r="K1308" s="675"/>
      <c r="L1308" s="675"/>
      <c r="M1308" s="675"/>
    </row>
    <row r="1309" spans="1:13" x14ac:dyDescent="0.25">
      <c r="A1309" s="675" t="s">
        <v>1601</v>
      </c>
      <c r="B1309" s="675" t="s">
        <v>564</v>
      </c>
      <c r="C1309" s="675" t="s">
        <v>1374</v>
      </c>
      <c r="D1309" s="675" t="s">
        <v>21</v>
      </c>
      <c r="E1309" s="675" t="s">
        <v>514</v>
      </c>
      <c r="F1309" s="675" t="s">
        <v>515</v>
      </c>
      <c r="G1309" s="675"/>
      <c r="H1309" s="675"/>
      <c r="I1309" s="675"/>
      <c r="J1309" s="675"/>
      <c r="K1309" s="675"/>
      <c r="L1309" s="675"/>
      <c r="M1309" s="675"/>
    </row>
    <row r="1310" spans="1:13" x14ac:dyDescent="0.25">
      <c r="A1310" s="675" t="s">
        <v>1601</v>
      </c>
      <c r="B1310" s="675" t="s">
        <v>564</v>
      </c>
      <c r="C1310" s="675" t="s">
        <v>1618</v>
      </c>
      <c r="D1310" s="675" t="s">
        <v>21</v>
      </c>
      <c r="E1310" s="675" t="s">
        <v>514</v>
      </c>
      <c r="F1310" s="675" t="s">
        <v>515</v>
      </c>
      <c r="G1310" s="675"/>
      <c r="H1310" s="675"/>
      <c r="I1310" s="675"/>
      <c r="J1310" s="675"/>
      <c r="K1310" s="675"/>
      <c r="L1310" s="675"/>
      <c r="M1310" s="675"/>
    </row>
    <row r="1311" spans="1:13" ht="17.25" x14ac:dyDescent="0.3">
      <c r="A1311" s="675" t="s">
        <v>1601</v>
      </c>
      <c r="B1311" s="675" t="s">
        <v>564</v>
      </c>
      <c r="C1311" s="679" t="s">
        <v>1619</v>
      </c>
      <c r="D1311" s="678" t="s">
        <v>21</v>
      </c>
      <c r="E1311" s="675" t="s">
        <v>514</v>
      </c>
      <c r="F1311" s="675" t="s">
        <v>515</v>
      </c>
      <c r="G1311" s="675"/>
      <c r="H1311" s="675"/>
      <c r="I1311" s="675"/>
      <c r="J1311" s="675"/>
      <c r="K1311" s="675"/>
      <c r="L1311" s="675"/>
      <c r="M1311" s="675"/>
    </row>
    <row r="1312" spans="1:13" ht="17.25" x14ac:dyDescent="0.3">
      <c r="A1312" s="675" t="s">
        <v>1601</v>
      </c>
      <c r="B1312" s="675" t="s">
        <v>564</v>
      </c>
      <c r="C1312" s="679" t="s">
        <v>1620</v>
      </c>
      <c r="D1312" s="678" t="s">
        <v>21</v>
      </c>
      <c r="E1312" s="675" t="s">
        <v>514</v>
      </c>
      <c r="F1312" s="675" t="s">
        <v>515</v>
      </c>
      <c r="G1312" s="675"/>
      <c r="H1312" s="675"/>
      <c r="I1312" s="675"/>
      <c r="J1312" s="675"/>
      <c r="K1312" s="675"/>
      <c r="L1312" s="675"/>
      <c r="M1312" s="675"/>
    </row>
    <row r="1313" spans="1:13" x14ac:dyDescent="0.25">
      <c r="A1313" s="675" t="s">
        <v>1621</v>
      </c>
      <c r="B1313" s="702" t="s">
        <v>512</v>
      </c>
      <c r="C1313" s="702" t="s">
        <v>1622</v>
      </c>
      <c r="D1313" s="702" t="s">
        <v>21</v>
      </c>
      <c r="E1313" s="702" t="s">
        <v>514</v>
      </c>
      <c r="F1313" s="702" t="s">
        <v>515</v>
      </c>
      <c r="G1313" s="702"/>
      <c r="H1313" s="702"/>
      <c r="I1313" s="702"/>
      <c r="J1313" s="702"/>
      <c r="K1313" s="702"/>
      <c r="L1313" s="702"/>
      <c r="M1313" s="702"/>
    </row>
    <row r="1314" spans="1:13" x14ac:dyDescent="0.25">
      <c r="A1314" s="675" t="s">
        <v>1623</v>
      </c>
      <c r="B1314" s="702"/>
      <c r="C1314" s="702"/>
      <c r="D1314" s="702"/>
      <c r="E1314" s="702"/>
      <c r="F1314" s="702"/>
      <c r="G1314" s="702"/>
      <c r="H1314" s="702"/>
      <c r="I1314" s="702"/>
      <c r="J1314" s="702"/>
      <c r="K1314" s="702"/>
      <c r="L1314" s="702"/>
      <c r="M1314" s="702"/>
    </row>
    <row r="1315" spans="1:13" x14ac:dyDescent="0.25">
      <c r="A1315" s="675" t="s">
        <v>1621</v>
      </c>
      <c r="B1315" s="702" t="s">
        <v>512</v>
      </c>
      <c r="C1315" s="702" t="s">
        <v>1624</v>
      </c>
      <c r="D1315" s="702" t="s">
        <v>21</v>
      </c>
      <c r="E1315" s="702" t="s">
        <v>514</v>
      </c>
      <c r="F1315" s="702" t="s">
        <v>515</v>
      </c>
      <c r="G1315" s="702"/>
      <c r="H1315" s="702"/>
      <c r="I1315" s="702"/>
      <c r="J1315" s="702"/>
      <c r="K1315" s="702"/>
      <c r="L1315" s="702"/>
      <c r="M1315" s="702"/>
    </row>
    <row r="1316" spans="1:13" x14ac:dyDescent="0.25">
      <c r="A1316" s="675" t="s">
        <v>1623</v>
      </c>
      <c r="B1316" s="702"/>
      <c r="C1316" s="702"/>
      <c r="D1316" s="702"/>
      <c r="E1316" s="702"/>
      <c r="F1316" s="702"/>
      <c r="G1316" s="702"/>
      <c r="H1316" s="702"/>
      <c r="I1316" s="702"/>
      <c r="J1316" s="702"/>
      <c r="K1316" s="702"/>
      <c r="L1316" s="702"/>
      <c r="M1316" s="702"/>
    </row>
    <row r="1317" spans="1:13" x14ac:dyDescent="0.25">
      <c r="A1317" s="675" t="s">
        <v>1621</v>
      </c>
      <c r="B1317" s="702" t="s">
        <v>512</v>
      </c>
      <c r="C1317" s="702" t="s">
        <v>1625</v>
      </c>
      <c r="D1317" s="702" t="s">
        <v>21</v>
      </c>
      <c r="E1317" s="702" t="s">
        <v>514</v>
      </c>
      <c r="F1317" s="702" t="s">
        <v>515</v>
      </c>
      <c r="G1317" s="702"/>
      <c r="H1317" s="702"/>
      <c r="I1317" s="702"/>
      <c r="J1317" s="702"/>
      <c r="K1317" s="702"/>
      <c r="L1317" s="702"/>
      <c r="M1317" s="702"/>
    </row>
    <row r="1318" spans="1:13" x14ac:dyDescent="0.25">
      <c r="A1318" s="675" t="s">
        <v>1623</v>
      </c>
      <c r="B1318" s="702"/>
      <c r="C1318" s="702"/>
      <c r="D1318" s="702"/>
      <c r="E1318" s="702"/>
      <c r="F1318" s="702"/>
      <c r="G1318" s="702"/>
      <c r="H1318" s="702"/>
      <c r="I1318" s="702"/>
      <c r="J1318" s="702"/>
      <c r="K1318" s="702"/>
      <c r="L1318" s="702"/>
      <c r="M1318" s="702"/>
    </row>
    <row r="1319" spans="1:13" x14ac:dyDescent="0.25">
      <c r="A1319" s="675" t="s">
        <v>1621</v>
      </c>
      <c r="B1319" s="702" t="s">
        <v>512</v>
      </c>
      <c r="C1319" s="704" t="s">
        <v>1626</v>
      </c>
      <c r="D1319" s="703" t="s">
        <v>21</v>
      </c>
      <c r="E1319" s="702" t="s">
        <v>514</v>
      </c>
      <c r="F1319" s="702" t="s">
        <v>515</v>
      </c>
      <c r="G1319" s="702"/>
      <c r="H1319" s="702"/>
      <c r="I1319" s="702"/>
      <c r="J1319" s="702"/>
      <c r="K1319" s="702"/>
      <c r="L1319" s="702"/>
      <c r="M1319" s="702"/>
    </row>
    <row r="1320" spans="1:13" x14ac:dyDescent="0.25">
      <c r="A1320" s="675" t="s">
        <v>1623</v>
      </c>
      <c r="B1320" s="702"/>
      <c r="C1320" s="704"/>
      <c r="D1320" s="703"/>
      <c r="E1320" s="702"/>
      <c r="F1320" s="702"/>
      <c r="G1320" s="702"/>
      <c r="H1320" s="702"/>
      <c r="I1320" s="702"/>
      <c r="J1320" s="702"/>
      <c r="K1320" s="702"/>
      <c r="L1320" s="702"/>
      <c r="M1320" s="702"/>
    </row>
    <row r="1321" spans="1:13" x14ac:dyDescent="0.25">
      <c r="A1321" s="678" t="s">
        <v>1621</v>
      </c>
      <c r="B1321" s="703" t="s">
        <v>512</v>
      </c>
      <c r="C1321" s="704" t="s">
        <v>1627</v>
      </c>
      <c r="D1321" s="703" t="s">
        <v>21</v>
      </c>
      <c r="E1321" s="703" t="s">
        <v>514</v>
      </c>
      <c r="F1321" s="703" t="s">
        <v>596</v>
      </c>
      <c r="G1321" s="702"/>
      <c r="H1321" s="702"/>
      <c r="I1321" s="702"/>
      <c r="J1321" s="702"/>
      <c r="K1321" s="702"/>
      <c r="L1321" s="702"/>
      <c r="M1321" s="702"/>
    </row>
    <row r="1322" spans="1:13" x14ac:dyDescent="0.25">
      <c r="A1322" s="678" t="s">
        <v>1623</v>
      </c>
      <c r="B1322" s="703"/>
      <c r="C1322" s="704"/>
      <c r="D1322" s="703"/>
      <c r="E1322" s="703"/>
      <c r="F1322" s="703"/>
      <c r="G1322" s="702"/>
      <c r="H1322" s="702"/>
      <c r="I1322" s="702"/>
      <c r="J1322" s="702"/>
      <c r="K1322" s="702"/>
      <c r="L1322" s="702"/>
      <c r="M1322" s="702"/>
    </row>
    <row r="1323" spans="1:13" x14ac:dyDescent="0.25">
      <c r="A1323" s="678" t="s">
        <v>1628</v>
      </c>
      <c r="B1323" s="678" t="s">
        <v>512</v>
      </c>
      <c r="C1323" s="678" t="s">
        <v>1629</v>
      </c>
      <c r="D1323" s="678" t="s">
        <v>21</v>
      </c>
      <c r="E1323" s="678" t="s">
        <v>514</v>
      </c>
      <c r="F1323" s="678" t="s">
        <v>596</v>
      </c>
      <c r="G1323" s="675"/>
      <c r="H1323" s="675"/>
      <c r="I1323" s="675"/>
      <c r="J1323" s="675"/>
      <c r="K1323" s="675"/>
      <c r="L1323" s="675"/>
      <c r="M1323" s="675"/>
    </row>
    <row r="1324" spans="1:13" x14ac:dyDescent="0.25">
      <c r="A1324" s="675" t="s">
        <v>1628</v>
      </c>
      <c r="B1324" s="675" t="s">
        <v>512</v>
      </c>
      <c r="C1324" s="675" t="s">
        <v>1630</v>
      </c>
      <c r="D1324" s="675" t="s">
        <v>21</v>
      </c>
      <c r="E1324" s="675" t="s">
        <v>514</v>
      </c>
      <c r="F1324" s="675" t="s">
        <v>515</v>
      </c>
      <c r="G1324" s="675"/>
      <c r="H1324" s="675"/>
      <c r="I1324" s="675"/>
      <c r="J1324" s="675"/>
      <c r="K1324" s="675"/>
      <c r="L1324" s="675"/>
      <c r="M1324" s="675"/>
    </row>
    <row r="1325" spans="1:13" x14ac:dyDescent="0.25">
      <c r="A1325" s="675" t="s">
        <v>1628</v>
      </c>
      <c r="B1325" s="675" t="s">
        <v>512</v>
      </c>
      <c r="C1325" s="675" t="s">
        <v>1631</v>
      </c>
      <c r="D1325" s="675" t="s">
        <v>21</v>
      </c>
      <c r="E1325" s="675" t="s">
        <v>514</v>
      </c>
      <c r="F1325" s="675" t="s">
        <v>515</v>
      </c>
      <c r="G1325" s="675"/>
      <c r="H1325" s="675"/>
      <c r="I1325" s="675"/>
      <c r="J1325" s="675"/>
      <c r="K1325" s="675"/>
      <c r="L1325" s="675"/>
      <c r="M1325" s="675"/>
    </row>
    <row r="1326" spans="1:13" x14ac:dyDescent="0.25">
      <c r="A1326" s="675" t="s">
        <v>1628</v>
      </c>
      <c r="B1326" s="675" t="s">
        <v>512</v>
      </c>
      <c r="C1326" s="675" t="s">
        <v>1632</v>
      </c>
      <c r="D1326" s="675" t="s">
        <v>21</v>
      </c>
      <c r="E1326" s="675" t="s">
        <v>514</v>
      </c>
      <c r="F1326" s="675" t="s">
        <v>515</v>
      </c>
      <c r="G1326" s="675"/>
      <c r="H1326" s="675"/>
      <c r="I1326" s="675"/>
      <c r="J1326" s="675"/>
      <c r="K1326" s="675"/>
      <c r="L1326" s="675"/>
      <c r="M1326" s="675"/>
    </row>
    <row r="1327" spans="1:13" x14ac:dyDescent="0.25">
      <c r="A1327" s="675" t="s">
        <v>1628</v>
      </c>
      <c r="B1327" s="675" t="s">
        <v>512</v>
      </c>
      <c r="C1327" s="675" t="s">
        <v>885</v>
      </c>
      <c r="D1327" s="675" t="s">
        <v>21</v>
      </c>
      <c r="E1327" s="675" t="s">
        <v>514</v>
      </c>
      <c r="F1327" s="675" t="s">
        <v>515</v>
      </c>
      <c r="G1327" s="675"/>
      <c r="H1327" s="675"/>
      <c r="I1327" s="675"/>
      <c r="J1327" s="675"/>
      <c r="K1327" s="675"/>
      <c r="L1327" s="675"/>
      <c r="M1327" s="675"/>
    </row>
    <row r="1328" spans="1:13" x14ac:dyDescent="0.25">
      <c r="A1328" s="675" t="s">
        <v>1628</v>
      </c>
      <c r="B1328" s="675" t="s">
        <v>512</v>
      </c>
      <c r="C1328" s="675" t="s">
        <v>1633</v>
      </c>
      <c r="D1328" s="675" t="s">
        <v>21</v>
      </c>
      <c r="E1328" s="675" t="s">
        <v>514</v>
      </c>
      <c r="F1328" s="675" t="s">
        <v>515</v>
      </c>
      <c r="G1328" s="675"/>
      <c r="H1328" s="675"/>
      <c r="I1328" s="675"/>
      <c r="J1328" s="675"/>
      <c r="K1328" s="675"/>
      <c r="L1328" s="675"/>
      <c r="M1328" s="675"/>
    </row>
    <row r="1329" spans="1:13" x14ac:dyDescent="0.25">
      <c r="A1329" s="675" t="s">
        <v>1628</v>
      </c>
      <c r="B1329" s="675" t="s">
        <v>512</v>
      </c>
      <c r="C1329" s="675" t="s">
        <v>1569</v>
      </c>
      <c r="D1329" s="675" t="s">
        <v>21</v>
      </c>
      <c r="E1329" s="675" t="s">
        <v>514</v>
      </c>
      <c r="F1329" s="675" t="s">
        <v>515</v>
      </c>
      <c r="G1329" s="675"/>
      <c r="H1329" s="675"/>
      <c r="I1329" s="675"/>
      <c r="J1329" s="675"/>
      <c r="K1329" s="675"/>
      <c r="L1329" s="675"/>
      <c r="M1329" s="675"/>
    </row>
    <row r="1330" spans="1:13" x14ac:dyDescent="0.25">
      <c r="A1330" s="675" t="s">
        <v>1628</v>
      </c>
      <c r="B1330" s="675" t="s">
        <v>512</v>
      </c>
      <c r="C1330" s="675" t="s">
        <v>891</v>
      </c>
      <c r="D1330" s="675" t="s">
        <v>21</v>
      </c>
      <c r="E1330" s="675" t="s">
        <v>514</v>
      </c>
      <c r="F1330" s="675" t="s">
        <v>515</v>
      </c>
      <c r="G1330" s="675"/>
      <c r="H1330" s="675"/>
      <c r="I1330" s="675"/>
      <c r="J1330" s="675"/>
      <c r="K1330" s="675"/>
      <c r="L1330" s="675"/>
      <c r="M1330" s="675"/>
    </row>
    <row r="1331" spans="1:13" x14ac:dyDescent="0.25">
      <c r="A1331" s="675" t="s">
        <v>1628</v>
      </c>
      <c r="B1331" s="675" t="s">
        <v>512</v>
      </c>
      <c r="C1331" s="675" t="s">
        <v>892</v>
      </c>
      <c r="D1331" s="675" t="s">
        <v>21</v>
      </c>
      <c r="E1331" s="675" t="s">
        <v>514</v>
      </c>
      <c r="F1331" s="675" t="s">
        <v>515</v>
      </c>
      <c r="G1331" s="675"/>
      <c r="H1331" s="675"/>
      <c r="I1331" s="675"/>
      <c r="J1331" s="675"/>
      <c r="K1331" s="675"/>
      <c r="L1331" s="675"/>
      <c r="M1331" s="675"/>
    </row>
    <row r="1332" spans="1:13" x14ac:dyDescent="0.25">
      <c r="A1332" s="675" t="s">
        <v>1628</v>
      </c>
      <c r="B1332" s="675" t="s">
        <v>512</v>
      </c>
      <c r="C1332" s="675" t="s">
        <v>893</v>
      </c>
      <c r="D1332" s="675" t="s">
        <v>21</v>
      </c>
      <c r="E1332" s="675" t="s">
        <v>514</v>
      </c>
      <c r="F1332" s="675" t="s">
        <v>515</v>
      </c>
      <c r="G1332" s="675"/>
      <c r="H1332" s="675"/>
      <c r="I1332" s="675"/>
      <c r="J1332" s="675"/>
      <c r="K1332" s="675"/>
      <c r="L1332" s="675"/>
      <c r="M1332" s="675"/>
    </row>
    <row r="1333" spans="1:13" x14ac:dyDescent="0.25">
      <c r="A1333" s="675" t="s">
        <v>1628</v>
      </c>
      <c r="B1333" s="675" t="s">
        <v>512</v>
      </c>
      <c r="C1333" s="675" t="s">
        <v>1634</v>
      </c>
      <c r="D1333" s="675" t="s">
        <v>21</v>
      </c>
      <c r="E1333" s="675" t="s">
        <v>514</v>
      </c>
      <c r="F1333" s="675" t="s">
        <v>515</v>
      </c>
      <c r="G1333" s="675"/>
      <c r="H1333" s="675"/>
      <c r="I1333" s="675"/>
      <c r="J1333" s="675"/>
      <c r="K1333" s="675"/>
      <c r="L1333" s="675"/>
      <c r="M1333" s="675"/>
    </row>
    <row r="1334" spans="1:13" x14ac:dyDescent="0.25">
      <c r="A1334" s="675" t="s">
        <v>1628</v>
      </c>
      <c r="B1334" s="675" t="s">
        <v>512</v>
      </c>
      <c r="C1334" s="675" t="s">
        <v>1635</v>
      </c>
      <c r="D1334" s="675" t="s">
        <v>21</v>
      </c>
      <c r="E1334" s="675" t="s">
        <v>514</v>
      </c>
      <c r="F1334" s="675" t="s">
        <v>515</v>
      </c>
      <c r="G1334" s="675"/>
      <c r="H1334" s="675"/>
      <c r="I1334" s="675"/>
      <c r="J1334" s="675"/>
      <c r="K1334" s="675"/>
      <c r="L1334" s="675"/>
      <c r="M1334" s="675"/>
    </row>
    <row r="1335" spans="1:13" x14ac:dyDescent="0.25">
      <c r="A1335" s="675" t="s">
        <v>1628</v>
      </c>
      <c r="B1335" s="675" t="s">
        <v>512</v>
      </c>
      <c r="C1335" s="675" t="s">
        <v>898</v>
      </c>
      <c r="D1335" s="675" t="s">
        <v>21</v>
      </c>
      <c r="E1335" s="675" t="s">
        <v>514</v>
      </c>
      <c r="F1335" s="675" t="s">
        <v>515</v>
      </c>
      <c r="G1335" s="675"/>
      <c r="H1335" s="675"/>
      <c r="I1335" s="675"/>
      <c r="J1335" s="675"/>
      <c r="K1335" s="675"/>
      <c r="L1335" s="675"/>
      <c r="M1335" s="675"/>
    </row>
    <row r="1336" spans="1:13" x14ac:dyDescent="0.25">
      <c r="A1336" s="675" t="s">
        <v>1628</v>
      </c>
      <c r="B1336" s="675" t="s">
        <v>512</v>
      </c>
      <c r="C1336" s="675" t="s">
        <v>901</v>
      </c>
      <c r="D1336" s="675" t="s">
        <v>21</v>
      </c>
      <c r="E1336" s="675" t="s">
        <v>514</v>
      </c>
      <c r="F1336" s="675" t="s">
        <v>515</v>
      </c>
      <c r="G1336" s="675"/>
      <c r="H1336" s="675"/>
      <c r="I1336" s="675"/>
      <c r="J1336" s="675"/>
      <c r="K1336" s="675"/>
      <c r="L1336" s="675"/>
      <c r="M1336" s="675"/>
    </row>
    <row r="1337" spans="1:13" x14ac:dyDescent="0.25">
      <c r="A1337" s="678" t="s">
        <v>1628</v>
      </c>
      <c r="B1337" s="678" t="s">
        <v>512</v>
      </c>
      <c r="C1337" s="678" t="s">
        <v>1636</v>
      </c>
      <c r="D1337" s="678" t="s">
        <v>21</v>
      </c>
      <c r="E1337" s="678" t="s">
        <v>514</v>
      </c>
      <c r="F1337" s="678" t="s">
        <v>596</v>
      </c>
      <c r="G1337" s="675"/>
      <c r="H1337" s="675"/>
      <c r="I1337" s="675"/>
      <c r="J1337" s="675"/>
      <c r="K1337" s="675"/>
      <c r="L1337" s="675"/>
      <c r="M1337" s="675"/>
    </row>
    <row r="1338" spans="1:13" x14ac:dyDescent="0.25">
      <c r="A1338" s="675" t="s">
        <v>1628</v>
      </c>
      <c r="B1338" s="675" t="s">
        <v>512</v>
      </c>
      <c r="C1338" s="675" t="s">
        <v>1637</v>
      </c>
      <c r="D1338" s="675" t="s">
        <v>21</v>
      </c>
      <c r="E1338" s="675" t="s">
        <v>514</v>
      </c>
      <c r="F1338" s="675" t="s">
        <v>515</v>
      </c>
      <c r="G1338" s="675"/>
      <c r="H1338" s="675"/>
      <c r="I1338" s="675"/>
      <c r="J1338" s="675"/>
      <c r="K1338" s="675"/>
      <c r="L1338" s="675"/>
      <c r="M1338" s="675"/>
    </row>
    <row r="1339" spans="1:13" x14ac:dyDescent="0.25">
      <c r="A1339" s="675" t="s">
        <v>1628</v>
      </c>
      <c r="B1339" s="675" t="s">
        <v>512</v>
      </c>
      <c r="C1339" s="675" t="s">
        <v>1638</v>
      </c>
      <c r="D1339" s="675" t="s">
        <v>21</v>
      </c>
      <c r="E1339" s="675" t="s">
        <v>514</v>
      </c>
      <c r="F1339" s="675" t="s">
        <v>515</v>
      </c>
      <c r="G1339" s="675"/>
      <c r="H1339" s="675"/>
      <c r="I1339" s="675"/>
      <c r="J1339" s="675"/>
      <c r="K1339" s="675"/>
      <c r="L1339" s="675"/>
      <c r="M1339" s="675"/>
    </row>
    <row r="1340" spans="1:13" x14ac:dyDescent="0.25">
      <c r="A1340" s="675" t="s">
        <v>1628</v>
      </c>
      <c r="B1340" s="675" t="s">
        <v>512</v>
      </c>
      <c r="C1340" s="675" t="s">
        <v>1639</v>
      </c>
      <c r="D1340" s="675" t="s">
        <v>21</v>
      </c>
      <c r="E1340" s="675" t="s">
        <v>514</v>
      </c>
      <c r="F1340" s="675" t="s">
        <v>515</v>
      </c>
      <c r="G1340" s="675"/>
      <c r="H1340" s="675"/>
      <c r="I1340" s="675"/>
      <c r="J1340" s="675"/>
      <c r="K1340" s="675"/>
      <c r="L1340" s="675"/>
      <c r="M1340" s="675"/>
    </row>
    <row r="1341" spans="1:13" x14ac:dyDescent="0.25">
      <c r="A1341" s="675" t="s">
        <v>1628</v>
      </c>
      <c r="B1341" s="675" t="s">
        <v>512</v>
      </c>
      <c r="C1341" s="675" t="s">
        <v>1640</v>
      </c>
      <c r="D1341" s="675" t="s">
        <v>21</v>
      </c>
      <c r="E1341" s="675" t="s">
        <v>514</v>
      </c>
      <c r="F1341" s="675" t="s">
        <v>515</v>
      </c>
      <c r="G1341" s="675"/>
      <c r="H1341" s="675"/>
      <c r="I1341" s="675"/>
      <c r="J1341" s="675"/>
      <c r="K1341" s="675"/>
      <c r="L1341" s="675"/>
      <c r="M1341" s="675"/>
    </row>
    <row r="1342" spans="1:13" x14ac:dyDescent="0.25">
      <c r="A1342" s="675" t="s">
        <v>1628</v>
      </c>
      <c r="B1342" s="675" t="s">
        <v>545</v>
      </c>
      <c r="C1342" s="675" t="s">
        <v>1641</v>
      </c>
      <c r="D1342" s="675" t="s">
        <v>21</v>
      </c>
      <c r="E1342" s="675" t="s">
        <v>514</v>
      </c>
      <c r="F1342" s="675" t="s">
        <v>515</v>
      </c>
      <c r="G1342" s="675"/>
      <c r="H1342" s="675"/>
      <c r="I1342" s="675"/>
      <c r="J1342" s="675"/>
      <c r="K1342" s="675"/>
      <c r="L1342" s="675"/>
      <c r="M1342" s="675"/>
    </row>
    <row r="1343" spans="1:13" x14ac:dyDescent="0.25">
      <c r="A1343" s="675" t="s">
        <v>1628</v>
      </c>
      <c r="B1343" s="675" t="s">
        <v>545</v>
      </c>
      <c r="C1343" s="675" t="s">
        <v>1642</v>
      </c>
      <c r="D1343" s="675" t="s">
        <v>21</v>
      </c>
      <c r="E1343" s="675" t="s">
        <v>514</v>
      </c>
      <c r="F1343" s="675" t="s">
        <v>515</v>
      </c>
      <c r="G1343" s="675"/>
      <c r="H1343" s="675"/>
      <c r="I1343" s="675"/>
      <c r="J1343" s="675"/>
      <c r="K1343" s="675"/>
      <c r="L1343" s="675"/>
      <c r="M1343" s="675"/>
    </row>
    <row r="1344" spans="1:13" x14ac:dyDescent="0.25">
      <c r="A1344" s="675" t="s">
        <v>1628</v>
      </c>
      <c r="B1344" s="675" t="s">
        <v>545</v>
      </c>
      <c r="C1344" s="675" t="s">
        <v>1643</v>
      </c>
      <c r="D1344" s="675" t="s">
        <v>21</v>
      </c>
      <c r="E1344" s="675" t="s">
        <v>514</v>
      </c>
      <c r="F1344" s="675" t="s">
        <v>515</v>
      </c>
      <c r="G1344" s="675"/>
      <c r="H1344" s="675"/>
      <c r="I1344" s="675"/>
      <c r="J1344" s="675"/>
      <c r="K1344" s="675"/>
      <c r="L1344" s="675"/>
      <c r="M1344" s="675"/>
    </row>
    <row r="1345" spans="1:13" x14ac:dyDescent="0.25">
      <c r="A1345" s="675" t="s">
        <v>1628</v>
      </c>
      <c r="B1345" s="675" t="s">
        <v>545</v>
      </c>
      <c r="C1345" s="675" t="s">
        <v>1644</v>
      </c>
      <c r="D1345" s="675" t="s">
        <v>21</v>
      </c>
      <c r="E1345" s="675" t="s">
        <v>514</v>
      </c>
      <c r="F1345" s="675" t="s">
        <v>515</v>
      </c>
      <c r="G1345" s="675"/>
      <c r="H1345" s="675"/>
      <c r="I1345" s="675"/>
      <c r="J1345" s="675"/>
      <c r="K1345" s="675"/>
      <c r="L1345" s="675"/>
      <c r="M1345" s="675"/>
    </row>
    <row r="1346" spans="1:13" x14ac:dyDescent="0.25">
      <c r="A1346" s="675" t="s">
        <v>1628</v>
      </c>
      <c r="B1346" s="675" t="s">
        <v>545</v>
      </c>
      <c r="C1346" s="675" t="s">
        <v>1645</v>
      </c>
      <c r="D1346" s="675" t="s">
        <v>21</v>
      </c>
      <c r="E1346" s="675" t="s">
        <v>514</v>
      </c>
      <c r="F1346" s="675" t="s">
        <v>515</v>
      </c>
      <c r="G1346" s="675"/>
      <c r="H1346" s="675"/>
      <c r="I1346" s="675"/>
      <c r="J1346" s="675"/>
      <c r="K1346" s="675"/>
      <c r="L1346" s="675"/>
      <c r="M1346" s="675"/>
    </row>
    <row r="1347" spans="1:13" x14ac:dyDescent="0.25">
      <c r="A1347" s="675" t="s">
        <v>1628</v>
      </c>
      <c r="B1347" s="675" t="s">
        <v>545</v>
      </c>
      <c r="C1347" s="675" t="s">
        <v>1646</v>
      </c>
      <c r="D1347" s="675" t="s">
        <v>21</v>
      </c>
      <c r="E1347" s="675" t="s">
        <v>514</v>
      </c>
      <c r="F1347" s="675" t="s">
        <v>515</v>
      </c>
      <c r="G1347" s="675"/>
      <c r="H1347" s="675"/>
      <c r="I1347" s="675"/>
      <c r="J1347" s="675"/>
      <c r="K1347" s="675"/>
      <c r="L1347" s="675"/>
      <c r="M1347" s="675"/>
    </row>
    <row r="1348" spans="1:13" x14ac:dyDescent="0.25">
      <c r="A1348" s="675" t="s">
        <v>1628</v>
      </c>
      <c r="B1348" s="675" t="s">
        <v>545</v>
      </c>
      <c r="C1348" s="675" t="s">
        <v>1647</v>
      </c>
      <c r="D1348" s="675" t="s">
        <v>21</v>
      </c>
      <c r="E1348" s="675" t="s">
        <v>514</v>
      </c>
      <c r="F1348" s="675" t="s">
        <v>515</v>
      </c>
      <c r="G1348" s="675"/>
      <c r="H1348" s="675"/>
      <c r="I1348" s="675"/>
      <c r="J1348" s="675"/>
      <c r="K1348" s="675"/>
      <c r="L1348" s="675"/>
      <c r="M1348" s="675"/>
    </row>
    <row r="1349" spans="1:13" x14ac:dyDescent="0.25">
      <c r="A1349" s="675" t="s">
        <v>1628</v>
      </c>
      <c r="B1349" s="675" t="s">
        <v>545</v>
      </c>
      <c r="C1349" s="675" t="s">
        <v>1648</v>
      </c>
      <c r="D1349" s="675" t="s">
        <v>21</v>
      </c>
      <c r="E1349" s="675" t="s">
        <v>514</v>
      </c>
      <c r="F1349" s="675" t="s">
        <v>515</v>
      </c>
      <c r="G1349" s="675"/>
      <c r="H1349" s="675"/>
      <c r="I1349" s="675"/>
      <c r="J1349" s="675"/>
      <c r="K1349" s="675"/>
      <c r="L1349" s="675"/>
      <c r="M1349" s="675"/>
    </row>
    <row r="1350" spans="1:13" x14ac:dyDescent="0.25">
      <c r="A1350" s="675" t="s">
        <v>1628</v>
      </c>
      <c r="B1350" s="675" t="s">
        <v>545</v>
      </c>
      <c r="C1350" s="675" t="s">
        <v>1649</v>
      </c>
      <c r="D1350" s="675" t="s">
        <v>21</v>
      </c>
      <c r="E1350" s="675" t="s">
        <v>514</v>
      </c>
      <c r="F1350" s="675" t="s">
        <v>515</v>
      </c>
      <c r="G1350" s="675"/>
      <c r="H1350" s="675"/>
      <c r="I1350" s="675"/>
      <c r="J1350" s="675"/>
      <c r="K1350" s="675"/>
      <c r="L1350" s="675"/>
      <c r="M1350" s="675"/>
    </row>
    <row r="1351" spans="1:13" x14ac:dyDescent="0.25">
      <c r="A1351" s="678" t="s">
        <v>1628</v>
      </c>
      <c r="B1351" s="678" t="s">
        <v>545</v>
      </c>
      <c r="C1351" s="678" t="s">
        <v>1650</v>
      </c>
      <c r="D1351" s="678" t="s">
        <v>21</v>
      </c>
      <c r="E1351" s="678" t="s">
        <v>514</v>
      </c>
      <c r="F1351" s="678" t="s">
        <v>636</v>
      </c>
      <c r="G1351" s="675"/>
      <c r="H1351" s="675"/>
      <c r="I1351" s="675"/>
      <c r="J1351" s="675"/>
      <c r="K1351" s="675"/>
      <c r="L1351" s="675"/>
      <c r="M1351" s="675"/>
    </row>
    <row r="1352" spans="1:13" x14ac:dyDescent="0.25">
      <c r="A1352" s="675" t="s">
        <v>1628</v>
      </c>
      <c r="B1352" s="675" t="s">
        <v>545</v>
      </c>
      <c r="C1352" s="675" t="s">
        <v>1651</v>
      </c>
      <c r="D1352" s="675" t="s">
        <v>21</v>
      </c>
      <c r="E1352" s="675" t="s">
        <v>514</v>
      </c>
      <c r="F1352" s="675" t="s">
        <v>515</v>
      </c>
      <c r="G1352" s="675"/>
      <c r="H1352" s="675"/>
      <c r="I1352" s="675"/>
      <c r="J1352" s="675"/>
      <c r="K1352" s="675"/>
      <c r="L1352" s="675"/>
      <c r="M1352" s="675"/>
    </row>
    <row r="1353" spans="1:13" x14ac:dyDescent="0.25">
      <c r="A1353" s="675" t="s">
        <v>1628</v>
      </c>
      <c r="B1353" s="675" t="s">
        <v>564</v>
      </c>
      <c r="C1353" s="675" t="s">
        <v>1652</v>
      </c>
      <c r="D1353" s="675" t="s">
        <v>21</v>
      </c>
      <c r="E1353" s="675" t="s">
        <v>514</v>
      </c>
      <c r="F1353" s="675" t="s">
        <v>515</v>
      </c>
      <c r="G1353" s="675"/>
      <c r="H1353" s="675"/>
      <c r="I1353" s="675"/>
      <c r="J1353" s="675"/>
      <c r="K1353" s="675"/>
      <c r="L1353" s="675"/>
      <c r="M1353" s="675"/>
    </row>
    <row r="1354" spans="1:13" x14ac:dyDescent="0.25">
      <c r="A1354" s="675" t="s">
        <v>1628</v>
      </c>
      <c r="B1354" s="675" t="s">
        <v>564</v>
      </c>
      <c r="C1354" s="675" t="s">
        <v>1653</v>
      </c>
      <c r="D1354" s="675" t="s">
        <v>21</v>
      </c>
      <c r="E1354" s="675" t="s">
        <v>514</v>
      </c>
      <c r="F1354" s="675" t="s">
        <v>515</v>
      </c>
      <c r="G1354" s="675"/>
      <c r="H1354" s="675"/>
      <c r="I1354" s="675"/>
      <c r="J1354" s="675"/>
      <c r="K1354" s="675"/>
      <c r="L1354" s="675"/>
      <c r="M1354" s="675"/>
    </row>
    <row r="1355" spans="1:13" x14ac:dyDescent="0.25">
      <c r="A1355" s="675" t="s">
        <v>1654</v>
      </c>
      <c r="B1355" s="675" t="s">
        <v>512</v>
      </c>
      <c r="C1355" s="675" t="s">
        <v>639</v>
      </c>
      <c r="D1355" s="675" t="s">
        <v>21</v>
      </c>
      <c r="E1355" s="675" t="s">
        <v>514</v>
      </c>
      <c r="F1355" s="675" t="s">
        <v>515</v>
      </c>
      <c r="G1355" s="675"/>
      <c r="H1355" s="675"/>
      <c r="I1355" s="675"/>
      <c r="J1355" s="675"/>
      <c r="K1355" s="675"/>
      <c r="L1355" s="675"/>
      <c r="M1355" s="675"/>
    </row>
    <row r="1356" spans="1:13" x14ac:dyDescent="0.25">
      <c r="A1356" s="675" t="s">
        <v>1654</v>
      </c>
      <c r="B1356" s="675" t="s">
        <v>512</v>
      </c>
      <c r="C1356" s="675" t="s">
        <v>640</v>
      </c>
      <c r="D1356" s="675" t="s">
        <v>21</v>
      </c>
      <c r="E1356" s="675" t="s">
        <v>514</v>
      </c>
      <c r="F1356" s="675" t="s">
        <v>515</v>
      </c>
      <c r="G1356" s="675"/>
      <c r="H1356" s="675"/>
      <c r="I1356" s="675"/>
      <c r="J1356" s="675"/>
      <c r="K1356" s="675"/>
      <c r="L1356" s="675"/>
      <c r="M1356" s="675"/>
    </row>
    <row r="1357" spans="1:13" x14ac:dyDescent="0.25">
      <c r="A1357" s="675" t="s">
        <v>1654</v>
      </c>
      <c r="B1357" s="675" t="s">
        <v>512</v>
      </c>
      <c r="C1357" s="675" t="s">
        <v>650</v>
      </c>
      <c r="D1357" s="675" t="s">
        <v>21</v>
      </c>
      <c r="E1357" s="675" t="s">
        <v>514</v>
      </c>
      <c r="F1357" s="675" t="s">
        <v>515</v>
      </c>
      <c r="G1357" s="675"/>
      <c r="H1357" s="675"/>
      <c r="I1357" s="675"/>
      <c r="J1357" s="675"/>
      <c r="K1357" s="675"/>
      <c r="L1357" s="675"/>
      <c r="M1357" s="675"/>
    </row>
    <row r="1358" spans="1:13" x14ac:dyDescent="0.25">
      <c r="A1358" s="675" t="s">
        <v>1654</v>
      </c>
      <c r="B1358" s="675" t="s">
        <v>512</v>
      </c>
      <c r="C1358" s="675" t="s">
        <v>651</v>
      </c>
      <c r="D1358" s="675" t="s">
        <v>21</v>
      </c>
      <c r="E1358" s="675" t="s">
        <v>514</v>
      </c>
      <c r="F1358" s="675" t="s">
        <v>515</v>
      </c>
      <c r="G1358" s="675"/>
      <c r="H1358" s="675"/>
      <c r="I1358" s="675"/>
      <c r="J1358" s="675"/>
      <c r="K1358" s="675"/>
      <c r="L1358" s="675"/>
      <c r="M1358" s="675"/>
    </row>
    <row r="1359" spans="1:13" x14ac:dyDescent="0.25">
      <c r="A1359" s="675" t="s">
        <v>1654</v>
      </c>
      <c r="B1359" s="675" t="s">
        <v>512</v>
      </c>
      <c r="C1359" s="675" t="s">
        <v>1655</v>
      </c>
      <c r="D1359" s="675" t="s">
        <v>21</v>
      </c>
      <c r="E1359" s="675" t="s">
        <v>514</v>
      </c>
      <c r="F1359" s="675" t="s">
        <v>515</v>
      </c>
      <c r="G1359" s="675"/>
      <c r="H1359" s="675"/>
      <c r="I1359" s="675"/>
      <c r="J1359" s="675"/>
      <c r="K1359" s="675"/>
      <c r="L1359" s="675"/>
      <c r="M1359" s="675"/>
    </row>
    <row r="1360" spans="1:13" x14ac:dyDescent="0.25">
      <c r="A1360" s="675" t="s">
        <v>1654</v>
      </c>
      <c r="B1360" s="675" t="s">
        <v>512</v>
      </c>
      <c r="C1360" s="675" t="s">
        <v>1656</v>
      </c>
      <c r="D1360" s="675" t="s">
        <v>21</v>
      </c>
      <c r="E1360" s="675" t="s">
        <v>514</v>
      </c>
      <c r="F1360" s="675" t="s">
        <v>515</v>
      </c>
      <c r="G1360" s="675"/>
      <c r="H1360" s="675"/>
      <c r="I1360" s="675"/>
      <c r="J1360" s="675"/>
      <c r="K1360" s="675"/>
      <c r="L1360" s="675"/>
      <c r="M1360" s="675"/>
    </row>
    <row r="1361" spans="1:13" x14ac:dyDescent="0.25">
      <c r="A1361" s="675" t="s">
        <v>1654</v>
      </c>
      <c r="B1361" s="675" t="s">
        <v>545</v>
      </c>
      <c r="C1361" s="675" t="s">
        <v>1657</v>
      </c>
      <c r="D1361" s="675" t="s">
        <v>21</v>
      </c>
      <c r="E1361" s="675" t="s">
        <v>514</v>
      </c>
      <c r="F1361" s="675" t="s">
        <v>515</v>
      </c>
      <c r="G1361" s="675"/>
      <c r="H1361" s="675"/>
      <c r="I1361" s="675"/>
      <c r="J1361" s="675"/>
      <c r="K1361" s="675"/>
      <c r="L1361" s="675"/>
      <c r="M1361" s="675"/>
    </row>
    <row r="1362" spans="1:13" x14ac:dyDescent="0.25">
      <c r="A1362" s="675" t="s">
        <v>1654</v>
      </c>
      <c r="B1362" s="675" t="s">
        <v>545</v>
      </c>
      <c r="C1362" s="675" t="s">
        <v>552</v>
      </c>
      <c r="D1362" s="675" t="s">
        <v>21</v>
      </c>
      <c r="E1362" s="675" t="s">
        <v>514</v>
      </c>
      <c r="F1362" s="675" t="s">
        <v>515</v>
      </c>
      <c r="G1362" s="675"/>
      <c r="H1362" s="675"/>
      <c r="I1362" s="675"/>
      <c r="J1362" s="675"/>
      <c r="K1362" s="675"/>
      <c r="L1362" s="675"/>
      <c r="M1362" s="675"/>
    </row>
    <row r="1363" spans="1:13" x14ac:dyDescent="0.25">
      <c r="A1363" s="678" t="s">
        <v>1654</v>
      </c>
      <c r="B1363" s="678" t="s">
        <v>545</v>
      </c>
      <c r="C1363" s="678" t="s">
        <v>1658</v>
      </c>
      <c r="D1363" s="678" t="s">
        <v>21</v>
      </c>
      <c r="E1363" s="678" t="s">
        <v>514</v>
      </c>
      <c r="F1363" s="678" t="s">
        <v>636</v>
      </c>
      <c r="G1363" s="675"/>
      <c r="H1363" s="675"/>
      <c r="I1363" s="675"/>
      <c r="J1363" s="675"/>
      <c r="K1363" s="675"/>
      <c r="L1363" s="675"/>
      <c r="M1363" s="675"/>
    </row>
    <row r="1364" spans="1:13" x14ac:dyDescent="0.25">
      <c r="A1364" s="675" t="s">
        <v>1654</v>
      </c>
      <c r="B1364" s="675" t="s">
        <v>545</v>
      </c>
      <c r="C1364" s="675" t="s">
        <v>1659</v>
      </c>
      <c r="D1364" s="675" t="s">
        <v>21</v>
      </c>
      <c r="E1364" s="675" t="s">
        <v>514</v>
      </c>
      <c r="F1364" s="675" t="s">
        <v>515</v>
      </c>
      <c r="G1364" s="675"/>
      <c r="H1364" s="675"/>
      <c r="I1364" s="675"/>
      <c r="J1364" s="675"/>
      <c r="K1364" s="675"/>
      <c r="L1364" s="675"/>
      <c r="M1364" s="675"/>
    </row>
    <row r="1365" spans="1:13" x14ac:dyDescent="0.25">
      <c r="A1365" s="675" t="s">
        <v>1660</v>
      </c>
      <c r="B1365" s="675" t="s">
        <v>512</v>
      </c>
      <c r="C1365" s="675" t="s">
        <v>1141</v>
      </c>
      <c r="D1365" s="675" t="s">
        <v>21</v>
      </c>
      <c r="E1365" s="675" t="s">
        <v>514</v>
      </c>
      <c r="F1365" s="675" t="s">
        <v>515</v>
      </c>
      <c r="G1365" s="675"/>
      <c r="H1365" s="675"/>
      <c r="I1365" s="675"/>
      <c r="J1365" s="675"/>
      <c r="K1365" s="675"/>
      <c r="L1365" s="675"/>
      <c r="M1365" s="675"/>
    </row>
    <row r="1366" spans="1:13" x14ac:dyDescent="0.25">
      <c r="A1366" s="675" t="s">
        <v>1660</v>
      </c>
      <c r="B1366" s="675" t="s">
        <v>512</v>
      </c>
      <c r="C1366" s="675" t="s">
        <v>1661</v>
      </c>
      <c r="D1366" s="675" t="s">
        <v>21</v>
      </c>
      <c r="E1366" s="675" t="s">
        <v>514</v>
      </c>
      <c r="F1366" s="675" t="s">
        <v>515</v>
      </c>
      <c r="G1366" s="675"/>
      <c r="H1366" s="675"/>
      <c r="I1366" s="675"/>
      <c r="J1366" s="675"/>
      <c r="K1366" s="675"/>
      <c r="L1366" s="675"/>
      <c r="M1366" s="675"/>
    </row>
    <row r="1367" spans="1:13" x14ac:dyDescent="0.25">
      <c r="A1367" s="675" t="s">
        <v>1660</v>
      </c>
      <c r="B1367" s="675" t="s">
        <v>512</v>
      </c>
      <c r="C1367" s="675" t="s">
        <v>1662</v>
      </c>
      <c r="D1367" s="675" t="s">
        <v>21</v>
      </c>
      <c r="E1367" s="675" t="s">
        <v>514</v>
      </c>
      <c r="F1367" s="675" t="s">
        <v>515</v>
      </c>
      <c r="G1367" s="675"/>
      <c r="H1367" s="675"/>
      <c r="I1367" s="675"/>
      <c r="J1367" s="675"/>
      <c r="K1367" s="675"/>
      <c r="L1367" s="675"/>
      <c r="M1367" s="675"/>
    </row>
    <row r="1368" spans="1:13" x14ac:dyDescent="0.25">
      <c r="A1368" s="675" t="s">
        <v>1660</v>
      </c>
      <c r="B1368" s="675" t="s">
        <v>512</v>
      </c>
      <c r="C1368" s="675" t="s">
        <v>1155</v>
      </c>
      <c r="D1368" s="675" t="s">
        <v>21</v>
      </c>
      <c r="E1368" s="675" t="s">
        <v>514</v>
      </c>
      <c r="F1368" s="675" t="s">
        <v>515</v>
      </c>
      <c r="G1368" s="675"/>
      <c r="H1368" s="675"/>
      <c r="I1368" s="675"/>
      <c r="J1368" s="675"/>
      <c r="K1368" s="675"/>
      <c r="L1368" s="675"/>
      <c r="M1368" s="675"/>
    </row>
    <row r="1369" spans="1:13" x14ac:dyDescent="0.25">
      <c r="A1369" s="675" t="s">
        <v>1660</v>
      </c>
      <c r="B1369" s="675" t="s">
        <v>512</v>
      </c>
      <c r="C1369" s="675" t="s">
        <v>1156</v>
      </c>
      <c r="D1369" s="675" t="s">
        <v>21</v>
      </c>
      <c r="E1369" s="675" t="s">
        <v>514</v>
      </c>
      <c r="F1369" s="675" t="s">
        <v>515</v>
      </c>
      <c r="G1369" s="675"/>
      <c r="H1369" s="675"/>
      <c r="I1369" s="675"/>
      <c r="J1369" s="675"/>
      <c r="K1369" s="675"/>
      <c r="L1369" s="675"/>
      <c r="M1369" s="675"/>
    </row>
    <row r="1370" spans="1:13" x14ac:dyDescent="0.25">
      <c r="A1370" s="675" t="s">
        <v>1660</v>
      </c>
      <c r="B1370" s="675" t="s">
        <v>512</v>
      </c>
      <c r="C1370" s="675" t="s">
        <v>892</v>
      </c>
      <c r="D1370" s="675" t="s">
        <v>21</v>
      </c>
      <c r="E1370" s="675" t="s">
        <v>514</v>
      </c>
      <c r="F1370" s="675" t="s">
        <v>515</v>
      </c>
      <c r="G1370" s="675"/>
      <c r="H1370" s="675"/>
      <c r="I1370" s="675"/>
      <c r="J1370" s="675"/>
      <c r="K1370" s="675"/>
      <c r="L1370" s="675"/>
      <c r="M1370" s="675"/>
    </row>
    <row r="1371" spans="1:13" x14ac:dyDescent="0.25">
      <c r="A1371" s="675" t="s">
        <v>1660</v>
      </c>
      <c r="B1371" s="675" t="s">
        <v>512</v>
      </c>
      <c r="C1371" s="675" t="s">
        <v>893</v>
      </c>
      <c r="D1371" s="675" t="s">
        <v>21</v>
      </c>
      <c r="E1371" s="675" t="s">
        <v>514</v>
      </c>
      <c r="F1371" s="675" t="s">
        <v>515</v>
      </c>
      <c r="G1371" s="675"/>
      <c r="H1371" s="675"/>
      <c r="I1371" s="675"/>
      <c r="J1371" s="675"/>
      <c r="K1371" s="675"/>
      <c r="L1371" s="675"/>
      <c r="M1371" s="675"/>
    </row>
    <row r="1372" spans="1:13" x14ac:dyDescent="0.25">
      <c r="A1372" s="675" t="s">
        <v>1660</v>
      </c>
      <c r="B1372" s="675" t="s">
        <v>512</v>
      </c>
      <c r="C1372" s="675" t="s">
        <v>1358</v>
      </c>
      <c r="D1372" s="675" t="s">
        <v>21</v>
      </c>
      <c r="E1372" s="675" t="s">
        <v>514</v>
      </c>
      <c r="F1372" s="675" t="s">
        <v>515</v>
      </c>
      <c r="G1372" s="675"/>
      <c r="H1372" s="675"/>
      <c r="I1372" s="675"/>
      <c r="J1372" s="675"/>
      <c r="K1372" s="675"/>
      <c r="L1372" s="675"/>
      <c r="M1372" s="675"/>
    </row>
    <row r="1373" spans="1:13" x14ac:dyDescent="0.25">
      <c r="A1373" s="675" t="s">
        <v>1660</v>
      </c>
      <c r="B1373" s="675" t="s">
        <v>512</v>
      </c>
      <c r="C1373" s="675" t="s">
        <v>1227</v>
      </c>
      <c r="D1373" s="675" t="s">
        <v>21</v>
      </c>
      <c r="E1373" s="675" t="s">
        <v>514</v>
      </c>
      <c r="F1373" s="675" t="s">
        <v>515</v>
      </c>
      <c r="G1373" s="675"/>
      <c r="H1373" s="675"/>
      <c r="I1373" s="675"/>
      <c r="J1373" s="675"/>
      <c r="K1373" s="675"/>
      <c r="L1373" s="675"/>
      <c r="M1373" s="675"/>
    </row>
    <row r="1374" spans="1:13" x14ac:dyDescent="0.25">
      <c r="A1374" s="675" t="s">
        <v>1660</v>
      </c>
      <c r="B1374" s="675" t="s">
        <v>512</v>
      </c>
      <c r="C1374" s="675" t="s">
        <v>898</v>
      </c>
      <c r="D1374" s="675" t="s">
        <v>21</v>
      </c>
      <c r="E1374" s="675" t="s">
        <v>514</v>
      </c>
      <c r="F1374" s="675" t="s">
        <v>515</v>
      </c>
      <c r="G1374" s="675"/>
      <c r="H1374" s="675"/>
      <c r="I1374" s="675"/>
      <c r="J1374" s="675"/>
      <c r="K1374" s="675"/>
      <c r="L1374" s="675"/>
      <c r="M1374" s="675"/>
    </row>
    <row r="1375" spans="1:13" x14ac:dyDescent="0.25">
      <c r="A1375" s="675" t="s">
        <v>1660</v>
      </c>
      <c r="B1375" s="675" t="s">
        <v>512</v>
      </c>
      <c r="C1375" s="675" t="s">
        <v>1147</v>
      </c>
      <c r="D1375" s="675" t="s">
        <v>21</v>
      </c>
      <c r="E1375" s="675" t="s">
        <v>514</v>
      </c>
      <c r="F1375" s="675" t="s">
        <v>515</v>
      </c>
      <c r="G1375" s="675"/>
      <c r="H1375" s="675"/>
      <c r="I1375" s="675"/>
      <c r="J1375" s="675"/>
      <c r="K1375" s="675"/>
      <c r="L1375" s="675"/>
      <c r="M1375" s="675"/>
    </row>
    <row r="1376" spans="1:13" x14ac:dyDescent="0.25">
      <c r="A1376" s="675" t="s">
        <v>1660</v>
      </c>
      <c r="B1376" s="675" t="s">
        <v>545</v>
      </c>
      <c r="C1376" s="675" t="s">
        <v>1663</v>
      </c>
      <c r="D1376" s="675" t="s">
        <v>21</v>
      </c>
      <c r="E1376" s="675" t="s">
        <v>514</v>
      </c>
      <c r="F1376" s="675" t="s">
        <v>515</v>
      </c>
      <c r="G1376" s="675"/>
      <c r="H1376" s="675"/>
      <c r="I1376" s="675"/>
      <c r="J1376" s="675"/>
      <c r="K1376" s="675"/>
      <c r="L1376" s="675"/>
      <c r="M1376" s="675"/>
    </row>
    <row r="1377" spans="1:13" x14ac:dyDescent="0.25">
      <c r="A1377" s="675" t="s">
        <v>1660</v>
      </c>
      <c r="B1377" s="675" t="s">
        <v>545</v>
      </c>
      <c r="C1377" s="675" t="s">
        <v>1664</v>
      </c>
      <c r="D1377" s="675" t="s">
        <v>21</v>
      </c>
      <c r="E1377" s="675" t="s">
        <v>514</v>
      </c>
      <c r="F1377" s="675" t="s">
        <v>515</v>
      </c>
      <c r="G1377" s="675"/>
      <c r="H1377" s="675"/>
      <c r="I1377" s="675"/>
      <c r="J1377" s="675"/>
      <c r="K1377" s="675"/>
      <c r="L1377" s="675"/>
      <c r="M1377" s="675"/>
    </row>
    <row r="1378" spans="1:13" x14ac:dyDescent="0.25">
      <c r="A1378" s="675" t="s">
        <v>1660</v>
      </c>
      <c r="B1378" s="675" t="s">
        <v>545</v>
      </c>
      <c r="C1378" s="675" t="s">
        <v>1665</v>
      </c>
      <c r="D1378" s="675" t="s">
        <v>21</v>
      </c>
      <c r="E1378" s="675" t="s">
        <v>514</v>
      </c>
      <c r="F1378" s="675" t="s">
        <v>515</v>
      </c>
      <c r="G1378" s="675"/>
      <c r="H1378" s="675"/>
      <c r="I1378" s="675"/>
      <c r="J1378" s="675"/>
      <c r="K1378" s="675"/>
      <c r="L1378" s="675"/>
      <c r="M1378" s="675"/>
    </row>
    <row r="1379" spans="1:13" x14ac:dyDescent="0.25">
      <c r="A1379" s="675" t="s">
        <v>1660</v>
      </c>
      <c r="B1379" s="675" t="s">
        <v>545</v>
      </c>
      <c r="C1379" s="675" t="s">
        <v>1666</v>
      </c>
      <c r="D1379" s="675" t="s">
        <v>21</v>
      </c>
      <c r="E1379" s="675" t="s">
        <v>514</v>
      </c>
      <c r="F1379" s="675" t="s">
        <v>515</v>
      </c>
      <c r="G1379" s="675"/>
      <c r="H1379" s="675"/>
      <c r="I1379" s="675"/>
      <c r="J1379" s="675"/>
      <c r="K1379" s="675"/>
      <c r="L1379" s="675"/>
      <c r="M1379" s="675"/>
    </row>
    <row r="1380" spans="1:13" x14ac:dyDescent="0.25">
      <c r="A1380" s="675" t="s">
        <v>1660</v>
      </c>
      <c r="B1380" s="675" t="s">
        <v>545</v>
      </c>
      <c r="C1380" s="675" t="s">
        <v>799</v>
      </c>
      <c r="D1380" s="675" t="s">
        <v>21</v>
      </c>
      <c r="E1380" s="675" t="s">
        <v>514</v>
      </c>
      <c r="F1380" s="675" t="s">
        <v>515</v>
      </c>
      <c r="G1380" s="675"/>
      <c r="H1380" s="675"/>
      <c r="I1380" s="675"/>
      <c r="J1380" s="675"/>
      <c r="K1380" s="675"/>
      <c r="L1380" s="675"/>
      <c r="M1380" s="675"/>
    </row>
    <row r="1381" spans="1:13" x14ac:dyDescent="0.25">
      <c r="A1381" s="675" t="s">
        <v>1660</v>
      </c>
      <c r="B1381" s="675" t="s">
        <v>545</v>
      </c>
      <c r="C1381" s="675" t="s">
        <v>1667</v>
      </c>
      <c r="D1381" s="675" t="s">
        <v>21</v>
      </c>
      <c r="E1381" s="675" t="s">
        <v>514</v>
      </c>
      <c r="F1381" s="675" t="s">
        <v>515</v>
      </c>
      <c r="G1381" s="675"/>
      <c r="H1381" s="675"/>
      <c r="I1381" s="675"/>
      <c r="J1381" s="675"/>
      <c r="K1381" s="675"/>
      <c r="L1381" s="675"/>
      <c r="M1381" s="675"/>
    </row>
    <row r="1382" spans="1:13" x14ac:dyDescent="0.25">
      <c r="A1382" s="675" t="s">
        <v>1660</v>
      </c>
      <c r="B1382" s="675" t="s">
        <v>545</v>
      </c>
      <c r="C1382" s="675" t="s">
        <v>1668</v>
      </c>
      <c r="D1382" s="675" t="s">
        <v>21</v>
      </c>
      <c r="E1382" s="675" t="s">
        <v>514</v>
      </c>
      <c r="F1382" s="675" t="s">
        <v>515</v>
      </c>
      <c r="G1382" s="675"/>
      <c r="H1382" s="675"/>
      <c r="I1382" s="675"/>
      <c r="J1382" s="675"/>
      <c r="K1382" s="675"/>
      <c r="L1382" s="675"/>
      <c r="M1382" s="675"/>
    </row>
    <row r="1383" spans="1:13" x14ac:dyDescent="0.25">
      <c r="A1383" s="675" t="s">
        <v>1660</v>
      </c>
      <c r="B1383" s="675" t="s">
        <v>545</v>
      </c>
      <c r="C1383" s="675" t="s">
        <v>1669</v>
      </c>
      <c r="D1383" s="675" t="s">
        <v>21</v>
      </c>
      <c r="E1383" s="675" t="s">
        <v>514</v>
      </c>
      <c r="F1383" s="675" t="s">
        <v>515</v>
      </c>
      <c r="G1383" s="675"/>
      <c r="H1383" s="675"/>
      <c r="I1383" s="675"/>
      <c r="J1383" s="675"/>
      <c r="K1383" s="675"/>
      <c r="L1383" s="675"/>
      <c r="M1383" s="675"/>
    </row>
    <row r="1384" spans="1:13" x14ac:dyDescent="0.25">
      <c r="A1384" s="675" t="s">
        <v>1660</v>
      </c>
      <c r="B1384" s="675" t="s">
        <v>545</v>
      </c>
      <c r="C1384" s="675" t="s">
        <v>1526</v>
      </c>
      <c r="D1384" s="675" t="s">
        <v>21</v>
      </c>
      <c r="E1384" s="675" t="s">
        <v>514</v>
      </c>
      <c r="F1384" s="675" t="s">
        <v>515</v>
      </c>
      <c r="G1384" s="675"/>
      <c r="H1384" s="675"/>
      <c r="I1384" s="675"/>
      <c r="J1384" s="675"/>
      <c r="K1384" s="675"/>
      <c r="L1384" s="675"/>
      <c r="M1384" s="675"/>
    </row>
    <row r="1385" spans="1:13" x14ac:dyDescent="0.25">
      <c r="A1385" s="675" t="s">
        <v>1660</v>
      </c>
      <c r="B1385" s="675" t="s">
        <v>545</v>
      </c>
      <c r="C1385" s="675" t="s">
        <v>1670</v>
      </c>
      <c r="D1385" s="675" t="s">
        <v>21</v>
      </c>
      <c r="E1385" s="675" t="s">
        <v>514</v>
      </c>
      <c r="F1385" s="675" t="s">
        <v>515</v>
      </c>
      <c r="G1385" s="675"/>
      <c r="H1385" s="675"/>
      <c r="I1385" s="675"/>
      <c r="J1385" s="675"/>
      <c r="K1385" s="675"/>
      <c r="L1385" s="675"/>
      <c r="M1385" s="675"/>
    </row>
    <row r="1386" spans="1:13" x14ac:dyDescent="0.25">
      <c r="A1386" s="675" t="s">
        <v>1660</v>
      </c>
      <c r="B1386" s="675" t="s">
        <v>564</v>
      </c>
      <c r="C1386" s="675" t="s">
        <v>1671</v>
      </c>
      <c r="D1386" s="675" t="s">
        <v>21</v>
      </c>
      <c r="E1386" s="675" t="s">
        <v>514</v>
      </c>
      <c r="F1386" s="675" t="s">
        <v>515</v>
      </c>
      <c r="G1386" s="675"/>
      <c r="H1386" s="675"/>
      <c r="I1386" s="675"/>
      <c r="J1386" s="675"/>
      <c r="K1386" s="675"/>
      <c r="L1386" s="675"/>
      <c r="M1386" s="675"/>
    </row>
    <row r="1387" spans="1:13" ht="17.25" x14ac:dyDescent="0.3">
      <c r="A1387" s="675" t="s">
        <v>1672</v>
      </c>
      <c r="B1387" s="675" t="s">
        <v>512</v>
      </c>
      <c r="C1387" s="679" t="s">
        <v>1673</v>
      </c>
      <c r="D1387" s="678" t="s">
        <v>21</v>
      </c>
      <c r="E1387" s="675" t="s">
        <v>514</v>
      </c>
      <c r="F1387" s="675" t="s">
        <v>515</v>
      </c>
      <c r="G1387" s="675"/>
      <c r="H1387" s="675"/>
      <c r="I1387" s="675"/>
      <c r="J1387" s="675"/>
      <c r="K1387" s="675"/>
      <c r="L1387" s="675"/>
      <c r="M1387" s="675"/>
    </row>
    <row r="1388" spans="1:13" ht="17.25" x14ac:dyDescent="0.3">
      <c r="A1388" s="675" t="s">
        <v>1672</v>
      </c>
      <c r="B1388" s="675" t="s">
        <v>512</v>
      </c>
      <c r="C1388" s="679" t="s">
        <v>1626</v>
      </c>
      <c r="D1388" s="678" t="s">
        <v>21</v>
      </c>
      <c r="E1388" s="675" t="s">
        <v>514</v>
      </c>
      <c r="F1388" s="675" t="s">
        <v>515</v>
      </c>
      <c r="G1388" s="675"/>
      <c r="H1388" s="675"/>
      <c r="I1388" s="675"/>
      <c r="J1388" s="675"/>
      <c r="K1388" s="675"/>
      <c r="L1388" s="675"/>
      <c r="M1388" s="675"/>
    </row>
    <row r="1389" spans="1:13" ht="17.25" x14ac:dyDescent="0.3">
      <c r="A1389" s="675" t="s">
        <v>1672</v>
      </c>
      <c r="B1389" s="675" t="s">
        <v>512</v>
      </c>
      <c r="C1389" s="679" t="s">
        <v>1674</v>
      </c>
      <c r="D1389" s="678" t="s">
        <v>21</v>
      </c>
      <c r="E1389" s="675" t="s">
        <v>514</v>
      </c>
      <c r="F1389" s="675" t="s">
        <v>515</v>
      </c>
      <c r="G1389" s="675"/>
      <c r="H1389" s="675"/>
      <c r="I1389" s="675"/>
      <c r="J1389" s="675"/>
      <c r="K1389" s="675"/>
      <c r="L1389" s="675"/>
      <c r="M1389" s="675"/>
    </row>
    <row r="1390" spans="1:13" x14ac:dyDescent="0.25">
      <c r="A1390" s="675" t="s">
        <v>1675</v>
      </c>
      <c r="B1390" s="675" t="s">
        <v>512</v>
      </c>
      <c r="C1390" s="675" t="s">
        <v>873</v>
      </c>
      <c r="D1390" s="675" t="s">
        <v>21</v>
      </c>
      <c r="E1390" s="675" t="s">
        <v>514</v>
      </c>
      <c r="F1390" s="675" t="s">
        <v>515</v>
      </c>
      <c r="G1390" s="675"/>
      <c r="H1390" s="675"/>
      <c r="I1390" s="675"/>
      <c r="J1390" s="675"/>
      <c r="K1390" s="675"/>
      <c r="L1390" s="675"/>
      <c r="M1390" s="675"/>
    </row>
    <row r="1391" spans="1:13" x14ac:dyDescent="0.25">
      <c r="A1391" s="675" t="s">
        <v>1675</v>
      </c>
      <c r="B1391" s="675" t="s">
        <v>512</v>
      </c>
      <c r="C1391" s="675" t="s">
        <v>1676</v>
      </c>
      <c r="D1391" s="675" t="s">
        <v>21</v>
      </c>
      <c r="E1391" s="675" t="s">
        <v>514</v>
      </c>
      <c r="F1391" s="675" t="s">
        <v>515</v>
      </c>
      <c r="G1391" s="675"/>
      <c r="H1391" s="675"/>
      <c r="I1391" s="675"/>
      <c r="J1391" s="675"/>
      <c r="K1391" s="675"/>
      <c r="L1391" s="675"/>
      <c r="M1391" s="675"/>
    </row>
    <row r="1392" spans="1:13" x14ac:dyDescent="0.25">
      <c r="A1392" s="675" t="s">
        <v>1675</v>
      </c>
      <c r="B1392" s="675" t="s">
        <v>545</v>
      </c>
      <c r="C1392" s="675" t="s">
        <v>1587</v>
      </c>
      <c r="D1392" s="675" t="s">
        <v>21</v>
      </c>
      <c r="E1392" s="675" t="s">
        <v>514</v>
      </c>
      <c r="F1392" s="675" t="s">
        <v>515</v>
      </c>
      <c r="G1392" s="675"/>
      <c r="H1392" s="675"/>
      <c r="I1392" s="675"/>
      <c r="J1392" s="675"/>
      <c r="K1392" s="675"/>
      <c r="L1392" s="675"/>
      <c r="M1392" s="675"/>
    </row>
    <row r="1393" spans="1:13" x14ac:dyDescent="0.25">
      <c r="A1393" s="675" t="s">
        <v>1677</v>
      </c>
      <c r="B1393" s="675" t="s">
        <v>512</v>
      </c>
      <c r="C1393" s="675" t="s">
        <v>1678</v>
      </c>
      <c r="D1393" s="675" t="s">
        <v>21</v>
      </c>
      <c r="E1393" s="702"/>
      <c r="F1393" s="702"/>
      <c r="G1393" s="675"/>
      <c r="H1393" s="675"/>
      <c r="I1393" s="675"/>
      <c r="J1393" s="675"/>
      <c r="K1393" s="675"/>
      <c r="L1393" s="675"/>
      <c r="M1393" s="675"/>
    </row>
    <row r="1394" spans="1:13" x14ac:dyDescent="0.25">
      <c r="A1394" s="675" t="s">
        <v>1677</v>
      </c>
      <c r="B1394" s="675" t="s">
        <v>512</v>
      </c>
      <c r="C1394" s="675" t="s">
        <v>1679</v>
      </c>
      <c r="D1394" s="675" t="s">
        <v>21</v>
      </c>
      <c r="E1394" s="702"/>
      <c r="F1394" s="702"/>
      <c r="G1394" s="675"/>
      <c r="H1394" s="675"/>
      <c r="I1394" s="675"/>
      <c r="J1394" s="675"/>
      <c r="K1394" s="675"/>
      <c r="L1394" s="675"/>
      <c r="M1394" s="675"/>
    </row>
    <row r="1395" spans="1:13" x14ac:dyDescent="0.25">
      <c r="A1395" s="675" t="s">
        <v>1677</v>
      </c>
      <c r="B1395" s="675" t="s">
        <v>512</v>
      </c>
      <c r="C1395" s="675" t="s">
        <v>1680</v>
      </c>
      <c r="D1395" s="675" t="s">
        <v>21</v>
      </c>
      <c r="E1395" s="702"/>
      <c r="F1395" s="702"/>
      <c r="G1395" s="675"/>
      <c r="H1395" s="675"/>
      <c r="I1395" s="675"/>
      <c r="J1395" s="675"/>
      <c r="K1395" s="675"/>
      <c r="L1395" s="675"/>
      <c r="M1395" s="675"/>
    </row>
    <row r="1396" spans="1:13" x14ac:dyDescent="0.25">
      <c r="A1396" s="675" t="s">
        <v>1677</v>
      </c>
      <c r="B1396" s="675" t="s">
        <v>512</v>
      </c>
      <c r="C1396" s="675" t="s">
        <v>1681</v>
      </c>
      <c r="D1396" s="675" t="s">
        <v>21</v>
      </c>
      <c r="E1396" s="702"/>
      <c r="F1396" s="702"/>
      <c r="G1396" s="675"/>
      <c r="H1396" s="675"/>
      <c r="I1396" s="675"/>
      <c r="J1396" s="675"/>
      <c r="K1396" s="675"/>
      <c r="L1396" s="675"/>
      <c r="M1396" s="675"/>
    </row>
    <row r="1397" spans="1:13" x14ac:dyDescent="0.25">
      <c r="A1397" s="675" t="s">
        <v>1677</v>
      </c>
      <c r="B1397" s="675" t="s">
        <v>512</v>
      </c>
      <c r="C1397" s="675" t="s">
        <v>1682</v>
      </c>
      <c r="D1397" s="675" t="s">
        <v>21</v>
      </c>
      <c r="E1397" s="702"/>
      <c r="F1397" s="702"/>
      <c r="G1397" s="675"/>
      <c r="H1397" s="675"/>
      <c r="I1397" s="675"/>
      <c r="J1397" s="675"/>
      <c r="K1397" s="675"/>
      <c r="L1397" s="675"/>
      <c r="M1397" s="675"/>
    </row>
    <row r="1398" spans="1:13" x14ac:dyDescent="0.25">
      <c r="A1398" s="675" t="s">
        <v>1677</v>
      </c>
      <c r="B1398" s="675" t="s">
        <v>545</v>
      </c>
      <c r="C1398" s="675" t="s">
        <v>1683</v>
      </c>
      <c r="D1398" s="675" t="s">
        <v>21</v>
      </c>
      <c r="E1398" s="702"/>
      <c r="F1398" s="702"/>
      <c r="G1398" s="675"/>
      <c r="H1398" s="675"/>
      <c r="I1398" s="675"/>
      <c r="J1398" s="675"/>
      <c r="K1398" s="675"/>
      <c r="L1398" s="675"/>
      <c r="M1398" s="675"/>
    </row>
    <row r="1399" spans="1:13" x14ac:dyDescent="0.25">
      <c r="A1399" s="675" t="s">
        <v>1677</v>
      </c>
      <c r="B1399" s="675" t="s">
        <v>545</v>
      </c>
      <c r="C1399" s="675" t="s">
        <v>1684</v>
      </c>
      <c r="D1399" s="675" t="s">
        <v>21</v>
      </c>
      <c r="E1399" s="702"/>
      <c r="F1399" s="702"/>
      <c r="G1399" s="675"/>
      <c r="H1399" s="675"/>
      <c r="I1399" s="675"/>
      <c r="J1399" s="675"/>
      <c r="K1399" s="675"/>
      <c r="L1399" s="675"/>
      <c r="M1399" s="675"/>
    </row>
    <row r="1400" spans="1:13" x14ac:dyDescent="0.25">
      <c r="A1400" s="675" t="s">
        <v>1677</v>
      </c>
      <c r="B1400" s="675" t="s">
        <v>545</v>
      </c>
      <c r="C1400" s="675" t="s">
        <v>1685</v>
      </c>
      <c r="D1400" s="675" t="s">
        <v>21</v>
      </c>
      <c r="E1400" s="702"/>
      <c r="F1400" s="702"/>
      <c r="G1400" s="675"/>
      <c r="H1400" s="675"/>
      <c r="I1400" s="675"/>
      <c r="J1400" s="675"/>
      <c r="K1400" s="675"/>
      <c r="L1400" s="675"/>
      <c r="M1400" s="675"/>
    </row>
    <row r="1401" spans="1:13" x14ac:dyDescent="0.25">
      <c r="A1401" s="675" t="s">
        <v>1677</v>
      </c>
      <c r="B1401" s="675" t="s">
        <v>545</v>
      </c>
      <c r="C1401" s="675" t="s">
        <v>1686</v>
      </c>
      <c r="D1401" s="675" t="s">
        <v>21</v>
      </c>
      <c r="E1401" s="702"/>
      <c r="F1401" s="702"/>
      <c r="G1401" s="675"/>
      <c r="H1401" s="675"/>
      <c r="I1401" s="675"/>
      <c r="J1401" s="675"/>
      <c r="K1401" s="675"/>
      <c r="L1401" s="675"/>
      <c r="M1401" s="675"/>
    </row>
    <row r="1402" spans="1:13" x14ac:dyDescent="0.25">
      <c r="A1402" s="675" t="s">
        <v>1677</v>
      </c>
      <c r="B1402" s="675" t="s">
        <v>545</v>
      </c>
      <c r="C1402" s="675" t="s">
        <v>1687</v>
      </c>
      <c r="D1402" s="675" t="s">
        <v>21</v>
      </c>
      <c r="E1402" s="702"/>
      <c r="F1402" s="702"/>
      <c r="G1402" s="675"/>
      <c r="H1402" s="675"/>
      <c r="I1402" s="675"/>
      <c r="J1402" s="675"/>
      <c r="K1402" s="675"/>
      <c r="L1402" s="675"/>
      <c r="M1402" s="675"/>
    </row>
    <row r="1403" spans="1:13" x14ac:dyDescent="0.25">
      <c r="A1403" s="675" t="s">
        <v>1677</v>
      </c>
      <c r="B1403" s="675" t="s">
        <v>564</v>
      </c>
      <c r="C1403" s="675" t="s">
        <v>1688</v>
      </c>
      <c r="D1403" s="675" t="s">
        <v>21</v>
      </c>
      <c r="E1403" s="702"/>
      <c r="F1403" s="702"/>
      <c r="G1403" s="675"/>
      <c r="H1403" s="675"/>
      <c r="I1403" s="675"/>
      <c r="J1403" s="675"/>
      <c r="K1403" s="675"/>
      <c r="L1403" s="675"/>
      <c r="M1403" s="675"/>
    </row>
    <row r="1404" spans="1:13" x14ac:dyDescent="0.25">
      <c r="A1404" s="675" t="s">
        <v>1677</v>
      </c>
      <c r="B1404" s="675" t="s">
        <v>564</v>
      </c>
      <c r="C1404" s="675" t="s">
        <v>1689</v>
      </c>
      <c r="D1404" s="675" t="s">
        <v>21</v>
      </c>
      <c r="E1404" s="702"/>
      <c r="F1404" s="702"/>
      <c r="G1404" s="675"/>
      <c r="H1404" s="675"/>
      <c r="I1404" s="675"/>
      <c r="J1404" s="675"/>
      <c r="K1404" s="675"/>
      <c r="L1404" s="675"/>
      <c r="M1404" s="675"/>
    </row>
    <row r="1405" spans="1:13" x14ac:dyDescent="0.25">
      <c r="A1405" s="675" t="s">
        <v>1677</v>
      </c>
      <c r="B1405" s="675" t="s">
        <v>564</v>
      </c>
      <c r="C1405" s="675" t="s">
        <v>1690</v>
      </c>
      <c r="D1405" s="675" t="s">
        <v>21</v>
      </c>
      <c r="E1405" s="702"/>
      <c r="F1405" s="702"/>
      <c r="G1405" s="675"/>
      <c r="H1405" s="675"/>
      <c r="I1405" s="675"/>
      <c r="J1405" s="675"/>
      <c r="K1405" s="675"/>
      <c r="L1405" s="675"/>
      <c r="M1405" s="675"/>
    </row>
    <row r="1406" spans="1:13" x14ac:dyDescent="0.25">
      <c r="A1406" s="675" t="s">
        <v>1677</v>
      </c>
      <c r="B1406" s="675" t="s">
        <v>564</v>
      </c>
      <c r="C1406" s="675" t="s">
        <v>1691</v>
      </c>
      <c r="D1406" s="675" t="s">
        <v>21</v>
      </c>
      <c r="E1406" s="702"/>
      <c r="F1406" s="702"/>
      <c r="G1406" s="675"/>
      <c r="H1406" s="675"/>
      <c r="I1406" s="675"/>
      <c r="J1406" s="675"/>
      <c r="K1406" s="675"/>
      <c r="L1406" s="675"/>
      <c r="M1406" s="675"/>
    </row>
    <row r="1407" spans="1:13" x14ac:dyDescent="0.25">
      <c r="A1407" s="675" t="s">
        <v>1677</v>
      </c>
      <c r="B1407" s="675" t="s">
        <v>564</v>
      </c>
      <c r="C1407" s="675" t="s">
        <v>1692</v>
      </c>
      <c r="D1407" s="675" t="s">
        <v>21</v>
      </c>
      <c r="E1407" s="702"/>
      <c r="F1407" s="702"/>
      <c r="G1407" s="675"/>
      <c r="H1407" s="675"/>
      <c r="I1407" s="675"/>
      <c r="J1407" s="675"/>
      <c r="K1407" s="675"/>
      <c r="L1407" s="675"/>
      <c r="M1407" s="675"/>
    </row>
    <row r="1408" spans="1:13" x14ac:dyDescent="0.25">
      <c r="A1408" s="675" t="s">
        <v>1693</v>
      </c>
      <c r="B1408" s="675" t="s">
        <v>512</v>
      </c>
      <c r="C1408" s="675" t="s">
        <v>806</v>
      </c>
      <c r="D1408" s="675" t="s">
        <v>21</v>
      </c>
      <c r="E1408" s="675" t="s">
        <v>514</v>
      </c>
      <c r="F1408" s="675" t="s">
        <v>515</v>
      </c>
      <c r="G1408" s="675"/>
      <c r="H1408" s="675"/>
      <c r="I1408" s="675"/>
      <c r="J1408" s="675"/>
      <c r="K1408" s="675"/>
      <c r="L1408" s="675"/>
      <c r="M1408" s="675"/>
    </row>
    <row r="1409" spans="1:13" x14ac:dyDescent="0.25">
      <c r="A1409" s="675" t="s">
        <v>1693</v>
      </c>
      <c r="B1409" s="675" t="s">
        <v>512</v>
      </c>
      <c r="C1409" s="675" t="s">
        <v>807</v>
      </c>
      <c r="D1409" s="675" t="s">
        <v>21</v>
      </c>
      <c r="E1409" s="675" t="s">
        <v>514</v>
      </c>
      <c r="F1409" s="675" t="s">
        <v>515</v>
      </c>
      <c r="G1409" s="675"/>
      <c r="H1409" s="675"/>
      <c r="I1409" s="675"/>
      <c r="J1409" s="675"/>
      <c r="K1409" s="675"/>
      <c r="L1409" s="675"/>
      <c r="M1409" s="675"/>
    </row>
    <row r="1410" spans="1:13" x14ac:dyDescent="0.25">
      <c r="A1410" s="675" t="s">
        <v>1693</v>
      </c>
      <c r="B1410" s="675" t="s">
        <v>512</v>
      </c>
      <c r="C1410" s="675" t="s">
        <v>1694</v>
      </c>
      <c r="D1410" s="675" t="s">
        <v>21</v>
      </c>
      <c r="E1410" s="675" t="s">
        <v>514</v>
      </c>
      <c r="F1410" s="675" t="s">
        <v>515</v>
      </c>
      <c r="G1410" s="675"/>
      <c r="H1410" s="675"/>
      <c r="I1410" s="675"/>
      <c r="J1410" s="675"/>
      <c r="K1410" s="675"/>
      <c r="L1410" s="675"/>
      <c r="M1410" s="675"/>
    </row>
    <row r="1411" spans="1:13" x14ac:dyDescent="0.25">
      <c r="A1411" s="675" t="s">
        <v>1693</v>
      </c>
      <c r="B1411" s="675" t="s">
        <v>512</v>
      </c>
      <c r="C1411" s="675" t="s">
        <v>813</v>
      </c>
      <c r="D1411" s="675" t="s">
        <v>21</v>
      </c>
      <c r="E1411" s="675" t="s">
        <v>514</v>
      </c>
      <c r="F1411" s="675" t="s">
        <v>515</v>
      </c>
      <c r="G1411" s="675"/>
      <c r="H1411" s="675"/>
      <c r="I1411" s="675"/>
      <c r="J1411" s="675"/>
      <c r="K1411" s="675"/>
      <c r="L1411" s="675"/>
      <c r="M1411" s="675"/>
    </row>
    <row r="1412" spans="1:13" x14ac:dyDescent="0.25">
      <c r="A1412" s="675" t="s">
        <v>1693</v>
      </c>
      <c r="B1412" s="675" t="s">
        <v>512</v>
      </c>
      <c r="C1412" s="675" t="s">
        <v>815</v>
      </c>
      <c r="D1412" s="675" t="s">
        <v>21</v>
      </c>
      <c r="E1412" s="675" t="s">
        <v>514</v>
      </c>
      <c r="F1412" s="675" t="s">
        <v>515</v>
      </c>
      <c r="G1412" s="675"/>
      <c r="H1412" s="675"/>
      <c r="I1412" s="675"/>
      <c r="J1412" s="675"/>
      <c r="K1412" s="675"/>
      <c r="L1412" s="675"/>
      <c r="M1412" s="675"/>
    </row>
    <row r="1413" spans="1:13" x14ac:dyDescent="0.25">
      <c r="A1413" s="675" t="s">
        <v>1693</v>
      </c>
      <c r="B1413" s="675" t="s">
        <v>545</v>
      </c>
      <c r="C1413" s="675" t="s">
        <v>1585</v>
      </c>
      <c r="D1413" s="675" t="s">
        <v>21</v>
      </c>
      <c r="E1413" s="675" t="s">
        <v>514</v>
      </c>
      <c r="F1413" s="675" t="s">
        <v>515</v>
      </c>
      <c r="G1413" s="675"/>
      <c r="H1413" s="675"/>
      <c r="I1413" s="675"/>
      <c r="J1413" s="675"/>
      <c r="K1413" s="675"/>
      <c r="L1413" s="675"/>
      <c r="M1413" s="675"/>
    </row>
    <row r="1414" spans="1:13" x14ac:dyDescent="0.25">
      <c r="A1414" s="675" t="s">
        <v>1693</v>
      </c>
      <c r="B1414" s="675" t="s">
        <v>545</v>
      </c>
      <c r="C1414" s="675" t="s">
        <v>848</v>
      </c>
      <c r="D1414" s="675" t="s">
        <v>21</v>
      </c>
      <c r="E1414" s="675" t="s">
        <v>514</v>
      </c>
      <c r="F1414" s="675" t="s">
        <v>515</v>
      </c>
      <c r="G1414" s="675"/>
      <c r="H1414" s="675"/>
      <c r="I1414" s="675"/>
      <c r="J1414" s="675"/>
      <c r="K1414" s="675"/>
      <c r="L1414" s="675"/>
      <c r="M1414" s="675"/>
    </row>
    <row r="1415" spans="1:13" x14ac:dyDescent="0.25">
      <c r="A1415" s="675" t="s">
        <v>1693</v>
      </c>
      <c r="B1415" s="675" t="s">
        <v>545</v>
      </c>
      <c r="C1415" s="675" t="s">
        <v>1587</v>
      </c>
      <c r="D1415" s="675" t="s">
        <v>21</v>
      </c>
      <c r="E1415" s="675" t="s">
        <v>514</v>
      </c>
      <c r="F1415" s="675" t="s">
        <v>515</v>
      </c>
      <c r="G1415" s="675"/>
      <c r="H1415" s="675"/>
      <c r="I1415" s="675"/>
      <c r="J1415" s="675"/>
      <c r="K1415" s="675"/>
      <c r="L1415" s="675"/>
      <c r="M1415" s="675"/>
    </row>
    <row r="1416" spans="1:13" x14ac:dyDescent="0.25">
      <c r="A1416" s="675" t="s">
        <v>1693</v>
      </c>
      <c r="B1416" s="675" t="s">
        <v>545</v>
      </c>
      <c r="C1416" s="675" t="s">
        <v>1695</v>
      </c>
      <c r="D1416" s="675" t="s">
        <v>21</v>
      </c>
      <c r="E1416" s="702"/>
      <c r="F1416" s="702"/>
      <c r="G1416" s="675"/>
      <c r="H1416" s="675"/>
      <c r="I1416" s="675"/>
      <c r="J1416" s="675"/>
      <c r="K1416" s="675"/>
      <c r="L1416" s="675"/>
      <c r="M1416" s="675"/>
    </row>
    <row r="1417" spans="1:13" x14ac:dyDescent="0.25">
      <c r="A1417" s="675" t="s">
        <v>1693</v>
      </c>
      <c r="B1417" s="675" t="s">
        <v>545</v>
      </c>
      <c r="C1417" s="675" t="s">
        <v>1589</v>
      </c>
      <c r="D1417" s="675" t="s">
        <v>21</v>
      </c>
      <c r="E1417" s="675" t="s">
        <v>514</v>
      </c>
      <c r="F1417" s="675" t="s">
        <v>515</v>
      </c>
      <c r="G1417" s="675"/>
      <c r="H1417" s="675"/>
      <c r="I1417" s="675"/>
      <c r="J1417" s="675"/>
      <c r="K1417" s="675"/>
      <c r="L1417" s="675"/>
      <c r="M1417" s="675"/>
    </row>
    <row r="1418" spans="1:13" x14ac:dyDescent="0.25">
      <c r="A1418" s="675" t="s">
        <v>1693</v>
      </c>
      <c r="B1418" s="675" t="s">
        <v>545</v>
      </c>
      <c r="C1418" s="675" t="s">
        <v>852</v>
      </c>
      <c r="D1418" s="675" t="s">
        <v>21</v>
      </c>
      <c r="E1418" s="675" t="s">
        <v>514</v>
      </c>
      <c r="F1418" s="675" t="s">
        <v>515</v>
      </c>
      <c r="G1418" s="675"/>
      <c r="H1418" s="675"/>
      <c r="I1418" s="675"/>
      <c r="J1418" s="675"/>
      <c r="K1418" s="675"/>
      <c r="L1418" s="675"/>
      <c r="M1418" s="675"/>
    </row>
    <row r="1419" spans="1:13" x14ac:dyDescent="0.25">
      <c r="A1419" s="675" t="s">
        <v>1696</v>
      </c>
      <c r="B1419" s="675" t="s">
        <v>512</v>
      </c>
      <c r="C1419" s="675" t="s">
        <v>1697</v>
      </c>
      <c r="D1419" s="675" t="s">
        <v>21</v>
      </c>
      <c r="E1419" s="702"/>
      <c r="F1419" s="702"/>
      <c r="G1419" s="675"/>
      <c r="H1419" s="675"/>
      <c r="I1419" s="675"/>
      <c r="J1419" s="675"/>
      <c r="K1419" s="675"/>
      <c r="L1419" s="675"/>
      <c r="M1419" s="675"/>
    </row>
    <row r="1420" spans="1:13" x14ac:dyDescent="0.25">
      <c r="A1420" s="675" t="s">
        <v>1696</v>
      </c>
      <c r="B1420" s="675" t="s">
        <v>512</v>
      </c>
      <c r="C1420" s="675" t="s">
        <v>1698</v>
      </c>
      <c r="D1420" s="675" t="s">
        <v>21</v>
      </c>
      <c r="E1420" s="702"/>
      <c r="F1420" s="702"/>
      <c r="G1420" s="675"/>
      <c r="H1420" s="675"/>
      <c r="I1420" s="675"/>
      <c r="J1420" s="675"/>
      <c r="K1420" s="675"/>
      <c r="L1420" s="675"/>
      <c r="M1420" s="675"/>
    </row>
    <row r="1421" spans="1:13" x14ac:dyDescent="0.25">
      <c r="A1421" s="675" t="s">
        <v>1696</v>
      </c>
      <c r="B1421" s="675" t="s">
        <v>512</v>
      </c>
      <c r="C1421" s="675" t="s">
        <v>1699</v>
      </c>
      <c r="D1421" s="675" t="s">
        <v>21</v>
      </c>
      <c r="E1421" s="702"/>
      <c r="F1421" s="702"/>
      <c r="G1421" s="675"/>
      <c r="H1421" s="675"/>
      <c r="I1421" s="675"/>
      <c r="J1421" s="675"/>
      <c r="K1421" s="675"/>
      <c r="L1421" s="675"/>
      <c r="M1421" s="675"/>
    </row>
    <row r="1422" spans="1:13" x14ac:dyDescent="0.25">
      <c r="A1422" s="675" t="s">
        <v>1696</v>
      </c>
      <c r="B1422" s="675" t="s">
        <v>512</v>
      </c>
      <c r="C1422" s="675" t="s">
        <v>1700</v>
      </c>
      <c r="D1422" s="675" t="s">
        <v>21</v>
      </c>
      <c r="E1422" s="702"/>
      <c r="F1422" s="702"/>
      <c r="G1422" s="675"/>
      <c r="H1422" s="675"/>
      <c r="I1422" s="675"/>
      <c r="J1422" s="675"/>
      <c r="K1422" s="675"/>
      <c r="L1422" s="675"/>
      <c r="M1422" s="675"/>
    </row>
    <row r="1423" spans="1:13" x14ac:dyDescent="0.25">
      <c r="A1423" s="675" t="s">
        <v>1696</v>
      </c>
      <c r="B1423" s="675" t="s">
        <v>512</v>
      </c>
      <c r="C1423" s="675" t="s">
        <v>1701</v>
      </c>
      <c r="D1423" s="675" t="s">
        <v>21</v>
      </c>
      <c r="E1423" s="702"/>
      <c r="F1423" s="702"/>
      <c r="G1423" s="675"/>
      <c r="H1423" s="675"/>
      <c r="I1423" s="675"/>
      <c r="J1423" s="675"/>
      <c r="K1423" s="675"/>
      <c r="L1423" s="675"/>
      <c r="M1423" s="675"/>
    </row>
    <row r="1424" spans="1:13" x14ac:dyDescent="0.25">
      <c r="A1424" s="675" t="s">
        <v>1696</v>
      </c>
      <c r="B1424" s="675" t="s">
        <v>545</v>
      </c>
      <c r="C1424" s="675" t="s">
        <v>1702</v>
      </c>
      <c r="D1424" s="675" t="s">
        <v>21</v>
      </c>
      <c r="E1424" s="702"/>
      <c r="F1424" s="702"/>
      <c r="G1424" s="675"/>
      <c r="H1424" s="675"/>
      <c r="I1424" s="675"/>
      <c r="J1424" s="675"/>
      <c r="K1424" s="675"/>
      <c r="L1424" s="675"/>
      <c r="M1424" s="675"/>
    </row>
    <row r="1425" spans="1:13" x14ac:dyDescent="0.25">
      <c r="A1425" s="675" t="s">
        <v>1696</v>
      </c>
      <c r="B1425" s="675" t="s">
        <v>545</v>
      </c>
      <c r="C1425" s="675" t="s">
        <v>1703</v>
      </c>
      <c r="D1425" s="675" t="s">
        <v>21</v>
      </c>
      <c r="E1425" s="702"/>
      <c r="F1425" s="702"/>
      <c r="G1425" s="675"/>
      <c r="H1425" s="675"/>
      <c r="I1425" s="675"/>
      <c r="J1425" s="675"/>
      <c r="K1425" s="675"/>
      <c r="L1425" s="675"/>
      <c r="M1425" s="675"/>
    </row>
    <row r="1426" spans="1:13" x14ac:dyDescent="0.25">
      <c r="A1426" s="675" t="s">
        <v>1696</v>
      </c>
      <c r="B1426" s="675" t="s">
        <v>545</v>
      </c>
      <c r="C1426" s="675" t="s">
        <v>1704</v>
      </c>
      <c r="D1426" s="675" t="s">
        <v>21</v>
      </c>
      <c r="E1426" s="702"/>
      <c r="F1426" s="702"/>
      <c r="G1426" s="675"/>
      <c r="H1426" s="675"/>
      <c r="I1426" s="675"/>
      <c r="J1426" s="675"/>
      <c r="K1426" s="675"/>
      <c r="L1426" s="675"/>
      <c r="M1426" s="675"/>
    </row>
    <row r="1427" spans="1:13" x14ac:dyDescent="0.25">
      <c r="A1427" s="675" t="s">
        <v>1696</v>
      </c>
      <c r="B1427" s="675" t="s">
        <v>545</v>
      </c>
      <c r="C1427" s="675" t="s">
        <v>1705</v>
      </c>
      <c r="D1427" s="675" t="s">
        <v>21</v>
      </c>
      <c r="E1427" s="702"/>
      <c r="F1427" s="702"/>
      <c r="G1427" s="675"/>
      <c r="H1427" s="675"/>
      <c r="I1427" s="675"/>
      <c r="J1427" s="675"/>
      <c r="K1427" s="675"/>
      <c r="L1427" s="675"/>
      <c r="M1427" s="675"/>
    </row>
    <row r="1428" spans="1:13" x14ac:dyDescent="0.25">
      <c r="A1428" s="675" t="s">
        <v>1696</v>
      </c>
      <c r="B1428" s="675" t="s">
        <v>545</v>
      </c>
      <c r="C1428" s="675" t="s">
        <v>1706</v>
      </c>
      <c r="D1428" s="675" t="s">
        <v>21</v>
      </c>
      <c r="E1428" s="702"/>
      <c r="F1428" s="702"/>
      <c r="G1428" s="675"/>
      <c r="H1428" s="675"/>
      <c r="I1428" s="675"/>
      <c r="J1428" s="675"/>
      <c r="K1428" s="675"/>
      <c r="L1428" s="675"/>
      <c r="M1428" s="675"/>
    </row>
    <row r="1429" spans="1:13" x14ac:dyDescent="0.25">
      <c r="A1429" s="675" t="s">
        <v>1696</v>
      </c>
      <c r="B1429" s="675" t="s">
        <v>564</v>
      </c>
      <c r="C1429" s="675" t="s">
        <v>1707</v>
      </c>
      <c r="D1429" s="675" t="s">
        <v>21</v>
      </c>
      <c r="E1429" s="702"/>
      <c r="F1429" s="702"/>
      <c r="G1429" s="675"/>
      <c r="H1429" s="675"/>
      <c r="I1429" s="675"/>
      <c r="J1429" s="675"/>
      <c r="K1429" s="675"/>
      <c r="L1429" s="675"/>
      <c r="M1429" s="675"/>
    </row>
    <row r="1430" spans="1:13" x14ac:dyDescent="0.25">
      <c r="A1430" s="675" t="s">
        <v>1696</v>
      </c>
      <c r="B1430" s="675" t="s">
        <v>564</v>
      </c>
      <c r="C1430" s="675" t="s">
        <v>1708</v>
      </c>
      <c r="D1430" s="675" t="s">
        <v>21</v>
      </c>
      <c r="E1430" s="702"/>
      <c r="F1430" s="702"/>
      <c r="G1430" s="675"/>
      <c r="H1430" s="675"/>
      <c r="I1430" s="675"/>
      <c r="J1430" s="675"/>
      <c r="K1430" s="675"/>
      <c r="L1430" s="675"/>
      <c r="M1430" s="675"/>
    </row>
    <row r="1431" spans="1:13" x14ac:dyDescent="0.25">
      <c r="A1431" s="675" t="s">
        <v>1696</v>
      </c>
      <c r="B1431" s="675" t="s">
        <v>564</v>
      </c>
      <c r="C1431" s="675" t="s">
        <v>1709</v>
      </c>
      <c r="D1431" s="675" t="s">
        <v>21</v>
      </c>
      <c r="E1431" s="702"/>
      <c r="F1431" s="702"/>
      <c r="G1431" s="675"/>
      <c r="H1431" s="675"/>
      <c r="I1431" s="675"/>
      <c r="J1431" s="675"/>
      <c r="K1431" s="675"/>
      <c r="L1431" s="675"/>
      <c r="M1431" s="675"/>
    </row>
    <row r="1432" spans="1:13" x14ac:dyDescent="0.25">
      <c r="A1432" s="675" t="s">
        <v>1696</v>
      </c>
      <c r="B1432" s="675" t="s">
        <v>564</v>
      </c>
      <c r="C1432" s="675" t="s">
        <v>1710</v>
      </c>
      <c r="D1432" s="675" t="s">
        <v>21</v>
      </c>
      <c r="E1432" s="702"/>
      <c r="F1432" s="702"/>
      <c r="G1432" s="675"/>
      <c r="H1432" s="675"/>
      <c r="I1432" s="675"/>
      <c r="J1432" s="675"/>
      <c r="K1432" s="675"/>
      <c r="L1432" s="675"/>
      <c r="M1432" s="675"/>
    </row>
    <row r="1433" spans="1:13" x14ac:dyDescent="0.25">
      <c r="A1433" s="675" t="s">
        <v>1696</v>
      </c>
      <c r="B1433" s="675" t="s">
        <v>564</v>
      </c>
      <c r="C1433" s="675" t="s">
        <v>1711</v>
      </c>
      <c r="D1433" s="675" t="s">
        <v>21</v>
      </c>
      <c r="E1433" s="702"/>
      <c r="F1433" s="702"/>
      <c r="G1433" s="675"/>
      <c r="H1433" s="675"/>
      <c r="I1433" s="675"/>
      <c r="J1433" s="675"/>
      <c r="K1433" s="675"/>
      <c r="L1433" s="675"/>
      <c r="M1433" s="675"/>
    </row>
    <row r="1434" spans="1:13" x14ac:dyDescent="0.25">
      <c r="A1434" s="675" t="s">
        <v>1712</v>
      </c>
      <c r="B1434" s="675" t="s">
        <v>512</v>
      </c>
      <c r="C1434" s="675" t="s">
        <v>1713</v>
      </c>
      <c r="D1434" s="675" t="s">
        <v>21</v>
      </c>
      <c r="E1434" s="675" t="s">
        <v>514</v>
      </c>
      <c r="F1434" s="675" t="s">
        <v>515</v>
      </c>
      <c r="G1434" s="675"/>
      <c r="H1434" s="675"/>
      <c r="I1434" s="675"/>
      <c r="J1434" s="675"/>
      <c r="K1434" s="675"/>
      <c r="L1434" s="675"/>
      <c r="M1434" s="675"/>
    </row>
    <row r="1435" spans="1:13" x14ac:dyDescent="0.25">
      <c r="A1435" s="675" t="s">
        <v>1712</v>
      </c>
      <c r="B1435" s="675" t="s">
        <v>512</v>
      </c>
      <c r="C1435" s="675" t="s">
        <v>823</v>
      </c>
      <c r="D1435" s="675" t="s">
        <v>21</v>
      </c>
      <c r="E1435" s="675" t="s">
        <v>514</v>
      </c>
      <c r="F1435" s="675" t="s">
        <v>515</v>
      </c>
      <c r="G1435" s="675"/>
      <c r="H1435" s="675"/>
      <c r="I1435" s="675"/>
      <c r="J1435" s="675"/>
      <c r="K1435" s="675"/>
      <c r="L1435" s="675"/>
      <c r="M1435" s="675"/>
    </row>
    <row r="1436" spans="1:13" x14ac:dyDescent="0.25">
      <c r="A1436" s="675" t="s">
        <v>1712</v>
      </c>
      <c r="B1436" s="675" t="s">
        <v>512</v>
      </c>
      <c r="C1436" s="675" t="s">
        <v>1505</v>
      </c>
      <c r="D1436" s="675" t="s">
        <v>21</v>
      </c>
      <c r="E1436" s="675" t="s">
        <v>514</v>
      </c>
      <c r="F1436" s="675" t="s">
        <v>515</v>
      </c>
      <c r="G1436" s="675"/>
      <c r="H1436" s="675"/>
      <c r="I1436" s="675"/>
      <c r="J1436" s="675"/>
      <c r="K1436" s="675"/>
      <c r="L1436" s="675"/>
      <c r="M1436" s="675"/>
    </row>
    <row r="1437" spans="1:13" x14ac:dyDescent="0.25">
      <c r="A1437" s="675" t="s">
        <v>1712</v>
      </c>
      <c r="B1437" s="675" t="s">
        <v>512</v>
      </c>
      <c r="C1437" s="675" t="s">
        <v>1714</v>
      </c>
      <c r="D1437" s="675" t="s">
        <v>21</v>
      </c>
      <c r="E1437" s="675" t="s">
        <v>514</v>
      </c>
      <c r="F1437" s="675" t="s">
        <v>515</v>
      </c>
      <c r="G1437" s="675"/>
      <c r="H1437" s="675"/>
      <c r="I1437" s="675"/>
      <c r="J1437" s="675"/>
      <c r="K1437" s="675"/>
      <c r="L1437" s="675"/>
      <c r="M1437" s="675"/>
    </row>
    <row r="1438" spans="1:13" x14ac:dyDescent="0.25">
      <c r="A1438" s="675" t="s">
        <v>1712</v>
      </c>
      <c r="B1438" s="675" t="s">
        <v>512</v>
      </c>
      <c r="C1438" s="675" t="s">
        <v>1715</v>
      </c>
      <c r="D1438" s="675" t="s">
        <v>21</v>
      </c>
      <c r="E1438" s="675" t="s">
        <v>514</v>
      </c>
      <c r="F1438" s="675" t="s">
        <v>515</v>
      </c>
      <c r="G1438" s="675"/>
      <c r="H1438" s="675"/>
      <c r="I1438" s="675"/>
      <c r="J1438" s="675"/>
      <c r="K1438" s="675"/>
      <c r="L1438" s="675"/>
      <c r="M1438" s="675"/>
    </row>
    <row r="1439" spans="1:13" x14ac:dyDescent="0.25">
      <c r="A1439" s="675" t="s">
        <v>1712</v>
      </c>
      <c r="B1439" s="675" t="s">
        <v>512</v>
      </c>
      <c r="C1439" s="675" t="s">
        <v>1716</v>
      </c>
      <c r="D1439" s="675" t="s">
        <v>21</v>
      </c>
      <c r="E1439" s="675" t="s">
        <v>514</v>
      </c>
      <c r="F1439" s="675" t="s">
        <v>515</v>
      </c>
      <c r="G1439" s="675"/>
      <c r="H1439" s="675"/>
      <c r="I1439" s="675"/>
      <c r="J1439" s="675"/>
      <c r="K1439" s="675"/>
      <c r="L1439" s="675"/>
      <c r="M1439" s="675"/>
    </row>
    <row r="1440" spans="1:13" x14ac:dyDescent="0.25">
      <c r="A1440" s="675" t="s">
        <v>1712</v>
      </c>
      <c r="B1440" s="675" t="s">
        <v>512</v>
      </c>
      <c r="C1440" s="675" t="s">
        <v>1717</v>
      </c>
      <c r="D1440" s="675" t="s">
        <v>21</v>
      </c>
      <c r="E1440" s="675" t="s">
        <v>514</v>
      </c>
      <c r="F1440" s="675" t="s">
        <v>515</v>
      </c>
      <c r="G1440" s="675"/>
      <c r="H1440" s="675"/>
      <c r="I1440" s="675"/>
      <c r="J1440" s="675"/>
      <c r="K1440" s="675"/>
      <c r="L1440" s="675"/>
      <c r="M1440" s="675"/>
    </row>
    <row r="1441" spans="1:13" x14ac:dyDescent="0.25">
      <c r="A1441" s="675" t="s">
        <v>1718</v>
      </c>
      <c r="B1441" s="675" t="s">
        <v>512</v>
      </c>
      <c r="C1441" s="675" t="s">
        <v>1719</v>
      </c>
      <c r="D1441" s="675" t="s">
        <v>21</v>
      </c>
      <c r="E1441" s="675" t="s">
        <v>514</v>
      </c>
      <c r="F1441" s="675" t="s">
        <v>515</v>
      </c>
      <c r="G1441" s="675"/>
      <c r="H1441" s="675"/>
      <c r="I1441" s="675"/>
      <c r="J1441" s="675"/>
      <c r="K1441" s="675"/>
      <c r="L1441" s="675"/>
      <c r="M1441" s="675"/>
    </row>
    <row r="1442" spans="1:13" x14ac:dyDescent="0.25">
      <c r="A1442" s="675" t="s">
        <v>1718</v>
      </c>
      <c r="B1442" s="675" t="s">
        <v>512</v>
      </c>
      <c r="C1442" s="675" t="s">
        <v>1720</v>
      </c>
      <c r="D1442" s="675" t="s">
        <v>21</v>
      </c>
      <c r="E1442" s="675" t="s">
        <v>514</v>
      </c>
      <c r="F1442" s="675" t="s">
        <v>515</v>
      </c>
      <c r="G1442" s="675"/>
      <c r="H1442" s="675"/>
      <c r="I1442" s="675"/>
      <c r="J1442" s="675"/>
      <c r="K1442" s="675"/>
      <c r="L1442" s="675"/>
      <c r="M1442" s="675"/>
    </row>
    <row r="1443" spans="1:13" x14ac:dyDescent="0.25">
      <c r="A1443" s="675" t="s">
        <v>1718</v>
      </c>
      <c r="B1443" s="675" t="s">
        <v>512</v>
      </c>
      <c r="C1443" s="675" t="s">
        <v>1721</v>
      </c>
      <c r="D1443" s="675" t="s">
        <v>21</v>
      </c>
      <c r="E1443" s="675" t="s">
        <v>514</v>
      </c>
      <c r="F1443" s="675" t="s">
        <v>515</v>
      </c>
      <c r="G1443" s="675"/>
      <c r="H1443" s="675"/>
      <c r="I1443" s="675"/>
      <c r="J1443" s="675"/>
      <c r="K1443" s="675"/>
      <c r="L1443" s="675"/>
      <c r="M1443" s="675"/>
    </row>
    <row r="1444" spans="1:13" x14ac:dyDescent="0.25">
      <c r="A1444" s="675" t="s">
        <v>1718</v>
      </c>
      <c r="B1444" s="675" t="s">
        <v>512</v>
      </c>
      <c r="C1444" s="675" t="s">
        <v>1722</v>
      </c>
      <c r="D1444" s="675" t="s">
        <v>21</v>
      </c>
      <c r="E1444" s="675" t="s">
        <v>514</v>
      </c>
      <c r="F1444" s="675" t="s">
        <v>515</v>
      </c>
      <c r="G1444" s="675"/>
      <c r="H1444" s="675"/>
      <c r="I1444" s="675"/>
      <c r="J1444" s="675"/>
      <c r="K1444" s="675"/>
      <c r="L1444" s="675"/>
      <c r="M1444" s="675"/>
    </row>
    <row r="1445" spans="1:13" x14ac:dyDescent="0.25">
      <c r="A1445" s="675" t="s">
        <v>1723</v>
      </c>
      <c r="B1445" s="675" t="s">
        <v>512</v>
      </c>
      <c r="C1445" s="675" t="s">
        <v>1724</v>
      </c>
      <c r="D1445" s="675" t="s">
        <v>21</v>
      </c>
      <c r="E1445" s="675" t="s">
        <v>514</v>
      </c>
      <c r="F1445" s="675" t="s">
        <v>515</v>
      </c>
      <c r="G1445" s="675"/>
      <c r="H1445" s="675"/>
      <c r="I1445" s="675"/>
      <c r="J1445" s="675"/>
      <c r="K1445" s="675"/>
      <c r="L1445" s="675"/>
      <c r="M1445" s="675"/>
    </row>
    <row r="1446" spans="1:13" x14ac:dyDescent="0.25">
      <c r="A1446" s="675" t="s">
        <v>1723</v>
      </c>
      <c r="B1446" s="675" t="s">
        <v>512</v>
      </c>
      <c r="C1446" s="675" t="s">
        <v>1073</v>
      </c>
      <c r="D1446" s="675" t="s">
        <v>21</v>
      </c>
      <c r="E1446" s="675" t="s">
        <v>514</v>
      </c>
      <c r="F1446" s="675" t="s">
        <v>515</v>
      </c>
      <c r="G1446" s="675"/>
      <c r="H1446" s="675"/>
      <c r="I1446" s="675"/>
      <c r="J1446" s="675"/>
      <c r="K1446" s="675"/>
      <c r="L1446" s="675"/>
      <c r="M1446" s="675"/>
    </row>
    <row r="1447" spans="1:13" x14ac:dyDescent="0.25">
      <c r="A1447" s="675" t="s">
        <v>1723</v>
      </c>
      <c r="B1447" s="675" t="s">
        <v>512</v>
      </c>
      <c r="C1447" s="675" t="s">
        <v>831</v>
      </c>
      <c r="D1447" s="675" t="s">
        <v>21</v>
      </c>
      <c r="E1447" s="675" t="s">
        <v>514</v>
      </c>
      <c r="F1447" s="675" t="s">
        <v>515</v>
      </c>
      <c r="G1447" s="675"/>
      <c r="H1447" s="675"/>
      <c r="I1447" s="675"/>
      <c r="J1447" s="675"/>
      <c r="K1447" s="675"/>
      <c r="L1447" s="675"/>
      <c r="M1447" s="675"/>
    </row>
    <row r="1448" spans="1:13" x14ac:dyDescent="0.25">
      <c r="A1448" s="675" t="s">
        <v>1723</v>
      </c>
      <c r="B1448" s="675" t="s">
        <v>512</v>
      </c>
      <c r="C1448" s="675" t="s">
        <v>809</v>
      </c>
      <c r="D1448" s="675" t="s">
        <v>21</v>
      </c>
      <c r="E1448" s="675" t="s">
        <v>514</v>
      </c>
      <c r="F1448" s="675" t="s">
        <v>515</v>
      </c>
      <c r="G1448" s="675"/>
      <c r="H1448" s="675"/>
      <c r="I1448" s="675"/>
      <c r="J1448" s="675"/>
      <c r="K1448" s="675"/>
      <c r="L1448" s="675"/>
      <c r="M1448" s="675"/>
    </row>
    <row r="1449" spans="1:13" x14ac:dyDescent="0.25">
      <c r="A1449" s="675" t="s">
        <v>1723</v>
      </c>
      <c r="B1449" s="675" t="s">
        <v>512</v>
      </c>
      <c r="C1449" s="675" t="s">
        <v>1725</v>
      </c>
      <c r="D1449" s="675" t="s">
        <v>21</v>
      </c>
      <c r="E1449" s="675" t="s">
        <v>514</v>
      </c>
      <c r="F1449" s="675" t="s">
        <v>515</v>
      </c>
      <c r="G1449" s="675"/>
      <c r="H1449" s="675"/>
      <c r="I1449" s="675"/>
      <c r="J1449" s="675"/>
      <c r="K1449" s="675"/>
      <c r="L1449" s="675"/>
      <c r="M1449" s="675"/>
    </row>
    <row r="1450" spans="1:13" x14ac:dyDescent="0.25">
      <c r="A1450" s="675" t="s">
        <v>1723</v>
      </c>
      <c r="B1450" s="675" t="s">
        <v>512</v>
      </c>
      <c r="C1450" s="675" t="s">
        <v>1726</v>
      </c>
      <c r="D1450" s="675" t="s">
        <v>21</v>
      </c>
      <c r="E1450" s="675" t="s">
        <v>514</v>
      </c>
      <c r="F1450" s="675" t="s">
        <v>515</v>
      </c>
      <c r="G1450" s="675"/>
      <c r="H1450" s="675"/>
      <c r="I1450" s="675"/>
      <c r="J1450" s="675"/>
      <c r="K1450" s="675"/>
      <c r="L1450" s="675"/>
      <c r="M1450" s="675"/>
    </row>
    <row r="1451" spans="1:13" x14ac:dyDescent="0.25">
      <c r="A1451" s="675" t="s">
        <v>1723</v>
      </c>
      <c r="B1451" s="675" t="s">
        <v>512</v>
      </c>
      <c r="C1451" s="675" t="s">
        <v>1074</v>
      </c>
      <c r="D1451" s="675" t="s">
        <v>21</v>
      </c>
      <c r="E1451" s="675" t="s">
        <v>514</v>
      </c>
      <c r="F1451" s="675" t="s">
        <v>515</v>
      </c>
      <c r="G1451" s="675"/>
      <c r="H1451" s="675"/>
      <c r="I1451" s="675"/>
      <c r="J1451" s="675"/>
      <c r="K1451" s="675"/>
      <c r="L1451" s="675"/>
      <c r="M1451" s="675"/>
    </row>
    <row r="1452" spans="1:13" x14ac:dyDescent="0.25">
      <c r="A1452" s="675" t="s">
        <v>1723</v>
      </c>
      <c r="B1452" s="675" t="s">
        <v>512</v>
      </c>
      <c r="C1452" s="675" t="s">
        <v>1727</v>
      </c>
      <c r="D1452" s="675" t="s">
        <v>21</v>
      </c>
      <c r="E1452" s="675" t="s">
        <v>514</v>
      </c>
      <c r="F1452" s="675" t="s">
        <v>515</v>
      </c>
      <c r="G1452" s="675"/>
      <c r="H1452" s="675"/>
      <c r="I1452" s="675"/>
      <c r="J1452" s="675"/>
      <c r="K1452" s="675"/>
      <c r="L1452" s="675"/>
      <c r="M1452" s="675"/>
    </row>
    <row r="1453" spans="1:13" x14ac:dyDescent="0.25">
      <c r="A1453" s="675" t="s">
        <v>1723</v>
      </c>
      <c r="B1453" s="675" t="s">
        <v>512</v>
      </c>
      <c r="C1453" s="675" t="s">
        <v>1728</v>
      </c>
      <c r="D1453" s="675" t="s">
        <v>21</v>
      </c>
      <c r="E1453" s="675" t="s">
        <v>514</v>
      </c>
      <c r="F1453" s="675" t="s">
        <v>515</v>
      </c>
      <c r="G1453" s="675"/>
      <c r="H1453" s="675"/>
      <c r="I1453" s="675"/>
      <c r="J1453" s="675"/>
      <c r="K1453" s="675"/>
      <c r="L1453" s="675"/>
      <c r="M1453" s="675"/>
    </row>
    <row r="1454" spans="1:13" x14ac:dyDescent="0.25">
      <c r="A1454" s="675" t="s">
        <v>1723</v>
      </c>
      <c r="B1454" s="675" t="s">
        <v>512</v>
      </c>
      <c r="C1454" s="675" t="s">
        <v>1729</v>
      </c>
      <c r="D1454" s="675" t="s">
        <v>21</v>
      </c>
      <c r="E1454" s="675" t="s">
        <v>514</v>
      </c>
      <c r="F1454" s="675" t="s">
        <v>515</v>
      </c>
      <c r="G1454" s="675"/>
      <c r="H1454" s="675"/>
      <c r="I1454" s="675"/>
      <c r="J1454" s="675"/>
      <c r="K1454" s="675"/>
      <c r="L1454" s="675"/>
      <c r="M1454" s="675"/>
    </row>
    <row r="1455" spans="1:13" x14ac:dyDescent="0.25">
      <c r="A1455" s="675" t="s">
        <v>1723</v>
      </c>
      <c r="B1455" s="675" t="s">
        <v>512</v>
      </c>
      <c r="C1455" s="675" t="s">
        <v>1730</v>
      </c>
      <c r="D1455" s="675" t="s">
        <v>21</v>
      </c>
      <c r="E1455" s="675" t="s">
        <v>514</v>
      </c>
      <c r="F1455" s="675" t="s">
        <v>515</v>
      </c>
      <c r="G1455" s="675"/>
      <c r="H1455" s="675"/>
      <c r="I1455" s="675"/>
      <c r="J1455" s="675"/>
      <c r="K1455" s="675"/>
      <c r="L1455" s="675"/>
      <c r="M1455" s="675"/>
    </row>
    <row r="1456" spans="1:13" x14ac:dyDescent="0.25">
      <c r="A1456" s="675" t="s">
        <v>1723</v>
      </c>
      <c r="B1456" s="675" t="s">
        <v>512</v>
      </c>
      <c r="C1456" s="675" t="s">
        <v>1731</v>
      </c>
      <c r="D1456" s="675" t="s">
        <v>21</v>
      </c>
      <c r="E1456" s="675" t="s">
        <v>514</v>
      </c>
      <c r="F1456" s="675" t="s">
        <v>515</v>
      </c>
      <c r="G1456" s="675"/>
      <c r="H1456" s="675"/>
      <c r="I1456" s="675"/>
      <c r="J1456" s="675"/>
      <c r="K1456" s="675"/>
      <c r="L1456" s="675"/>
      <c r="M1456" s="675"/>
    </row>
    <row r="1457" spans="1:13" x14ac:dyDescent="0.25">
      <c r="A1457" s="675" t="s">
        <v>1723</v>
      </c>
      <c r="B1457" s="675" t="s">
        <v>512</v>
      </c>
      <c r="C1457" s="675" t="s">
        <v>1732</v>
      </c>
      <c r="D1457" s="675" t="s">
        <v>21</v>
      </c>
      <c r="E1457" s="675" t="s">
        <v>514</v>
      </c>
      <c r="F1457" s="675" t="s">
        <v>515</v>
      </c>
      <c r="G1457" s="675"/>
      <c r="H1457" s="675"/>
      <c r="I1457" s="675"/>
      <c r="J1457" s="675"/>
      <c r="K1457" s="675"/>
      <c r="L1457" s="675"/>
      <c r="M1457" s="675"/>
    </row>
    <row r="1458" spans="1:13" x14ac:dyDescent="0.25">
      <c r="A1458" s="675" t="s">
        <v>1723</v>
      </c>
      <c r="B1458" s="675" t="s">
        <v>545</v>
      </c>
      <c r="C1458" s="675" t="s">
        <v>1733</v>
      </c>
      <c r="D1458" s="675" t="s">
        <v>21</v>
      </c>
      <c r="E1458" s="675" t="s">
        <v>514</v>
      </c>
      <c r="F1458" s="675" t="s">
        <v>515</v>
      </c>
      <c r="G1458" s="675"/>
      <c r="H1458" s="675"/>
      <c r="I1458" s="675"/>
      <c r="J1458" s="675"/>
      <c r="K1458" s="675"/>
      <c r="L1458" s="675"/>
      <c r="M1458" s="675"/>
    </row>
    <row r="1459" spans="1:13" x14ac:dyDescent="0.25">
      <c r="A1459" s="675" t="s">
        <v>1723</v>
      </c>
      <c r="B1459" s="675" t="s">
        <v>545</v>
      </c>
      <c r="C1459" s="675" t="s">
        <v>1734</v>
      </c>
      <c r="D1459" s="675" t="s">
        <v>21</v>
      </c>
      <c r="E1459" s="675" t="s">
        <v>514</v>
      </c>
      <c r="F1459" s="675" t="s">
        <v>515</v>
      </c>
      <c r="G1459" s="675"/>
      <c r="H1459" s="675"/>
      <c r="I1459" s="675"/>
      <c r="J1459" s="675"/>
      <c r="K1459" s="675"/>
      <c r="L1459" s="675"/>
      <c r="M1459" s="675"/>
    </row>
    <row r="1460" spans="1:13" x14ac:dyDescent="0.25">
      <c r="A1460" s="675" t="s">
        <v>1723</v>
      </c>
      <c r="B1460" s="675" t="s">
        <v>545</v>
      </c>
      <c r="C1460" s="675" t="s">
        <v>1097</v>
      </c>
      <c r="D1460" s="675" t="s">
        <v>21</v>
      </c>
      <c r="E1460" s="675" t="s">
        <v>514</v>
      </c>
      <c r="F1460" s="675" t="s">
        <v>515</v>
      </c>
      <c r="G1460" s="675"/>
      <c r="H1460" s="675"/>
      <c r="I1460" s="675"/>
      <c r="J1460" s="675"/>
      <c r="K1460" s="675"/>
      <c r="L1460" s="675"/>
      <c r="M1460" s="675"/>
    </row>
    <row r="1461" spans="1:13" x14ac:dyDescent="0.25">
      <c r="A1461" s="675" t="s">
        <v>1723</v>
      </c>
      <c r="B1461" s="675" t="s">
        <v>545</v>
      </c>
      <c r="C1461" s="675" t="s">
        <v>1735</v>
      </c>
      <c r="D1461" s="675" t="s">
        <v>21</v>
      </c>
      <c r="E1461" s="675" t="s">
        <v>514</v>
      </c>
      <c r="F1461" s="675" t="s">
        <v>515</v>
      </c>
      <c r="G1461" s="675"/>
      <c r="H1461" s="675"/>
      <c r="I1461" s="675"/>
      <c r="J1461" s="675"/>
      <c r="K1461" s="675"/>
      <c r="L1461" s="675"/>
      <c r="M1461" s="675"/>
    </row>
    <row r="1462" spans="1:13" x14ac:dyDescent="0.25">
      <c r="A1462" s="675" t="s">
        <v>1723</v>
      </c>
      <c r="B1462" s="675" t="s">
        <v>564</v>
      </c>
      <c r="C1462" s="675" t="s">
        <v>1736</v>
      </c>
      <c r="D1462" s="675" t="s">
        <v>21</v>
      </c>
      <c r="E1462" s="675" t="s">
        <v>514</v>
      </c>
      <c r="F1462" s="675" t="s">
        <v>515</v>
      </c>
      <c r="G1462" s="675"/>
      <c r="H1462" s="675"/>
      <c r="I1462" s="675"/>
      <c r="J1462" s="675"/>
      <c r="K1462" s="675"/>
      <c r="L1462" s="675"/>
      <c r="M1462" s="675"/>
    </row>
    <row r="1463" spans="1:13" x14ac:dyDescent="0.25">
      <c r="A1463" s="675" t="s">
        <v>1723</v>
      </c>
      <c r="B1463" s="675" t="s">
        <v>564</v>
      </c>
      <c r="C1463" s="675" t="s">
        <v>645</v>
      </c>
      <c r="D1463" s="675" t="s">
        <v>21</v>
      </c>
      <c r="E1463" s="675" t="s">
        <v>514</v>
      </c>
      <c r="F1463" s="675" t="s">
        <v>515</v>
      </c>
      <c r="G1463" s="675"/>
      <c r="H1463" s="675"/>
      <c r="I1463" s="675"/>
      <c r="J1463" s="675"/>
      <c r="K1463" s="675"/>
      <c r="L1463" s="675"/>
      <c r="M1463" s="675"/>
    </row>
    <row r="1464" spans="1:13" x14ac:dyDescent="0.25">
      <c r="A1464" s="675" t="s">
        <v>1723</v>
      </c>
      <c r="B1464" s="675" t="s">
        <v>564</v>
      </c>
      <c r="C1464" s="675" t="s">
        <v>1737</v>
      </c>
      <c r="D1464" s="675" t="s">
        <v>21</v>
      </c>
      <c r="E1464" s="675" t="s">
        <v>514</v>
      </c>
      <c r="F1464" s="675" t="s">
        <v>515</v>
      </c>
      <c r="G1464" s="675"/>
      <c r="H1464" s="675"/>
      <c r="I1464" s="675"/>
      <c r="J1464" s="675"/>
      <c r="K1464" s="675"/>
      <c r="L1464" s="675"/>
      <c r="M1464" s="675"/>
    </row>
    <row r="1465" spans="1:13" x14ac:dyDescent="0.25">
      <c r="A1465" s="675" t="s">
        <v>1738</v>
      </c>
      <c r="B1465" s="675" t="s">
        <v>512</v>
      </c>
      <c r="C1465" s="675" t="s">
        <v>1508</v>
      </c>
      <c r="D1465" s="675" t="s">
        <v>21</v>
      </c>
      <c r="E1465" s="675" t="s">
        <v>514</v>
      </c>
      <c r="F1465" s="675" t="s">
        <v>515</v>
      </c>
      <c r="G1465" s="675"/>
      <c r="H1465" s="675"/>
      <c r="I1465" s="675"/>
      <c r="J1465" s="675"/>
      <c r="K1465" s="675"/>
      <c r="L1465" s="675"/>
      <c r="M1465" s="675"/>
    </row>
    <row r="1466" spans="1:13" x14ac:dyDescent="0.25">
      <c r="A1466" s="675" t="s">
        <v>1738</v>
      </c>
      <c r="B1466" s="675" t="s">
        <v>512</v>
      </c>
      <c r="C1466" s="675" t="s">
        <v>1739</v>
      </c>
      <c r="D1466" s="675" t="s">
        <v>21</v>
      </c>
      <c r="E1466" s="675" t="s">
        <v>514</v>
      </c>
      <c r="F1466" s="675" t="s">
        <v>515</v>
      </c>
      <c r="G1466" s="675"/>
      <c r="H1466" s="675"/>
      <c r="I1466" s="675"/>
      <c r="J1466" s="675"/>
      <c r="K1466" s="675"/>
      <c r="L1466" s="675"/>
      <c r="M1466" s="675"/>
    </row>
    <row r="1467" spans="1:13" x14ac:dyDescent="0.25">
      <c r="A1467" s="675" t="s">
        <v>1738</v>
      </c>
      <c r="B1467" s="675" t="s">
        <v>512</v>
      </c>
      <c r="C1467" s="675" t="s">
        <v>1740</v>
      </c>
      <c r="D1467" s="675" t="s">
        <v>21</v>
      </c>
      <c r="E1467" s="675" t="s">
        <v>514</v>
      </c>
      <c r="F1467" s="675" t="s">
        <v>515</v>
      </c>
      <c r="G1467" s="675"/>
      <c r="H1467" s="675"/>
      <c r="I1467" s="675"/>
      <c r="J1467" s="675"/>
      <c r="K1467" s="675"/>
      <c r="L1467" s="675"/>
      <c r="M1467" s="675"/>
    </row>
    <row r="1468" spans="1:13" x14ac:dyDescent="0.25">
      <c r="A1468" s="675" t="s">
        <v>1738</v>
      </c>
      <c r="B1468" s="675" t="s">
        <v>512</v>
      </c>
      <c r="C1468" s="675" t="s">
        <v>1741</v>
      </c>
      <c r="D1468" s="675" t="s">
        <v>21</v>
      </c>
      <c r="E1468" s="675" t="s">
        <v>514</v>
      </c>
      <c r="F1468" s="675" t="s">
        <v>515</v>
      </c>
      <c r="G1468" s="675"/>
      <c r="H1468" s="675"/>
      <c r="I1468" s="675"/>
      <c r="J1468" s="675"/>
      <c r="K1468" s="675"/>
      <c r="L1468" s="675"/>
      <c r="M1468" s="675"/>
    </row>
    <row r="1469" spans="1:13" x14ac:dyDescent="0.25">
      <c r="A1469" s="675" t="s">
        <v>1738</v>
      </c>
      <c r="B1469" s="675" t="s">
        <v>512</v>
      </c>
      <c r="C1469" s="675" t="s">
        <v>1742</v>
      </c>
      <c r="D1469" s="675" t="s">
        <v>21</v>
      </c>
      <c r="E1469" s="675" t="s">
        <v>514</v>
      </c>
      <c r="F1469" s="675" t="s">
        <v>515</v>
      </c>
      <c r="G1469" s="675"/>
      <c r="H1469" s="675"/>
      <c r="I1469" s="675"/>
      <c r="J1469" s="675"/>
      <c r="K1469" s="675"/>
      <c r="L1469" s="675"/>
      <c r="M1469" s="675"/>
    </row>
    <row r="1470" spans="1:13" x14ac:dyDescent="0.25">
      <c r="A1470" s="675" t="s">
        <v>1738</v>
      </c>
      <c r="B1470" s="675" t="s">
        <v>512</v>
      </c>
      <c r="C1470" s="675" t="s">
        <v>1743</v>
      </c>
      <c r="D1470" s="675" t="s">
        <v>21</v>
      </c>
      <c r="E1470" s="675" t="s">
        <v>514</v>
      </c>
      <c r="F1470" s="675" t="s">
        <v>515</v>
      </c>
      <c r="G1470" s="675"/>
      <c r="H1470" s="675"/>
      <c r="I1470" s="675"/>
      <c r="J1470" s="675"/>
      <c r="K1470" s="675"/>
      <c r="L1470" s="675"/>
      <c r="M1470" s="675"/>
    </row>
    <row r="1471" spans="1:13" x14ac:dyDescent="0.25">
      <c r="A1471" s="675" t="s">
        <v>1738</v>
      </c>
      <c r="B1471" s="675" t="s">
        <v>512</v>
      </c>
      <c r="C1471" s="675" t="s">
        <v>1744</v>
      </c>
      <c r="D1471" s="675" t="s">
        <v>21</v>
      </c>
      <c r="E1471" s="675" t="s">
        <v>514</v>
      </c>
      <c r="F1471" s="675" t="s">
        <v>515</v>
      </c>
      <c r="G1471" s="675"/>
      <c r="H1471" s="675"/>
      <c r="I1471" s="675"/>
      <c r="J1471" s="675"/>
      <c r="K1471" s="675"/>
      <c r="L1471" s="675"/>
      <c r="M1471" s="675"/>
    </row>
    <row r="1472" spans="1:13" x14ac:dyDescent="0.25">
      <c r="A1472" s="675" t="s">
        <v>1738</v>
      </c>
      <c r="B1472" s="675" t="s">
        <v>512</v>
      </c>
      <c r="C1472" s="675" t="s">
        <v>1745</v>
      </c>
      <c r="D1472" s="675" t="s">
        <v>21</v>
      </c>
      <c r="E1472" s="675" t="s">
        <v>514</v>
      </c>
      <c r="F1472" s="675" t="s">
        <v>515</v>
      </c>
      <c r="G1472" s="675"/>
      <c r="H1472" s="675"/>
      <c r="I1472" s="675"/>
      <c r="J1472" s="675"/>
      <c r="K1472" s="675"/>
      <c r="L1472" s="675"/>
      <c r="M1472" s="675"/>
    </row>
    <row r="1473" spans="1:13" x14ac:dyDescent="0.25">
      <c r="A1473" s="675" t="s">
        <v>1738</v>
      </c>
      <c r="B1473" s="675" t="s">
        <v>512</v>
      </c>
      <c r="C1473" s="675" t="s">
        <v>1746</v>
      </c>
      <c r="D1473" s="675" t="s">
        <v>21</v>
      </c>
      <c r="E1473" s="675" t="s">
        <v>514</v>
      </c>
      <c r="F1473" s="675" t="s">
        <v>515</v>
      </c>
      <c r="G1473" s="675"/>
      <c r="H1473" s="675"/>
      <c r="I1473" s="675"/>
      <c r="J1473" s="675"/>
      <c r="K1473" s="675"/>
      <c r="L1473" s="675"/>
      <c r="M1473" s="675"/>
    </row>
    <row r="1474" spans="1:13" x14ac:dyDescent="0.25">
      <c r="A1474" s="675" t="s">
        <v>1738</v>
      </c>
      <c r="B1474" s="675" t="s">
        <v>512</v>
      </c>
      <c r="C1474" s="675" t="s">
        <v>1747</v>
      </c>
      <c r="D1474" s="675" t="s">
        <v>21</v>
      </c>
      <c r="E1474" s="675" t="s">
        <v>514</v>
      </c>
      <c r="F1474" s="675" t="s">
        <v>515</v>
      </c>
      <c r="G1474" s="675"/>
      <c r="H1474" s="675"/>
      <c r="I1474" s="675"/>
      <c r="J1474" s="675"/>
      <c r="K1474" s="675"/>
      <c r="L1474" s="675"/>
      <c r="M1474" s="675"/>
    </row>
    <row r="1475" spans="1:13" x14ac:dyDescent="0.25">
      <c r="A1475" s="675" t="s">
        <v>1738</v>
      </c>
      <c r="B1475" s="675" t="s">
        <v>512</v>
      </c>
      <c r="C1475" s="675" t="s">
        <v>1748</v>
      </c>
      <c r="D1475" s="675" t="s">
        <v>21</v>
      </c>
      <c r="E1475" s="675" t="s">
        <v>514</v>
      </c>
      <c r="F1475" s="675" t="s">
        <v>515</v>
      </c>
      <c r="G1475" s="675"/>
      <c r="H1475" s="675"/>
      <c r="I1475" s="675"/>
      <c r="J1475" s="675"/>
      <c r="K1475" s="675"/>
      <c r="L1475" s="675"/>
      <c r="M1475" s="675"/>
    </row>
    <row r="1476" spans="1:13" x14ac:dyDescent="0.25">
      <c r="A1476" s="678" t="s">
        <v>1738</v>
      </c>
      <c r="B1476" s="678" t="s">
        <v>512</v>
      </c>
      <c r="C1476" s="678" t="s">
        <v>1749</v>
      </c>
      <c r="D1476" s="678" t="s">
        <v>21</v>
      </c>
      <c r="E1476" s="678" t="s">
        <v>514</v>
      </c>
      <c r="F1476" s="678" t="s">
        <v>596</v>
      </c>
      <c r="G1476" s="675"/>
      <c r="H1476" s="675"/>
      <c r="I1476" s="675"/>
      <c r="J1476" s="675"/>
      <c r="K1476" s="675"/>
      <c r="L1476" s="675"/>
      <c r="M1476" s="675"/>
    </row>
    <row r="1477" spans="1:13" x14ac:dyDescent="0.25">
      <c r="A1477" s="675" t="s">
        <v>1738</v>
      </c>
      <c r="B1477" s="675" t="s">
        <v>512</v>
      </c>
      <c r="C1477" s="675" t="s">
        <v>1750</v>
      </c>
      <c r="D1477" s="675" t="s">
        <v>21</v>
      </c>
      <c r="E1477" s="675" t="s">
        <v>514</v>
      </c>
      <c r="F1477" s="675" t="s">
        <v>515</v>
      </c>
      <c r="G1477" s="675"/>
      <c r="H1477" s="675"/>
      <c r="I1477" s="675"/>
      <c r="J1477" s="675"/>
      <c r="K1477" s="675"/>
      <c r="L1477" s="675"/>
      <c r="M1477" s="675"/>
    </row>
    <row r="1478" spans="1:13" x14ac:dyDescent="0.25">
      <c r="A1478" s="675" t="s">
        <v>1738</v>
      </c>
      <c r="B1478" s="675" t="s">
        <v>512</v>
      </c>
      <c r="C1478" s="675" t="s">
        <v>1751</v>
      </c>
      <c r="D1478" s="675" t="s">
        <v>21</v>
      </c>
      <c r="E1478" s="675" t="s">
        <v>514</v>
      </c>
      <c r="F1478" s="675" t="s">
        <v>515</v>
      </c>
      <c r="G1478" s="675"/>
      <c r="H1478" s="675"/>
      <c r="I1478" s="675"/>
      <c r="J1478" s="675"/>
      <c r="K1478" s="675"/>
      <c r="L1478" s="675"/>
      <c r="M1478" s="675"/>
    </row>
    <row r="1479" spans="1:13" x14ac:dyDescent="0.25">
      <c r="A1479" s="675" t="s">
        <v>1738</v>
      </c>
      <c r="B1479" s="675" t="s">
        <v>512</v>
      </c>
      <c r="C1479" s="675" t="s">
        <v>1752</v>
      </c>
      <c r="D1479" s="675" t="s">
        <v>21</v>
      </c>
      <c r="E1479" s="675" t="s">
        <v>514</v>
      </c>
      <c r="F1479" s="675" t="s">
        <v>515</v>
      </c>
      <c r="G1479" s="675"/>
      <c r="H1479" s="675"/>
      <c r="I1479" s="675"/>
      <c r="J1479" s="675"/>
      <c r="K1479" s="675"/>
      <c r="L1479" s="675"/>
      <c r="M1479" s="675"/>
    </row>
    <row r="1480" spans="1:13" x14ac:dyDescent="0.25">
      <c r="A1480" s="675" t="s">
        <v>1738</v>
      </c>
      <c r="B1480" s="675" t="s">
        <v>512</v>
      </c>
      <c r="C1480" s="675" t="s">
        <v>1753</v>
      </c>
      <c r="D1480" s="675" t="s">
        <v>21</v>
      </c>
      <c r="E1480" s="675" t="s">
        <v>514</v>
      </c>
      <c r="F1480" s="675" t="s">
        <v>515</v>
      </c>
      <c r="G1480" s="675"/>
      <c r="H1480" s="675"/>
      <c r="I1480" s="675"/>
      <c r="J1480" s="675"/>
      <c r="K1480" s="675"/>
      <c r="L1480" s="675"/>
      <c r="M1480" s="675"/>
    </row>
    <row r="1481" spans="1:13" x14ac:dyDescent="0.25">
      <c r="A1481" s="675" t="s">
        <v>1738</v>
      </c>
      <c r="B1481" s="675" t="s">
        <v>512</v>
      </c>
      <c r="C1481" s="675" t="s">
        <v>1754</v>
      </c>
      <c r="D1481" s="675" t="s">
        <v>21</v>
      </c>
      <c r="E1481" s="675" t="s">
        <v>514</v>
      </c>
      <c r="F1481" s="675" t="s">
        <v>515</v>
      </c>
      <c r="G1481" s="675"/>
      <c r="H1481" s="675"/>
      <c r="I1481" s="675"/>
      <c r="J1481" s="675"/>
      <c r="K1481" s="675"/>
      <c r="L1481" s="675"/>
      <c r="M1481" s="675"/>
    </row>
    <row r="1482" spans="1:13" x14ac:dyDescent="0.25">
      <c r="A1482" s="675" t="s">
        <v>1738</v>
      </c>
      <c r="B1482" s="675" t="s">
        <v>512</v>
      </c>
      <c r="C1482" s="675" t="s">
        <v>1755</v>
      </c>
      <c r="D1482" s="675" t="s">
        <v>21</v>
      </c>
      <c r="E1482" s="675" t="s">
        <v>514</v>
      </c>
      <c r="F1482" s="675" t="s">
        <v>515</v>
      </c>
      <c r="G1482" s="675"/>
      <c r="H1482" s="675"/>
      <c r="I1482" s="675"/>
      <c r="J1482" s="675"/>
      <c r="K1482" s="675"/>
      <c r="L1482" s="675"/>
      <c r="M1482" s="675"/>
    </row>
    <row r="1483" spans="1:13" x14ac:dyDescent="0.25">
      <c r="A1483" s="675" t="s">
        <v>1738</v>
      </c>
      <c r="B1483" s="675" t="s">
        <v>512</v>
      </c>
      <c r="C1483" s="675" t="s">
        <v>1756</v>
      </c>
      <c r="D1483" s="675" t="s">
        <v>21</v>
      </c>
      <c r="E1483" s="675" t="s">
        <v>514</v>
      </c>
      <c r="F1483" s="675" t="s">
        <v>515</v>
      </c>
      <c r="G1483" s="675"/>
      <c r="H1483" s="675"/>
      <c r="I1483" s="675"/>
      <c r="J1483" s="675"/>
      <c r="K1483" s="675"/>
      <c r="L1483" s="675"/>
      <c r="M1483" s="675"/>
    </row>
    <row r="1484" spans="1:13" x14ac:dyDescent="0.25">
      <c r="A1484" s="675" t="s">
        <v>1738</v>
      </c>
      <c r="B1484" s="675" t="s">
        <v>512</v>
      </c>
      <c r="C1484" s="675" t="s">
        <v>1757</v>
      </c>
      <c r="D1484" s="675" t="s">
        <v>21</v>
      </c>
      <c r="E1484" s="675" t="s">
        <v>514</v>
      </c>
      <c r="F1484" s="675" t="s">
        <v>515</v>
      </c>
      <c r="G1484" s="675"/>
      <c r="H1484" s="675"/>
      <c r="I1484" s="675"/>
      <c r="J1484" s="675"/>
      <c r="K1484" s="675"/>
      <c r="L1484" s="675"/>
      <c r="M1484" s="675"/>
    </row>
    <row r="1485" spans="1:13" x14ac:dyDescent="0.25">
      <c r="A1485" s="675" t="s">
        <v>1738</v>
      </c>
      <c r="B1485" s="675" t="s">
        <v>512</v>
      </c>
      <c r="C1485" s="675" t="s">
        <v>1758</v>
      </c>
      <c r="D1485" s="675" t="s">
        <v>21</v>
      </c>
      <c r="E1485" s="675" t="s">
        <v>514</v>
      </c>
      <c r="F1485" s="675" t="s">
        <v>515</v>
      </c>
      <c r="G1485" s="675"/>
      <c r="H1485" s="675"/>
      <c r="I1485" s="675"/>
      <c r="J1485" s="675"/>
      <c r="K1485" s="675"/>
      <c r="L1485" s="675"/>
      <c r="M1485" s="675"/>
    </row>
    <row r="1486" spans="1:13" x14ac:dyDescent="0.25">
      <c r="A1486" s="675" t="s">
        <v>1738</v>
      </c>
      <c r="B1486" s="675" t="s">
        <v>512</v>
      </c>
      <c r="C1486" s="675" t="s">
        <v>1759</v>
      </c>
      <c r="D1486" s="675" t="s">
        <v>21</v>
      </c>
      <c r="E1486" s="675" t="s">
        <v>514</v>
      </c>
      <c r="F1486" s="675" t="s">
        <v>515</v>
      </c>
      <c r="G1486" s="675"/>
      <c r="H1486" s="675"/>
      <c r="I1486" s="675"/>
      <c r="J1486" s="675"/>
      <c r="K1486" s="675"/>
      <c r="L1486" s="675"/>
      <c r="M1486" s="675"/>
    </row>
    <row r="1487" spans="1:13" x14ac:dyDescent="0.25">
      <c r="A1487" s="675" t="s">
        <v>1738</v>
      </c>
      <c r="B1487" s="675" t="s">
        <v>545</v>
      </c>
      <c r="C1487" s="675" t="s">
        <v>1760</v>
      </c>
      <c r="D1487" s="675" t="s">
        <v>21</v>
      </c>
      <c r="E1487" s="675" t="s">
        <v>514</v>
      </c>
      <c r="F1487" s="675" t="s">
        <v>515</v>
      </c>
      <c r="G1487" s="675"/>
      <c r="H1487" s="675"/>
      <c r="I1487" s="675"/>
      <c r="J1487" s="675"/>
      <c r="K1487" s="675"/>
      <c r="L1487" s="675"/>
      <c r="M1487" s="675"/>
    </row>
    <row r="1488" spans="1:13" x14ac:dyDescent="0.25">
      <c r="A1488" s="675" t="s">
        <v>1738</v>
      </c>
      <c r="B1488" s="675" t="s">
        <v>545</v>
      </c>
      <c r="C1488" s="675" t="s">
        <v>1508</v>
      </c>
      <c r="D1488" s="675" t="s">
        <v>21</v>
      </c>
      <c r="E1488" s="675" t="s">
        <v>514</v>
      </c>
      <c r="F1488" s="675" t="s">
        <v>515</v>
      </c>
      <c r="G1488" s="675"/>
      <c r="H1488" s="675"/>
      <c r="I1488" s="675"/>
      <c r="J1488" s="675"/>
      <c r="K1488" s="675"/>
      <c r="L1488" s="675"/>
      <c r="M1488" s="675"/>
    </row>
    <row r="1489" spans="1:13" x14ac:dyDescent="0.25">
      <c r="A1489" s="675" t="s">
        <v>1738</v>
      </c>
      <c r="B1489" s="675" t="s">
        <v>545</v>
      </c>
      <c r="C1489" s="675" t="s">
        <v>1509</v>
      </c>
      <c r="D1489" s="675" t="s">
        <v>21</v>
      </c>
      <c r="E1489" s="675" t="s">
        <v>514</v>
      </c>
      <c r="F1489" s="675" t="s">
        <v>515</v>
      </c>
      <c r="G1489" s="675"/>
      <c r="H1489" s="675"/>
      <c r="I1489" s="675"/>
      <c r="J1489" s="675"/>
      <c r="K1489" s="675"/>
      <c r="L1489" s="675"/>
      <c r="M1489" s="675"/>
    </row>
    <row r="1490" spans="1:13" x14ac:dyDescent="0.25">
      <c r="A1490" s="675" t="s">
        <v>1738</v>
      </c>
      <c r="B1490" s="675" t="s">
        <v>545</v>
      </c>
      <c r="C1490" s="675" t="s">
        <v>1761</v>
      </c>
      <c r="D1490" s="675" t="s">
        <v>21</v>
      </c>
      <c r="E1490" s="675" t="s">
        <v>514</v>
      </c>
      <c r="F1490" s="675" t="s">
        <v>515</v>
      </c>
      <c r="G1490" s="675"/>
      <c r="H1490" s="675"/>
      <c r="I1490" s="675"/>
      <c r="J1490" s="675"/>
      <c r="K1490" s="675"/>
      <c r="L1490" s="675"/>
      <c r="M1490" s="675"/>
    </row>
    <row r="1491" spans="1:13" x14ac:dyDescent="0.25">
      <c r="A1491" s="675" t="s">
        <v>1738</v>
      </c>
      <c r="B1491" s="675" t="s">
        <v>545</v>
      </c>
      <c r="C1491" s="675" t="s">
        <v>1762</v>
      </c>
      <c r="D1491" s="675" t="s">
        <v>21</v>
      </c>
      <c r="E1491" s="675" t="s">
        <v>514</v>
      </c>
      <c r="F1491" s="675" t="s">
        <v>515</v>
      </c>
      <c r="G1491" s="675"/>
      <c r="H1491" s="675"/>
      <c r="I1491" s="675"/>
      <c r="J1491" s="675"/>
      <c r="K1491" s="675"/>
      <c r="L1491" s="675"/>
      <c r="M1491" s="675"/>
    </row>
    <row r="1492" spans="1:13" x14ac:dyDescent="0.25">
      <c r="A1492" s="675" t="s">
        <v>1738</v>
      </c>
      <c r="B1492" s="675" t="s">
        <v>545</v>
      </c>
      <c r="C1492" s="675" t="s">
        <v>1763</v>
      </c>
      <c r="D1492" s="675" t="s">
        <v>21</v>
      </c>
      <c r="E1492" s="675" t="s">
        <v>514</v>
      </c>
      <c r="F1492" s="675" t="s">
        <v>515</v>
      </c>
      <c r="G1492" s="675"/>
      <c r="H1492" s="675"/>
      <c r="I1492" s="675"/>
      <c r="J1492" s="675"/>
      <c r="K1492" s="675"/>
      <c r="L1492" s="675"/>
      <c r="M1492" s="675"/>
    </row>
    <row r="1493" spans="1:13" x14ac:dyDescent="0.25">
      <c r="A1493" s="675" t="s">
        <v>1738</v>
      </c>
      <c r="B1493" s="675" t="s">
        <v>545</v>
      </c>
      <c r="C1493" s="675" t="s">
        <v>1764</v>
      </c>
      <c r="D1493" s="675" t="s">
        <v>21</v>
      </c>
      <c r="E1493" s="675" t="s">
        <v>514</v>
      </c>
      <c r="F1493" s="675" t="s">
        <v>515</v>
      </c>
      <c r="G1493" s="675"/>
      <c r="H1493" s="675"/>
      <c r="I1493" s="675"/>
      <c r="J1493" s="675"/>
      <c r="K1493" s="675"/>
      <c r="L1493" s="675"/>
      <c r="M1493" s="675"/>
    </row>
    <row r="1494" spans="1:13" x14ac:dyDescent="0.25">
      <c r="A1494" s="678" t="s">
        <v>1738</v>
      </c>
      <c r="B1494" s="678" t="s">
        <v>545</v>
      </c>
      <c r="C1494" s="678" t="s">
        <v>1765</v>
      </c>
      <c r="D1494" s="678" t="s">
        <v>21</v>
      </c>
      <c r="E1494" s="678" t="s">
        <v>514</v>
      </c>
      <c r="F1494" s="678" t="s">
        <v>636</v>
      </c>
      <c r="G1494" s="675"/>
      <c r="H1494" s="675"/>
      <c r="I1494" s="675"/>
      <c r="J1494" s="675"/>
      <c r="K1494" s="675"/>
      <c r="L1494" s="675"/>
      <c r="M1494" s="675"/>
    </row>
    <row r="1495" spans="1:13" x14ac:dyDescent="0.25">
      <c r="A1495" s="675" t="s">
        <v>1738</v>
      </c>
      <c r="B1495" s="675" t="s">
        <v>545</v>
      </c>
      <c r="C1495" s="675" t="s">
        <v>1766</v>
      </c>
      <c r="D1495" s="675" t="s">
        <v>21</v>
      </c>
      <c r="E1495" s="675" t="s">
        <v>514</v>
      </c>
      <c r="F1495" s="675" t="s">
        <v>515</v>
      </c>
      <c r="G1495" s="675"/>
      <c r="H1495" s="675"/>
      <c r="I1495" s="675"/>
      <c r="J1495" s="675"/>
      <c r="K1495" s="675"/>
      <c r="L1495" s="675"/>
      <c r="M1495" s="675"/>
    </row>
    <row r="1496" spans="1:13" x14ac:dyDescent="0.25">
      <c r="A1496" s="675" t="s">
        <v>1738</v>
      </c>
      <c r="B1496" s="675" t="s">
        <v>545</v>
      </c>
      <c r="C1496" s="675" t="s">
        <v>1767</v>
      </c>
      <c r="D1496" s="675" t="s">
        <v>21</v>
      </c>
      <c r="E1496" s="675" t="s">
        <v>514</v>
      </c>
      <c r="F1496" s="675" t="s">
        <v>515</v>
      </c>
      <c r="G1496" s="675"/>
      <c r="H1496" s="675"/>
      <c r="I1496" s="675"/>
      <c r="J1496" s="675"/>
      <c r="K1496" s="675"/>
      <c r="L1496" s="675"/>
      <c r="M1496" s="675"/>
    </row>
    <row r="1497" spans="1:13" x14ac:dyDescent="0.25">
      <c r="A1497" s="675" t="s">
        <v>1738</v>
      </c>
      <c r="B1497" s="675" t="s">
        <v>545</v>
      </c>
      <c r="C1497" s="675" t="s">
        <v>1768</v>
      </c>
      <c r="D1497" s="675" t="s">
        <v>21</v>
      </c>
      <c r="E1497" s="675" t="s">
        <v>514</v>
      </c>
      <c r="F1497" s="675" t="s">
        <v>515</v>
      </c>
      <c r="G1497" s="675"/>
      <c r="H1497" s="675"/>
      <c r="I1497" s="675"/>
      <c r="J1497" s="675"/>
      <c r="K1497" s="675"/>
      <c r="L1497" s="675"/>
      <c r="M1497" s="675"/>
    </row>
    <row r="1498" spans="1:13" x14ac:dyDescent="0.25">
      <c r="A1498" s="675" t="s">
        <v>1738</v>
      </c>
      <c r="B1498" s="675" t="s">
        <v>545</v>
      </c>
      <c r="C1498" s="675" t="s">
        <v>1769</v>
      </c>
      <c r="D1498" s="675" t="s">
        <v>21</v>
      </c>
      <c r="E1498" s="675" t="s">
        <v>514</v>
      </c>
      <c r="F1498" s="675" t="s">
        <v>515</v>
      </c>
      <c r="G1498" s="675"/>
      <c r="H1498" s="675"/>
      <c r="I1498" s="675"/>
      <c r="J1498" s="675"/>
      <c r="K1498" s="675"/>
      <c r="L1498" s="675"/>
      <c r="M1498" s="675"/>
    </row>
    <row r="1499" spans="1:13" x14ac:dyDescent="0.25">
      <c r="A1499" s="675" t="s">
        <v>1738</v>
      </c>
      <c r="B1499" s="675" t="s">
        <v>545</v>
      </c>
      <c r="C1499" s="675" t="s">
        <v>1770</v>
      </c>
      <c r="D1499" s="675" t="s">
        <v>21</v>
      </c>
      <c r="E1499" s="681" t="s">
        <v>1244</v>
      </c>
      <c r="F1499" s="681" t="s">
        <v>515</v>
      </c>
      <c r="G1499" s="675"/>
      <c r="H1499" s="675"/>
      <c r="I1499" s="675"/>
      <c r="J1499" s="675"/>
      <c r="K1499" s="675"/>
      <c r="L1499" s="675"/>
      <c r="M1499" s="675"/>
    </row>
    <row r="1500" spans="1:13" x14ac:dyDescent="0.25">
      <c r="A1500" s="675" t="s">
        <v>1738</v>
      </c>
      <c r="B1500" s="675" t="s">
        <v>545</v>
      </c>
      <c r="C1500" s="675" t="s">
        <v>1759</v>
      </c>
      <c r="D1500" s="675" t="s">
        <v>21</v>
      </c>
      <c r="E1500" s="675" t="s">
        <v>514</v>
      </c>
      <c r="F1500" s="675" t="s">
        <v>515</v>
      </c>
      <c r="G1500" s="675"/>
      <c r="H1500" s="675"/>
      <c r="I1500" s="675"/>
      <c r="J1500" s="675"/>
      <c r="K1500" s="675"/>
      <c r="L1500" s="675"/>
      <c r="M1500" s="675"/>
    </row>
    <row r="1501" spans="1:13" x14ac:dyDescent="0.25">
      <c r="A1501" s="675" t="s">
        <v>1738</v>
      </c>
      <c r="B1501" s="675" t="s">
        <v>564</v>
      </c>
      <c r="C1501" s="675" t="s">
        <v>1771</v>
      </c>
      <c r="D1501" s="675" t="s">
        <v>21</v>
      </c>
      <c r="E1501" s="675" t="s">
        <v>514</v>
      </c>
      <c r="F1501" s="675" t="s">
        <v>515</v>
      </c>
      <c r="G1501" s="675"/>
      <c r="H1501" s="675"/>
      <c r="I1501" s="675"/>
      <c r="J1501" s="675"/>
      <c r="K1501" s="675"/>
      <c r="L1501" s="675"/>
      <c r="M1501" s="675"/>
    </row>
    <row r="1502" spans="1:13" x14ac:dyDescent="0.25">
      <c r="A1502" s="675" t="s">
        <v>1738</v>
      </c>
      <c r="B1502" s="675" t="s">
        <v>564</v>
      </c>
      <c r="C1502" s="675" t="s">
        <v>1167</v>
      </c>
      <c r="D1502" s="675" t="s">
        <v>21</v>
      </c>
      <c r="E1502" s="675" t="s">
        <v>514</v>
      </c>
      <c r="F1502" s="675" t="s">
        <v>515</v>
      </c>
      <c r="G1502" s="675"/>
      <c r="H1502" s="675"/>
      <c r="I1502" s="675"/>
      <c r="J1502" s="675"/>
      <c r="K1502" s="675"/>
      <c r="L1502" s="675"/>
      <c r="M1502" s="675"/>
    </row>
    <row r="1503" spans="1:13" x14ac:dyDescent="0.25">
      <c r="A1503" s="675" t="s">
        <v>1772</v>
      </c>
      <c r="B1503" s="675" t="s">
        <v>512</v>
      </c>
      <c r="C1503" s="675" t="s">
        <v>1773</v>
      </c>
      <c r="D1503" s="675" t="s">
        <v>21</v>
      </c>
      <c r="E1503" s="675" t="s">
        <v>514</v>
      </c>
      <c r="F1503" s="675" t="s">
        <v>515</v>
      </c>
      <c r="G1503" s="675"/>
      <c r="H1503" s="675"/>
      <c r="I1503" s="675"/>
      <c r="J1503" s="675"/>
      <c r="K1503" s="675"/>
      <c r="L1503" s="675"/>
      <c r="M1503" s="675"/>
    </row>
    <row r="1504" spans="1:13" x14ac:dyDescent="0.25">
      <c r="A1504" s="675" t="s">
        <v>1772</v>
      </c>
      <c r="B1504" s="675" t="s">
        <v>512</v>
      </c>
      <c r="C1504" s="675" t="s">
        <v>808</v>
      </c>
      <c r="D1504" s="675" t="s">
        <v>21</v>
      </c>
      <c r="E1504" s="675" t="s">
        <v>514</v>
      </c>
      <c r="F1504" s="675" t="s">
        <v>515</v>
      </c>
      <c r="G1504" s="675"/>
      <c r="H1504" s="675"/>
      <c r="I1504" s="675"/>
      <c r="J1504" s="675"/>
      <c r="K1504" s="675"/>
      <c r="L1504" s="675"/>
      <c r="M1504" s="675"/>
    </row>
    <row r="1505" spans="1:13" x14ac:dyDescent="0.25">
      <c r="A1505" s="675" t="s">
        <v>1772</v>
      </c>
      <c r="B1505" s="675" t="s">
        <v>512</v>
      </c>
      <c r="C1505" s="675" t="s">
        <v>1073</v>
      </c>
      <c r="D1505" s="675" t="s">
        <v>21</v>
      </c>
      <c r="E1505" s="675" t="s">
        <v>514</v>
      </c>
      <c r="F1505" s="675" t="s">
        <v>515</v>
      </c>
      <c r="G1505" s="675"/>
      <c r="H1505" s="675"/>
      <c r="I1505" s="675"/>
      <c r="J1505" s="675"/>
      <c r="K1505" s="675"/>
      <c r="L1505" s="675"/>
      <c r="M1505" s="675"/>
    </row>
    <row r="1506" spans="1:13" x14ac:dyDescent="0.25">
      <c r="A1506" s="675" t="s">
        <v>1772</v>
      </c>
      <c r="B1506" s="675" t="s">
        <v>512</v>
      </c>
      <c r="C1506" s="675" t="s">
        <v>831</v>
      </c>
      <c r="D1506" s="675" t="s">
        <v>21</v>
      </c>
      <c r="E1506" s="675" t="s">
        <v>514</v>
      </c>
      <c r="F1506" s="675" t="s">
        <v>515</v>
      </c>
      <c r="G1506" s="675"/>
      <c r="H1506" s="675"/>
      <c r="I1506" s="675"/>
      <c r="J1506" s="675"/>
      <c r="K1506" s="675"/>
      <c r="L1506" s="675"/>
      <c r="M1506" s="675"/>
    </row>
    <row r="1507" spans="1:13" x14ac:dyDescent="0.25">
      <c r="A1507" s="675" t="s">
        <v>1772</v>
      </c>
      <c r="B1507" s="675" t="s">
        <v>512</v>
      </c>
      <c r="C1507" s="675" t="s">
        <v>1774</v>
      </c>
      <c r="D1507" s="675" t="s">
        <v>21</v>
      </c>
      <c r="E1507" s="675" t="s">
        <v>514</v>
      </c>
      <c r="F1507" s="675" t="s">
        <v>515</v>
      </c>
      <c r="G1507" s="675"/>
      <c r="H1507" s="675"/>
      <c r="I1507" s="675"/>
      <c r="J1507" s="675"/>
      <c r="K1507" s="675"/>
      <c r="L1507" s="675"/>
      <c r="M1507" s="675"/>
    </row>
    <row r="1508" spans="1:13" x14ac:dyDescent="0.25">
      <c r="A1508" s="675" t="s">
        <v>1772</v>
      </c>
      <c r="B1508" s="675" t="s">
        <v>512</v>
      </c>
      <c r="C1508" s="675" t="s">
        <v>809</v>
      </c>
      <c r="D1508" s="675" t="s">
        <v>21</v>
      </c>
      <c r="E1508" s="675" t="s">
        <v>514</v>
      </c>
      <c r="F1508" s="675" t="s">
        <v>515</v>
      </c>
      <c r="G1508" s="675"/>
      <c r="H1508" s="675"/>
      <c r="I1508" s="675"/>
      <c r="J1508" s="675"/>
      <c r="K1508" s="675"/>
      <c r="L1508" s="675"/>
      <c r="M1508" s="675"/>
    </row>
    <row r="1509" spans="1:13" x14ac:dyDescent="0.25">
      <c r="A1509" s="675" t="s">
        <v>1772</v>
      </c>
      <c r="B1509" s="675" t="s">
        <v>512</v>
      </c>
      <c r="C1509" s="675" t="s">
        <v>1775</v>
      </c>
      <c r="D1509" s="675" t="s">
        <v>21</v>
      </c>
      <c r="E1509" s="675" t="s">
        <v>514</v>
      </c>
      <c r="F1509" s="675" t="s">
        <v>515</v>
      </c>
      <c r="G1509" s="675"/>
      <c r="H1509" s="675"/>
      <c r="I1509" s="675"/>
      <c r="J1509" s="675"/>
      <c r="K1509" s="675"/>
      <c r="L1509" s="675"/>
      <c r="M1509" s="675"/>
    </row>
    <row r="1510" spans="1:13" x14ac:dyDescent="0.25">
      <c r="A1510" s="675" t="s">
        <v>1772</v>
      </c>
      <c r="B1510" s="675" t="s">
        <v>512</v>
      </c>
      <c r="C1510" s="675" t="s">
        <v>1726</v>
      </c>
      <c r="D1510" s="675" t="s">
        <v>21</v>
      </c>
      <c r="E1510" s="675" t="s">
        <v>514</v>
      </c>
      <c r="F1510" s="675" t="s">
        <v>515</v>
      </c>
      <c r="G1510" s="675"/>
      <c r="H1510" s="675"/>
      <c r="I1510" s="675"/>
      <c r="J1510" s="675"/>
      <c r="K1510" s="675"/>
      <c r="L1510" s="675"/>
      <c r="M1510" s="675"/>
    </row>
    <row r="1511" spans="1:13" x14ac:dyDescent="0.25">
      <c r="A1511" s="675" t="s">
        <v>1772</v>
      </c>
      <c r="B1511" s="675" t="s">
        <v>512</v>
      </c>
      <c r="C1511" s="675" t="s">
        <v>1482</v>
      </c>
      <c r="D1511" s="675" t="s">
        <v>21</v>
      </c>
      <c r="E1511" s="675" t="s">
        <v>514</v>
      </c>
      <c r="F1511" s="675" t="s">
        <v>515</v>
      </c>
      <c r="G1511" s="675"/>
      <c r="H1511" s="675"/>
      <c r="I1511" s="675"/>
      <c r="J1511" s="675"/>
      <c r="K1511" s="675"/>
      <c r="L1511" s="675"/>
      <c r="M1511" s="675"/>
    </row>
    <row r="1512" spans="1:13" x14ac:dyDescent="0.25">
      <c r="A1512" s="675" t="s">
        <v>1772</v>
      </c>
      <c r="B1512" s="675" t="s">
        <v>512</v>
      </c>
      <c r="C1512" s="675" t="s">
        <v>1074</v>
      </c>
      <c r="D1512" s="675" t="s">
        <v>21</v>
      </c>
      <c r="E1512" s="675" t="s">
        <v>514</v>
      </c>
      <c r="F1512" s="675" t="s">
        <v>515</v>
      </c>
      <c r="G1512" s="675"/>
      <c r="H1512" s="675"/>
      <c r="I1512" s="675"/>
      <c r="J1512" s="675"/>
      <c r="K1512" s="675"/>
      <c r="L1512" s="675"/>
      <c r="M1512" s="675"/>
    </row>
    <row r="1513" spans="1:13" x14ac:dyDescent="0.25">
      <c r="A1513" s="675" t="s">
        <v>1772</v>
      </c>
      <c r="B1513" s="675" t="s">
        <v>512</v>
      </c>
      <c r="C1513" s="675" t="s">
        <v>1088</v>
      </c>
      <c r="D1513" s="675" t="s">
        <v>21</v>
      </c>
      <c r="E1513" s="675" t="s">
        <v>514</v>
      </c>
      <c r="F1513" s="675" t="s">
        <v>515</v>
      </c>
      <c r="G1513" s="675"/>
      <c r="H1513" s="675"/>
      <c r="I1513" s="675"/>
      <c r="J1513" s="675"/>
      <c r="K1513" s="675"/>
      <c r="L1513" s="675"/>
      <c r="M1513" s="675"/>
    </row>
    <row r="1514" spans="1:13" x14ac:dyDescent="0.25">
      <c r="A1514" s="675" t="s">
        <v>1772</v>
      </c>
      <c r="B1514" s="675" t="s">
        <v>512</v>
      </c>
      <c r="C1514" s="675" t="s">
        <v>1776</v>
      </c>
      <c r="D1514" s="675" t="s">
        <v>21</v>
      </c>
      <c r="E1514" s="675" t="s">
        <v>514</v>
      </c>
      <c r="F1514" s="675" t="s">
        <v>515</v>
      </c>
      <c r="G1514" s="675"/>
      <c r="H1514" s="675"/>
      <c r="I1514" s="675"/>
      <c r="J1514" s="675"/>
      <c r="K1514" s="675"/>
      <c r="L1514" s="675"/>
      <c r="M1514" s="675"/>
    </row>
    <row r="1515" spans="1:13" x14ac:dyDescent="0.25">
      <c r="A1515" s="675" t="s">
        <v>1772</v>
      </c>
      <c r="B1515" s="675" t="s">
        <v>512</v>
      </c>
      <c r="C1515" s="675" t="s">
        <v>1777</v>
      </c>
      <c r="D1515" s="675" t="s">
        <v>21</v>
      </c>
      <c r="E1515" s="675" t="s">
        <v>514</v>
      </c>
      <c r="F1515" s="675" t="s">
        <v>515</v>
      </c>
      <c r="G1515" s="675"/>
      <c r="H1515" s="675"/>
      <c r="I1515" s="675"/>
      <c r="J1515" s="675"/>
      <c r="K1515" s="675"/>
      <c r="L1515" s="675"/>
      <c r="M1515" s="675"/>
    </row>
    <row r="1516" spans="1:13" x14ac:dyDescent="0.25">
      <c r="A1516" s="675" t="s">
        <v>1772</v>
      </c>
      <c r="B1516" s="675" t="s">
        <v>512</v>
      </c>
      <c r="C1516" s="675" t="s">
        <v>1778</v>
      </c>
      <c r="D1516" s="675" t="s">
        <v>21</v>
      </c>
      <c r="E1516" s="675" t="s">
        <v>514</v>
      </c>
      <c r="F1516" s="675" t="s">
        <v>515</v>
      </c>
      <c r="G1516" s="675"/>
      <c r="H1516" s="675"/>
      <c r="I1516" s="675"/>
      <c r="J1516" s="675"/>
      <c r="K1516" s="675"/>
      <c r="L1516" s="675"/>
      <c r="M1516" s="675"/>
    </row>
    <row r="1517" spans="1:13" x14ac:dyDescent="0.25">
      <c r="A1517" s="675" t="s">
        <v>1772</v>
      </c>
      <c r="B1517" s="675" t="s">
        <v>512</v>
      </c>
      <c r="C1517" s="675" t="s">
        <v>1075</v>
      </c>
      <c r="D1517" s="675" t="s">
        <v>21</v>
      </c>
      <c r="E1517" s="675" t="s">
        <v>514</v>
      </c>
      <c r="F1517" s="675" t="s">
        <v>515</v>
      </c>
      <c r="G1517" s="675"/>
      <c r="H1517" s="675"/>
      <c r="I1517" s="675"/>
      <c r="J1517" s="675"/>
      <c r="K1517" s="675"/>
      <c r="L1517" s="675"/>
      <c r="M1517" s="675"/>
    </row>
    <row r="1518" spans="1:13" x14ac:dyDescent="0.25">
      <c r="A1518" s="675" t="s">
        <v>1772</v>
      </c>
      <c r="B1518" s="675" t="s">
        <v>545</v>
      </c>
      <c r="C1518" s="675" t="s">
        <v>1779</v>
      </c>
      <c r="D1518" s="675" t="s">
        <v>21</v>
      </c>
      <c r="E1518" s="675" t="s">
        <v>514</v>
      </c>
      <c r="F1518" s="675" t="s">
        <v>515</v>
      </c>
      <c r="G1518" s="675"/>
      <c r="H1518" s="675"/>
      <c r="I1518" s="675"/>
      <c r="J1518" s="675"/>
      <c r="K1518" s="675"/>
      <c r="L1518" s="675"/>
      <c r="M1518" s="675"/>
    </row>
    <row r="1519" spans="1:13" x14ac:dyDescent="0.25">
      <c r="A1519" s="675" t="s">
        <v>1772</v>
      </c>
      <c r="B1519" s="675" t="s">
        <v>545</v>
      </c>
      <c r="C1519" s="675" t="s">
        <v>1780</v>
      </c>
      <c r="D1519" s="675" t="s">
        <v>21</v>
      </c>
      <c r="E1519" s="675" t="s">
        <v>514</v>
      </c>
      <c r="F1519" s="675" t="s">
        <v>515</v>
      </c>
      <c r="G1519" s="675"/>
      <c r="H1519" s="675"/>
      <c r="I1519" s="675"/>
      <c r="J1519" s="675"/>
      <c r="K1519" s="675"/>
      <c r="L1519" s="675"/>
      <c r="M1519" s="675"/>
    </row>
    <row r="1520" spans="1:13" x14ac:dyDescent="0.25">
      <c r="A1520" s="675" t="s">
        <v>1772</v>
      </c>
      <c r="B1520" s="675" t="s">
        <v>545</v>
      </c>
      <c r="C1520" s="675" t="s">
        <v>1096</v>
      </c>
      <c r="D1520" s="675" t="s">
        <v>21</v>
      </c>
      <c r="E1520" s="675" t="s">
        <v>514</v>
      </c>
      <c r="F1520" s="675" t="s">
        <v>515</v>
      </c>
      <c r="G1520" s="675"/>
      <c r="H1520" s="675"/>
      <c r="I1520" s="675"/>
      <c r="J1520" s="675"/>
      <c r="K1520" s="675"/>
      <c r="L1520" s="675"/>
      <c r="M1520" s="675"/>
    </row>
    <row r="1521" spans="1:13" x14ac:dyDescent="0.25">
      <c r="A1521" s="675" t="s">
        <v>1772</v>
      </c>
      <c r="B1521" s="675" t="s">
        <v>545</v>
      </c>
      <c r="C1521" s="675" t="s">
        <v>1781</v>
      </c>
      <c r="D1521" s="675" t="s">
        <v>21</v>
      </c>
      <c r="E1521" s="675" t="s">
        <v>514</v>
      </c>
      <c r="F1521" s="675" t="s">
        <v>515</v>
      </c>
      <c r="G1521" s="675"/>
      <c r="H1521" s="675"/>
      <c r="I1521" s="675"/>
      <c r="J1521" s="675"/>
      <c r="K1521" s="675"/>
      <c r="L1521" s="675"/>
      <c r="M1521" s="675"/>
    </row>
    <row r="1522" spans="1:13" x14ac:dyDescent="0.25">
      <c r="A1522" s="675" t="s">
        <v>1772</v>
      </c>
      <c r="B1522" s="675" t="s">
        <v>545</v>
      </c>
      <c r="C1522" s="675" t="s">
        <v>1782</v>
      </c>
      <c r="D1522" s="675" t="s">
        <v>21</v>
      </c>
      <c r="E1522" s="675" t="s">
        <v>514</v>
      </c>
      <c r="F1522" s="675" t="s">
        <v>515</v>
      </c>
      <c r="G1522" s="675"/>
      <c r="H1522" s="675"/>
      <c r="I1522" s="675"/>
      <c r="J1522" s="675"/>
      <c r="K1522" s="675"/>
      <c r="L1522" s="675"/>
      <c r="M1522" s="675"/>
    </row>
    <row r="1523" spans="1:13" x14ac:dyDescent="0.25">
      <c r="A1523" s="675" t="s">
        <v>1772</v>
      </c>
      <c r="B1523" s="675" t="s">
        <v>564</v>
      </c>
      <c r="C1523" s="675" t="s">
        <v>1783</v>
      </c>
      <c r="D1523" s="675" t="s">
        <v>21</v>
      </c>
      <c r="E1523" s="675" t="s">
        <v>514</v>
      </c>
      <c r="F1523" s="675" t="s">
        <v>515</v>
      </c>
      <c r="G1523" s="675"/>
      <c r="H1523" s="675"/>
      <c r="I1523" s="675"/>
      <c r="J1523" s="675"/>
      <c r="K1523" s="675"/>
      <c r="L1523" s="675"/>
      <c r="M1523" s="675"/>
    </row>
    <row r="1524" spans="1:13" x14ac:dyDescent="0.25">
      <c r="A1524" s="675" t="s">
        <v>1772</v>
      </c>
      <c r="B1524" s="675" t="s">
        <v>564</v>
      </c>
      <c r="C1524" s="675" t="s">
        <v>1784</v>
      </c>
      <c r="D1524" s="675" t="s">
        <v>21</v>
      </c>
      <c r="E1524" s="675" t="s">
        <v>514</v>
      </c>
      <c r="F1524" s="675" t="s">
        <v>515</v>
      </c>
      <c r="G1524" s="675"/>
      <c r="H1524" s="675"/>
      <c r="I1524" s="675"/>
      <c r="J1524" s="675"/>
      <c r="K1524" s="675"/>
      <c r="L1524" s="675"/>
      <c r="M1524" s="675"/>
    </row>
    <row r="1525" spans="1:13" x14ac:dyDescent="0.25">
      <c r="A1525" s="675" t="s">
        <v>1785</v>
      </c>
      <c r="B1525" s="675" t="s">
        <v>545</v>
      </c>
      <c r="C1525" s="675" t="s">
        <v>1786</v>
      </c>
      <c r="D1525" s="675" t="s">
        <v>21</v>
      </c>
      <c r="E1525" s="675" t="s">
        <v>514</v>
      </c>
      <c r="F1525" s="675" t="s">
        <v>515</v>
      </c>
      <c r="G1525" s="675"/>
      <c r="H1525" s="675"/>
      <c r="I1525" s="675"/>
      <c r="J1525" s="675"/>
      <c r="K1525" s="675"/>
      <c r="L1525" s="675"/>
      <c r="M1525" s="675"/>
    </row>
    <row r="1526" spans="1:13" x14ac:dyDescent="0.25">
      <c r="A1526" s="675" t="s">
        <v>1785</v>
      </c>
      <c r="B1526" s="675" t="s">
        <v>545</v>
      </c>
      <c r="C1526" s="675" t="s">
        <v>1787</v>
      </c>
      <c r="D1526" s="675" t="s">
        <v>21</v>
      </c>
      <c r="E1526" s="675" t="s">
        <v>514</v>
      </c>
      <c r="F1526" s="675" t="s">
        <v>515</v>
      </c>
      <c r="G1526" s="675"/>
      <c r="H1526" s="675"/>
      <c r="I1526" s="675"/>
      <c r="J1526" s="675"/>
      <c r="K1526" s="675"/>
      <c r="L1526" s="675"/>
      <c r="M1526" s="675"/>
    </row>
    <row r="1527" spans="1:13" x14ac:dyDescent="0.25">
      <c r="A1527" s="675" t="s">
        <v>1785</v>
      </c>
      <c r="B1527" s="675" t="s">
        <v>545</v>
      </c>
      <c r="C1527" s="675" t="s">
        <v>1788</v>
      </c>
      <c r="D1527" s="675" t="s">
        <v>21</v>
      </c>
      <c r="E1527" s="675" t="s">
        <v>514</v>
      </c>
      <c r="F1527" s="675" t="s">
        <v>515</v>
      </c>
      <c r="G1527" s="675"/>
      <c r="H1527" s="675"/>
      <c r="I1527" s="675"/>
      <c r="J1527" s="675"/>
      <c r="K1527" s="675"/>
      <c r="L1527" s="675"/>
      <c r="M1527" s="675"/>
    </row>
    <row r="1528" spans="1:13" x14ac:dyDescent="0.25">
      <c r="A1528" s="675" t="s">
        <v>1785</v>
      </c>
      <c r="B1528" s="675" t="s">
        <v>545</v>
      </c>
      <c r="C1528" s="675" t="s">
        <v>1789</v>
      </c>
      <c r="D1528" s="675" t="s">
        <v>21</v>
      </c>
      <c r="E1528" s="675" t="s">
        <v>514</v>
      </c>
      <c r="F1528" s="675" t="s">
        <v>515</v>
      </c>
      <c r="G1528" s="675"/>
      <c r="H1528" s="675"/>
      <c r="I1528" s="675"/>
      <c r="J1528" s="675"/>
      <c r="K1528" s="675"/>
      <c r="L1528" s="675"/>
      <c r="M1528" s="675"/>
    </row>
    <row r="1529" spans="1:13" x14ac:dyDescent="0.25">
      <c r="A1529" s="675" t="s">
        <v>1785</v>
      </c>
      <c r="B1529" s="675" t="s">
        <v>545</v>
      </c>
      <c r="C1529" s="675" t="s">
        <v>1790</v>
      </c>
      <c r="D1529" s="675" t="s">
        <v>21</v>
      </c>
      <c r="E1529" s="675" t="s">
        <v>514</v>
      </c>
      <c r="F1529" s="675" t="s">
        <v>515</v>
      </c>
      <c r="G1529" s="675"/>
      <c r="H1529" s="675"/>
      <c r="I1529" s="675"/>
      <c r="J1529" s="675"/>
      <c r="K1529" s="675"/>
      <c r="L1529" s="675"/>
      <c r="M1529" s="675"/>
    </row>
    <row r="1530" spans="1:13" x14ac:dyDescent="0.25">
      <c r="A1530" s="675" t="s">
        <v>1785</v>
      </c>
      <c r="B1530" s="675" t="s">
        <v>564</v>
      </c>
      <c r="C1530" s="675" t="s">
        <v>1791</v>
      </c>
      <c r="D1530" s="675" t="s">
        <v>21</v>
      </c>
      <c r="E1530" s="675" t="s">
        <v>514</v>
      </c>
      <c r="F1530" s="675" t="s">
        <v>515</v>
      </c>
      <c r="G1530" s="675"/>
      <c r="H1530" s="675"/>
      <c r="I1530" s="675"/>
      <c r="J1530" s="675"/>
      <c r="K1530" s="675"/>
      <c r="L1530" s="675"/>
      <c r="M1530" s="675"/>
    </row>
    <row r="1531" spans="1:13" x14ac:dyDescent="0.25">
      <c r="A1531" s="675" t="s">
        <v>1785</v>
      </c>
      <c r="B1531" s="675" t="s">
        <v>564</v>
      </c>
      <c r="C1531" s="675" t="s">
        <v>1792</v>
      </c>
      <c r="D1531" s="675" t="s">
        <v>21</v>
      </c>
      <c r="E1531" s="675" t="s">
        <v>514</v>
      </c>
      <c r="F1531" s="675" t="s">
        <v>515</v>
      </c>
      <c r="G1531" s="675"/>
      <c r="H1531" s="675"/>
      <c r="I1531" s="675"/>
      <c r="J1531" s="675"/>
      <c r="K1531" s="675"/>
      <c r="L1531" s="675"/>
      <c r="M1531" s="675"/>
    </row>
    <row r="1532" spans="1:13" x14ac:dyDescent="0.25">
      <c r="A1532" s="675" t="s">
        <v>1785</v>
      </c>
      <c r="B1532" s="675" t="s">
        <v>564</v>
      </c>
      <c r="C1532" s="675" t="s">
        <v>1793</v>
      </c>
      <c r="D1532" s="675" t="s">
        <v>21</v>
      </c>
      <c r="E1532" s="675" t="s">
        <v>514</v>
      </c>
      <c r="F1532" s="675" t="s">
        <v>515</v>
      </c>
      <c r="G1532" s="675"/>
      <c r="H1532" s="675"/>
      <c r="I1532" s="675"/>
      <c r="J1532" s="675"/>
      <c r="K1532" s="675"/>
      <c r="L1532" s="675"/>
      <c r="M1532" s="675"/>
    </row>
    <row r="1533" spans="1:13" x14ac:dyDescent="0.25">
      <c r="A1533" s="675" t="s">
        <v>1785</v>
      </c>
      <c r="B1533" s="675" t="s">
        <v>564</v>
      </c>
      <c r="C1533" s="675" t="s">
        <v>1653</v>
      </c>
      <c r="D1533" s="675" t="s">
        <v>21</v>
      </c>
      <c r="E1533" s="675" t="s">
        <v>514</v>
      </c>
      <c r="F1533" s="675" t="s">
        <v>515</v>
      </c>
      <c r="G1533" s="675"/>
      <c r="H1533" s="675"/>
      <c r="I1533" s="675"/>
      <c r="J1533" s="675"/>
      <c r="K1533" s="675"/>
      <c r="L1533" s="675"/>
      <c r="M1533" s="675"/>
    </row>
    <row r="1534" spans="1:13" x14ac:dyDescent="0.25">
      <c r="A1534" s="675" t="s">
        <v>1785</v>
      </c>
      <c r="B1534" s="675" t="s">
        <v>564</v>
      </c>
      <c r="C1534" s="675" t="s">
        <v>1794</v>
      </c>
      <c r="D1534" s="675" t="s">
        <v>21</v>
      </c>
      <c r="E1534" s="675" t="s">
        <v>514</v>
      </c>
      <c r="F1534" s="675" t="s">
        <v>515</v>
      </c>
      <c r="G1534" s="675"/>
      <c r="H1534" s="675"/>
      <c r="I1534" s="675"/>
      <c r="J1534" s="675"/>
      <c r="K1534" s="675"/>
      <c r="L1534" s="675"/>
      <c r="M1534" s="675"/>
    </row>
    <row r="1535" spans="1:13" x14ac:dyDescent="0.25">
      <c r="A1535" s="675" t="s">
        <v>1795</v>
      </c>
      <c r="B1535" s="675" t="s">
        <v>512</v>
      </c>
      <c r="C1535" s="675" t="s">
        <v>1796</v>
      </c>
      <c r="D1535" s="675" t="s">
        <v>21</v>
      </c>
      <c r="E1535" s="702"/>
      <c r="F1535" s="702"/>
      <c r="G1535" s="675"/>
      <c r="H1535" s="675"/>
      <c r="I1535" s="675"/>
      <c r="J1535" s="675"/>
      <c r="K1535" s="675"/>
      <c r="L1535" s="675"/>
      <c r="M1535" s="675"/>
    </row>
    <row r="1536" spans="1:13" x14ac:dyDescent="0.25">
      <c r="A1536" s="675" t="s">
        <v>1795</v>
      </c>
      <c r="B1536" s="675" t="s">
        <v>512</v>
      </c>
      <c r="C1536" s="675" t="s">
        <v>1797</v>
      </c>
      <c r="D1536" s="675" t="s">
        <v>21</v>
      </c>
      <c r="E1536" s="702"/>
      <c r="F1536" s="702"/>
      <c r="G1536" s="675"/>
      <c r="H1536" s="675"/>
      <c r="I1536" s="675"/>
      <c r="J1536" s="675"/>
      <c r="K1536" s="675"/>
      <c r="L1536" s="675"/>
      <c r="M1536" s="675"/>
    </row>
    <row r="1537" spans="1:13" x14ac:dyDescent="0.25">
      <c r="A1537" s="675" t="s">
        <v>1795</v>
      </c>
      <c r="B1537" s="675" t="s">
        <v>512</v>
      </c>
      <c r="C1537" s="675" t="s">
        <v>1798</v>
      </c>
      <c r="D1537" s="675" t="s">
        <v>21</v>
      </c>
      <c r="E1537" s="702"/>
      <c r="F1537" s="702"/>
      <c r="G1537" s="675"/>
      <c r="H1537" s="675"/>
      <c r="I1537" s="675"/>
      <c r="J1537" s="675"/>
      <c r="K1537" s="675"/>
      <c r="L1537" s="675"/>
      <c r="M1537" s="675"/>
    </row>
    <row r="1538" spans="1:13" x14ac:dyDescent="0.25">
      <c r="A1538" s="675" t="s">
        <v>1795</v>
      </c>
      <c r="B1538" s="675" t="s">
        <v>512</v>
      </c>
      <c r="C1538" s="675" t="s">
        <v>1799</v>
      </c>
      <c r="D1538" s="675" t="s">
        <v>21</v>
      </c>
      <c r="E1538" s="702"/>
      <c r="F1538" s="702"/>
      <c r="G1538" s="675"/>
      <c r="H1538" s="675"/>
      <c r="I1538" s="675"/>
      <c r="J1538" s="675"/>
      <c r="K1538" s="675"/>
      <c r="L1538" s="675"/>
      <c r="M1538" s="675"/>
    </row>
    <row r="1539" spans="1:13" x14ac:dyDescent="0.25">
      <c r="A1539" s="675" t="s">
        <v>1795</v>
      </c>
      <c r="B1539" s="675" t="s">
        <v>512</v>
      </c>
      <c r="C1539" s="675" t="s">
        <v>1800</v>
      </c>
      <c r="D1539" s="675" t="s">
        <v>21</v>
      </c>
      <c r="E1539" s="702"/>
      <c r="F1539" s="702"/>
      <c r="G1539" s="675"/>
      <c r="H1539" s="675"/>
      <c r="I1539" s="675"/>
      <c r="J1539" s="675"/>
      <c r="K1539" s="675"/>
      <c r="L1539" s="675"/>
      <c r="M1539" s="675"/>
    </row>
    <row r="1540" spans="1:13" x14ac:dyDescent="0.25">
      <c r="A1540" s="675" t="s">
        <v>1795</v>
      </c>
      <c r="B1540" s="675" t="s">
        <v>545</v>
      </c>
      <c r="C1540" s="675" t="s">
        <v>1801</v>
      </c>
      <c r="D1540" s="675" t="s">
        <v>21</v>
      </c>
      <c r="E1540" s="702"/>
      <c r="F1540" s="702"/>
      <c r="G1540" s="675"/>
      <c r="H1540" s="675"/>
      <c r="I1540" s="675"/>
      <c r="J1540" s="675"/>
      <c r="K1540" s="675"/>
      <c r="L1540" s="675"/>
      <c r="M1540" s="675"/>
    </row>
    <row r="1541" spans="1:13" x14ac:dyDescent="0.25">
      <c r="A1541" s="675" t="s">
        <v>1795</v>
      </c>
      <c r="B1541" s="675" t="s">
        <v>545</v>
      </c>
      <c r="C1541" s="675" t="s">
        <v>1802</v>
      </c>
      <c r="D1541" s="675" t="s">
        <v>21</v>
      </c>
      <c r="E1541" s="702"/>
      <c r="F1541" s="702"/>
      <c r="G1541" s="675"/>
      <c r="H1541" s="675"/>
      <c r="I1541" s="675"/>
      <c r="J1541" s="675"/>
      <c r="K1541" s="675"/>
      <c r="L1541" s="675"/>
      <c r="M1541" s="675"/>
    </row>
    <row r="1542" spans="1:13" x14ac:dyDescent="0.25">
      <c r="A1542" s="675" t="s">
        <v>1795</v>
      </c>
      <c r="B1542" s="675" t="s">
        <v>545</v>
      </c>
      <c r="C1542" s="675" t="s">
        <v>1803</v>
      </c>
      <c r="D1542" s="675" t="s">
        <v>21</v>
      </c>
      <c r="E1542" s="702"/>
      <c r="F1542" s="702"/>
      <c r="G1542" s="675"/>
      <c r="H1542" s="675"/>
      <c r="I1542" s="675"/>
      <c r="J1542" s="675"/>
      <c r="K1542" s="675"/>
      <c r="L1542" s="675"/>
      <c r="M1542" s="675"/>
    </row>
    <row r="1543" spans="1:13" x14ac:dyDescent="0.25">
      <c r="A1543" s="675" t="s">
        <v>1795</v>
      </c>
      <c r="B1543" s="675" t="s">
        <v>545</v>
      </c>
      <c r="C1543" s="675" t="s">
        <v>1804</v>
      </c>
      <c r="D1543" s="675" t="s">
        <v>21</v>
      </c>
      <c r="E1543" s="702"/>
      <c r="F1543" s="702"/>
      <c r="G1543" s="675"/>
      <c r="H1543" s="675"/>
      <c r="I1543" s="675"/>
      <c r="J1543" s="675"/>
      <c r="K1543" s="675"/>
      <c r="L1543" s="675"/>
      <c r="M1543" s="675"/>
    </row>
    <row r="1544" spans="1:13" x14ac:dyDescent="0.25">
      <c r="A1544" s="675" t="s">
        <v>1795</v>
      </c>
      <c r="B1544" s="675" t="s">
        <v>545</v>
      </c>
      <c r="C1544" s="675" t="s">
        <v>1805</v>
      </c>
      <c r="D1544" s="675" t="s">
        <v>21</v>
      </c>
      <c r="E1544" s="702"/>
      <c r="F1544" s="702"/>
      <c r="G1544" s="675"/>
      <c r="H1544" s="675"/>
      <c r="I1544" s="675"/>
      <c r="J1544" s="675"/>
      <c r="K1544" s="675"/>
      <c r="L1544" s="675"/>
      <c r="M1544" s="675"/>
    </row>
    <row r="1545" spans="1:13" x14ac:dyDescent="0.25">
      <c r="A1545" s="675" t="s">
        <v>1795</v>
      </c>
      <c r="B1545" s="675" t="s">
        <v>564</v>
      </c>
      <c r="C1545" s="675" t="s">
        <v>1806</v>
      </c>
      <c r="D1545" s="675" t="s">
        <v>21</v>
      </c>
      <c r="E1545" s="702"/>
      <c r="F1545" s="702"/>
      <c r="G1545" s="675"/>
      <c r="H1545" s="675"/>
      <c r="I1545" s="675"/>
      <c r="J1545" s="675"/>
      <c r="K1545" s="675"/>
      <c r="L1545" s="675"/>
      <c r="M1545" s="675"/>
    </row>
    <row r="1546" spans="1:13" x14ac:dyDescent="0.25">
      <c r="A1546" s="675" t="s">
        <v>1795</v>
      </c>
      <c r="B1546" s="675" t="s">
        <v>564</v>
      </c>
      <c r="C1546" s="675" t="s">
        <v>1807</v>
      </c>
      <c r="D1546" s="675" t="s">
        <v>21</v>
      </c>
      <c r="E1546" s="702"/>
      <c r="F1546" s="702"/>
      <c r="G1546" s="675"/>
      <c r="H1546" s="675"/>
      <c r="I1546" s="675"/>
      <c r="J1546" s="675"/>
      <c r="K1546" s="675"/>
      <c r="L1546" s="675"/>
      <c r="M1546" s="675"/>
    </row>
    <row r="1547" spans="1:13" x14ac:dyDescent="0.25">
      <c r="A1547" s="675" t="s">
        <v>1795</v>
      </c>
      <c r="B1547" s="675" t="s">
        <v>564</v>
      </c>
      <c r="C1547" s="675" t="s">
        <v>1808</v>
      </c>
      <c r="D1547" s="675" t="s">
        <v>21</v>
      </c>
      <c r="E1547" s="702"/>
      <c r="F1547" s="702"/>
      <c r="G1547" s="675"/>
      <c r="H1547" s="675"/>
      <c r="I1547" s="675"/>
      <c r="J1547" s="675"/>
      <c r="K1547" s="675"/>
      <c r="L1547" s="675"/>
      <c r="M1547" s="675"/>
    </row>
    <row r="1548" spans="1:13" x14ac:dyDescent="0.25">
      <c r="A1548" s="675" t="s">
        <v>1795</v>
      </c>
      <c r="B1548" s="675" t="s">
        <v>564</v>
      </c>
      <c r="C1548" s="675" t="s">
        <v>1809</v>
      </c>
      <c r="D1548" s="675" t="s">
        <v>21</v>
      </c>
      <c r="E1548" s="702"/>
      <c r="F1548" s="702"/>
      <c r="G1548" s="675"/>
      <c r="H1548" s="675"/>
      <c r="I1548" s="675"/>
      <c r="J1548" s="675"/>
      <c r="K1548" s="675"/>
      <c r="L1548" s="675"/>
      <c r="M1548" s="675"/>
    </row>
    <row r="1549" spans="1:13" x14ac:dyDescent="0.25">
      <c r="A1549" s="675" t="s">
        <v>1795</v>
      </c>
      <c r="B1549" s="675" t="s">
        <v>564</v>
      </c>
      <c r="C1549" s="675" t="s">
        <v>1810</v>
      </c>
      <c r="D1549" s="675" t="s">
        <v>21</v>
      </c>
      <c r="E1549" s="702"/>
      <c r="F1549" s="702"/>
      <c r="G1549" s="675"/>
      <c r="H1549" s="675"/>
      <c r="I1549" s="675"/>
      <c r="J1549" s="675"/>
      <c r="K1549" s="675"/>
      <c r="L1549" s="675"/>
      <c r="M1549" s="675"/>
    </row>
    <row r="1550" spans="1:13" x14ac:dyDescent="0.25">
      <c r="A1550" s="675" t="s">
        <v>1811</v>
      </c>
      <c r="B1550" s="675" t="s">
        <v>512</v>
      </c>
      <c r="C1550" s="675" t="s">
        <v>1812</v>
      </c>
      <c r="D1550" s="675" t="s">
        <v>21</v>
      </c>
      <c r="E1550" s="675" t="s">
        <v>514</v>
      </c>
      <c r="F1550" s="675" t="s">
        <v>515</v>
      </c>
      <c r="G1550" s="675"/>
      <c r="H1550" s="675"/>
      <c r="I1550" s="675"/>
      <c r="J1550" s="675"/>
      <c r="K1550" s="675"/>
      <c r="L1550" s="675"/>
      <c r="M1550" s="675"/>
    </row>
    <row r="1551" spans="1:13" x14ac:dyDescent="0.25">
      <c r="A1551" s="675" t="s">
        <v>1813</v>
      </c>
      <c r="B1551" s="675" t="s">
        <v>512</v>
      </c>
      <c r="C1551" s="675" t="s">
        <v>1073</v>
      </c>
      <c r="D1551" s="675" t="s">
        <v>21</v>
      </c>
      <c r="E1551" s="675" t="s">
        <v>514</v>
      </c>
      <c r="F1551" s="675" t="s">
        <v>515</v>
      </c>
      <c r="G1551" s="675"/>
      <c r="H1551" s="675"/>
      <c r="I1551" s="675"/>
      <c r="J1551" s="675"/>
      <c r="K1551" s="675"/>
      <c r="L1551" s="675"/>
      <c r="M1551" s="675"/>
    </row>
    <row r="1552" spans="1:13" x14ac:dyDescent="0.25">
      <c r="A1552" s="675" t="s">
        <v>1813</v>
      </c>
      <c r="B1552" s="675" t="s">
        <v>512</v>
      </c>
      <c r="C1552" s="675" t="s">
        <v>1117</v>
      </c>
      <c r="D1552" s="675" t="s">
        <v>21</v>
      </c>
      <c r="E1552" s="675" t="s">
        <v>514</v>
      </c>
      <c r="F1552" s="675" t="s">
        <v>515</v>
      </c>
      <c r="G1552" s="675"/>
      <c r="H1552" s="675"/>
      <c r="I1552" s="675"/>
      <c r="J1552" s="675"/>
      <c r="K1552" s="675"/>
      <c r="L1552" s="675"/>
      <c r="M1552" s="675"/>
    </row>
    <row r="1553" spans="1:13" x14ac:dyDescent="0.25">
      <c r="A1553" s="675" t="s">
        <v>1813</v>
      </c>
      <c r="B1553" s="675" t="s">
        <v>512</v>
      </c>
      <c r="C1553" s="675" t="s">
        <v>832</v>
      </c>
      <c r="D1553" s="675" t="s">
        <v>21</v>
      </c>
      <c r="E1553" s="675" t="s">
        <v>514</v>
      </c>
      <c r="F1553" s="675" t="s">
        <v>515</v>
      </c>
      <c r="G1553" s="675"/>
      <c r="H1553" s="675"/>
      <c r="I1553" s="675"/>
      <c r="J1553" s="675"/>
      <c r="K1553" s="675"/>
      <c r="L1553" s="675"/>
      <c r="M1553" s="675"/>
    </row>
    <row r="1554" spans="1:13" x14ac:dyDescent="0.25">
      <c r="A1554" s="675" t="s">
        <v>1813</v>
      </c>
      <c r="B1554" s="675" t="s">
        <v>512</v>
      </c>
      <c r="C1554" s="675" t="s">
        <v>1119</v>
      </c>
      <c r="D1554" s="675" t="s">
        <v>21</v>
      </c>
      <c r="E1554" s="675" t="s">
        <v>514</v>
      </c>
      <c r="F1554" s="675" t="s">
        <v>515</v>
      </c>
      <c r="G1554" s="675"/>
      <c r="H1554" s="675"/>
      <c r="I1554" s="675"/>
      <c r="J1554" s="675"/>
      <c r="K1554" s="675"/>
      <c r="L1554" s="675"/>
      <c r="M1554" s="675"/>
    </row>
    <row r="1555" spans="1:13" x14ac:dyDescent="0.25">
      <c r="A1555" s="675" t="s">
        <v>1813</v>
      </c>
      <c r="B1555" s="675" t="s">
        <v>512</v>
      </c>
      <c r="C1555" s="675" t="s">
        <v>1074</v>
      </c>
      <c r="D1555" s="675" t="s">
        <v>21</v>
      </c>
      <c r="E1555" s="675" t="s">
        <v>514</v>
      </c>
      <c r="F1555" s="675" t="s">
        <v>515</v>
      </c>
      <c r="G1555" s="675"/>
      <c r="H1555" s="675"/>
      <c r="I1555" s="675"/>
      <c r="J1555" s="675"/>
      <c r="K1555" s="675"/>
      <c r="L1555" s="675"/>
      <c r="M1555" s="675"/>
    </row>
    <row r="1556" spans="1:13" x14ac:dyDescent="0.25">
      <c r="A1556" s="675" t="s">
        <v>1813</v>
      </c>
      <c r="B1556" s="675" t="s">
        <v>512</v>
      </c>
      <c r="C1556" s="675" t="s">
        <v>1091</v>
      </c>
      <c r="D1556" s="675" t="s">
        <v>21</v>
      </c>
      <c r="E1556" s="675" t="s">
        <v>514</v>
      </c>
      <c r="F1556" s="675" t="s">
        <v>515</v>
      </c>
      <c r="G1556" s="675"/>
      <c r="H1556" s="675"/>
      <c r="I1556" s="675"/>
      <c r="J1556" s="675"/>
      <c r="K1556" s="675"/>
      <c r="L1556" s="675"/>
      <c r="M1556" s="675"/>
    </row>
    <row r="1557" spans="1:13" x14ac:dyDescent="0.25">
      <c r="A1557" s="675" t="s">
        <v>1813</v>
      </c>
      <c r="B1557" s="675" t="s">
        <v>512</v>
      </c>
      <c r="C1557" s="675" t="s">
        <v>1814</v>
      </c>
      <c r="D1557" s="675" t="s">
        <v>21</v>
      </c>
      <c r="E1557" s="675" t="s">
        <v>514</v>
      </c>
      <c r="F1557" s="675" t="s">
        <v>515</v>
      </c>
      <c r="G1557" s="675"/>
      <c r="H1557" s="675"/>
      <c r="I1557" s="675"/>
      <c r="J1557" s="675"/>
      <c r="K1557" s="675"/>
      <c r="L1557" s="675"/>
      <c r="M1557" s="675"/>
    </row>
    <row r="1558" spans="1:13" x14ac:dyDescent="0.25">
      <c r="A1558" s="675" t="s">
        <v>1813</v>
      </c>
      <c r="B1558" s="675" t="s">
        <v>512</v>
      </c>
      <c r="C1558" s="675" t="s">
        <v>1815</v>
      </c>
      <c r="D1558" s="675" t="s">
        <v>21</v>
      </c>
      <c r="E1558" s="675" t="s">
        <v>514</v>
      </c>
      <c r="F1558" s="675" t="s">
        <v>515</v>
      </c>
      <c r="G1558" s="675"/>
      <c r="H1558" s="675"/>
      <c r="I1558" s="675"/>
      <c r="J1558" s="675"/>
      <c r="K1558" s="675"/>
      <c r="L1558" s="675"/>
      <c r="M1558" s="675"/>
    </row>
    <row r="1559" spans="1:13" x14ac:dyDescent="0.25">
      <c r="A1559" s="675" t="s">
        <v>1813</v>
      </c>
      <c r="B1559" s="675" t="s">
        <v>512</v>
      </c>
      <c r="C1559" s="675" t="s">
        <v>1120</v>
      </c>
      <c r="D1559" s="675" t="s">
        <v>21</v>
      </c>
      <c r="E1559" s="675" t="s">
        <v>514</v>
      </c>
      <c r="F1559" s="675" t="s">
        <v>515</v>
      </c>
      <c r="G1559" s="675"/>
      <c r="H1559" s="675"/>
      <c r="I1559" s="675"/>
      <c r="J1559" s="675"/>
      <c r="K1559" s="675"/>
      <c r="L1559" s="675"/>
      <c r="M1559" s="675"/>
    </row>
    <row r="1560" spans="1:13" x14ac:dyDescent="0.25">
      <c r="A1560" s="675" t="s">
        <v>1813</v>
      </c>
      <c r="B1560" s="675" t="s">
        <v>545</v>
      </c>
      <c r="C1560" s="675" t="s">
        <v>1816</v>
      </c>
      <c r="D1560" s="675" t="s">
        <v>21</v>
      </c>
      <c r="E1560" s="675" t="s">
        <v>514</v>
      </c>
      <c r="F1560" s="675" t="s">
        <v>515</v>
      </c>
      <c r="G1560" s="675"/>
      <c r="H1560" s="675"/>
      <c r="I1560" s="675"/>
      <c r="J1560" s="675"/>
      <c r="K1560" s="675"/>
      <c r="L1560" s="675"/>
      <c r="M1560" s="675"/>
    </row>
    <row r="1561" spans="1:13" x14ac:dyDescent="0.25">
      <c r="A1561" s="675" t="s">
        <v>1813</v>
      </c>
      <c r="B1561" s="675" t="s">
        <v>545</v>
      </c>
      <c r="C1561" s="675" t="s">
        <v>1817</v>
      </c>
      <c r="D1561" s="675" t="s">
        <v>21</v>
      </c>
      <c r="E1561" s="675" t="s">
        <v>514</v>
      </c>
      <c r="F1561" s="675" t="s">
        <v>515</v>
      </c>
      <c r="G1561" s="675"/>
      <c r="H1561" s="675"/>
      <c r="I1561" s="675"/>
      <c r="J1561" s="675"/>
      <c r="K1561" s="675"/>
      <c r="L1561" s="675"/>
      <c r="M1561" s="675"/>
    </row>
    <row r="1562" spans="1:13" x14ac:dyDescent="0.25">
      <c r="A1562" s="675" t="s">
        <v>1813</v>
      </c>
      <c r="B1562" s="675" t="s">
        <v>545</v>
      </c>
      <c r="C1562" s="675" t="s">
        <v>1112</v>
      </c>
      <c r="D1562" s="675" t="s">
        <v>21</v>
      </c>
      <c r="E1562" s="675" t="s">
        <v>514</v>
      </c>
      <c r="F1562" s="675" t="s">
        <v>515</v>
      </c>
      <c r="G1562" s="675"/>
      <c r="H1562" s="675"/>
      <c r="I1562" s="675"/>
      <c r="J1562" s="675"/>
      <c r="K1562" s="675"/>
      <c r="L1562" s="675"/>
      <c r="M1562" s="675"/>
    </row>
    <row r="1563" spans="1:13" x14ac:dyDescent="0.25">
      <c r="A1563" s="675" t="s">
        <v>1813</v>
      </c>
      <c r="B1563" s="675" t="s">
        <v>545</v>
      </c>
      <c r="C1563" s="675" t="s">
        <v>1123</v>
      </c>
      <c r="D1563" s="675" t="s">
        <v>21</v>
      </c>
      <c r="E1563" s="675" t="s">
        <v>514</v>
      </c>
      <c r="F1563" s="675" t="s">
        <v>515</v>
      </c>
      <c r="G1563" s="675"/>
      <c r="H1563" s="675"/>
      <c r="I1563" s="675"/>
      <c r="J1563" s="675"/>
      <c r="K1563" s="675"/>
      <c r="L1563" s="675"/>
      <c r="M1563" s="675"/>
    </row>
    <row r="1564" spans="1:13" x14ac:dyDescent="0.25">
      <c r="A1564" s="675" t="s">
        <v>1813</v>
      </c>
      <c r="B1564" s="675" t="s">
        <v>545</v>
      </c>
      <c r="C1564" s="675" t="s">
        <v>1818</v>
      </c>
      <c r="D1564" s="675" t="s">
        <v>21</v>
      </c>
      <c r="E1564" s="675" t="s">
        <v>514</v>
      </c>
      <c r="F1564" s="675" t="s">
        <v>515</v>
      </c>
      <c r="G1564" s="675"/>
      <c r="H1564" s="675"/>
      <c r="I1564" s="675"/>
      <c r="J1564" s="675"/>
      <c r="K1564" s="675"/>
      <c r="L1564" s="675"/>
      <c r="M1564" s="675"/>
    </row>
    <row r="1565" spans="1:13" x14ac:dyDescent="0.25">
      <c r="A1565" s="675" t="s">
        <v>1813</v>
      </c>
      <c r="B1565" s="675" t="s">
        <v>564</v>
      </c>
      <c r="C1565" s="675" t="s">
        <v>1121</v>
      </c>
      <c r="D1565" s="675" t="s">
        <v>21</v>
      </c>
      <c r="E1565" s="675" t="s">
        <v>514</v>
      </c>
      <c r="F1565" s="675" t="s">
        <v>515</v>
      </c>
      <c r="G1565" s="675"/>
      <c r="H1565" s="675"/>
      <c r="I1565" s="675"/>
      <c r="J1565" s="675"/>
      <c r="K1565" s="675"/>
      <c r="L1565" s="675"/>
      <c r="M1565" s="675"/>
    </row>
    <row r="1566" spans="1:13" x14ac:dyDescent="0.25">
      <c r="A1566" s="675" t="s">
        <v>1813</v>
      </c>
      <c r="B1566" s="675" t="s">
        <v>564</v>
      </c>
      <c r="C1566" s="675" t="s">
        <v>1819</v>
      </c>
      <c r="D1566" s="675" t="s">
        <v>21</v>
      </c>
      <c r="E1566" s="675" t="s">
        <v>514</v>
      </c>
      <c r="F1566" s="675" t="s">
        <v>515</v>
      </c>
      <c r="G1566" s="675"/>
      <c r="H1566" s="675"/>
      <c r="I1566" s="675"/>
      <c r="J1566" s="675"/>
      <c r="K1566" s="675"/>
      <c r="L1566" s="675"/>
      <c r="M1566" s="675"/>
    </row>
    <row r="1567" spans="1:13" x14ac:dyDescent="0.25">
      <c r="A1567" s="675" t="s">
        <v>1813</v>
      </c>
      <c r="B1567" s="675" t="s">
        <v>564</v>
      </c>
      <c r="C1567" s="675" t="s">
        <v>1820</v>
      </c>
      <c r="D1567" s="675" t="s">
        <v>21</v>
      </c>
      <c r="E1567" s="675" t="s">
        <v>514</v>
      </c>
      <c r="F1567" s="675" t="s">
        <v>515</v>
      </c>
      <c r="G1567" s="675"/>
      <c r="H1567" s="675"/>
      <c r="I1567" s="675"/>
      <c r="J1567" s="675"/>
      <c r="K1567" s="675"/>
      <c r="L1567" s="675"/>
      <c r="M1567" s="675"/>
    </row>
    <row r="1568" spans="1:13" x14ac:dyDescent="0.25">
      <c r="A1568" s="675" t="s">
        <v>1813</v>
      </c>
      <c r="B1568" s="675" t="s">
        <v>564</v>
      </c>
      <c r="C1568" s="675" t="s">
        <v>1737</v>
      </c>
      <c r="D1568" s="675" t="s">
        <v>21</v>
      </c>
      <c r="E1568" s="675" t="s">
        <v>514</v>
      </c>
      <c r="F1568" s="675" t="s">
        <v>515</v>
      </c>
      <c r="G1568" s="675"/>
      <c r="H1568" s="675"/>
      <c r="I1568" s="675"/>
      <c r="J1568" s="675"/>
      <c r="K1568" s="675"/>
      <c r="L1568" s="675"/>
      <c r="M1568" s="675"/>
    </row>
    <row r="1569" spans="1:13" x14ac:dyDescent="0.25">
      <c r="A1569" s="675" t="s">
        <v>1821</v>
      </c>
      <c r="B1569" s="675" t="s">
        <v>512</v>
      </c>
      <c r="C1569" s="675" t="s">
        <v>863</v>
      </c>
      <c r="D1569" s="675" t="s">
        <v>21</v>
      </c>
      <c r="E1569" s="675" t="s">
        <v>514</v>
      </c>
      <c r="F1569" s="675" t="s">
        <v>515</v>
      </c>
      <c r="G1569" s="675"/>
      <c r="H1569" s="675"/>
      <c r="I1569" s="675"/>
      <c r="J1569" s="675"/>
      <c r="K1569" s="675"/>
      <c r="L1569" s="675"/>
      <c r="M1569" s="675"/>
    </row>
    <row r="1570" spans="1:13" x14ac:dyDescent="0.25">
      <c r="A1570" s="678" t="s">
        <v>1821</v>
      </c>
      <c r="B1570" s="678" t="s">
        <v>512</v>
      </c>
      <c r="C1570" s="678" t="s">
        <v>1822</v>
      </c>
      <c r="D1570" s="678" t="s">
        <v>21</v>
      </c>
      <c r="E1570" s="678" t="s">
        <v>514</v>
      </c>
      <c r="F1570" s="678" t="s">
        <v>596</v>
      </c>
      <c r="G1570" s="675"/>
      <c r="H1570" s="675"/>
      <c r="I1570" s="675"/>
      <c r="J1570" s="675"/>
      <c r="K1570" s="675"/>
      <c r="L1570" s="675"/>
      <c r="M1570" s="675"/>
    </row>
    <row r="1571" spans="1:13" x14ac:dyDescent="0.25">
      <c r="A1571" s="675" t="s">
        <v>1823</v>
      </c>
      <c r="B1571" s="675" t="s">
        <v>512</v>
      </c>
      <c r="C1571" s="675" t="s">
        <v>1141</v>
      </c>
      <c r="D1571" s="675" t="s">
        <v>21</v>
      </c>
      <c r="E1571" s="675" t="s">
        <v>514</v>
      </c>
      <c r="F1571" s="675" t="s">
        <v>515</v>
      </c>
      <c r="G1571" s="675"/>
      <c r="H1571" s="675"/>
      <c r="I1571" s="675"/>
      <c r="J1571" s="675"/>
      <c r="K1571" s="675"/>
      <c r="L1571" s="675"/>
      <c r="M1571" s="675"/>
    </row>
    <row r="1572" spans="1:13" x14ac:dyDescent="0.25">
      <c r="A1572" s="675" t="s">
        <v>1823</v>
      </c>
      <c r="B1572" s="675" t="s">
        <v>512</v>
      </c>
      <c r="C1572" s="675" t="s">
        <v>1824</v>
      </c>
      <c r="D1572" s="675" t="s">
        <v>21</v>
      </c>
      <c r="E1572" s="675" t="s">
        <v>514</v>
      </c>
      <c r="F1572" s="675" t="s">
        <v>515</v>
      </c>
      <c r="G1572" s="675"/>
      <c r="H1572" s="675"/>
      <c r="I1572" s="675"/>
      <c r="J1572" s="675"/>
      <c r="K1572" s="675"/>
      <c r="L1572" s="675"/>
      <c r="M1572" s="675"/>
    </row>
    <row r="1573" spans="1:13" x14ac:dyDescent="0.25">
      <c r="A1573" s="678" t="s">
        <v>1823</v>
      </c>
      <c r="B1573" s="678" t="s">
        <v>512</v>
      </c>
      <c r="C1573" s="678" t="s">
        <v>1825</v>
      </c>
      <c r="D1573" s="678" t="s">
        <v>21</v>
      </c>
      <c r="E1573" s="678" t="s">
        <v>514</v>
      </c>
      <c r="F1573" s="678" t="s">
        <v>596</v>
      </c>
      <c r="G1573" s="675"/>
      <c r="H1573" s="675"/>
      <c r="I1573" s="675"/>
      <c r="J1573" s="675"/>
      <c r="K1573" s="675"/>
      <c r="L1573" s="675"/>
      <c r="M1573" s="675"/>
    </row>
    <row r="1574" spans="1:13" x14ac:dyDescent="0.25">
      <c r="A1574" s="675" t="s">
        <v>1823</v>
      </c>
      <c r="B1574" s="675" t="s">
        <v>512</v>
      </c>
      <c r="C1574" s="675" t="s">
        <v>831</v>
      </c>
      <c r="D1574" s="675" t="s">
        <v>21</v>
      </c>
      <c r="E1574" s="675" t="s">
        <v>514</v>
      </c>
      <c r="F1574" s="675" t="s">
        <v>515</v>
      </c>
      <c r="G1574" s="675"/>
      <c r="H1574" s="675"/>
      <c r="I1574" s="675"/>
      <c r="J1574" s="675"/>
      <c r="K1574" s="675"/>
      <c r="L1574" s="675"/>
      <c r="M1574" s="675"/>
    </row>
    <row r="1575" spans="1:13" x14ac:dyDescent="0.25">
      <c r="A1575" s="675" t="s">
        <v>1823</v>
      </c>
      <c r="B1575" s="675" t="s">
        <v>512</v>
      </c>
      <c r="C1575" s="675" t="s">
        <v>1826</v>
      </c>
      <c r="D1575" s="675" t="s">
        <v>21</v>
      </c>
      <c r="E1575" s="675" t="s">
        <v>514</v>
      </c>
      <c r="F1575" s="675" t="s">
        <v>515</v>
      </c>
      <c r="G1575" s="675"/>
      <c r="H1575" s="675"/>
      <c r="I1575" s="675"/>
      <c r="J1575" s="675"/>
      <c r="K1575" s="675"/>
      <c r="L1575" s="675"/>
      <c r="M1575" s="675"/>
    </row>
    <row r="1576" spans="1:13" x14ac:dyDescent="0.25">
      <c r="A1576" s="675" t="s">
        <v>1823</v>
      </c>
      <c r="B1576" s="675" t="s">
        <v>512</v>
      </c>
      <c r="C1576" s="675" t="s">
        <v>1827</v>
      </c>
      <c r="D1576" s="675" t="s">
        <v>21</v>
      </c>
      <c r="E1576" s="675" t="s">
        <v>514</v>
      </c>
      <c r="F1576" s="675" t="s">
        <v>515</v>
      </c>
      <c r="G1576" s="675"/>
      <c r="H1576" s="675"/>
      <c r="I1576" s="675"/>
      <c r="J1576" s="675"/>
      <c r="K1576" s="675"/>
      <c r="L1576" s="675"/>
      <c r="M1576" s="675"/>
    </row>
    <row r="1577" spans="1:13" x14ac:dyDescent="0.25">
      <c r="A1577" s="675" t="s">
        <v>1823</v>
      </c>
      <c r="B1577" s="675" t="s">
        <v>512</v>
      </c>
      <c r="C1577" s="675" t="s">
        <v>1828</v>
      </c>
      <c r="D1577" s="675" t="s">
        <v>21</v>
      </c>
      <c r="E1577" s="675" t="s">
        <v>514</v>
      </c>
      <c r="F1577" s="675" t="s">
        <v>515</v>
      </c>
      <c r="G1577" s="675"/>
      <c r="H1577" s="675"/>
      <c r="I1577" s="675"/>
      <c r="J1577" s="675"/>
      <c r="K1577" s="675"/>
      <c r="L1577" s="675"/>
      <c r="M1577" s="675"/>
    </row>
    <row r="1578" spans="1:13" x14ac:dyDescent="0.25">
      <c r="A1578" s="675" t="s">
        <v>1823</v>
      </c>
      <c r="B1578" s="675" t="s">
        <v>512</v>
      </c>
      <c r="C1578" s="675" t="s">
        <v>1829</v>
      </c>
      <c r="D1578" s="675" t="s">
        <v>21</v>
      </c>
      <c r="E1578" s="675" t="s">
        <v>514</v>
      </c>
      <c r="F1578" s="675" t="s">
        <v>515</v>
      </c>
      <c r="G1578" s="675"/>
      <c r="H1578" s="675"/>
      <c r="I1578" s="675"/>
      <c r="J1578" s="675"/>
      <c r="K1578" s="675"/>
      <c r="L1578" s="675"/>
      <c r="M1578" s="675"/>
    </row>
    <row r="1579" spans="1:13" x14ac:dyDescent="0.25">
      <c r="A1579" s="675" t="s">
        <v>1823</v>
      </c>
      <c r="B1579" s="675" t="s">
        <v>512</v>
      </c>
      <c r="C1579" s="675" t="s">
        <v>809</v>
      </c>
      <c r="D1579" s="675" t="s">
        <v>21</v>
      </c>
      <c r="E1579" s="675" t="s">
        <v>514</v>
      </c>
      <c r="F1579" s="675" t="s">
        <v>515</v>
      </c>
      <c r="G1579" s="675"/>
      <c r="H1579" s="675"/>
      <c r="I1579" s="675"/>
      <c r="J1579" s="675"/>
      <c r="K1579" s="675"/>
      <c r="L1579" s="675"/>
      <c r="M1579" s="675"/>
    </row>
    <row r="1580" spans="1:13" x14ac:dyDescent="0.25">
      <c r="A1580" s="675" t="s">
        <v>1823</v>
      </c>
      <c r="B1580" s="675" t="s">
        <v>512</v>
      </c>
      <c r="C1580" s="675" t="s">
        <v>1630</v>
      </c>
      <c r="D1580" s="675" t="s">
        <v>21</v>
      </c>
      <c r="E1580" s="675" t="s">
        <v>514</v>
      </c>
      <c r="F1580" s="675" t="s">
        <v>515</v>
      </c>
      <c r="G1580" s="675"/>
      <c r="H1580" s="675"/>
      <c r="I1580" s="675"/>
      <c r="J1580" s="675"/>
      <c r="K1580" s="675"/>
      <c r="L1580" s="675"/>
      <c r="M1580" s="675"/>
    </row>
    <row r="1581" spans="1:13" x14ac:dyDescent="0.25">
      <c r="A1581" s="675" t="s">
        <v>1823</v>
      </c>
      <c r="B1581" s="675" t="s">
        <v>512</v>
      </c>
      <c r="C1581" s="675" t="s">
        <v>1830</v>
      </c>
      <c r="D1581" s="675" t="s">
        <v>21</v>
      </c>
      <c r="E1581" s="675" t="s">
        <v>514</v>
      </c>
      <c r="F1581" s="675" t="s">
        <v>515</v>
      </c>
      <c r="G1581" s="675"/>
      <c r="H1581" s="675"/>
      <c r="I1581" s="675"/>
      <c r="J1581" s="675"/>
      <c r="K1581" s="675"/>
      <c r="L1581" s="675"/>
      <c r="M1581" s="675"/>
    </row>
    <row r="1582" spans="1:13" x14ac:dyDescent="0.25">
      <c r="A1582" s="675" t="s">
        <v>1823</v>
      </c>
      <c r="B1582" s="675" t="s">
        <v>512</v>
      </c>
      <c r="C1582" s="675" t="s">
        <v>1831</v>
      </c>
      <c r="D1582" s="675" t="s">
        <v>21</v>
      </c>
      <c r="E1582" s="675" t="s">
        <v>514</v>
      </c>
      <c r="F1582" s="675" t="s">
        <v>515</v>
      </c>
      <c r="G1582" s="675"/>
      <c r="H1582" s="675"/>
      <c r="I1582" s="675"/>
      <c r="J1582" s="675"/>
      <c r="K1582" s="675"/>
      <c r="L1582" s="675"/>
      <c r="M1582" s="675"/>
    </row>
    <row r="1583" spans="1:13" x14ac:dyDescent="0.25">
      <c r="A1583" s="675" t="s">
        <v>1823</v>
      </c>
      <c r="B1583" s="675" t="s">
        <v>512</v>
      </c>
      <c r="C1583" s="675" t="s">
        <v>1831</v>
      </c>
      <c r="D1583" s="675" t="s">
        <v>21</v>
      </c>
      <c r="E1583" s="675" t="s">
        <v>514</v>
      </c>
      <c r="F1583" s="675" t="s">
        <v>515</v>
      </c>
      <c r="G1583" s="675"/>
      <c r="H1583" s="675"/>
      <c r="I1583" s="675"/>
      <c r="J1583" s="675"/>
      <c r="K1583" s="675"/>
      <c r="L1583" s="675"/>
      <c r="M1583" s="675"/>
    </row>
    <row r="1584" spans="1:13" x14ac:dyDescent="0.25">
      <c r="A1584" s="675" t="s">
        <v>1823</v>
      </c>
      <c r="B1584" s="675" t="s">
        <v>512</v>
      </c>
      <c r="C1584" s="675" t="s">
        <v>1832</v>
      </c>
      <c r="D1584" s="675" t="s">
        <v>21</v>
      </c>
      <c r="E1584" s="675" t="s">
        <v>514</v>
      </c>
      <c r="F1584" s="675" t="s">
        <v>515</v>
      </c>
      <c r="G1584" s="675"/>
      <c r="H1584" s="675"/>
      <c r="I1584" s="675"/>
      <c r="J1584" s="675"/>
      <c r="K1584" s="675"/>
      <c r="L1584" s="675"/>
      <c r="M1584" s="675"/>
    </row>
    <row r="1585" spans="1:13" x14ac:dyDescent="0.25">
      <c r="A1585" s="675" t="s">
        <v>1823</v>
      </c>
      <c r="B1585" s="675" t="s">
        <v>512</v>
      </c>
      <c r="C1585" s="675" t="s">
        <v>878</v>
      </c>
      <c r="D1585" s="675" t="s">
        <v>21</v>
      </c>
      <c r="E1585" s="675" t="s">
        <v>514</v>
      </c>
      <c r="F1585" s="675" t="s">
        <v>515</v>
      </c>
      <c r="G1585" s="675"/>
      <c r="H1585" s="675"/>
      <c r="I1585" s="675"/>
      <c r="J1585" s="675"/>
      <c r="K1585" s="675"/>
      <c r="L1585" s="675"/>
      <c r="M1585" s="675"/>
    </row>
    <row r="1586" spans="1:13" x14ac:dyDescent="0.25">
      <c r="A1586" s="675" t="s">
        <v>1823</v>
      </c>
      <c r="B1586" s="675" t="s">
        <v>512</v>
      </c>
      <c r="C1586" s="675" t="s">
        <v>1833</v>
      </c>
      <c r="D1586" s="675" t="s">
        <v>21</v>
      </c>
      <c r="E1586" s="675" t="s">
        <v>514</v>
      </c>
      <c r="F1586" s="675" t="s">
        <v>515</v>
      </c>
      <c r="G1586" s="675"/>
      <c r="H1586" s="675"/>
      <c r="I1586" s="675"/>
      <c r="J1586" s="675"/>
      <c r="K1586" s="675"/>
      <c r="L1586" s="675"/>
      <c r="M1586" s="675"/>
    </row>
    <row r="1587" spans="1:13" x14ac:dyDescent="0.25">
      <c r="A1587" s="675" t="s">
        <v>1823</v>
      </c>
      <c r="B1587" s="675" t="s">
        <v>512</v>
      </c>
      <c r="C1587" s="675" t="s">
        <v>1834</v>
      </c>
      <c r="D1587" s="675" t="s">
        <v>21</v>
      </c>
      <c r="E1587" s="675" t="s">
        <v>514</v>
      </c>
      <c r="F1587" s="675" t="s">
        <v>515</v>
      </c>
      <c r="G1587" s="675"/>
      <c r="H1587" s="675"/>
      <c r="I1587" s="675"/>
      <c r="J1587" s="675"/>
      <c r="K1587" s="675"/>
      <c r="L1587" s="675"/>
      <c r="M1587" s="675"/>
    </row>
    <row r="1588" spans="1:13" x14ac:dyDescent="0.25">
      <c r="A1588" s="675" t="s">
        <v>1823</v>
      </c>
      <c r="B1588" s="675" t="s">
        <v>512</v>
      </c>
      <c r="C1588" s="675" t="s">
        <v>1835</v>
      </c>
      <c r="D1588" s="675" t="s">
        <v>21</v>
      </c>
      <c r="E1588" s="675" t="s">
        <v>514</v>
      </c>
      <c r="F1588" s="675" t="s">
        <v>515</v>
      </c>
      <c r="G1588" s="675"/>
      <c r="H1588" s="675"/>
      <c r="I1588" s="675"/>
      <c r="J1588" s="675"/>
      <c r="K1588" s="675"/>
      <c r="L1588" s="675"/>
      <c r="M1588" s="675"/>
    </row>
    <row r="1589" spans="1:13" x14ac:dyDescent="0.25">
      <c r="A1589" s="675" t="s">
        <v>1823</v>
      </c>
      <c r="B1589" s="675" t="s">
        <v>512</v>
      </c>
      <c r="C1589" s="675" t="s">
        <v>1568</v>
      </c>
      <c r="D1589" s="675" t="s">
        <v>21</v>
      </c>
      <c r="E1589" s="675" t="s">
        <v>514</v>
      </c>
      <c r="F1589" s="675" t="s">
        <v>515</v>
      </c>
      <c r="G1589" s="675"/>
      <c r="H1589" s="675"/>
      <c r="I1589" s="675"/>
      <c r="J1589" s="675"/>
      <c r="K1589" s="675"/>
      <c r="L1589" s="675"/>
      <c r="M1589" s="675"/>
    </row>
    <row r="1590" spans="1:13" x14ac:dyDescent="0.25">
      <c r="A1590" s="675" t="s">
        <v>1823</v>
      </c>
      <c r="B1590" s="675" t="s">
        <v>512</v>
      </c>
      <c r="C1590" s="675" t="s">
        <v>1836</v>
      </c>
      <c r="D1590" s="675" t="s">
        <v>21</v>
      </c>
      <c r="E1590" s="675" t="s">
        <v>514</v>
      </c>
      <c r="F1590" s="675" t="s">
        <v>515</v>
      </c>
      <c r="G1590" s="675"/>
      <c r="H1590" s="675"/>
      <c r="I1590" s="675"/>
      <c r="J1590" s="675"/>
      <c r="K1590" s="675"/>
      <c r="L1590" s="675"/>
      <c r="M1590" s="675"/>
    </row>
    <row r="1591" spans="1:13" x14ac:dyDescent="0.25">
      <c r="A1591" s="675" t="s">
        <v>1823</v>
      </c>
      <c r="B1591" s="675" t="s">
        <v>512</v>
      </c>
      <c r="C1591" s="675" t="s">
        <v>1837</v>
      </c>
      <c r="D1591" s="675" t="s">
        <v>21</v>
      </c>
      <c r="E1591" s="675" t="s">
        <v>514</v>
      </c>
      <c r="F1591" s="675" t="s">
        <v>515</v>
      </c>
      <c r="G1591" s="675"/>
      <c r="H1591" s="675"/>
      <c r="I1591" s="675"/>
      <c r="J1591" s="675"/>
      <c r="K1591" s="675"/>
      <c r="L1591" s="675"/>
      <c r="M1591" s="675"/>
    </row>
    <row r="1592" spans="1:13" x14ac:dyDescent="0.25">
      <c r="A1592" s="675" t="s">
        <v>1823</v>
      </c>
      <c r="B1592" s="675" t="s">
        <v>512</v>
      </c>
      <c r="C1592" s="675" t="s">
        <v>885</v>
      </c>
      <c r="D1592" s="675" t="s">
        <v>21</v>
      </c>
      <c r="E1592" s="675" t="s">
        <v>514</v>
      </c>
      <c r="F1592" s="675" t="s">
        <v>515</v>
      </c>
      <c r="G1592" s="675"/>
      <c r="H1592" s="675"/>
      <c r="I1592" s="675"/>
      <c r="J1592" s="675"/>
      <c r="K1592" s="675"/>
      <c r="L1592" s="675"/>
      <c r="M1592" s="675"/>
    </row>
    <row r="1593" spans="1:13" x14ac:dyDescent="0.25">
      <c r="A1593" s="675" t="s">
        <v>1823</v>
      </c>
      <c r="B1593" s="675" t="s">
        <v>512</v>
      </c>
      <c r="C1593" s="675" t="s">
        <v>1633</v>
      </c>
      <c r="D1593" s="675" t="s">
        <v>21</v>
      </c>
      <c r="E1593" s="675" t="s">
        <v>514</v>
      </c>
      <c r="F1593" s="675" t="s">
        <v>515</v>
      </c>
      <c r="G1593" s="675"/>
      <c r="H1593" s="675"/>
      <c r="I1593" s="675"/>
      <c r="J1593" s="675"/>
      <c r="K1593" s="675"/>
      <c r="L1593" s="675"/>
      <c r="M1593" s="675"/>
    </row>
    <row r="1594" spans="1:13" x14ac:dyDescent="0.25">
      <c r="A1594" s="675" t="s">
        <v>1823</v>
      </c>
      <c r="B1594" s="675" t="s">
        <v>512</v>
      </c>
      <c r="C1594" s="675" t="s">
        <v>1569</v>
      </c>
      <c r="D1594" s="675" t="s">
        <v>21</v>
      </c>
      <c r="E1594" s="675" t="s">
        <v>514</v>
      </c>
      <c r="F1594" s="675" t="s">
        <v>515</v>
      </c>
      <c r="G1594" s="675"/>
      <c r="H1594" s="675"/>
      <c r="I1594" s="675"/>
      <c r="J1594" s="675"/>
      <c r="K1594" s="675"/>
      <c r="L1594" s="675"/>
      <c r="M1594" s="675"/>
    </row>
    <row r="1595" spans="1:13" x14ac:dyDescent="0.25">
      <c r="A1595" s="675" t="s">
        <v>1823</v>
      </c>
      <c r="B1595" s="675" t="s">
        <v>512</v>
      </c>
      <c r="C1595" s="675" t="s">
        <v>891</v>
      </c>
      <c r="D1595" s="675" t="s">
        <v>21</v>
      </c>
      <c r="E1595" s="675" t="s">
        <v>514</v>
      </c>
      <c r="F1595" s="675" t="s">
        <v>515</v>
      </c>
      <c r="G1595" s="675"/>
      <c r="H1595" s="675"/>
      <c r="I1595" s="675"/>
      <c r="J1595" s="675"/>
      <c r="K1595" s="675"/>
      <c r="L1595" s="675"/>
      <c r="M1595" s="675"/>
    </row>
    <row r="1596" spans="1:13" x14ac:dyDescent="0.25">
      <c r="A1596" s="675" t="s">
        <v>1823</v>
      </c>
      <c r="B1596" s="675" t="s">
        <v>512</v>
      </c>
      <c r="C1596" s="675" t="s">
        <v>892</v>
      </c>
      <c r="D1596" s="675" t="s">
        <v>21</v>
      </c>
      <c r="E1596" s="675" t="s">
        <v>514</v>
      </c>
      <c r="F1596" s="675" t="s">
        <v>515</v>
      </c>
      <c r="G1596" s="675"/>
      <c r="H1596" s="675"/>
      <c r="I1596" s="675"/>
      <c r="J1596" s="675"/>
      <c r="K1596" s="675"/>
      <c r="L1596" s="675"/>
      <c r="M1596" s="675"/>
    </row>
    <row r="1597" spans="1:13" x14ac:dyDescent="0.25">
      <c r="A1597" s="675" t="s">
        <v>1823</v>
      </c>
      <c r="B1597" s="675" t="s">
        <v>512</v>
      </c>
      <c r="C1597" s="675" t="s">
        <v>893</v>
      </c>
      <c r="D1597" s="675" t="s">
        <v>21</v>
      </c>
      <c r="E1597" s="675" t="s">
        <v>514</v>
      </c>
      <c r="F1597" s="675" t="s">
        <v>515</v>
      </c>
      <c r="G1597" s="675"/>
      <c r="H1597" s="675"/>
      <c r="I1597" s="675"/>
      <c r="J1597" s="675"/>
      <c r="K1597" s="675"/>
      <c r="L1597" s="675"/>
      <c r="M1597" s="675"/>
    </row>
    <row r="1598" spans="1:13" x14ac:dyDescent="0.25">
      <c r="A1598" s="675" t="s">
        <v>1823</v>
      </c>
      <c r="B1598" s="675" t="s">
        <v>512</v>
      </c>
      <c r="C1598" s="675" t="s">
        <v>1838</v>
      </c>
      <c r="D1598" s="675" t="s">
        <v>21</v>
      </c>
      <c r="E1598" s="675" t="s">
        <v>514</v>
      </c>
      <c r="F1598" s="675" t="s">
        <v>515</v>
      </c>
      <c r="G1598" s="675"/>
      <c r="H1598" s="675"/>
      <c r="I1598" s="675"/>
      <c r="J1598" s="675"/>
      <c r="K1598" s="675"/>
      <c r="L1598" s="675"/>
      <c r="M1598" s="675"/>
    </row>
    <row r="1599" spans="1:13" x14ac:dyDescent="0.25">
      <c r="A1599" s="675" t="s">
        <v>1823</v>
      </c>
      <c r="B1599" s="675" t="s">
        <v>512</v>
      </c>
      <c r="C1599" s="675" t="s">
        <v>1839</v>
      </c>
      <c r="D1599" s="675" t="s">
        <v>21</v>
      </c>
      <c r="E1599" s="675" t="s">
        <v>514</v>
      </c>
      <c r="F1599" s="675" t="s">
        <v>515</v>
      </c>
      <c r="G1599" s="675"/>
      <c r="H1599" s="675"/>
      <c r="I1599" s="675"/>
      <c r="J1599" s="675"/>
      <c r="K1599" s="675"/>
      <c r="L1599" s="675"/>
      <c r="M1599" s="675"/>
    </row>
    <row r="1600" spans="1:13" x14ac:dyDescent="0.25">
      <c r="A1600" s="675" t="s">
        <v>1823</v>
      </c>
      <c r="B1600" s="675" t="s">
        <v>512</v>
      </c>
      <c r="C1600" s="675" t="s">
        <v>1840</v>
      </c>
      <c r="D1600" s="675" t="s">
        <v>21</v>
      </c>
      <c r="E1600" s="675" t="s">
        <v>514</v>
      </c>
      <c r="F1600" s="675" t="s">
        <v>515</v>
      </c>
      <c r="G1600" s="675"/>
      <c r="H1600" s="675"/>
      <c r="I1600" s="675"/>
      <c r="J1600" s="675"/>
      <c r="K1600" s="675"/>
      <c r="L1600" s="675"/>
      <c r="M1600" s="675"/>
    </row>
    <row r="1601" spans="1:13" x14ac:dyDescent="0.25">
      <c r="A1601" s="675" t="s">
        <v>1823</v>
      </c>
      <c r="B1601" s="675" t="s">
        <v>512</v>
      </c>
      <c r="C1601" s="675" t="s">
        <v>1841</v>
      </c>
      <c r="D1601" s="675" t="s">
        <v>21</v>
      </c>
      <c r="E1601" s="675" t="s">
        <v>514</v>
      </c>
      <c r="F1601" s="675" t="s">
        <v>515</v>
      </c>
      <c r="G1601" s="675"/>
      <c r="H1601" s="675"/>
      <c r="I1601" s="675"/>
      <c r="J1601" s="675"/>
      <c r="K1601" s="675"/>
      <c r="L1601" s="675"/>
      <c r="M1601" s="675"/>
    </row>
    <row r="1602" spans="1:13" x14ac:dyDescent="0.25">
      <c r="A1602" s="675" t="s">
        <v>1823</v>
      </c>
      <c r="B1602" s="675" t="s">
        <v>512</v>
      </c>
      <c r="C1602" s="675" t="s">
        <v>1842</v>
      </c>
      <c r="D1602" s="675" t="s">
        <v>21</v>
      </c>
      <c r="E1602" s="675" t="s">
        <v>514</v>
      </c>
      <c r="F1602" s="675" t="s">
        <v>515</v>
      </c>
      <c r="G1602" s="675"/>
      <c r="H1602" s="675"/>
      <c r="I1602" s="675"/>
      <c r="J1602" s="675"/>
      <c r="K1602" s="675"/>
      <c r="L1602" s="675"/>
      <c r="M1602" s="675"/>
    </row>
    <row r="1603" spans="1:13" x14ac:dyDescent="0.25">
      <c r="A1603" s="675" t="s">
        <v>1823</v>
      </c>
      <c r="B1603" s="675" t="s">
        <v>512</v>
      </c>
      <c r="C1603" s="675" t="s">
        <v>1843</v>
      </c>
      <c r="D1603" s="675" t="s">
        <v>21</v>
      </c>
      <c r="E1603" s="675" t="s">
        <v>514</v>
      </c>
      <c r="F1603" s="675" t="s">
        <v>515</v>
      </c>
      <c r="G1603" s="675"/>
      <c r="H1603" s="675"/>
      <c r="I1603" s="675"/>
      <c r="J1603" s="675"/>
      <c r="K1603" s="675"/>
      <c r="L1603" s="675"/>
      <c r="M1603" s="675"/>
    </row>
    <row r="1604" spans="1:13" x14ac:dyDescent="0.25">
      <c r="A1604" s="675" t="s">
        <v>1823</v>
      </c>
      <c r="B1604" s="675" t="s">
        <v>512</v>
      </c>
      <c r="C1604" s="675" t="s">
        <v>1634</v>
      </c>
      <c r="D1604" s="675" t="s">
        <v>21</v>
      </c>
      <c r="E1604" s="675" t="s">
        <v>514</v>
      </c>
      <c r="F1604" s="675" t="s">
        <v>515</v>
      </c>
      <c r="G1604" s="675"/>
      <c r="H1604" s="675"/>
      <c r="I1604" s="675"/>
      <c r="J1604" s="675"/>
      <c r="K1604" s="675"/>
      <c r="L1604" s="675"/>
      <c r="M1604" s="675"/>
    </row>
    <row r="1605" spans="1:13" x14ac:dyDescent="0.25">
      <c r="A1605" s="675" t="s">
        <v>1823</v>
      </c>
      <c r="B1605" s="675" t="s">
        <v>512</v>
      </c>
      <c r="C1605" s="675" t="s">
        <v>1635</v>
      </c>
      <c r="D1605" s="675" t="s">
        <v>21</v>
      </c>
      <c r="E1605" s="675" t="s">
        <v>514</v>
      </c>
      <c r="F1605" s="675" t="s">
        <v>515</v>
      </c>
      <c r="G1605" s="675"/>
      <c r="H1605" s="675"/>
      <c r="I1605" s="675"/>
      <c r="J1605" s="675"/>
      <c r="K1605" s="675"/>
      <c r="L1605" s="675"/>
      <c r="M1605" s="675"/>
    </row>
    <row r="1606" spans="1:13" x14ac:dyDescent="0.25">
      <c r="A1606" s="675" t="s">
        <v>1823</v>
      </c>
      <c r="B1606" s="675" t="s">
        <v>512</v>
      </c>
      <c r="C1606" s="675" t="s">
        <v>898</v>
      </c>
      <c r="D1606" s="675" t="s">
        <v>21</v>
      </c>
      <c r="E1606" s="675" t="s">
        <v>514</v>
      </c>
      <c r="F1606" s="675" t="s">
        <v>515</v>
      </c>
      <c r="G1606" s="675"/>
      <c r="H1606" s="675"/>
      <c r="I1606" s="675"/>
      <c r="J1606" s="675"/>
      <c r="K1606" s="675"/>
      <c r="L1606" s="675"/>
      <c r="M1606" s="675"/>
    </row>
    <row r="1607" spans="1:13" x14ac:dyDescent="0.25">
      <c r="A1607" s="675" t="s">
        <v>1823</v>
      </c>
      <c r="B1607" s="675" t="s">
        <v>512</v>
      </c>
      <c r="C1607" s="675" t="s">
        <v>1844</v>
      </c>
      <c r="D1607" s="675" t="s">
        <v>21</v>
      </c>
      <c r="E1607" s="675" t="s">
        <v>514</v>
      </c>
      <c r="F1607" s="675" t="s">
        <v>515</v>
      </c>
      <c r="G1607" s="675"/>
      <c r="H1607" s="675"/>
      <c r="I1607" s="675"/>
      <c r="J1607" s="675"/>
      <c r="K1607" s="675"/>
      <c r="L1607" s="675"/>
      <c r="M1607" s="675"/>
    </row>
    <row r="1608" spans="1:13" x14ac:dyDescent="0.25">
      <c r="A1608" s="675" t="s">
        <v>1823</v>
      </c>
      <c r="B1608" s="675" t="s">
        <v>512</v>
      </c>
      <c r="C1608" s="675" t="s">
        <v>900</v>
      </c>
      <c r="D1608" s="675" t="s">
        <v>21</v>
      </c>
      <c r="E1608" s="675" t="s">
        <v>514</v>
      </c>
      <c r="F1608" s="675" t="s">
        <v>515</v>
      </c>
      <c r="G1608" s="675"/>
      <c r="H1608" s="675"/>
      <c r="I1608" s="675"/>
      <c r="J1608" s="675"/>
      <c r="K1608" s="675"/>
      <c r="L1608" s="675"/>
      <c r="M1608" s="675"/>
    </row>
    <row r="1609" spans="1:13" x14ac:dyDescent="0.25">
      <c r="A1609" s="675" t="s">
        <v>1823</v>
      </c>
      <c r="B1609" s="675" t="s">
        <v>512</v>
      </c>
      <c r="C1609" s="675" t="s">
        <v>1845</v>
      </c>
      <c r="D1609" s="675" t="s">
        <v>21</v>
      </c>
      <c r="E1609" s="675" t="s">
        <v>514</v>
      </c>
      <c r="F1609" s="675" t="s">
        <v>515</v>
      </c>
      <c r="G1609" s="675"/>
      <c r="H1609" s="675"/>
      <c r="I1609" s="675"/>
      <c r="J1609" s="675"/>
      <c r="K1609" s="675"/>
      <c r="L1609" s="675"/>
      <c r="M1609" s="675"/>
    </row>
    <row r="1610" spans="1:13" x14ac:dyDescent="0.25">
      <c r="A1610" s="678" t="s">
        <v>1823</v>
      </c>
      <c r="B1610" s="678" t="s">
        <v>512</v>
      </c>
      <c r="C1610" s="678" t="s">
        <v>1846</v>
      </c>
      <c r="D1610" s="678" t="s">
        <v>21</v>
      </c>
      <c r="E1610" s="678" t="s">
        <v>514</v>
      </c>
      <c r="F1610" s="678" t="s">
        <v>596</v>
      </c>
      <c r="G1610" s="675"/>
      <c r="H1610" s="675"/>
      <c r="I1610" s="675"/>
      <c r="J1610" s="675"/>
      <c r="K1610" s="675"/>
      <c r="L1610" s="675"/>
      <c r="M1610" s="675"/>
    </row>
    <row r="1611" spans="1:13" x14ac:dyDescent="0.25">
      <c r="A1611" s="675" t="s">
        <v>1823</v>
      </c>
      <c r="B1611" s="675" t="s">
        <v>512</v>
      </c>
      <c r="C1611" s="675" t="s">
        <v>1847</v>
      </c>
      <c r="D1611" s="675" t="s">
        <v>21</v>
      </c>
      <c r="E1611" s="675" t="s">
        <v>514</v>
      </c>
      <c r="F1611" s="675" t="s">
        <v>515</v>
      </c>
      <c r="G1611" s="675"/>
      <c r="H1611" s="675"/>
      <c r="I1611" s="675"/>
      <c r="J1611" s="675"/>
      <c r="K1611" s="675"/>
      <c r="L1611" s="675"/>
      <c r="M1611" s="675"/>
    </row>
    <row r="1612" spans="1:13" x14ac:dyDescent="0.25">
      <c r="A1612" s="675" t="s">
        <v>1823</v>
      </c>
      <c r="B1612" s="675" t="s">
        <v>512</v>
      </c>
      <c r="C1612" s="675" t="s">
        <v>901</v>
      </c>
      <c r="D1612" s="675" t="s">
        <v>21</v>
      </c>
      <c r="E1612" s="675" t="s">
        <v>514</v>
      </c>
      <c r="F1612" s="675" t="s">
        <v>515</v>
      </c>
      <c r="G1612" s="675"/>
      <c r="H1612" s="675"/>
      <c r="I1612" s="675"/>
      <c r="J1612" s="675"/>
      <c r="K1612" s="675"/>
      <c r="L1612" s="675"/>
      <c r="M1612" s="675"/>
    </row>
    <row r="1613" spans="1:13" x14ac:dyDescent="0.25">
      <c r="A1613" s="675" t="s">
        <v>1823</v>
      </c>
      <c r="B1613" s="675" t="s">
        <v>512</v>
      </c>
      <c r="C1613" s="675" t="s">
        <v>1848</v>
      </c>
      <c r="D1613" s="675" t="s">
        <v>21</v>
      </c>
      <c r="E1613" s="675" t="s">
        <v>514</v>
      </c>
      <c r="F1613" s="675" t="s">
        <v>515</v>
      </c>
      <c r="G1613" s="675"/>
      <c r="H1613" s="675"/>
      <c r="I1613" s="675"/>
      <c r="J1613" s="675"/>
      <c r="K1613" s="675"/>
      <c r="L1613" s="675"/>
      <c r="M1613" s="675"/>
    </row>
    <row r="1614" spans="1:13" x14ac:dyDescent="0.25">
      <c r="A1614" s="678" t="s">
        <v>1823</v>
      </c>
      <c r="B1614" s="678" t="s">
        <v>545</v>
      </c>
      <c r="C1614" s="678" t="s">
        <v>907</v>
      </c>
      <c r="D1614" s="678" t="s">
        <v>21</v>
      </c>
      <c r="E1614" s="678" t="s">
        <v>514</v>
      </c>
      <c r="F1614" s="678" t="s">
        <v>636</v>
      </c>
      <c r="G1614" s="675"/>
      <c r="H1614" s="675"/>
      <c r="I1614" s="675"/>
      <c r="J1614" s="675"/>
      <c r="K1614" s="675"/>
      <c r="L1614" s="675"/>
      <c r="M1614" s="675"/>
    </row>
    <row r="1615" spans="1:13" x14ac:dyDescent="0.25">
      <c r="A1615" s="675" t="s">
        <v>1823</v>
      </c>
      <c r="B1615" s="675" t="s">
        <v>545</v>
      </c>
      <c r="C1615" s="675" t="s">
        <v>908</v>
      </c>
      <c r="D1615" s="675" t="s">
        <v>21</v>
      </c>
      <c r="E1615" s="675" t="s">
        <v>514</v>
      </c>
      <c r="F1615" s="675" t="s">
        <v>515</v>
      </c>
      <c r="G1615" s="675"/>
      <c r="H1615" s="675"/>
      <c r="I1615" s="675"/>
      <c r="J1615" s="675"/>
      <c r="K1615" s="675"/>
      <c r="L1615" s="675"/>
      <c r="M1615" s="675"/>
    </row>
    <row r="1616" spans="1:13" x14ac:dyDescent="0.25">
      <c r="A1616" s="675" t="s">
        <v>1823</v>
      </c>
      <c r="B1616" s="675" t="s">
        <v>545</v>
      </c>
      <c r="C1616" s="675" t="s">
        <v>1641</v>
      </c>
      <c r="D1616" s="675" t="s">
        <v>21</v>
      </c>
      <c r="E1616" s="675" t="s">
        <v>514</v>
      </c>
      <c r="F1616" s="675" t="s">
        <v>515</v>
      </c>
      <c r="G1616" s="675"/>
      <c r="H1616" s="675"/>
      <c r="I1616" s="675"/>
      <c r="J1616" s="675"/>
      <c r="K1616" s="675"/>
      <c r="L1616" s="675"/>
      <c r="M1616" s="675"/>
    </row>
    <row r="1617" spans="1:13" x14ac:dyDescent="0.25">
      <c r="A1617" s="675" t="s">
        <v>1823</v>
      </c>
      <c r="B1617" s="675" t="s">
        <v>545</v>
      </c>
      <c r="C1617" s="675" t="s">
        <v>1642</v>
      </c>
      <c r="D1617" s="675" t="s">
        <v>21</v>
      </c>
      <c r="E1617" s="675" t="s">
        <v>514</v>
      </c>
      <c r="F1617" s="675" t="s">
        <v>515</v>
      </c>
      <c r="G1617" s="675"/>
      <c r="H1617" s="675"/>
      <c r="I1617" s="675"/>
      <c r="J1617" s="675"/>
      <c r="K1617" s="675"/>
      <c r="L1617" s="675"/>
      <c r="M1617" s="675"/>
    </row>
    <row r="1618" spans="1:13" x14ac:dyDescent="0.25">
      <c r="A1618" s="675" t="s">
        <v>1823</v>
      </c>
      <c r="B1618" s="675" t="s">
        <v>545</v>
      </c>
      <c r="C1618" s="675" t="s">
        <v>1849</v>
      </c>
      <c r="D1618" s="675" t="s">
        <v>21</v>
      </c>
      <c r="E1618" s="675" t="s">
        <v>514</v>
      </c>
      <c r="F1618" s="675" t="s">
        <v>515</v>
      </c>
      <c r="G1618" s="675"/>
      <c r="H1618" s="675"/>
      <c r="I1618" s="675"/>
      <c r="J1618" s="675"/>
      <c r="K1618" s="675"/>
      <c r="L1618" s="675"/>
      <c r="M1618" s="675"/>
    </row>
    <row r="1619" spans="1:13" x14ac:dyDescent="0.25">
      <c r="A1619" s="675" t="s">
        <v>1823</v>
      </c>
      <c r="B1619" s="675" t="s">
        <v>545</v>
      </c>
      <c r="C1619" s="675" t="s">
        <v>1850</v>
      </c>
      <c r="D1619" s="675" t="s">
        <v>21</v>
      </c>
      <c r="E1619" s="675" t="s">
        <v>514</v>
      </c>
      <c r="F1619" s="675" t="s">
        <v>515</v>
      </c>
      <c r="G1619" s="675"/>
      <c r="H1619" s="675"/>
      <c r="I1619" s="675"/>
      <c r="J1619" s="675"/>
      <c r="K1619" s="675"/>
      <c r="L1619" s="675"/>
      <c r="M1619" s="675"/>
    </row>
    <row r="1620" spans="1:13" x14ac:dyDescent="0.25">
      <c r="A1620" s="675" t="s">
        <v>1823</v>
      </c>
      <c r="B1620" s="675" t="s">
        <v>545</v>
      </c>
      <c r="C1620" s="675" t="s">
        <v>1789</v>
      </c>
      <c r="D1620" s="675" t="s">
        <v>21</v>
      </c>
      <c r="E1620" s="675" t="s">
        <v>514</v>
      </c>
      <c r="F1620" s="675" t="s">
        <v>515</v>
      </c>
      <c r="G1620" s="675"/>
      <c r="H1620" s="675"/>
      <c r="I1620" s="675"/>
      <c r="J1620" s="675"/>
      <c r="K1620" s="675"/>
      <c r="L1620" s="675"/>
      <c r="M1620" s="675"/>
    </row>
    <row r="1621" spans="1:13" x14ac:dyDescent="0.25">
      <c r="A1621" s="675" t="s">
        <v>1823</v>
      </c>
      <c r="B1621" s="675" t="s">
        <v>545</v>
      </c>
      <c r="C1621" s="675" t="s">
        <v>1789</v>
      </c>
      <c r="D1621" s="675" t="s">
        <v>21</v>
      </c>
      <c r="E1621" s="675" t="s">
        <v>514</v>
      </c>
      <c r="F1621" s="675" t="s">
        <v>515</v>
      </c>
      <c r="G1621" s="675"/>
      <c r="H1621" s="675"/>
      <c r="I1621" s="675"/>
      <c r="J1621" s="675"/>
      <c r="K1621" s="675"/>
      <c r="L1621" s="675"/>
      <c r="M1621" s="675"/>
    </row>
    <row r="1622" spans="1:13" x14ac:dyDescent="0.25">
      <c r="A1622" s="675" t="s">
        <v>1823</v>
      </c>
      <c r="B1622" s="675" t="s">
        <v>545</v>
      </c>
      <c r="C1622" s="675" t="s">
        <v>1851</v>
      </c>
      <c r="D1622" s="675" t="s">
        <v>21</v>
      </c>
      <c r="E1622" s="675" t="s">
        <v>514</v>
      </c>
      <c r="F1622" s="675" t="s">
        <v>515</v>
      </c>
      <c r="G1622" s="675"/>
      <c r="H1622" s="675"/>
      <c r="I1622" s="675"/>
      <c r="J1622" s="675"/>
      <c r="K1622" s="675"/>
      <c r="L1622" s="675"/>
      <c r="M1622" s="675"/>
    </row>
    <row r="1623" spans="1:13" x14ac:dyDescent="0.25">
      <c r="A1623" s="675" t="s">
        <v>1823</v>
      </c>
      <c r="B1623" s="675" t="s">
        <v>545</v>
      </c>
      <c r="C1623" s="675" t="s">
        <v>1852</v>
      </c>
      <c r="D1623" s="675" t="s">
        <v>21</v>
      </c>
      <c r="E1623" s="675" t="s">
        <v>514</v>
      </c>
      <c r="F1623" s="675" t="s">
        <v>515</v>
      </c>
      <c r="G1623" s="675"/>
      <c r="H1623" s="675"/>
      <c r="I1623" s="675"/>
      <c r="J1623" s="675"/>
      <c r="K1623" s="675"/>
      <c r="L1623" s="675"/>
      <c r="M1623" s="675"/>
    </row>
    <row r="1624" spans="1:13" x14ac:dyDescent="0.25">
      <c r="A1624" s="675" t="s">
        <v>1823</v>
      </c>
      <c r="B1624" s="675" t="s">
        <v>545</v>
      </c>
      <c r="C1624" s="675" t="s">
        <v>1645</v>
      </c>
      <c r="D1624" s="675" t="s">
        <v>21</v>
      </c>
      <c r="E1624" s="675" t="s">
        <v>514</v>
      </c>
      <c r="F1624" s="675" t="s">
        <v>515</v>
      </c>
      <c r="G1624" s="675"/>
      <c r="H1624" s="675"/>
      <c r="I1624" s="675"/>
      <c r="J1624" s="675"/>
      <c r="K1624" s="675"/>
      <c r="L1624" s="675"/>
      <c r="M1624" s="675"/>
    </row>
    <row r="1625" spans="1:13" x14ac:dyDescent="0.25">
      <c r="A1625" s="675" t="s">
        <v>1823</v>
      </c>
      <c r="B1625" s="675" t="s">
        <v>545</v>
      </c>
      <c r="C1625" s="675" t="s">
        <v>1646</v>
      </c>
      <c r="D1625" s="675" t="s">
        <v>21</v>
      </c>
      <c r="E1625" s="675" t="s">
        <v>514</v>
      </c>
      <c r="F1625" s="675" t="s">
        <v>515</v>
      </c>
      <c r="G1625" s="675"/>
      <c r="H1625" s="675"/>
      <c r="I1625" s="675"/>
      <c r="J1625" s="675"/>
      <c r="K1625" s="675"/>
      <c r="L1625" s="675"/>
      <c r="M1625" s="675"/>
    </row>
    <row r="1626" spans="1:13" x14ac:dyDescent="0.25">
      <c r="A1626" s="675" t="s">
        <v>1823</v>
      </c>
      <c r="B1626" s="675" t="s">
        <v>545</v>
      </c>
      <c r="C1626" s="675" t="s">
        <v>1853</v>
      </c>
      <c r="D1626" s="675" t="s">
        <v>21</v>
      </c>
      <c r="E1626" s="675" t="s">
        <v>514</v>
      </c>
      <c r="F1626" s="675" t="s">
        <v>515</v>
      </c>
      <c r="G1626" s="675"/>
      <c r="H1626" s="675"/>
      <c r="I1626" s="675"/>
      <c r="J1626" s="675"/>
      <c r="K1626" s="675"/>
      <c r="L1626" s="675"/>
      <c r="M1626" s="675"/>
    </row>
    <row r="1627" spans="1:13" x14ac:dyDescent="0.25">
      <c r="A1627" s="675" t="s">
        <v>1823</v>
      </c>
      <c r="B1627" s="675" t="s">
        <v>545</v>
      </c>
      <c r="C1627" s="675" t="s">
        <v>1647</v>
      </c>
      <c r="D1627" s="675" t="s">
        <v>21</v>
      </c>
      <c r="E1627" s="675" t="s">
        <v>514</v>
      </c>
      <c r="F1627" s="675" t="s">
        <v>515</v>
      </c>
      <c r="G1627" s="675"/>
      <c r="H1627" s="675"/>
      <c r="I1627" s="675"/>
      <c r="J1627" s="675"/>
      <c r="K1627" s="675"/>
      <c r="L1627" s="675"/>
      <c r="M1627" s="675"/>
    </row>
    <row r="1628" spans="1:13" x14ac:dyDescent="0.25">
      <c r="A1628" s="675" t="s">
        <v>1823</v>
      </c>
      <c r="B1628" s="675" t="s">
        <v>545</v>
      </c>
      <c r="C1628" s="675" t="s">
        <v>1648</v>
      </c>
      <c r="D1628" s="675" t="s">
        <v>21</v>
      </c>
      <c r="E1628" s="675" t="s">
        <v>514</v>
      </c>
      <c r="F1628" s="675" t="s">
        <v>515</v>
      </c>
      <c r="G1628" s="675"/>
      <c r="H1628" s="675"/>
      <c r="I1628" s="675"/>
      <c r="J1628" s="675"/>
      <c r="K1628" s="675"/>
      <c r="L1628" s="675"/>
      <c r="M1628" s="675"/>
    </row>
    <row r="1629" spans="1:13" x14ac:dyDescent="0.25">
      <c r="A1629" s="675" t="s">
        <v>1823</v>
      </c>
      <c r="B1629" s="675" t="s">
        <v>545</v>
      </c>
      <c r="C1629" s="675" t="s">
        <v>914</v>
      </c>
      <c r="D1629" s="675" t="s">
        <v>21</v>
      </c>
      <c r="E1629" s="675" t="s">
        <v>514</v>
      </c>
      <c r="F1629" s="675" t="s">
        <v>515</v>
      </c>
      <c r="G1629" s="675"/>
      <c r="H1629" s="675"/>
      <c r="I1629" s="675"/>
      <c r="J1629" s="675"/>
      <c r="K1629" s="675"/>
      <c r="L1629" s="675"/>
      <c r="M1629" s="675"/>
    </row>
    <row r="1630" spans="1:13" x14ac:dyDescent="0.25">
      <c r="A1630" s="675" t="s">
        <v>1823</v>
      </c>
      <c r="B1630" s="675" t="s">
        <v>545</v>
      </c>
      <c r="C1630" s="675" t="s">
        <v>1854</v>
      </c>
      <c r="D1630" s="675" t="s">
        <v>21</v>
      </c>
      <c r="E1630" s="675" t="s">
        <v>514</v>
      </c>
      <c r="F1630" s="675" t="s">
        <v>515</v>
      </c>
      <c r="G1630" s="675"/>
      <c r="H1630" s="675"/>
      <c r="I1630" s="675"/>
      <c r="J1630" s="675"/>
      <c r="K1630" s="675"/>
      <c r="L1630" s="675"/>
      <c r="M1630" s="675"/>
    </row>
    <row r="1631" spans="1:13" x14ac:dyDescent="0.25">
      <c r="A1631" s="675" t="s">
        <v>1823</v>
      </c>
      <c r="B1631" s="675" t="s">
        <v>545</v>
      </c>
      <c r="C1631" s="675" t="s">
        <v>1649</v>
      </c>
      <c r="D1631" s="675" t="s">
        <v>21</v>
      </c>
      <c r="E1631" s="675" t="s">
        <v>514</v>
      </c>
      <c r="F1631" s="675" t="s">
        <v>515</v>
      </c>
      <c r="G1631" s="675"/>
      <c r="H1631" s="675"/>
      <c r="I1631" s="675"/>
      <c r="J1631" s="675"/>
      <c r="K1631" s="675"/>
      <c r="L1631" s="675"/>
      <c r="M1631" s="675"/>
    </row>
    <row r="1632" spans="1:13" x14ac:dyDescent="0.25">
      <c r="A1632" s="675" t="s">
        <v>1823</v>
      </c>
      <c r="B1632" s="675" t="s">
        <v>545</v>
      </c>
      <c r="C1632" s="675" t="s">
        <v>1855</v>
      </c>
      <c r="D1632" s="675" t="s">
        <v>21</v>
      </c>
      <c r="E1632" s="675" t="s">
        <v>514</v>
      </c>
      <c r="F1632" s="675" t="s">
        <v>515</v>
      </c>
      <c r="G1632" s="675"/>
      <c r="H1632" s="675"/>
      <c r="I1632" s="675"/>
      <c r="J1632" s="675"/>
      <c r="K1632" s="675"/>
      <c r="L1632" s="675"/>
      <c r="M1632" s="675"/>
    </row>
    <row r="1633" spans="1:13" x14ac:dyDescent="0.25">
      <c r="A1633" s="678" t="s">
        <v>1823</v>
      </c>
      <c r="B1633" s="678" t="s">
        <v>545</v>
      </c>
      <c r="C1633" s="678" t="s">
        <v>1856</v>
      </c>
      <c r="D1633" s="678" t="s">
        <v>21</v>
      </c>
      <c r="E1633" s="678" t="s">
        <v>514</v>
      </c>
      <c r="F1633" s="678" t="s">
        <v>636</v>
      </c>
      <c r="G1633" s="675"/>
      <c r="H1633" s="675"/>
      <c r="I1633" s="675"/>
      <c r="J1633" s="675"/>
      <c r="K1633" s="675"/>
      <c r="L1633" s="675"/>
      <c r="M1633" s="675"/>
    </row>
    <row r="1634" spans="1:13" x14ac:dyDescent="0.25">
      <c r="A1634" s="675" t="s">
        <v>1823</v>
      </c>
      <c r="B1634" s="675" t="s">
        <v>545</v>
      </c>
      <c r="C1634" s="675" t="s">
        <v>1857</v>
      </c>
      <c r="D1634" s="675" t="s">
        <v>21</v>
      </c>
      <c r="E1634" s="675" t="s">
        <v>514</v>
      </c>
      <c r="F1634" s="675" t="s">
        <v>515</v>
      </c>
      <c r="G1634" s="675"/>
      <c r="H1634" s="675"/>
      <c r="I1634" s="675"/>
      <c r="J1634" s="675"/>
      <c r="K1634" s="675"/>
      <c r="L1634" s="675"/>
      <c r="M1634" s="675"/>
    </row>
    <row r="1635" spans="1:13" x14ac:dyDescent="0.25">
      <c r="A1635" s="675" t="s">
        <v>1823</v>
      </c>
      <c r="B1635" s="675" t="s">
        <v>545</v>
      </c>
      <c r="C1635" s="675" t="s">
        <v>1651</v>
      </c>
      <c r="D1635" s="675" t="s">
        <v>21</v>
      </c>
      <c r="E1635" s="675" t="s">
        <v>514</v>
      </c>
      <c r="F1635" s="675" t="s">
        <v>515</v>
      </c>
      <c r="G1635" s="675"/>
      <c r="H1635" s="675"/>
      <c r="I1635" s="675"/>
      <c r="J1635" s="675"/>
      <c r="K1635" s="675"/>
      <c r="L1635" s="675"/>
      <c r="M1635" s="675"/>
    </row>
    <row r="1636" spans="1:13" x14ac:dyDescent="0.25">
      <c r="A1636" s="675" t="s">
        <v>1823</v>
      </c>
      <c r="B1636" s="675" t="s">
        <v>545</v>
      </c>
      <c r="C1636" s="675" t="s">
        <v>1858</v>
      </c>
      <c r="D1636" s="675" t="s">
        <v>21</v>
      </c>
      <c r="E1636" s="675" t="s">
        <v>514</v>
      </c>
      <c r="F1636" s="675" t="s">
        <v>515</v>
      </c>
      <c r="G1636" s="675"/>
      <c r="H1636" s="675"/>
      <c r="I1636" s="675"/>
      <c r="J1636" s="675"/>
      <c r="K1636" s="675"/>
      <c r="L1636" s="675"/>
      <c r="M1636" s="675"/>
    </row>
    <row r="1637" spans="1:13" x14ac:dyDescent="0.25">
      <c r="A1637" s="675" t="s">
        <v>1823</v>
      </c>
      <c r="B1637" s="675" t="s">
        <v>545</v>
      </c>
      <c r="C1637" s="675" t="s">
        <v>1859</v>
      </c>
      <c r="D1637" s="675" t="s">
        <v>21</v>
      </c>
      <c r="E1637" s="675" t="s">
        <v>514</v>
      </c>
      <c r="F1637" s="675" t="s">
        <v>515</v>
      </c>
      <c r="G1637" s="675"/>
      <c r="H1637" s="675"/>
      <c r="I1637" s="675"/>
      <c r="J1637" s="675"/>
      <c r="K1637" s="675"/>
      <c r="L1637" s="675"/>
      <c r="M1637" s="675"/>
    </row>
    <row r="1638" spans="1:13" x14ac:dyDescent="0.25">
      <c r="A1638" s="675" t="s">
        <v>1823</v>
      </c>
      <c r="B1638" s="675" t="s">
        <v>564</v>
      </c>
      <c r="C1638" s="675" t="s">
        <v>1860</v>
      </c>
      <c r="D1638" s="675" t="s">
        <v>21</v>
      </c>
      <c r="E1638" s="675" t="s">
        <v>514</v>
      </c>
      <c r="F1638" s="675" t="s">
        <v>515</v>
      </c>
      <c r="G1638" s="675"/>
      <c r="H1638" s="675"/>
      <c r="I1638" s="675"/>
      <c r="J1638" s="675"/>
      <c r="K1638" s="675"/>
      <c r="L1638" s="675"/>
      <c r="M1638" s="675"/>
    </row>
    <row r="1639" spans="1:13" x14ac:dyDescent="0.25">
      <c r="A1639" s="675" t="s">
        <v>1823</v>
      </c>
      <c r="B1639" s="675" t="s">
        <v>564</v>
      </c>
      <c r="C1639" s="675" t="s">
        <v>1861</v>
      </c>
      <c r="D1639" s="675" t="s">
        <v>21</v>
      </c>
      <c r="E1639" s="675" t="s">
        <v>514</v>
      </c>
      <c r="F1639" s="675" t="s">
        <v>515</v>
      </c>
      <c r="G1639" s="675"/>
      <c r="H1639" s="675"/>
      <c r="I1639" s="675"/>
      <c r="J1639" s="675"/>
      <c r="K1639" s="675"/>
      <c r="L1639" s="675"/>
      <c r="M1639" s="675"/>
    </row>
    <row r="1640" spans="1:13" x14ac:dyDescent="0.25">
      <c r="A1640" s="675" t="s">
        <v>1823</v>
      </c>
      <c r="B1640" s="675" t="s">
        <v>564</v>
      </c>
      <c r="C1640" s="675" t="s">
        <v>1862</v>
      </c>
      <c r="D1640" s="675" t="s">
        <v>21</v>
      </c>
      <c r="E1640" s="675" t="s">
        <v>514</v>
      </c>
      <c r="F1640" s="675" t="s">
        <v>515</v>
      </c>
      <c r="G1640" s="675"/>
      <c r="H1640" s="675"/>
      <c r="I1640" s="675"/>
      <c r="J1640" s="675"/>
      <c r="K1640" s="675"/>
      <c r="L1640" s="675"/>
      <c r="M1640" s="675"/>
    </row>
    <row r="1641" spans="1:13" x14ac:dyDescent="0.25">
      <c r="A1641" s="675" t="s">
        <v>1823</v>
      </c>
      <c r="B1641" s="675" t="s">
        <v>564</v>
      </c>
      <c r="C1641" s="675" t="s">
        <v>1863</v>
      </c>
      <c r="D1641" s="675" t="s">
        <v>21</v>
      </c>
      <c r="E1641" s="675" t="s">
        <v>514</v>
      </c>
      <c r="F1641" s="675" t="s">
        <v>515</v>
      </c>
      <c r="G1641" s="675"/>
      <c r="H1641" s="675"/>
      <c r="I1641" s="675"/>
      <c r="J1641" s="675"/>
      <c r="K1641" s="675"/>
      <c r="L1641" s="675"/>
      <c r="M1641" s="675"/>
    </row>
    <row r="1642" spans="1:13" x14ac:dyDescent="0.25">
      <c r="A1642" s="675" t="s">
        <v>1823</v>
      </c>
      <c r="B1642" s="675" t="s">
        <v>564</v>
      </c>
      <c r="C1642" s="675" t="s">
        <v>698</v>
      </c>
      <c r="D1642" s="675" t="s">
        <v>21</v>
      </c>
      <c r="E1642" s="675" t="s">
        <v>514</v>
      </c>
      <c r="F1642" s="675" t="s">
        <v>515</v>
      </c>
      <c r="G1642" s="675"/>
      <c r="H1642" s="675"/>
      <c r="I1642" s="675"/>
      <c r="J1642" s="675"/>
      <c r="K1642" s="675"/>
      <c r="L1642" s="675"/>
      <c r="M1642" s="675"/>
    </row>
    <row r="1643" spans="1:13" x14ac:dyDescent="0.25">
      <c r="A1643" s="681" t="s">
        <v>1823</v>
      </c>
      <c r="B1643" s="681" t="s">
        <v>564</v>
      </c>
      <c r="C1643" s="681" t="s">
        <v>1864</v>
      </c>
      <c r="D1643" s="681" t="s">
        <v>21</v>
      </c>
      <c r="E1643" s="681" t="s">
        <v>1244</v>
      </c>
      <c r="F1643" s="681" t="s">
        <v>515</v>
      </c>
      <c r="G1643" s="675"/>
      <c r="H1643" s="675"/>
      <c r="I1643" s="675"/>
      <c r="J1643" s="675"/>
      <c r="K1643" s="675"/>
      <c r="L1643" s="675"/>
      <c r="M1643" s="675"/>
    </row>
    <row r="1644" spans="1:13" x14ac:dyDescent="0.25">
      <c r="A1644" s="675" t="s">
        <v>1823</v>
      </c>
      <c r="B1644" s="675" t="s">
        <v>564</v>
      </c>
      <c r="C1644" s="675" t="s">
        <v>1865</v>
      </c>
      <c r="D1644" s="675" t="s">
        <v>21</v>
      </c>
      <c r="E1644" s="675" t="s">
        <v>514</v>
      </c>
      <c r="F1644" s="675" t="s">
        <v>515</v>
      </c>
      <c r="G1644" s="675"/>
      <c r="H1644" s="675"/>
      <c r="I1644" s="675"/>
      <c r="J1644" s="675"/>
      <c r="K1644" s="675"/>
      <c r="L1644" s="675"/>
      <c r="M1644" s="675"/>
    </row>
    <row r="1645" spans="1:13" x14ac:dyDescent="0.25">
      <c r="A1645" s="675" t="s">
        <v>1823</v>
      </c>
      <c r="B1645" s="675" t="s">
        <v>564</v>
      </c>
      <c r="C1645" s="675" t="s">
        <v>1834</v>
      </c>
      <c r="D1645" s="675" t="s">
        <v>21</v>
      </c>
      <c r="E1645" s="675" t="s">
        <v>514</v>
      </c>
      <c r="F1645" s="675" t="s">
        <v>515</v>
      </c>
      <c r="G1645" s="675"/>
      <c r="H1645" s="675"/>
      <c r="I1645" s="675"/>
      <c r="J1645" s="675"/>
      <c r="K1645" s="675"/>
      <c r="L1645" s="675"/>
      <c r="M1645" s="675"/>
    </row>
    <row r="1646" spans="1:13" x14ac:dyDescent="0.25">
      <c r="A1646" s="675" t="s">
        <v>1823</v>
      </c>
      <c r="B1646" s="675" t="s">
        <v>564</v>
      </c>
      <c r="C1646" s="675" t="s">
        <v>1866</v>
      </c>
      <c r="D1646" s="675" t="s">
        <v>21</v>
      </c>
      <c r="E1646" s="675" t="s">
        <v>514</v>
      </c>
      <c r="F1646" s="675" t="s">
        <v>515</v>
      </c>
      <c r="G1646" s="675"/>
      <c r="H1646" s="675"/>
      <c r="I1646" s="675"/>
      <c r="J1646" s="675"/>
      <c r="K1646" s="675"/>
      <c r="L1646" s="675"/>
      <c r="M1646" s="675"/>
    </row>
    <row r="1647" spans="1:13" x14ac:dyDescent="0.25">
      <c r="A1647" s="675" t="s">
        <v>1823</v>
      </c>
      <c r="B1647" s="675" t="s">
        <v>564</v>
      </c>
      <c r="C1647" s="675" t="s">
        <v>1867</v>
      </c>
      <c r="D1647" s="675" t="s">
        <v>21</v>
      </c>
      <c r="E1647" s="675" t="s">
        <v>514</v>
      </c>
      <c r="F1647" s="675" t="s">
        <v>515</v>
      </c>
      <c r="G1647" s="675"/>
      <c r="H1647" s="675"/>
      <c r="I1647" s="675"/>
      <c r="J1647" s="675"/>
      <c r="K1647" s="675"/>
      <c r="L1647" s="675"/>
      <c r="M1647" s="675"/>
    </row>
    <row r="1648" spans="1:13" x14ac:dyDescent="0.25">
      <c r="A1648" s="675" t="s">
        <v>1868</v>
      </c>
      <c r="B1648" s="675" t="s">
        <v>512</v>
      </c>
      <c r="C1648" s="675" t="s">
        <v>1724</v>
      </c>
      <c r="D1648" s="675" t="s">
        <v>21</v>
      </c>
      <c r="E1648" s="675" t="s">
        <v>514</v>
      </c>
      <c r="F1648" s="675" t="s">
        <v>515</v>
      </c>
      <c r="G1648" s="675"/>
      <c r="H1648" s="675"/>
      <c r="I1648" s="675"/>
      <c r="J1648" s="675"/>
      <c r="K1648" s="675"/>
      <c r="L1648" s="675"/>
      <c r="M1648" s="675"/>
    </row>
    <row r="1649" spans="1:13" x14ac:dyDescent="0.25">
      <c r="A1649" s="675" t="s">
        <v>1868</v>
      </c>
      <c r="B1649" s="675" t="s">
        <v>512</v>
      </c>
      <c r="C1649" s="675" t="s">
        <v>873</v>
      </c>
      <c r="D1649" s="675" t="s">
        <v>21</v>
      </c>
      <c r="E1649" s="675" t="s">
        <v>514</v>
      </c>
      <c r="F1649" s="675" t="s">
        <v>515</v>
      </c>
      <c r="G1649" s="675"/>
      <c r="H1649" s="675"/>
      <c r="I1649" s="675"/>
      <c r="J1649" s="675"/>
      <c r="K1649" s="675"/>
      <c r="L1649" s="675"/>
      <c r="M1649" s="675"/>
    </row>
    <row r="1650" spans="1:13" x14ac:dyDescent="0.25">
      <c r="A1650" s="675" t="s">
        <v>1868</v>
      </c>
      <c r="B1650" s="675" t="s">
        <v>512</v>
      </c>
      <c r="C1650" s="675" t="s">
        <v>1869</v>
      </c>
      <c r="D1650" s="675" t="s">
        <v>21</v>
      </c>
      <c r="E1650" s="675" t="s">
        <v>514</v>
      </c>
      <c r="F1650" s="675" t="s">
        <v>515</v>
      </c>
      <c r="G1650" s="675"/>
      <c r="H1650" s="675"/>
      <c r="I1650" s="675"/>
      <c r="J1650" s="675"/>
      <c r="K1650" s="675"/>
      <c r="L1650" s="675"/>
      <c r="M1650" s="675"/>
    </row>
    <row r="1651" spans="1:13" x14ac:dyDescent="0.25">
      <c r="A1651" s="675" t="s">
        <v>1868</v>
      </c>
      <c r="B1651" s="675" t="s">
        <v>512</v>
      </c>
      <c r="C1651" s="675" t="s">
        <v>1870</v>
      </c>
      <c r="D1651" s="675" t="s">
        <v>21</v>
      </c>
      <c r="E1651" s="675" t="s">
        <v>514</v>
      </c>
      <c r="F1651" s="675" t="s">
        <v>515</v>
      </c>
      <c r="G1651" s="675"/>
      <c r="H1651" s="675"/>
      <c r="I1651" s="675"/>
      <c r="J1651" s="675"/>
      <c r="K1651" s="675"/>
      <c r="L1651" s="675"/>
      <c r="M1651" s="675"/>
    </row>
    <row r="1652" spans="1:13" x14ac:dyDescent="0.25">
      <c r="A1652" s="675" t="s">
        <v>1868</v>
      </c>
      <c r="B1652" s="675" t="s">
        <v>512</v>
      </c>
      <c r="C1652" s="675" t="s">
        <v>1074</v>
      </c>
      <c r="D1652" s="675" t="s">
        <v>21</v>
      </c>
      <c r="E1652" s="675" t="s">
        <v>514</v>
      </c>
      <c r="F1652" s="675" t="s">
        <v>515</v>
      </c>
      <c r="G1652" s="675"/>
      <c r="H1652" s="675"/>
      <c r="I1652" s="675"/>
      <c r="J1652" s="675"/>
      <c r="K1652" s="675"/>
      <c r="L1652" s="675"/>
      <c r="M1652" s="675"/>
    </row>
    <row r="1653" spans="1:13" x14ac:dyDescent="0.25">
      <c r="A1653" s="675" t="s">
        <v>1868</v>
      </c>
      <c r="B1653" s="675" t="s">
        <v>512</v>
      </c>
      <c r="C1653" s="675" t="s">
        <v>1871</v>
      </c>
      <c r="D1653" s="675" t="s">
        <v>21</v>
      </c>
      <c r="E1653" s="675" t="s">
        <v>514</v>
      </c>
      <c r="F1653" s="675" t="s">
        <v>515</v>
      </c>
      <c r="G1653" s="675"/>
      <c r="H1653" s="675"/>
      <c r="I1653" s="675"/>
      <c r="J1653" s="675"/>
      <c r="K1653" s="675"/>
      <c r="L1653" s="675"/>
      <c r="M1653" s="675"/>
    </row>
    <row r="1654" spans="1:13" x14ac:dyDescent="0.25">
      <c r="A1654" s="675" t="s">
        <v>1868</v>
      </c>
      <c r="B1654" s="675" t="s">
        <v>512</v>
      </c>
      <c r="C1654" s="675" t="s">
        <v>1872</v>
      </c>
      <c r="D1654" s="675" t="s">
        <v>21</v>
      </c>
      <c r="E1654" s="675" t="s">
        <v>514</v>
      </c>
      <c r="F1654" s="675" t="s">
        <v>515</v>
      </c>
      <c r="G1654" s="675"/>
      <c r="H1654" s="675"/>
      <c r="I1654" s="675"/>
      <c r="J1654" s="675"/>
      <c r="K1654" s="675"/>
      <c r="L1654" s="675"/>
      <c r="M1654" s="675"/>
    </row>
    <row r="1655" spans="1:13" x14ac:dyDescent="0.25">
      <c r="A1655" s="675" t="s">
        <v>1868</v>
      </c>
      <c r="B1655" s="675" t="s">
        <v>512</v>
      </c>
      <c r="C1655" s="675" t="s">
        <v>1873</v>
      </c>
      <c r="D1655" s="675" t="s">
        <v>21</v>
      </c>
      <c r="E1655" s="675" t="s">
        <v>514</v>
      </c>
      <c r="F1655" s="675" t="s">
        <v>515</v>
      </c>
      <c r="G1655" s="675"/>
      <c r="H1655" s="675"/>
      <c r="I1655" s="675"/>
      <c r="J1655" s="675"/>
      <c r="K1655" s="675"/>
      <c r="L1655" s="675"/>
      <c r="M1655" s="675"/>
    </row>
    <row r="1656" spans="1:13" x14ac:dyDescent="0.25">
      <c r="A1656" s="675" t="s">
        <v>1868</v>
      </c>
      <c r="B1656" s="675" t="s">
        <v>512</v>
      </c>
      <c r="C1656" s="675" t="s">
        <v>1874</v>
      </c>
      <c r="D1656" s="675" t="s">
        <v>21</v>
      </c>
      <c r="E1656" s="675" t="s">
        <v>514</v>
      </c>
      <c r="F1656" s="675" t="s">
        <v>515</v>
      </c>
      <c r="G1656" s="675"/>
      <c r="H1656" s="675"/>
      <c r="I1656" s="675"/>
      <c r="J1656" s="675"/>
      <c r="K1656" s="675"/>
      <c r="L1656" s="675"/>
      <c r="M1656" s="675"/>
    </row>
    <row r="1657" spans="1:13" x14ac:dyDescent="0.25">
      <c r="A1657" s="675" t="s">
        <v>1868</v>
      </c>
      <c r="B1657" s="675" t="s">
        <v>512</v>
      </c>
      <c r="C1657" s="675" t="s">
        <v>1875</v>
      </c>
      <c r="D1657" s="675" t="s">
        <v>21</v>
      </c>
      <c r="E1657" s="675" t="s">
        <v>514</v>
      </c>
      <c r="F1657" s="675" t="s">
        <v>515</v>
      </c>
      <c r="G1657" s="675"/>
      <c r="H1657" s="675"/>
      <c r="I1657" s="675"/>
      <c r="J1657" s="675"/>
      <c r="K1657" s="675"/>
      <c r="L1657" s="675"/>
      <c r="M1657" s="675"/>
    </row>
    <row r="1658" spans="1:13" x14ac:dyDescent="0.25">
      <c r="A1658" s="675" t="s">
        <v>1868</v>
      </c>
      <c r="B1658" s="675" t="s">
        <v>512</v>
      </c>
      <c r="C1658" s="675" t="s">
        <v>1876</v>
      </c>
      <c r="D1658" s="675" t="s">
        <v>21</v>
      </c>
      <c r="E1658" s="675" t="s">
        <v>514</v>
      </c>
      <c r="F1658" s="675" t="s">
        <v>515</v>
      </c>
      <c r="G1658" s="675"/>
      <c r="H1658" s="675"/>
      <c r="I1658" s="675"/>
      <c r="J1658" s="675"/>
      <c r="K1658" s="675"/>
      <c r="L1658" s="675"/>
      <c r="M1658" s="675"/>
    </row>
    <row r="1659" spans="1:13" x14ac:dyDescent="0.25">
      <c r="A1659" s="675" t="s">
        <v>1868</v>
      </c>
      <c r="B1659" s="675" t="s">
        <v>545</v>
      </c>
      <c r="C1659" s="675" t="s">
        <v>1877</v>
      </c>
      <c r="D1659" s="675" t="s">
        <v>21</v>
      </c>
      <c r="E1659" s="675" t="s">
        <v>514</v>
      </c>
      <c r="F1659" s="675" t="s">
        <v>515</v>
      </c>
      <c r="G1659" s="675"/>
      <c r="H1659" s="675"/>
      <c r="I1659" s="675"/>
      <c r="J1659" s="675"/>
      <c r="K1659" s="675"/>
      <c r="L1659" s="675"/>
      <c r="M1659" s="675"/>
    </row>
    <row r="1660" spans="1:13" x14ac:dyDescent="0.25">
      <c r="A1660" s="675" t="s">
        <v>1868</v>
      </c>
      <c r="B1660" s="675" t="s">
        <v>545</v>
      </c>
      <c r="C1660" s="675" t="s">
        <v>1852</v>
      </c>
      <c r="D1660" s="675" t="s">
        <v>21</v>
      </c>
      <c r="E1660" s="675" t="s">
        <v>514</v>
      </c>
      <c r="F1660" s="675" t="s">
        <v>515</v>
      </c>
      <c r="G1660" s="675"/>
      <c r="H1660" s="675"/>
      <c r="I1660" s="675"/>
      <c r="J1660" s="675"/>
      <c r="K1660" s="675"/>
      <c r="L1660" s="675"/>
      <c r="M1660" s="675"/>
    </row>
    <row r="1661" spans="1:13" x14ac:dyDescent="0.25">
      <c r="A1661" s="675" t="s">
        <v>1868</v>
      </c>
      <c r="B1661" s="675" t="s">
        <v>545</v>
      </c>
      <c r="C1661" s="675" t="s">
        <v>914</v>
      </c>
      <c r="D1661" s="675" t="s">
        <v>21</v>
      </c>
      <c r="E1661" s="675" t="s">
        <v>514</v>
      </c>
      <c r="F1661" s="675" t="s">
        <v>515</v>
      </c>
      <c r="G1661" s="675"/>
      <c r="H1661" s="675"/>
      <c r="I1661" s="675"/>
      <c r="J1661" s="675"/>
      <c r="K1661" s="675"/>
      <c r="L1661" s="675"/>
      <c r="M1661" s="675"/>
    </row>
    <row r="1662" spans="1:13" x14ac:dyDescent="0.25">
      <c r="A1662" s="675" t="s">
        <v>1868</v>
      </c>
      <c r="B1662" s="675" t="s">
        <v>545</v>
      </c>
      <c r="C1662" s="675" t="s">
        <v>1878</v>
      </c>
      <c r="D1662" s="675" t="s">
        <v>21</v>
      </c>
      <c r="E1662" s="675" t="s">
        <v>514</v>
      </c>
      <c r="F1662" s="675" t="s">
        <v>515</v>
      </c>
      <c r="G1662" s="675"/>
      <c r="H1662" s="675"/>
      <c r="I1662" s="675"/>
      <c r="J1662" s="675"/>
      <c r="K1662" s="675"/>
      <c r="L1662" s="675"/>
      <c r="M1662" s="675"/>
    </row>
    <row r="1663" spans="1:13" x14ac:dyDescent="0.25">
      <c r="A1663" s="675" t="s">
        <v>1868</v>
      </c>
      <c r="B1663" s="675" t="s">
        <v>545</v>
      </c>
      <c r="C1663" s="675" t="s">
        <v>1879</v>
      </c>
      <c r="D1663" s="675" t="s">
        <v>21</v>
      </c>
      <c r="E1663" s="675" t="s">
        <v>514</v>
      </c>
      <c r="F1663" s="675" t="s">
        <v>515</v>
      </c>
      <c r="G1663" s="675"/>
      <c r="H1663" s="675"/>
      <c r="I1663" s="675"/>
      <c r="J1663" s="675"/>
      <c r="K1663" s="675"/>
      <c r="L1663" s="675"/>
      <c r="M1663" s="675"/>
    </row>
    <row r="1664" spans="1:13" x14ac:dyDescent="0.25">
      <c r="A1664" s="675" t="s">
        <v>1868</v>
      </c>
      <c r="B1664" s="675" t="s">
        <v>545</v>
      </c>
      <c r="C1664" s="675" t="s">
        <v>1880</v>
      </c>
      <c r="D1664" s="675" t="s">
        <v>21</v>
      </c>
      <c r="E1664" s="675" t="s">
        <v>514</v>
      </c>
      <c r="F1664" s="675" t="s">
        <v>515</v>
      </c>
      <c r="G1664" s="675"/>
      <c r="H1664" s="675"/>
      <c r="I1664" s="675"/>
      <c r="J1664" s="675"/>
      <c r="K1664" s="675"/>
      <c r="L1664" s="675"/>
      <c r="M1664" s="675"/>
    </row>
    <row r="1665" spans="1:13" x14ac:dyDescent="0.25">
      <c r="A1665" s="675" t="s">
        <v>1868</v>
      </c>
      <c r="B1665" s="675" t="s">
        <v>564</v>
      </c>
      <c r="C1665" s="675" t="s">
        <v>1881</v>
      </c>
      <c r="D1665" s="675" t="s">
        <v>21</v>
      </c>
      <c r="E1665" s="675" t="s">
        <v>514</v>
      </c>
      <c r="F1665" s="675" t="s">
        <v>515</v>
      </c>
      <c r="G1665" s="675"/>
      <c r="H1665" s="675"/>
      <c r="I1665" s="675"/>
      <c r="J1665" s="675"/>
      <c r="K1665" s="675"/>
      <c r="L1665" s="675"/>
      <c r="M1665" s="675"/>
    </row>
    <row r="1666" spans="1:13" x14ac:dyDescent="0.25">
      <c r="A1666" s="675" t="s">
        <v>1868</v>
      </c>
      <c r="B1666" s="675" t="s">
        <v>564</v>
      </c>
      <c r="C1666" s="675" t="s">
        <v>1865</v>
      </c>
      <c r="D1666" s="675" t="s">
        <v>21</v>
      </c>
      <c r="E1666" s="675" t="s">
        <v>514</v>
      </c>
      <c r="F1666" s="675" t="s">
        <v>515</v>
      </c>
      <c r="G1666" s="675"/>
      <c r="H1666" s="675"/>
      <c r="I1666" s="675"/>
      <c r="J1666" s="675"/>
      <c r="K1666" s="675"/>
      <c r="L1666" s="675"/>
      <c r="M1666" s="675"/>
    </row>
    <row r="1667" spans="1:13" x14ac:dyDescent="0.25">
      <c r="A1667" s="675" t="s">
        <v>1868</v>
      </c>
      <c r="B1667" s="675" t="s">
        <v>564</v>
      </c>
      <c r="C1667" s="675" t="s">
        <v>1866</v>
      </c>
      <c r="D1667" s="675" t="s">
        <v>21</v>
      </c>
      <c r="E1667" s="675" t="s">
        <v>514</v>
      </c>
      <c r="F1667" s="675" t="s">
        <v>515</v>
      </c>
      <c r="G1667" s="675"/>
      <c r="H1667" s="675"/>
      <c r="I1667" s="675"/>
      <c r="J1667" s="675"/>
      <c r="K1667" s="675"/>
      <c r="L1667" s="675"/>
      <c r="M1667" s="675"/>
    </row>
    <row r="1668" spans="1:13" x14ac:dyDescent="0.25">
      <c r="A1668" s="675" t="s">
        <v>1868</v>
      </c>
      <c r="B1668" s="675" t="s">
        <v>564</v>
      </c>
      <c r="C1668" s="675" t="s">
        <v>1653</v>
      </c>
      <c r="D1668" s="675" t="s">
        <v>21</v>
      </c>
      <c r="E1668" s="675" t="s">
        <v>514</v>
      </c>
      <c r="F1668" s="675" t="s">
        <v>515</v>
      </c>
      <c r="G1668" s="675"/>
      <c r="H1668" s="675"/>
      <c r="I1668" s="675"/>
      <c r="J1668" s="675"/>
      <c r="K1668" s="675"/>
      <c r="L1668" s="675"/>
      <c r="M1668" s="675"/>
    </row>
    <row r="1669" spans="1:13" x14ac:dyDescent="0.25">
      <c r="A1669" s="675" t="s">
        <v>1882</v>
      </c>
      <c r="B1669" s="675" t="s">
        <v>564</v>
      </c>
      <c r="C1669" s="675" t="s">
        <v>1883</v>
      </c>
      <c r="D1669" s="675" t="s">
        <v>21</v>
      </c>
      <c r="E1669" s="675" t="s">
        <v>514</v>
      </c>
      <c r="F1669" s="675" t="s">
        <v>515</v>
      </c>
      <c r="G1669" s="675"/>
      <c r="H1669" s="675"/>
      <c r="I1669" s="675"/>
      <c r="J1669" s="675"/>
      <c r="K1669" s="675"/>
      <c r="L1669" s="675"/>
      <c r="M1669" s="675"/>
    </row>
    <row r="1670" spans="1:13" x14ac:dyDescent="0.25">
      <c r="A1670" s="675" t="s">
        <v>1884</v>
      </c>
      <c r="B1670" s="675" t="s">
        <v>512</v>
      </c>
      <c r="C1670" s="675" t="s">
        <v>873</v>
      </c>
      <c r="D1670" s="675" t="s">
        <v>21</v>
      </c>
      <c r="E1670" s="675" t="s">
        <v>514</v>
      </c>
      <c r="F1670" s="675" t="s">
        <v>515</v>
      </c>
      <c r="G1670" s="675"/>
      <c r="H1670" s="675"/>
      <c r="I1670" s="675"/>
      <c r="J1670" s="675"/>
      <c r="K1670" s="675"/>
      <c r="L1670" s="675"/>
      <c r="M1670" s="675"/>
    </row>
    <row r="1671" spans="1:13" x14ac:dyDescent="0.25">
      <c r="A1671" s="675" t="s">
        <v>1884</v>
      </c>
      <c r="B1671" s="675" t="s">
        <v>512</v>
      </c>
      <c r="C1671" s="675" t="s">
        <v>1885</v>
      </c>
      <c r="D1671" s="675" t="s">
        <v>21</v>
      </c>
      <c r="E1671" s="675" t="s">
        <v>514</v>
      </c>
      <c r="F1671" s="675" t="s">
        <v>515</v>
      </c>
      <c r="G1671" s="675"/>
      <c r="H1671" s="675"/>
      <c r="I1671" s="675"/>
      <c r="J1671" s="675"/>
      <c r="K1671" s="675"/>
      <c r="L1671" s="675"/>
      <c r="M1671" s="675"/>
    </row>
    <row r="1672" spans="1:13" x14ac:dyDescent="0.25">
      <c r="A1672" s="678" t="s">
        <v>1884</v>
      </c>
      <c r="B1672" s="678" t="s">
        <v>512</v>
      </c>
      <c r="C1672" s="678" t="s">
        <v>875</v>
      </c>
      <c r="D1672" s="678" t="s">
        <v>21</v>
      </c>
      <c r="E1672" s="678" t="s">
        <v>514</v>
      </c>
      <c r="F1672" s="678" t="s">
        <v>596</v>
      </c>
      <c r="G1672" s="675"/>
      <c r="H1672" s="675"/>
      <c r="I1672" s="675"/>
      <c r="J1672" s="675"/>
      <c r="K1672" s="675"/>
      <c r="L1672" s="675"/>
      <c r="M1672" s="675"/>
    </row>
    <row r="1673" spans="1:13" x14ac:dyDescent="0.25">
      <c r="A1673" s="678" t="s">
        <v>1884</v>
      </c>
      <c r="B1673" s="678" t="s">
        <v>512</v>
      </c>
      <c r="C1673" s="678" t="s">
        <v>1886</v>
      </c>
      <c r="D1673" s="678" t="s">
        <v>21</v>
      </c>
      <c r="E1673" s="678" t="s">
        <v>514</v>
      </c>
      <c r="F1673" s="678" t="s">
        <v>596</v>
      </c>
      <c r="G1673" s="675"/>
      <c r="H1673" s="675"/>
      <c r="I1673" s="675"/>
      <c r="J1673" s="675"/>
      <c r="K1673" s="675"/>
      <c r="L1673" s="675"/>
      <c r="M1673" s="675"/>
    </row>
    <row r="1674" spans="1:13" x14ac:dyDescent="0.25">
      <c r="A1674" s="675" t="s">
        <v>1884</v>
      </c>
      <c r="B1674" s="675" t="s">
        <v>512</v>
      </c>
      <c r="C1674" s="675" t="s">
        <v>1887</v>
      </c>
      <c r="D1674" s="675" t="s">
        <v>21</v>
      </c>
      <c r="E1674" s="675" t="s">
        <v>514</v>
      </c>
      <c r="F1674" s="675" t="s">
        <v>515</v>
      </c>
      <c r="G1674" s="675"/>
      <c r="H1674" s="675"/>
      <c r="I1674" s="675"/>
      <c r="J1674" s="675"/>
      <c r="K1674" s="675"/>
      <c r="L1674" s="675"/>
      <c r="M1674" s="675"/>
    </row>
    <row r="1675" spans="1:13" x14ac:dyDescent="0.25">
      <c r="A1675" s="675" t="s">
        <v>1884</v>
      </c>
      <c r="B1675" s="675" t="s">
        <v>512</v>
      </c>
      <c r="C1675" s="675" t="s">
        <v>1888</v>
      </c>
      <c r="D1675" s="675" t="s">
        <v>21</v>
      </c>
      <c r="E1675" s="675" t="s">
        <v>514</v>
      </c>
      <c r="F1675" s="675" t="s">
        <v>515</v>
      </c>
      <c r="G1675" s="675"/>
      <c r="H1675" s="675"/>
      <c r="I1675" s="675"/>
      <c r="J1675" s="675"/>
      <c r="K1675" s="675"/>
      <c r="L1675" s="675"/>
      <c r="M1675" s="675"/>
    </row>
    <row r="1676" spans="1:13" x14ac:dyDescent="0.25">
      <c r="A1676" s="675" t="s">
        <v>1884</v>
      </c>
      <c r="B1676" s="675" t="s">
        <v>545</v>
      </c>
      <c r="C1676" s="675" t="s">
        <v>1889</v>
      </c>
      <c r="D1676" s="675" t="s">
        <v>21</v>
      </c>
      <c r="E1676" s="675" t="s">
        <v>514</v>
      </c>
      <c r="F1676" s="675" t="s">
        <v>515</v>
      </c>
      <c r="G1676" s="675"/>
      <c r="H1676" s="675"/>
      <c r="I1676" s="675"/>
      <c r="J1676" s="675"/>
      <c r="K1676" s="675"/>
      <c r="L1676" s="675"/>
      <c r="M1676" s="675"/>
    </row>
    <row r="1677" spans="1:13" x14ac:dyDescent="0.25">
      <c r="A1677" s="675" t="s">
        <v>1884</v>
      </c>
      <c r="B1677" s="675" t="s">
        <v>545</v>
      </c>
      <c r="C1677" s="675" t="s">
        <v>1890</v>
      </c>
      <c r="D1677" s="675" t="s">
        <v>21</v>
      </c>
      <c r="E1677" s="675" t="s">
        <v>514</v>
      </c>
      <c r="F1677" s="675" t="s">
        <v>515</v>
      </c>
      <c r="G1677" s="675"/>
      <c r="H1677" s="675"/>
      <c r="I1677" s="675"/>
      <c r="J1677" s="675"/>
      <c r="K1677" s="675"/>
      <c r="L1677" s="675"/>
      <c r="M1677" s="675"/>
    </row>
    <row r="1678" spans="1:13" x14ac:dyDescent="0.25">
      <c r="A1678" s="675" t="s">
        <v>1884</v>
      </c>
      <c r="B1678" s="675" t="s">
        <v>545</v>
      </c>
      <c r="C1678" s="675" t="s">
        <v>1642</v>
      </c>
      <c r="D1678" s="675" t="s">
        <v>21</v>
      </c>
      <c r="E1678" s="675" t="s">
        <v>514</v>
      </c>
      <c r="F1678" s="675" t="s">
        <v>515</v>
      </c>
      <c r="G1678" s="675"/>
      <c r="H1678" s="675"/>
      <c r="I1678" s="675"/>
      <c r="J1678" s="675"/>
      <c r="K1678" s="675"/>
      <c r="L1678" s="675"/>
      <c r="M1678" s="675"/>
    </row>
    <row r="1679" spans="1:13" x14ac:dyDescent="0.25">
      <c r="A1679" s="675" t="s">
        <v>1884</v>
      </c>
      <c r="B1679" s="675" t="s">
        <v>545</v>
      </c>
      <c r="C1679" s="675" t="s">
        <v>1849</v>
      </c>
      <c r="D1679" s="675" t="s">
        <v>21</v>
      </c>
      <c r="E1679" s="675" t="s">
        <v>514</v>
      </c>
      <c r="F1679" s="675" t="s">
        <v>515</v>
      </c>
      <c r="G1679" s="675"/>
      <c r="H1679" s="675"/>
      <c r="I1679" s="675"/>
      <c r="J1679" s="675"/>
      <c r="K1679" s="675"/>
      <c r="L1679" s="675"/>
      <c r="M1679" s="675"/>
    </row>
    <row r="1680" spans="1:13" x14ac:dyDescent="0.25">
      <c r="A1680" s="675" t="s">
        <v>1884</v>
      </c>
      <c r="B1680" s="675" t="s">
        <v>545</v>
      </c>
      <c r="C1680" s="675" t="s">
        <v>1850</v>
      </c>
      <c r="D1680" s="675" t="s">
        <v>21</v>
      </c>
      <c r="E1680" s="675" t="s">
        <v>514</v>
      </c>
      <c r="F1680" s="675" t="s">
        <v>515</v>
      </c>
      <c r="G1680" s="675"/>
      <c r="H1680" s="675"/>
      <c r="I1680" s="675"/>
      <c r="J1680" s="675"/>
      <c r="K1680" s="675"/>
      <c r="L1680" s="675"/>
      <c r="M1680" s="675"/>
    </row>
    <row r="1681" spans="1:13" x14ac:dyDescent="0.25">
      <c r="A1681" s="675" t="s">
        <v>1884</v>
      </c>
      <c r="B1681" s="675" t="s">
        <v>545</v>
      </c>
      <c r="C1681" s="675" t="s">
        <v>1891</v>
      </c>
      <c r="D1681" s="675" t="s">
        <v>21</v>
      </c>
      <c r="E1681" s="675" t="s">
        <v>514</v>
      </c>
      <c r="F1681" s="675" t="s">
        <v>515</v>
      </c>
      <c r="G1681" s="675"/>
      <c r="H1681" s="675"/>
      <c r="I1681" s="675"/>
      <c r="J1681" s="675"/>
      <c r="K1681" s="675"/>
      <c r="L1681" s="675"/>
      <c r="M1681" s="675"/>
    </row>
    <row r="1682" spans="1:13" x14ac:dyDescent="0.25">
      <c r="A1682" s="675" t="s">
        <v>1884</v>
      </c>
      <c r="B1682" s="675" t="s">
        <v>545</v>
      </c>
      <c r="C1682" s="675" t="s">
        <v>1645</v>
      </c>
      <c r="D1682" s="675" t="s">
        <v>21</v>
      </c>
      <c r="E1682" s="675" t="s">
        <v>514</v>
      </c>
      <c r="F1682" s="675" t="s">
        <v>515</v>
      </c>
      <c r="G1682" s="675"/>
      <c r="H1682" s="675"/>
      <c r="I1682" s="675"/>
      <c r="J1682" s="675"/>
      <c r="K1682" s="675"/>
      <c r="L1682" s="675"/>
      <c r="M1682" s="675"/>
    </row>
    <row r="1683" spans="1:13" x14ac:dyDescent="0.25">
      <c r="A1683" s="675" t="s">
        <v>1884</v>
      </c>
      <c r="B1683" s="675" t="s">
        <v>545</v>
      </c>
      <c r="C1683" s="675" t="s">
        <v>1892</v>
      </c>
      <c r="D1683" s="675" t="s">
        <v>21</v>
      </c>
      <c r="E1683" s="675" t="s">
        <v>514</v>
      </c>
      <c r="F1683" s="675" t="s">
        <v>515</v>
      </c>
      <c r="G1683" s="675"/>
      <c r="H1683" s="675"/>
      <c r="I1683" s="675"/>
      <c r="J1683" s="675"/>
      <c r="K1683" s="675"/>
      <c r="L1683" s="675"/>
      <c r="M1683" s="675"/>
    </row>
    <row r="1684" spans="1:13" x14ac:dyDescent="0.25">
      <c r="A1684" s="675" t="s">
        <v>1884</v>
      </c>
      <c r="B1684" s="675" t="s">
        <v>545</v>
      </c>
      <c r="C1684" s="675" t="s">
        <v>1647</v>
      </c>
      <c r="D1684" s="675" t="s">
        <v>21</v>
      </c>
      <c r="E1684" s="675" t="s">
        <v>514</v>
      </c>
      <c r="F1684" s="675" t="s">
        <v>515</v>
      </c>
      <c r="G1684" s="675"/>
      <c r="H1684" s="675"/>
      <c r="I1684" s="675"/>
      <c r="J1684" s="675"/>
      <c r="K1684" s="675"/>
      <c r="L1684" s="675"/>
      <c r="M1684" s="675"/>
    </row>
    <row r="1685" spans="1:13" x14ac:dyDescent="0.25">
      <c r="A1685" s="675" t="s">
        <v>1884</v>
      </c>
      <c r="B1685" s="675" t="s">
        <v>545</v>
      </c>
      <c r="C1685" s="675" t="s">
        <v>1648</v>
      </c>
      <c r="D1685" s="675" t="s">
        <v>21</v>
      </c>
      <c r="E1685" s="675" t="s">
        <v>514</v>
      </c>
      <c r="F1685" s="675" t="s">
        <v>515</v>
      </c>
      <c r="G1685" s="675"/>
      <c r="H1685" s="675"/>
      <c r="I1685" s="675"/>
      <c r="J1685" s="675"/>
      <c r="K1685" s="675"/>
      <c r="L1685" s="675"/>
      <c r="M1685" s="675"/>
    </row>
    <row r="1686" spans="1:13" x14ac:dyDescent="0.25">
      <c r="A1686" s="675" t="s">
        <v>1884</v>
      </c>
      <c r="B1686" s="675" t="s">
        <v>545</v>
      </c>
      <c r="C1686" s="675" t="s">
        <v>1893</v>
      </c>
      <c r="D1686" s="675" t="s">
        <v>21</v>
      </c>
      <c r="E1686" s="675" t="s">
        <v>514</v>
      </c>
      <c r="F1686" s="675" t="s">
        <v>515</v>
      </c>
      <c r="G1686" s="675"/>
      <c r="H1686" s="675"/>
      <c r="I1686" s="675"/>
      <c r="J1686" s="675"/>
      <c r="K1686" s="675"/>
      <c r="L1686" s="675"/>
      <c r="M1686" s="675"/>
    </row>
    <row r="1687" spans="1:13" x14ac:dyDescent="0.25">
      <c r="A1687" s="678" t="s">
        <v>1884</v>
      </c>
      <c r="B1687" s="678" t="s">
        <v>545</v>
      </c>
      <c r="C1687" s="678" t="s">
        <v>1894</v>
      </c>
      <c r="D1687" s="678" t="s">
        <v>21</v>
      </c>
      <c r="E1687" s="678" t="s">
        <v>514</v>
      </c>
      <c r="F1687" s="678" t="s">
        <v>636</v>
      </c>
      <c r="G1687" s="675"/>
      <c r="H1687" s="675"/>
      <c r="I1687" s="675"/>
      <c r="J1687" s="675"/>
      <c r="K1687" s="675"/>
      <c r="L1687" s="675"/>
      <c r="M1687" s="675"/>
    </row>
    <row r="1688" spans="1:13" x14ac:dyDescent="0.25">
      <c r="A1688" s="675" t="s">
        <v>1884</v>
      </c>
      <c r="B1688" s="675" t="s">
        <v>545</v>
      </c>
      <c r="C1688" s="675" t="s">
        <v>1895</v>
      </c>
      <c r="D1688" s="675" t="s">
        <v>21</v>
      </c>
      <c r="E1688" s="675" t="s">
        <v>514</v>
      </c>
      <c r="F1688" s="675" t="s">
        <v>515</v>
      </c>
      <c r="G1688" s="675"/>
      <c r="H1688" s="675"/>
      <c r="I1688" s="675"/>
      <c r="J1688" s="675"/>
      <c r="K1688" s="675"/>
      <c r="L1688" s="675"/>
      <c r="M1688" s="675"/>
    </row>
    <row r="1689" spans="1:13" x14ac:dyDescent="0.25">
      <c r="A1689" s="675" t="s">
        <v>1884</v>
      </c>
      <c r="B1689" s="675" t="s">
        <v>545</v>
      </c>
      <c r="C1689" s="675" t="s">
        <v>1896</v>
      </c>
      <c r="D1689" s="675" t="s">
        <v>21</v>
      </c>
      <c r="E1689" s="675" t="s">
        <v>514</v>
      </c>
      <c r="F1689" s="675" t="s">
        <v>515</v>
      </c>
      <c r="G1689" s="675"/>
      <c r="H1689" s="675"/>
      <c r="I1689" s="675"/>
      <c r="J1689" s="675"/>
      <c r="K1689" s="675"/>
      <c r="L1689" s="675"/>
      <c r="M1689" s="675"/>
    </row>
    <row r="1690" spans="1:13" x14ac:dyDescent="0.25">
      <c r="A1690" s="675" t="s">
        <v>1884</v>
      </c>
      <c r="B1690" s="675" t="s">
        <v>545</v>
      </c>
      <c r="C1690" s="675" t="s">
        <v>1651</v>
      </c>
      <c r="D1690" s="675" t="s">
        <v>21</v>
      </c>
      <c r="E1690" s="675" t="s">
        <v>514</v>
      </c>
      <c r="F1690" s="675" t="s">
        <v>515</v>
      </c>
      <c r="G1690" s="675"/>
      <c r="H1690" s="675"/>
      <c r="I1690" s="675"/>
      <c r="J1690" s="675"/>
      <c r="K1690" s="675"/>
      <c r="L1690" s="675"/>
      <c r="M1690" s="675"/>
    </row>
    <row r="1691" spans="1:13" x14ac:dyDescent="0.25">
      <c r="A1691" s="675" t="s">
        <v>1884</v>
      </c>
      <c r="B1691" s="675" t="s">
        <v>564</v>
      </c>
      <c r="C1691" s="675" t="s">
        <v>1897</v>
      </c>
      <c r="D1691" s="675" t="s">
        <v>21</v>
      </c>
      <c r="E1691" s="675" t="s">
        <v>514</v>
      </c>
      <c r="F1691" s="675" t="s">
        <v>515</v>
      </c>
      <c r="G1691" s="675"/>
      <c r="H1691" s="675"/>
      <c r="I1691" s="675"/>
      <c r="J1691" s="675"/>
      <c r="K1691" s="675"/>
      <c r="L1691" s="675"/>
      <c r="M1691" s="675"/>
    </row>
    <row r="1692" spans="1:13" x14ac:dyDescent="0.25">
      <c r="A1692" s="675" t="s">
        <v>1884</v>
      </c>
      <c r="B1692" s="675" t="s">
        <v>564</v>
      </c>
      <c r="C1692" s="675" t="s">
        <v>1898</v>
      </c>
      <c r="D1692" s="675" t="s">
        <v>21</v>
      </c>
      <c r="E1692" s="675" t="s">
        <v>514</v>
      </c>
      <c r="F1692" s="675" t="s">
        <v>515</v>
      </c>
      <c r="G1692" s="675"/>
      <c r="H1692" s="675"/>
      <c r="I1692" s="675"/>
      <c r="J1692" s="675"/>
      <c r="K1692" s="675"/>
      <c r="L1692" s="675"/>
      <c r="M1692" s="675"/>
    </row>
    <row r="1693" spans="1:13" x14ac:dyDescent="0.25">
      <c r="A1693" s="675" t="s">
        <v>1884</v>
      </c>
      <c r="B1693" s="675" t="s">
        <v>564</v>
      </c>
      <c r="C1693" s="675" t="s">
        <v>1899</v>
      </c>
      <c r="D1693" s="675" t="s">
        <v>21</v>
      </c>
      <c r="E1693" s="675" t="s">
        <v>514</v>
      </c>
      <c r="F1693" s="675" t="s">
        <v>515</v>
      </c>
      <c r="G1693" s="675"/>
      <c r="H1693" s="675"/>
      <c r="I1693" s="675"/>
      <c r="J1693" s="675"/>
      <c r="K1693" s="675"/>
      <c r="L1693" s="675"/>
      <c r="M1693" s="675"/>
    </row>
    <row r="1694" spans="1:13" x14ac:dyDescent="0.25">
      <c r="A1694" s="675" t="s">
        <v>1900</v>
      </c>
      <c r="B1694" s="675" t="s">
        <v>512</v>
      </c>
      <c r="C1694" s="675" t="s">
        <v>953</v>
      </c>
      <c r="D1694" s="675" t="s">
        <v>21</v>
      </c>
      <c r="E1694" s="675" t="s">
        <v>514</v>
      </c>
      <c r="F1694" s="675" t="s">
        <v>515</v>
      </c>
      <c r="G1694" s="675"/>
      <c r="H1694" s="675"/>
      <c r="I1694" s="675"/>
      <c r="J1694" s="675"/>
      <c r="K1694" s="675"/>
      <c r="L1694" s="675"/>
      <c r="M1694" s="675"/>
    </row>
    <row r="1695" spans="1:13" x14ac:dyDescent="0.25">
      <c r="A1695" s="675" t="s">
        <v>1900</v>
      </c>
      <c r="B1695" s="675" t="s">
        <v>512</v>
      </c>
      <c r="C1695" s="675" t="s">
        <v>1901</v>
      </c>
      <c r="D1695" s="675" t="s">
        <v>21</v>
      </c>
      <c r="E1695" s="675" t="s">
        <v>514</v>
      </c>
      <c r="F1695" s="675" t="s">
        <v>515</v>
      </c>
      <c r="G1695" s="675"/>
      <c r="H1695" s="675"/>
      <c r="I1695" s="675"/>
      <c r="J1695" s="675"/>
      <c r="K1695" s="675"/>
      <c r="L1695" s="675"/>
      <c r="M1695" s="675"/>
    </row>
    <row r="1696" spans="1:13" x14ac:dyDescent="0.25">
      <c r="A1696" s="675" t="s">
        <v>1900</v>
      </c>
      <c r="B1696" s="675" t="s">
        <v>512</v>
      </c>
      <c r="C1696" s="675" t="s">
        <v>1902</v>
      </c>
      <c r="D1696" s="675" t="s">
        <v>21</v>
      </c>
      <c r="E1696" s="675" t="s">
        <v>514</v>
      </c>
      <c r="F1696" s="675" t="s">
        <v>515</v>
      </c>
      <c r="G1696" s="675"/>
      <c r="H1696" s="675"/>
      <c r="I1696" s="675"/>
      <c r="J1696" s="675"/>
      <c r="K1696" s="675"/>
      <c r="L1696" s="675"/>
      <c r="M1696" s="675"/>
    </row>
    <row r="1697" spans="1:13" x14ac:dyDescent="0.25">
      <c r="A1697" s="675" t="s">
        <v>1900</v>
      </c>
      <c r="B1697" s="675" t="s">
        <v>512</v>
      </c>
      <c r="C1697" s="675" t="s">
        <v>1903</v>
      </c>
      <c r="D1697" s="675" t="s">
        <v>21</v>
      </c>
      <c r="E1697" s="675" t="s">
        <v>514</v>
      </c>
      <c r="F1697" s="675" t="s">
        <v>515</v>
      </c>
      <c r="G1697" s="675"/>
      <c r="H1697" s="675"/>
      <c r="I1697" s="675"/>
      <c r="J1697" s="675"/>
      <c r="K1697" s="675"/>
      <c r="L1697" s="675"/>
      <c r="M1697" s="675"/>
    </row>
    <row r="1698" spans="1:13" x14ac:dyDescent="0.25">
      <c r="A1698" s="678" t="s">
        <v>1900</v>
      </c>
      <c r="B1698" s="678" t="s">
        <v>512</v>
      </c>
      <c r="C1698" s="678" t="s">
        <v>1904</v>
      </c>
      <c r="D1698" s="678" t="s">
        <v>21</v>
      </c>
      <c r="E1698" s="678" t="s">
        <v>514</v>
      </c>
      <c r="F1698" s="678" t="s">
        <v>596</v>
      </c>
      <c r="G1698" s="675"/>
      <c r="H1698" s="675"/>
      <c r="I1698" s="675"/>
      <c r="J1698" s="675"/>
      <c r="K1698" s="675"/>
      <c r="L1698" s="675"/>
      <c r="M1698" s="675"/>
    </row>
    <row r="1699" spans="1:13" x14ac:dyDescent="0.25">
      <c r="A1699" s="675" t="s">
        <v>1900</v>
      </c>
      <c r="B1699" s="675" t="s">
        <v>512</v>
      </c>
      <c r="C1699" s="675" t="s">
        <v>1904</v>
      </c>
      <c r="D1699" s="675" t="s">
        <v>21</v>
      </c>
      <c r="E1699" s="675" t="s">
        <v>514</v>
      </c>
      <c r="F1699" s="675" t="s">
        <v>515</v>
      </c>
      <c r="G1699" s="675"/>
      <c r="H1699" s="675"/>
      <c r="I1699" s="675"/>
      <c r="J1699" s="675"/>
      <c r="K1699" s="675"/>
      <c r="L1699" s="675"/>
      <c r="M1699" s="675"/>
    </row>
    <row r="1700" spans="1:13" x14ac:dyDescent="0.25">
      <c r="A1700" s="675" t="s">
        <v>1900</v>
      </c>
      <c r="B1700" s="675" t="s">
        <v>512</v>
      </c>
      <c r="C1700" s="675" t="s">
        <v>1905</v>
      </c>
      <c r="D1700" s="675" t="s">
        <v>21</v>
      </c>
      <c r="E1700" s="675" t="s">
        <v>514</v>
      </c>
      <c r="F1700" s="675" t="s">
        <v>515</v>
      </c>
      <c r="G1700" s="675"/>
      <c r="H1700" s="675"/>
      <c r="I1700" s="675"/>
      <c r="J1700" s="675"/>
      <c r="K1700" s="675"/>
      <c r="L1700" s="675"/>
      <c r="M1700" s="675"/>
    </row>
    <row r="1701" spans="1:13" x14ac:dyDescent="0.25">
      <c r="A1701" s="675" t="s">
        <v>1900</v>
      </c>
      <c r="B1701" s="675" t="s">
        <v>512</v>
      </c>
      <c r="C1701" s="675" t="s">
        <v>955</v>
      </c>
      <c r="D1701" s="675" t="s">
        <v>21</v>
      </c>
      <c r="E1701" s="675" t="s">
        <v>514</v>
      </c>
      <c r="F1701" s="675" t="s">
        <v>515</v>
      </c>
      <c r="G1701" s="675"/>
      <c r="H1701" s="675"/>
      <c r="I1701" s="675"/>
      <c r="J1701" s="675"/>
      <c r="K1701" s="675"/>
      <c r="L1701" s="675"/>
      <c r="M1701" s="675"/>
    </row>
    <row r="1702" spans="1:13" x14ac:dyDescent="0.25">
      <c r="A1702" s="675" t="s">
        <v>1900</v>
      </c>
      <c r="B1702" s="675" t="s">
        <v>512</v>
      </c>
      <c r="C1702" s="675" t="s">
        <v>968</v>
      </c>
      <c r="D1702" s="675" t="s">
        <v>21</v>
      </c>
      <c r="E1702" s="675" t="s">
        <v>514</v>
      </c>
      <c r="F1702" s="675" t="s">
        <v>515</v>
      </c>
      <c r="G1702" s="675"/>
      <c r="H1702" s="675"/>
      <c r="I1702" s="675"/>
      <c r="J1702" s="675"/>
      <c r="K1702" s="675"/>
      <c r="L1702" s="675"/>
      <c r="M1702" s="675"/>
    </row>
    <row r="1703" spans="1:13" x14ac:dyDescent="0.25">
      <c r="A1703" s="675" t="s">
        <v>1900</v>
      </c>
      <c r="B1703" s="675" t="s">
        <v>512</v>
      </c>
      <c r="C1703" s="675" t="s">
        <v>969</v>
      </c>
      <c r="D1703" s="675" t="s">
        <v>21</v>
      </c>
      <c r="E1703" s="675" t="s">
        <v>514</v>
      </c>
      <c r="F1703" s="675" t="s">
        <v>515</v>
      </c>
      <c r="G1703" s="675"/>
      <c r="H1703" s="675"/>
      <c r="I1703" s="675"/>
      <c r="J1703" s="675"/>
      <c r="K1703" s="675"/>
      <c r="L1703" s="675"/>
      <c r="M1703" s="675"/>
    </row>
    <row r="1704" spans="1:13" x14ac:dyDescent="0.25">
      <c r="A1704" s="675" t="s">
        <v>1900</v>
      </c>
      <c r="B1704" s="675" t="s">
        <v>545</v>
      </c>
      <c r="C1704" s="675" t="s">
        <v>1906</v>
      </c>
      <c r="D1704" s="675" t="s">
        <v>21</v>
      </c>
      <c r="E1704" s="675" t="s">
        <v>514</v>
      </c>
      <c r="F1704" s="675" t="s">
        <v>515</v>
      </c>
      <c r="G1704" s="675"/>
      <c r="H1704" s="675"/>
      <c r="I1704" s="675"/>
      <c r="J1704" s="675"/>
      <c r="K1704" s="675"/>
      <c r="L1704" s="675"/>
      <c r="M1704" s="675"/>
    </row>
    <row r="1705" spans="1:13" x14ac:dyDescent="0.25">
      <c r="A1705" s="675" t="s">
        <v>1900</v>
      </c>
      <c r="B1705" s="675" t="s">
        <v>545</v>
      </c>
      <c r="C1705" s="675" t="s">
        <v>1907</v>
      </c>
      <c r="D1705" s="675" t="s">
        <v>21</v>
      </c>
      <c r="E1705" s="675" t="s">
        <v>514</v>
      </c>
      <c r="F1705" s="675" t="s">
        <v>515</v>
      </c>
      <c r="G1705" s="675"/>
      <c r="H1705" s="675"/>
      <c r="I1705" s="675"/>
      <c r="J1705" s="675"/>
      <c r="K1705" s="675"/>
      <c r="L1705" s="675"/>
      <c r="M1705" s="675"/>
    </row>
    <row r="1706" spans="1:13" x14ac:dyDescent="0.25">
      <c r="A1706" s="675" t="s">
        <v>1900</v>
      </c>
      <c r="B1706" s="675" t="s">
        <v>545</v>
      </c>
      <c r="C1706" s="675" t="s">
        <v>1908</v>
      </c>
      <c r="D1706" s="675" t="s">
        <v>21</v>
      </c>
      <c r="E1706" s="675" t="s">
        <v>514</v>
      </c>
      <c r="F1706" s="675" t="s">
        <v>515</v>
      </c>
      <c r="G1706" s="675"/>
      <c r="H1706" s="675"/>
      <c r="I1706" s="675"/>
      <c r="J1706" s="675"/>
      <c r="K1706" s="675"/>
      <c r="L1706" s="675"/>
      <c r="M1706" s="675"/>
    </row>
    <row r="1707" spans="1:13" x14ac:dyDescent="0.25">
      <c r="A1707" s="675" t="s">
        <v>1900</v>
      </c>
      <c r="B1707" s="675" t="s">
        <v>545</v>
      </c>
      <c r="C1707" s="675" t="s">
        <v>1909</v>
      </c>
      <c r="D1707" s="675" t="s">
        <v>21</v>
      </c>
      <c r="E1707" s="675" t="s">
        <v>514</v>
      </c>
      <c r="F1707" s="675" t="s">
        <v>515</v>
      </c>
      <c r="G1707" s="675"/>
      <c r="H1707" s="675"/>
      <c r="I1707" s="675"/>
      <c r="J1707" s="675"/>
      <c r="K1707" s="675"/>
      <c r="L1707" s="675"/>
      <c r="M1707" s="675"/>
    </row>
    <row r="1708" spans="1:13" x14ac:dyDescent="0.25">
      <c r="A1708" s="675" t="s">
        <v>1900</v>
      </c>
      <c r="B1708" s="675" t="s">
        <v>545</v>
      </c>
      <c r="C1708" s="675" t="s">
        <v>1910</v>
      </c>
      <c r="D1708" s="675" t="s">
        <v>21</v>
      </c>
      <c r="E1708" s="675" t="s">
        <v>514</v>
      </c>
      <c r="F1708" s="675" t="s">
        <v>515</v>
      </c>
      <c r="G1708" s="675"/>
      <c r="H1708" s="675"/>
      <c r="I1708" s="675"/>
      <c r="J1708" s="675"/>
      <c r="K1708" s="675"/>
      <c r="L1708" s="675"/>
      <c r="M1708" s="675"/>
    </row>
    <row r="1709" spans="1:13" x14ac:dyDescent="0.25">
      <c r="A1709" s="675" t="s">
        <v>1900</v>
      </c>
      <c r="B1709" s="675" t="s">
        <v>545</v>
      </c>
      <c r="C1709" s="675" t="s">
        <v>1911</v>
      </c>
      <c r="D1709" s="675" t="s">
        <v>21</v>
      </c>
      <c r="E1709" s="675" t="s">
        <v>514</v>
      </c>
      <c r="F1709" s="675" t="s">
        <v>515</v>
      </c>
      <c r="G1709" s="675"/>
      <c r="H1709" s="675"/>
      <c r="I1709" s="675"/>
      <c r="J1709" s="675"/>
      <c r="K1709" s="675"/>
      <c r="L1709" s="675"/>
      <c r="M1709" s="675"/>
    </row>
    <row r="1710" spans="1:13" x14ac:dyDescent="0.25">
      <c r="A1710" s="675" t="s">
        <v>1912</v>
      </c>
      <c r="B1710" s="675" t="s">
        <v>512</v>
      </c>
      <c r="C1710" s="675" t="s">
        <v>1913</v>
      </c>
      <c r="D1710" s="675" t="s">
        <v>21</v>
      </c>
      <c r="E1710" s="702"/>
      <c r="F1710" s="702"/>
      <c r="G1710" s="675"/>
      <c r="H1710" s="675"/>
      <c r="I1710" s="675"/>
      <c r="J1710" s="675"/>
      <c r="K1710" s="675"/>
      <c r="L1710" s="675"/>
      <c r="M1710" s="675"/>
    </row>
    <row r="1711" spans="1:13" x14ac:dyDescent="0.25">
      <c r="A1711" s="675" t="s">
        <v>1912</v>
      </c>
      <c r="B1711" s="675" t="s">
        <v>512</v>
      </c>
      <c r="C1711" s="675" t="s">
        <v>1914</v>
      </c>
      <c r="D1711" s="675" t="s">
        <v>21</v>
      </c>
      <c r="E1711" s="702"/>
      <c r="F1711" s="702"/>
      <c r="G1711" s="675"/>
      <c r="H1711" s="675"/>
      <c r="I1711" s="675"/>
      <c r="J1711" s="675"/>
      <c r="K1711" s="675"/>
      <c r="L1711" s="675"/>
      <c r="M1711" s="675"/>
    </row>
    <row r="1712" spans="1:13" x14ac:dyDescent="0.25">
      <c r="A1712" s="675" t="s">
        <v>1912</v>
      </c>
      <c r="B1712" s="675" t="s">
        <v>512</v>
      </c>
      <c r="C1712" s="675" t="s">
        <v>1915</v>
      </c>
      <c r="D1712" s="675" t="s">
        <v>21</v>
      </c>
      <c r="E1712" s="702"/>
      <c r="F1712" s="702"/>
      <c r="G1712" s="675"/>
      <c r="H1712" s="675"/>
      <c r="I1712" s="675"/>
      <c r="J1712" s="675"/>
      <c r="K1712" s="675"/>
      <c r="L1712" s="675"/>
      <c r="M1712" s="675"/>
    </row>
    <row r="1713" spans="1:13" x14ac:dyDescent="0.25">
      <c r="A1713" s="675" t="s">
        <v>1912</v>
      </c>
      <c r="B1713" s="675" t="s">
        <v>512</v>
      </c>
      <c r="C1713" s="675" t="s">
        <v>1916</v>
      </c>
      <c r="D1713" s="675" t="s">
        <v>21</v>
      </c>
      <c r="E1713" s="702"/>
      <c r="F1713" s="702"/>
      <c r="G1713" s="675"/>
      <c r="H1713" s="675"/>
      <c r="I1713" s="675"/>
      <c r="J1713" s="675"/>
      <c r="K1713" s="675"/>
      <c r="L1713" s="675"/>
      <c r="M1713" s="675"/>
    </row>
    <row r="1714" spans="1:13" x14ac:dyDescent="0.25">
      <c r="A1714" s="675" t="s">
        <v>1912</v>
      </c>
      <c r="B1714" s="675" t="s">
        <v>512</v>
      </c>
      <c r="C1714" s="675" t="s">
        <v>1917</v>
      </c>
      <c r="D1714" s="675" t="s">
        <v>21</v>
      </c>
      <c r="E1714" s="702"/>
      <c r="F1714" s="702"/>
      <c r="G1714" s="675"/>
      <c r="H1714" s="675"/>
      <c r="I1714" s="675"/>
      <c r="J1714" s="675"/>
      <c r="K1714" s="675"/>
      <c r="L1714" s="675"/>
      <c r="M1714" s="675"/>
    </row>
    <row r="1715" spans="1:13" x14ac:dyDescent="0.25">
      <c r="A1715" s="675" t="s">
        <v>1912</v>
      </c>
      <c r="B1715" s="675" t="s">
        <v>545</v>
      </c>
      <c r="C1715" s="675" t="s">
        <v>1918</v>
      </c>
      <c r="D1715" s="675" t="s">
        <v>21</v>
      </c>
      <c r="E1715" s="702"/>
      <c r="F1715" s="702"/>
      <c r="G1715" s="675"/>
      <c r="H1715" s="675"/>
      <c r="I1715" s="675"/>
      <c r="J1715" s="675"/>
      <c r="K1715" s="675"/>
      <c r="L1715" s="675"/>
      <c r="M1715" s="675"/>
    </row>
    <row r="1716" spans="1:13" x14ac:dyDescent="0.25">
      <c r="A1716" s="675" t="s">
        <v>1912</v>
      </c>
      <c r="B1716" s="675" t="s">
        <v>545</v>
      </c>
      <c r="C1716" s="675" t="s">
        <v>1919</v>
      </c>
      <c r="D1716" s="675" t="s">
        <v>21</v>
      </c>
      <c r="E1716" s="702"/>
      <c r="F1716" s="702"/>
      <c r="G1716" s="675"/>
      <c r="H1716" s="675"/>
      <c r="I1716" s="675"/>
      <c r="J1716" s="675"/>
      <c r="K1716" s="675"/>
      <c r="L1716" s="675"/>
      <c r="M1716" s="675"/>
    </row>
    <row r="1717" spans="1:13" x14ac:dyDescent="0.25">
      <c r="A1717" s="675" t="s">
        <v>1912</v>
      </c>
      <c r="B1717" s="675" t="s">
        <v>545</v>
      </c>
      <c r="C1717" s="675" t="s">
        <v>1920</v>
      </c>
      <c r="D1717" s="675" t="s">
        <v>21</v>
      </c>
      <c r="E1717" s="702"/>
      <c r="F1717" s="702"/>
      <c r="G1717" s="675"/>
      <c r="H1717" s="675"/>
      <c r="I1717" s="675"/>
      <c r="J1717" s="675"/>
      <c r="K1717" s="675"/>
      <c r="L1717" s="675"/>
      <c r="M1717" s="675"/>
    </row>
    <row r="1718" spans="1:13" x14ac:dyDescent="0.25">
      <c r="A1718" s="675" t="s">
        <v>1912</v>
      </c>
      <c r="B1718" s="675" t="s">
        <v>545</v>
      </c>
      <c r="C1718" s="675" t="s">
        <v>1921</v>
      </c>
      <c r="D1718" s="675" t="s">
        <v>21</v>
      </c>
      <c r="E1718" s="702"/>
      <c r="F1718" s="702"/>
      <c r="G1718" s="675"/>
      <c r="H1718" s="675"/>
      <c r="I1718" s="675"/>
      <c r="J1718" s="675"/>
      <c r="K1718" s="675"/>
      <c r="L1718" s="675"/>
      <c r="M1718" s="675"/>
    </row>
    <row r="1719" spans="1:13" x14ac:dyDescent="0.25">
      <c r="A1719" s="675" t="s">
        <v>1912</v>
      </c>
      <c r="B1719" s="675" t="s">
        <v>545</v>
      </c>
      <c r="C1719" s="675" t="s">
        <v>1922</v>
      </c>
      <c r="D1719" s="675" t="s">
        <v>21</v>
      </c>
      <c r="E1719" s="702"/>
      <c r="F1719" s="702"/>
      <c r="G1719" s="675"/>
      <c r="H1719" s="675"/>
      <c r="I1719" s="675"/>
      <c r="J1719" s="675"/>
      <c r="K1719" s="675"/>
      <c r="L1719" s="675"/>
      <c r="M1719" s="675"/>
    </row>
    <row r="1720" spans="1:13" x14ac:dyDescent="0.25">
      <c r="A1720" s="675" t="s">
        <v>1912</v>
      </c>
      <c r="B1720" s="675" t="s">
        <v>564</v>
      </c>
      <c r="C1720" s="675" t="s">
        <v>1923</v>
      </c>
      <c r="D1720" s="675" t="s">
        <v>21</v>
      </c>
      <c r="E1720" s="702"/>
      <c r="F1720" s="702"/>
      <c r="G1720" s="675"/>
      <c r="H1720" s="675"/>
      <c r="I1720" s="675"/>
      <c r="J1720" s="675"/>
      <c r="K1720" s="675"/>
      <c r="L1720" s="675"/>
      <c r="M1720" s="675"/>
    </row>
    <row r="1721" spans="1:13" x14ac:dyDescent="0.25">
      <c r="A1721" s="675" t="s">
        <v>1912</v>
      </c>
      <c r="B1721" s="675" t="s">
        <v>564</v>
      </c>
      <c r="C1721" s="675" t="s">
        <v>1924</v>
      </c>
      <c r="D1721" s="675" t="s">
        <v>21</v>
      </c>
      <c r="E1721" s="702"/>
      <c r="F1721" s="702"/>
      <c r="G1721" s="675"/>
      <c r="H1721" s="675"/>
      <c r="I1721" s="675"/>
      <c r="J1721" s="675"/>
      <c r="K1721" s="675"/>
      <c r="L1721" s="675"/>
      <c r="M1721" s="675"/>
    </row>
    <row r="1722" spans="1:13" x14ac:dyDescent="0.25">
      <c r="A1722" s="675" t="s">
        <v>1912</v>
      </c>
      <c r="B1722" s="675" t="s">
        <v>564</v>
      </c>
      <c r="C1722" s="675" t="s">
        <v>1925</v>
      </c>
      <c r="D1722" s="675" t="s">
        <v>21</v>
      </c>
      <c r="E1722" s="702"/>
      <c r="F1722" s="702"/>
      <c r="G1722" s="675"/>
      <c r="H1722" s="675"/>
      <c r="I1722" s="675"/>
      <c r="J1722" s="675"/>
      <c r="K1722" s="675"/>
      <c r="L1722" s="675"/>
      <c r="M1722" s="675"/>
    </row>
    <row r="1723" spans="1:13" x14ac:dyDescent="0.25">
      <c r="A1723" s="675" t="s">
        <v>1912</v>
      </c>
      <c r="B1723" s="675" t="s">
        <v>564</v>
      </c>
      <c r="C1723" s="675" t="s">
        <v>1926</v>
      </c>
      <c r="D1723" s="675" t="s">
        <v>21</v>
      </c>
      <c r="E1723" s="702"/>
      <c r="F1723" s="702"/>
      <c r="G1723" s="675"/>
      <c r="H1723" s="675"/>
      <c r="I1723" s="675"/>
      <c r="J1723" s="675"/>
      <c r="K1723" s="675"/>
      <c r="L1723" s="675"/>
      <c r="M1723" s="675"/>
    </row>
    <row r="1724" spans="1:13" x14ac:dyDescent="0.25">
      <c r="A1724" s="675" t="s">
        <v>1912</v>
      </c>
      <c r="B1724" s="675" t="s">
        <v>564</v>
      </c>
      <c r="C1724" s="675" t="s">
        <v>1927</v>
      </c>
      <c r="D1724" s="675" t="s">
        <v>21</v>
      </c>
      <c r="E1724" s="702"/>
      <c r="F1724" s="702"/>
      <c r="G1724" s="675"/>
      <c r="H1724" s="675"/>
      <c r="I1724" s="675"/>
      <c r="J1724" s="675"/>
      <c r="K1724" s="675"/>
      <c r="L1724" s="675"/>
      <c r="M1724" s="675"/>
    </row>
    <row r="1725" spans="1:13" x14ac:dyDescent="0.25">
      <c r="A1725" s="675" t="s">
        <v>1928</v>
      </c>
      <c r="B1725" s="675" t="s">
        <v>512</v>
      </c>
      <c r="C1725" s="675" t="s">
        <v>863</v>
      </c>
      <c r="D1725" s="675" t="s">
        <v>21</v>
      </c>
      <c r="E1725" s="675" t="s">
        <v>514</v>
      </c>
      <c r="F1725" s="675" t="s">
        <v>515</v>
      </c>
      <c r="G1725" s="675"/>
      <c r="H1725" s="675"/>
      <c r="I1725" s="675"/>
      <c r="J1725" s="675"/>
      <c r="K1725" s="675"/>
      <c r="L1725" s="675"/>
      <c r="M1725" s="675"/>
    </row>
    <row r="1726" spans="1:13" x14ac:dyDescent="0.25">
      <c r="A1726" s="675" t="s">
        <v>1928</v>
      </c>
      <c r="B1726" s="675" t="s">
        <v>512</v>
      </c>
      <c r="C1726" s="675" t="s">
        <v>809</v>
      </c>
      <c r="D1726" s="675" t="s">
        <v>21</v>
      </c>
      <c r="E1726" s="675" t="s">
        <v>514</v>
      </c>
      <c r="F1726" s="675" t="s">
        <v>515</v>
      </c>
      <c r="G1726" s="675"/>
      <c r="H1726" s="675"/>
      <c r="I1726" s="675"/>
      <c r="J1726" s="675"/>
      <c r="K1726" s="675"/>
      <c r="L1726" s="675"/>
      <c r="M1726" s="675"/>
    </row>
    <row r="1727" spans="1:13" x14ac:dyDescent="0.25">
      <c r="A1727" s="675" t="s">
        <v>1928</v>
      </c>
      <c r="B1727" s="675" t="s">
        <v>512</v>
      </c>
      <c r="C1727" s="675" t="s">
        <v>1929</v>
      </c>
      <c r="D1727" s="675" t="s">
        <v>21</v>
      </c>
      <c r="E1727" s="675" t="s">
        <v>514</v>
      </c>
      <c r="F1727" s="675" t="s">
        <v>515</v>
      </c>
      <c r="G1727" s="675"/>
      <c r="H1727" s="675"/>
      <c r="I1727" s="675"/>
      <c r="J1727" s="675"/>
      <c r="K1727" s="675"/>
      <c r="L1727" s="675"/>
      <c r="M1727" s="675"/>
    </row>
    <row r="1728" spans="1:13" x14ac:dyDescent="0.25">
      <c r="A1728" s="675" t="s">
        <v>1928</v>
      </c>
      <c r="B1728" s="675" t="s">
        <v>512</v>
      </c>
      <c r="C1728" s="675" t="s">
        <v>1930</v>
      </c>
      <c r="D1728" s="675" t="s">
        <v>21</v>
      </c>
      <c r="E1728" s="675" t="s">
        <v>514</v>
      </c>
      <c r="F1728" s="675" t="s">
        <v>515</v>
      </c>
      <c r="G1728" s="675"/>
      <c r="H1728" s="675"/>
      <c r="I1728" s="675"/>
      <c r="J1728" s="675"/>
      <c r="K1728" s="675"/>
      <c r="L1728" s="675"/>
      <c r="M1728" s="675"/>
    </row>
    <row r="1729" spans="1:13" x14ac:dyDescent="0.25">
      <c r="A1729" s="675" t="s">
        <v>1928</v>
      </c>
      <c r="B1729" s="675" t="s">
        <v>512</v>
      </c>
      <c r="C1729" s="675" t="s">
        <v>1931</v>
      </c>
      <c r="D1729" s="675" t="s">
        <v>21</v>
      </c>
      <c r="E1729" s="675" t="s">
        <v>514</v>
      </c>
      <c r="F1729" s="675" t="s">
        <v>515</v>
      </c>
      <c r="G1729" s="675"/>
      <c r="H1729" s="675"/>
      <c r="I1729" s="675"/>
      <c r="J1729" s="675"/>
      <c r="K1729" s="675"/>
      <c r="L1729" s="675"/>
      <c r="M1729" s="675"/>
    </row>
    <row r="1730" spans="1:13" x14ac:dyDescent="0.25">
      <c r="A1730" s="675" t="s">
        <v>1928</v>
      </c>
      <c r="B1730" s="675" t="s">
        <v>512</v>
      </c>
      <c r="C1730" s="675" t="s">
        <v>1932</v>
      </c>
      <c r="D1730" s="675" t="s">
        <v>21</v>
      </c>
      <c r="E1730" s="675" t="s">
        <v>514</v>
      </c>
      <c r="F1730" s="675" t="s">
        <v>515</v>
      </c>
      <c r="G1730" s="675"/>
      <c r="H1730" s="675"/>
      <c r="I1730" s="675"/>
      <c r="J1730" s="675"/>
      <c r="K1730" s="675"/>
      <c r="L1730" s="675"/>
      <c r="M1730" s="675"/>
    </row>
    <row r="1731" spans="1:13" x14ac:dyDescent="0.25">
      <c r="A1731" s="678" t="s">
        <v>1928</v>
      </c>
      <c r="B1731" s="678" t="s">
        <v>512</v>
      </c>
      <c r="C1731" s="678" t="s">
        <v>1933</v>
      </c>
      <c r="D1731" s="675" t="s">
        <v>21</v>
      </c>
      <c r="E1731" s="678" t="s">
        <v>514</v>
      </c>
      <c r="F1731" s="678" t="s">
        <v>596</v>
      </c>
      <c r="G1731" s="675"/>
      <c r="H1731" s="675"/>
      <c r="I1731" s="675"/>
      <c r="J1731" s="675"/>
      <c r="K1731" s="675"/>
      <c r="L1731" s="675"/>
      <c r="M1731" s="675"/>
    </row>
    <row r="1732" spans="1:13" x14ac:dyDescent="0.25">
      <c r="A1732" s="675" t="s">
        <v>1928</v>
      </c>
      <c r="B1732" s="675" t="s">
        <v>564</v>
      </c>
      <c r="C1732" s="675" t="s">
        <v>868</v>
      </c>
      <c r="D1732" s="675" t="s">
        <v>21</v>
      </c>
      <c r="E1732" s="675" t="s">
        <v>514</v>
      </c>
      <c r="F1732" s="675" t="s">
        <v>515</v>
      </c>
      <c r="G1732" s="675"/>
      <c r="H1732" s="675"/>
      <c r="I1732" s="675"/>
      <c r="J1732" s="675"/>
      <c r="K1732" s="675"/>
      <c r="L1732" s="675"/>
      <c r="M1732" s="675"/>
    </row>
    <row r="1733" spans="1:13" x14ac:dyDescent="0.25">
      <c r="A1733" s="675" t="s">
        <v>1928</v>
      </c>
      <c r="B1733" s="675" t="s">
        <v>564</v>
      </c>
      <c r="C1733" s="675" t="s">
        <v>1934</v>
      </c>
      <c r="D1733" s="675" t="s">
        <v>21</v>
      </c>
      <c r="E1733" s="675" t="s">
        <v>514</v>
      </c>
      <c r="F1733" s="675" t="s">
        <v>515</v>
      </c>
      <c r="G1733" s="675"/>
      <c r="H1733" s="675"/>
      <c r="I1733" s="675"/>
      <c r="J1733" s="675"/>
      <c r="K1733" s="675"/>
      <c r="L1733" s="675"/>
      <c r="M1733" s="675"/>
    </row>
    <row r="1734" spans="1:13" x14ac:dyDescent="0.25">
      <c r="A1734" s="675" t="s">
        <v>1935</v>
      </c>
      <c r="B1734" s="675" t="s">
        <v>512</v>
      </c>
      <c r="C1734" s="675" t="s">
        <v>1936</v>
      </c>
      <c r="D1734" s="675" t="s">
        <v>21</v>
      </c>
      <c r="E1734" s="702"/>
      <c r="F1734" s="702"/>
      <c r="G1734" s="675"/>
      <c r="H1734" s="675"/>
      <c r="I1734" s="675"/>
      <c r="J1734" s="675"/>
      <c r="K1734" s="675"/>
      <c r="L1734" s="675"/>
      <c r="M1734" s="675"/>
    </row>
    <row r="1735" spans="1:13" x14ac:dyDescent="0.25">
      <c r="A1735" s="675" t="s">
        <v>1935</v>
      </c>
      <c r="B1735" s="675" t="s">
        <v>512</v>
      </c>
      <c r="C1735" s="675" t="s">
        <v>1937</v>
      </c>
      <c r="D1735" s="675" t="s">
        <v>21</v>
      </c>
      <c r="E1735" s="675" t="s">
        <v>514</v>
      </c>
      <c r="F1735" s="675" t="s">
        <v>515</v>
      </c>
      <c r="G1735" s="675"/>
      <c r="H1735" s="675"/>
      <c r="I1735" s="675"/>
      <c r="J1735" s="675"/>
      <c r="K1735" s="675"/>
      <c r="L1735" s="675"/>
      <c r="M1735" s="675"/>
    </row>
    <row r="1736" spans="1:13" x14ac:dyDescent="0.25">
      <c r="A1736" s="675" t="s">
        <v>1935</v>
      </c>
      <c r="B1736" s="675" t="s">
        <v>512</v>
      </c>
      <c r="C1736" s="675" t="s">
        <v>1938</v>
      </c>
      <c r="D1736" s="675" t="s">
        <v>21</v>
      </c>
      <c r="E1736" s="675" t="s">
        <v>514</v>
      </c>
      <c r="F1736" s="675" t="s">
        <v>515</v>
      </c>
      <c r="G1736" s="675"/>
      <c r="H1736" s="675"/>
      <c r="I1736" s="675"/>
      <c r="J1736" s="675"/>
      <c r="K1736" s="675"/>
      <c r="L1736" s="675"/>
      <c r="M1736" s="675"/>
    </row>
    <row r="1737" spans="1:13" x14ac:dyDescent="0.25">
      <c r="A1737" s="675" t="s">
        <v>1939</v>
      </c>
      <c r="B1737" s="675" t="s">
        <v>545</v>
      </c>
      <c r="C1737" s="675" t="s">
        <v>1940</v>
      </c>
      <c r="D1737" s="675" t="s">
        <v>21</v>
      </c>
      <c r="E1737" s="675" t="s">
        <v>514</v>
      </c>
      <c r="F1737" s="675" t="s">
        <v>515</v>
      </c>
      <c r="G1737" s="675"/>
      <c r="H1737" s="675"/>
      <c r="I1737" s="675"/>
      <c r="J1737" s="675"/>
      <c r="K1737" s="675"/>
      <c r="L1737" s="675"/>
      <c r="M1737" s="675"/>
    </row>
    <row r="1738" spans="1:13" x14ac:dyDescent="0.25">
      <c r="A1738" s="675" t="s">
        <v>1941</v>
      </c>
      <c r="B1738" s="675" t="s">
        <v>512</v>
      </c>
      <c r="C1738" s="675" t="s">
        <v>1942</v>
      </c>
      <c r="D1738" s="675" t="s">
        <v>21</v>
      </c>
      <c r="E1738" s="675" t="s">
        <v>514</v>
      </c>
      <c r="F1738" s="675" t="s">
        <v>515</v>
      </c>
      <c r="G1738" s="675"/>
      <c r="H1738" s="675"/>
      <c r="I1738" s="675"/>
      <c r="J1738" s="675"/>
      <c r="K1738" s="675"/>
      <c r="L1738" s="675"/>
      <c r="M1738" s="675"/>
    </row>
    <row r="1739" spans="1:13" x14ac:dyDescent="0.25">
      <c r="A1739" s="675" t="s">
        <v>1941</v>
      </c>
      <c r="B1739" s="675" t="s">
        <v>512</v>
      </c>
      <c r="C1739" s="675" t="s">
        <v>1943</v>
      </c>
      <c r="D1739" s="675" t="s">
        <v>21</v>
      </c>
      <c r="E1739" s="675" t="s">
        <v>514</v>
      </c>
      <c r="F1739" s="675" t="s">
        <v>515</v>
      </c>
      <c r="G1739" s="675"/>
      <c r="H1739" s="675"/>
      <c r="I1739" s="675"/>
      <c r="J1739" s="675"/>
      <c r="K1739" s="675"/>
      <c r="L1739" s="675"/>
      <c r="M1739" s="675"/>
    </row>
    <row r="1740" spans="1:13" x14ac:dyDescent="0.25">
      <c r="A1740" s="675" t="s">
        <v>1944</v>
      </c>
      <c r="B1740" s="702" t="s">
        <v>564</v>
      </c>
      <c r="C1740" s="702" t="s">
        <v>1945</v>
      </c>
      <c r="D1740" s="702" t="s">
        <v>21</v>
      </c>
      <c r="E1740" s="702" t="s">
        <v>514</v>
      </c>
      <c r="F1740" s="702" t="s">
        <v>515</v>
      </c>
      <c r="G1740" s="702"/>
      <c r="H1740" s="702"/>
      <c r="I1740" s="702"/>
      <c r="J1740" s="702"/>
      <c r="K1740" s="702"/>
      <c r="L1740" s="702"/>
      <c r="M1740" s="702"/>
    </row>
    <row r="1741" spans="1:13" x14ac:dyDescent="0.25">
      <c r="A1741" s="675" t="s">
        <v>1946</v>
      </c>
      <c r="B1741" s="702"/>
      <c r="C1741" s="702"/>
      <c r="D1741" s="702"/>
      <c r="E1741" s="702"/>
      <c r="F1741" s="702"/>
      <c r="G1741" s="702"/>
      <c r="H1741" s="702"/>
      <c r="I1741" s="702"/>
      <c r="J1741" s="702"/>
      <c r="K1741" s="702"/>
      <c r="L1741" s="702"/>
      <c r="M1741" s="702"/>
    </row>
    <row r="1742" spans="1:13" x14ac:dyDescent="0.25">
      <c r="A1742" s="675" t="s">
        <v>1947</v>
      </c>
      <c r="B1742" s="702"/>
      <c r="C1742" s="702"/>
      <c r="D1742" s="702"/>
      <c r="E1742" s="702"/>
      <c r="F1742" s="702"/>
      <c r="G1742" s="702"/>
      <c r="H1742" s="702"/>
      <c r="I1742" s="702"/>
      <c r="J1742" s="702"/>
      <c r="K1742" s="702"/>
      <c r="L1742" s="702"/>
      <c r="M1742" s="702"/>
    </row>
    <row r="1743" spans="1:13" x14ac:dyDescent="0.25">
      <c r="A1743" s="675" t="s">
        <v>1948</v>
      </c>
      <c r="B1743" s="675" t="s">
        <v>512</v>
      </c>
      <c r="C1743" s="675" t="s">
        <v>873</v>
      </c>
      <c r="D1743" s="675" t="s">
        <v>21</v>
      </c>
      <c r="E1743" s="675" t="s">
        <v>514</v>
      </c>
      <c r="F1743" s="675" t="s">
        <v>515</v>
      </c>
      <c r="G1743" s="675"/>
      <c r="H1743" s="675"/>
      <c r="I1743" s="675"/>
      <c r="J1743" s="675"/>
      <c r="K1743" s="675"/>
      <c r="L1743" s="675"/>
      <c r="M1743" s="675"/>
    </row>
    <row r="1744" spans="1:13" x14ac:dyDescent="0.25">
      <c r="A1744" s="675" t="s">
        <v>1948</v>
      </c>
      <c r="B1744" s="675" t="s">
        <v>512</v>
      </c>
      <c r="C1744" s="675" t="s">
        <v>809</v>
      </c>
      <c r="D1744" s="675" t="s">
        <v>21</v>
      </c>
      <c r="E1744" s="675" t="s">
        <v>514</v>
      </c>
      <c r="F1744" s="675" t="s">
        <v>515</v>
      </c>
      <c r="G1744" s="675"/>
      <c r="H1744" s="675"/>
      <c r="I1744" s="675"/>
      <c r="J1744" s="675"/>
      <c r="K1744" s="675"/>
      <c r="L1744" s="675"/>
      <c r="M1744" s="675"/>
    </row>
    <row r="1745" spans="1:13" x14ac:dyDescent="0.25">
      <c r="A1745" s="675" t="s">
        <v>1948</v>
      </c>
      <c r="B1745" s="675" t="s">
        <v>512</v>
      </c>
      <c r="C1745" s="675" t="s">
        <v>1949</v>
      </c>
      <c r="D1745" s="675" t="s">
        <v>21</v>
      </c>
      <c r="E1745" s="675" t="s">
        <v>514</v>
      </c>
      <c r="F1745" s="675" t="s">
        <v>515</v>
      </c>
      <c r="G1745" s="675"/>
      <c r="H1745" s="675"/>
      <c r="I1745" s="675"/>
      <c r="J1745" s="675"/>
      <c r="K1745" s="675"/>
      <c r="L1745" s="675"/>
      <c r="M1745" s="675"/>
    </row>
    <row r="1746" spans="1:13" x14ac:dyDescent="0.25">
      <c r="A1746" s="675" t="s">
        <v>1948</v>
      </c>
      <c r="B1746" s="675" t="s">
        <v>512</v>
      </c>
      <c r="C1746" s="675" t="s">
        <v>1950</v>
      </c>
      <c r="D1746" s="675" t="s">
        <v>21</v>
      </c>
      <c r="E1746" s="675" t="s">
        <v>514</v>
      </c>
      <c r="F1746" s="675" t="s">
        <v>515</v>
      </c>
      <c r="G1746" s="675"/>
      <c r="H1746" s="675"/>
      <c r="I1746" s="675"/>
      <c r="J1746" s="675"/>
      <c r="K1746" s="675"/>
      <c r="L1746" s="675"/>
      <c r="M1746" s="675"/>
    </row>
    <row r="1747" spans="1:13" x14ac:dyDescent="0.25">
      <c r="A1747" s="675" t="s">
        <v>1948</v>
      </c>
      <c r="B1747" s="675" t="s">
        <v>512</v>
      </c>
      <c r="C1747" s="675" t="s">
        <v>1951</v>
      </c>
      <c r="D1747" s="675" t="s">
        <v>21</v>
      </c>
      <c r="E1747" s="675" t="s">
        <v>514</v>
      </c>
      <c r="F1747" s="675" t="s">
        <v>515</v>
      </c>
      <c r="G1747" s="675"/>
      <c r="H1747" s="675"/>
      <c r="I1747" s="675"/>
      <c r="J1747" s="675"/>
      <c r="K1747" s="675"/>
      <c r="L1747" s="675"/>
      <c r="M1747" s="675"/>
    </row>
    <row r="1748" spans="1:13" x14ac:dyDescent="0.25">
      <c r="A1748" s="675" t="s">
        <v>1948</v>
      </c>
      <c r="B1748" s="675" t="s">
        <v>512</v>
      </c>
      <c r="C1748" s="675" t="s">
        <v>884</v>
      </c>
      <c r="D1748" s="675" t="s">
        <v>21</v>
      </c>
      <c r="E1748" s="675" t="s">
        <v>514</v>
      </c>
      <c r="F1748" s="675" t="s">
        <v>515</v>
      </c>
      <c r="G1748" s="675"/>
      <c r="H1748" s="675"/>
      <c r="I1748" s="675"/>
      <c r="J1748" s="675"/>
      <c r="K1748" s="675"/>
      <c r="L1748" s="675"/>
      <c r="M1748" s="675"/>
    </row>
    <row r="1749" spans="1:13" x14ac:dyDescent="0.25">
      <c r="A1749" s="675" t="s">
        <v>1948</v>
      </c>
      <c r="B1749" s="675" t="s">
        <v>512</v>
      </c>
      <c r="C1749" s="675" t="s">
        <v>885</v>
      </c>
      <c r="D1749" s="675" t="s">
        <v>21</v>
      </c>
      <c r="E1749" s="675" t="s">
        <v>514</v>
      </c>
      <c r="F1749" s="675" t="s">
        <v>515</v>
      </c>
      <c r="G1749" s="675"/>
      <c r="H1749" s="675"/>
      <c r="I1749" s="675"/>
      <c r="J1749" s="675"/>
      <c r="K1749" s="675"/>
      <c r="L1749" s="675"/>
      <c r="M1749" s="675"/>
    </row>
    <row r="1750" spans="1:13" x14ac:dyDescent="0.25">
      <c r="A1750" s="675" t="s">
        <v>1948</v>
      </c>
      <c r="B1750" s="675" t="s">
        <v>512</v>
      </c>
      <c r="C1750" s="675" t="s">
        <v>1952</v>
      </c>
      <c r="D1750" s="675" t="s">
        <v>21</v>
      </c>
      <c r="E1750" s="675" t="s">
        <v>514</v>
      </c>
      <c r="F1750" s="675" t="s">
        <v>515</v>
      </c>
      <c r="G1750" s="675"/>
      <c r="H1750" s="675"/>
      <c r="I1750" s="675"/>
      <c r="J1750" s="675"/>
      <c r="K1750" s="675"/>
      <c r="L1750" s="675"/>
      <c r="M1750" s="675"/>
    </row>
    <row r="1751" spans="1:13" x14ac:dyDescent="0.25">
      <c r="A1751" s="675" t="s">
        <v>1948</v>
      </c>
      <c r="B1751" s="675" t="s">
        <v>512</v>
      </c>
      <c r="C1751" s="675" t="s">
        <v>1953</v>
      </c>
      <c r="D1751" s="675" t="s">
        <v>21</v>
      </c>
      <c r="E1751" s="675" t="s">
        <v>514</v>
      </c>
      <c r="F1751" s="675" t="s">
        <v>515</v>
      </c>
      <c r="G1751" s="675"/>
      <c r="H1751" s="675"/>
      <c r="I1751" s="675"/>
      <c r="J1751" s="675"/>
      <c r="K1751" s="675"/>
      <c r="L1751" s="675"/>
      <c r="M1751" s="675"/>
    </row>
    <row r="1752" spans="1:13" x14ac:dyDescent="0.25">
      <c r="A1752" s="675" t="s">
        <v>1948</v>
      </c>
      <c r="B1752" s="675" t="s">
        <v>512</v>
      </c>
      <c r="C1752" s="675" t="s">
        <v>895</v>
      </c>
      <c r="D1752" s="675" t="s">
        <v>21</v>
      </c>
      <c r="E1752" s="675" t="s">
        <v>514</v>
      </c>
      <c r="F1752" s="675" t="s">
        <v>515</v>
      </c>
      <c r="G1752" s="675"/>
      <c r="H1752" s="675"/>
      <c r="I1752" s="675"/>
      <c r="J1752" s="675"/>
      <c r="K1752" s="675"/>
      <c r="L1752" s="675"/>
      <c r="M1752" s="675"/>
    </row>
    <row r="1753" spans="1:13" x14ac:dyDescent="0.25">
      <c r="A1753" s="675" t="s">
        <v>1948</v>
      </c>
      <c r="B1753" s="675" t="s">
        <v>512</v>
      </c>
      <c r="C1753" s="675" t="s">
        <v>1954</v>
      </c>
      <c r="D1753" s="675" t="s">
        <v>21</v>
      </c>
      <c r="E1753" s="675" t="s">
        <v>514</v>
      </c>
      <c r="F1753" s="675" t="s">
        <v>515</v>
      </c>
      <c r="G1753" s="675"/>
      <c r="H1753" s="675"/>
      <c r="I1753" s="675"/>
      <c r="J1753" s="675"/>
      <c r="K1753" s="675"/>
      <c r="L1753" s="675"/>
      <c r="M1753" s="675"/>
    </row>
    <row r="1754" spans="1:13" x14ac:dyDescent="0.25">
      <c r="A1754" s="675" t="s">
        <v>1948</v>
      </c>
      <c r="B1754" s="675" t="s">
        <v>512</v>
      </c>
      <c r="C1754" s="675" t="s">
        <v>896</v>
      </c>
      <c r="D1754" s="675" t="s">
        <v>21</v>
      </c>
      <c r="E1754" s="675" t="s">
        <v>514</v>
      </c>
      <c r="F1754" s="675" t="s">
        <v>515</v>
      </c>
      <c r="G1754" s="675"/>
      <c r="H1754" s="675"/>
      <c r="I1754" s="675"/>
      <c r="J1754" s="675"/>
      <c r="K1754" s="675"/>
      <c r="L1754" s="675"/>
      <c r="M1754" s="675"/>
    </row>
    <row r="1755" spans="1:13" x14ac:dyDescent="0.25">
      <c r="A1755" s="675" t="s">
        <v>1948</v>
      </c>
      <c r="B1755" s="675" t="s">
        <v>512</v>
      </c>
      <c r="C1755" s="675" t="s">
        <v>1955</v>
      </c>
      <c r="D1755" s="675" t="s">
        <v>21</v>
      </c>
      <c r="E1755" s="675" t="s">
        <v>514</v>
      </c>
      <c r="F1755" s="675" t="s">
        <v>515</v>
      </c>
      <c r="G1755" s="675"/>
      <c r="H1755" s="675"/>
      <c r="I1755" s="675"/>
      <c r="J1755" s="675"/>
      <c r="K1755" s="675"/>
      <c r="L1755" s="675"/>
      <c r="M1755" s="675"/>
    </row>
    <row r="1756" spans="1:13" x14ac:dyDescent="0.25">
      <c r="A1756" s="675" t="s">
        <v>1948</v>
      </c>
      <c r="B1756" s="675" t="s">
        <v>512</v>
      </c>
      <c r="C1756" s="675" t="s">
        <v>903</v>
      </c>
      <c r="D1756" s="675" t="s">
        <v>21</v>
      </c>
      <c r="E1756" s="675" t="s">
        <v>514</v>
      </c>
      <c r="F1756" s="675" t="s">
        <v>515</v>
      </c>
      <c r="G1756" s="675"/>
      <c r="H1756" s="675"/>
      <c r="I1756" s="675"/>
      <c r="J1756" s="675"/>
      <c r="K1756" s="675"/>
      <c r="L1756" s="675"/>
      <c r="M1756" s="675"/>
    </row>
    <row r="1757" spans="1:13" x14ac:dyDescent="0.25">
      <c r="A1757" s="675" t="s">
        <v>1948</v>
      </c>
      <c r="B1757" s="675" t="s">
        <v>512</v>
      </c>
      <c r="C1757" s="675" t="s">
        <v>1956</v>
      </c>
      <c r="D1757" s="675" t="s">
        <v>21</v>
      </c>
      <c r="E1757" s="675" t="s">
        <v>514</v>
      </c>
      <c r="F1757" s="675" t="s">
        <v>515</v>
      </c>
      <c r="G1757" s="675"/>
      <c r="H1757" s="675"/>
      <c r="I1757" s="675"/>
      <c r="J1757" s="675"/>
      <c r="K1757" s="675"/>
      <c r="L1757" s="675"/>
      <c r="M1757" s="675"/>
    </row>
    <row r="1758" spans="1:13" x14ac:dyDescent="0.25">
      <c r="A1758" s="675" t="s">
        <v>1948</v>
      </c>
      <c r="B1758" s="675" t="s">
        <v>512</v>
      </c>
      <c r="C1758" s="675" t="s">
        <v>904</v>
      </c>
      <c r="D1758" s="675" t="s">
        <v>21</v>
      </c>
      <c r="E1758" s="675" t="s">
        <v>514</v>
      </c>
      <c r="F1758" s="675" t="s">
        <v>515</v>
      </c>
      <c r="G1758" s="675"/>
      <c r="H1758" s="675"/>
      <c r="I1758" s="675"/>
      <c r="J1758" s="675"/>
      <c r="K1758" s="675"/>
      <c r="L1758" s="675"/>
      <c r="M1758" s="675"/>
    </row>
    <row r="1759" spans="1:13" x14ac:dyDescent="0.25">
      <c r="A1759" s="675" t="s">
        <v>1948</v>
      </c>
      <c r="B1759" s="675" t="s">
        <v>512</v>
      </c>
      <c r="C1759" s="675" t="s">
        <v>1957</v>
      </c>
      <c r="D1759" s="675" t="s">
        <v>21</v>
      </c>
      <c r="E1759" s="675" t="s">
        <v>514</v>
      </c>
      <c r="F1759" s="675" t="s">
        <v>515</v>
      </c>
      <c r="G1759" s="675"/>
      <c r="H1759" s="675"/>
      <c r="I1759" s="675"/>
      <c r="J1759" s="675"/>
      <c r="K1759" s="675"/>
      <c r="L1759" s="675"/>
      <c r="M1759" s="675"/>
    </row>
    <row r="1760" spans="1:13" x14ac:dyDescent="0.25">
      <c r="A1760" s="675" t="s">
        <v>1948</v>
      </c>
      <c r="B1760" s="675" t="s">
        <v>512</v>
      </c>
      <c r="C1760" s="675" t="s">
        <v>1958</v>
      </c>
      <c r="D1760" s="675" t="s">
        <v>21</v>
      </c>
      <c r="E1760" s="675" t="s">
        <v>514</v>
      </c>
      <c r="F1760" s="675" t="s">
        <v>515</v>
      </c>
      <c r="G1760" s="675"/>
      <c r="H1760" s="675"/>
      <c r="I1760" s="675"/>
      <c r="J1760" s="675"/>
      <c r="K1760" s="675"/>
      <c r="L1760" s="675"/>
      <c r="M1760" s="675"/>
    </row>
    <row r="1761" spans="1:13" x14ac:dyDescent="0.25">
      <c r="A1761" s="675" t="s">
        <v>1948</v>
      </c>
      <c r="B1761" s="675" t="s">
        <v>512</v>
      </c>
      <c r="C1761" s="675" t="s">
        <v>906</v>
      </c>
      <c r="D1761" s="675" t="s">
        <v>21</v>
      </c>
      <c r="E1761" s="675" t="s">
        <v>514</v>
      </c>
      <c r="F1761" s="675" t="s">
        <v>515</v>
      </c>
      <c r="G1761" s="675"/>
      <c r="H1761" s="675"/>
      <c r="I1761" s="675"/>
      <c r="J1761" s="675"/>
      <c r="K1761" s="675"/>
      <c r="L1761" s="675"/>
      <c r="M1761" s="675"/>
    </row>
    <row r="1762" spans="1:13" x14ac:dyDescent="0.25">
      <c r="A1762" s="675" t="s">
        <v>1948</v>
      </c>
      <c r="B1762" s="675" t="s">
        <v>545</v>
      </c>
      <c r="C1762" s="675" t="s">
        <v>908</v>
      </c>
      <c r="D1762" s="675" t="s">
        <v>21</v>
      </c>
      <c r="E1762" s="675" t="s">
        <v>514</v>
      </c>
      <c r="F1762" s="675" t="s">
        <v>515</v>
      </c>
      <c r="G1762" s="675"/>
      <c r="H1762" s="675"/>
      <c r="I1762" s="675"/>
      <c r="J1762" s="675"/>
      <c r="K1762" s="675"/>
      <c r="L1762" s="675"/>
      <c r="M1762" s="675"/>
    </row>
    <row r="1763" spans="1:13" x14ac:dyDescent="0.25">
      <c r="A1763" s="675" t="s">
        <v>1948</v>
      </c>
      <c r="B1763" s="675" t="s">
        <v>545</v>
      </c>
      <c r="C1763" s="675" t="s">
        <v>1959</v>
      </c>
      <c r="D1763" s="675" t="s">
        <v>21</v>
      </c>
      <c r="E1763" s="675" t="s">
        <v>514</v>
      </c>
      <c r="F1763" s="675" t="s">
        <v>515</v>
      </c>
      <c r="G1763" s="675"/>
      <c r="H1763" s="675"/>
      <c r="I1763" s="675"/>
      <c r="J1763" s="675"/>
      <c r="K1763" s="675"/>
      <c r="L1763" s="675"/>
      <c r="M1763" s="675"/>
    </row>
    <row r="1764" spans="1:13" x14ac:dyDescent="0.25">
      <c r="A1764" s="675" t="s">
        <v>1948</v>
      </c>
      <c r="B1764" s="675" t="s">
        <v>545</v>
      </c>
      <c r="C1764" s="675" t="s">
        <v>1960</v>
      </c>
      <c r="D1764" s="675" t="s">
        <v>21</v>
      </c>
      <c r="E1764" s="675" t="s">
        <v>514</v>
      </c>
      <c r="F1764" s="675" t="s">
        <v>515</v>
      </c>
      <c r="G1764" s="675"/>
      <c r="H1764" s="675"/>
      <c r="I1764" s="675"/>
      <c r="J1764" s="675"/>
      <c r="K1764" s="675"/>
      <c r="L1764" s="675"/>
      <c r="M1764" s="675"/>
    </row>
    <row r="1765" spans="1:13" x14ac:dyDescent="0.25">
      <c r="A1765" s="675" t="s">
        <v>1948</v>
      </c>
      <c r="B1765" s="675" t="s">
        <v>545</v>
      </c>
      <c r="C1765" s="675" t="s">
        <v>1961</v>
      </c>
      <c r="D1765" s="675" t="s">
        <v>21</v>
      </c>
      <c r="E1765" s="675" t="s">
        <v>514</v>
      </c>
      <c r="F1765" s="675" t="s">
        <v>515</v>
      </c>
      <c r="G1765" s="675"/>
      <c r="H1765" s="675"/>
      <c r="I1765" s="675"/>
      <c r="J1765" s="675"/>
      <c r="K1765" s="675"/>
      <c r="L1765" s="675"/>
      <c r="M1765" s="675"/>
    </row>
    <row r="1766" spans="1:13" x14ac:dyDescent="0.25">
      <c r="A1766" s="675" t="s">
        <v>1948</v>
      </c>
      <c r="B1766" s="675" t="s">
        <v>545</v>
      </c>
      <c r="C1766" s="675" t="s">
        <v>1641</v>
      </c>
      <c r="D1766" s="675" t="s">
        <v>21</v>
      </c>
      <c r="E1766" s="675" t="s">
        <v>514</v>
      </c>
      <c r="F1766" s="675" t="s">
        <v>515</v>
      </c>
      <c r="G1766" s="675"/>
      <c r="H1766" s="675"/>
      <c r="I1766" s="675"/>
      <c r="J1766" s="675"/>
      <c r="K1766" s="675"/>
      <c r="L1766" s="675"/>
      <c r="M1766" s="675"/>
    </row>
    <row r="1767" spans="1:13" x14ac:dyDescent="0.25">
      <c r="A1767" s="675" t="s">
        <v>1948</v>
      </c>
      <c r="B1767" s="675" t="s">
        <v>545</v>
      </c>
      <c r="C1767" s="675" t="s">
        <v>1962</v>
      </c>
      <c r="D1767" s="675" t="s">
        <v>21</v>
      </c>
      <c r="E1767" s="675" t="s">
        <v>514</v>
      </c>
      <c r="F1767" s="675" t="s">
        <v>515</v>
      </c>
      <c r="G1767" s="675"/>
      <c r="H1767" s="675"/>
      <c r="I1767" s="675"/>
      <c r="J1767" s="675"/>
      <c r="K1767" s="675"/>
      <c r="L1767" s="675"/>
      <c r="M1767" s="675"/>
    </row>
    <row r="1768" spans="1:13" x14ac:dyDescent="0.25">
      <c r="A1768" s="675" t="s">
        <v>1948</v>
      </c>
      <c r="B1768" s="675" t="s">
        <v>545</v>
      </c>
      <c r="C1768" s="675" t="s">
        <v>1643</v>
      </c>
      <c r="D1768" s="675" t="s">
        <v>21</v>
      </c>
      <c r="E1768" s="675" t="s">
        <v>514</v>
      </c>
      <c r="F1768" s="675" t="s">
        <v>515</v>
      </c>
      <c r="G1768" s="675"/>
      <c r="H1768" s="675"/>
      <c r="I1768" s="675"/>
      <c r="J1768" s="675"/>
      <c r="K1768" s="675"/>
      <c r="L1768" s="675"/>
      <c r="M1768" s="675"/>
    </row>
    <row r="1769" spans="1:13" x14ac:dyDescent="0.25">
      <c r="A1769" s="675" t="s">
        <v>1948</v>
      </c>
      <c r="B1769" s="675" t="s">
        <v>545</v>
      </c>
      <c r="C1769" s="675" t="s">
        <v>1963</v>
      </c>
      <c r="D1769" s="675" t="s">
        <v>21</v>
      </c>
      <c r="E1769" s="675" t="s">
        <v>514</v>
      </c>
      <c r="F1769" s="675" t="s">
        <v>515</v>
      </c>
      <c r="G1769" s="675"/>
      <c r="H1769" s="675"/>
      <c r="I1769" s="675"/>
      <c r="J1769" s="675"/>
      <c r="K1769" s="675"/>
      <c r="L1769" s="675"/>
      <c r="M1769" s="675"/>
    </row>
    <row r="1770" spans="1:13" x14ac:dyDescent="0.25">
      <c r="A1770" s="675" t="s">
        <v>1948</v>
      </c>
      <c r="B1770" s="675" t="s">
        <v>545</v>
      </c>
      <c r="C1770" s="675" t="s">
        <v>910</v>
      </c>
      <c r="D1770" s="675" t="s">
        <v>21</v>
      </c>
      <c r="E1770" s="675" t="s">
        <v>514</v>
      </c>
      <c r="F1770" s="675" t="s">
        <v>515</v>
      </c>
      <c r="G1770" s="675"/>
      <c r="H1770" s="675"/>
      <c r="I1770" s="675"/>
      <c r="J1770" s="675"/>
      <c r="K1770" s="675"/>
      <c r="L1770" s="675"/>
      <c r="M1770" s="675"/>
    </row>
    <row r="1771" spans="1:13" x14ac:dyDescent="0.25">
      <c r="A1771" s="675" t="s">
        <v>1948</v>
      </c>
      <c r="B1771" s="675" t="s">
        <v>545</v>
      </c>
      <c r="C1771" s="675" t="s">
        <v>1964</v>
      </c>
      <c r="D1771" s="675" t="s">
        <v>21</v>
      </c>
      <c r="E1771" s="675" t="s">
        <v>514</v>
      </c>
      <c r="F1771" s="675" t="s">
        <v>515</v>
      </c>
      <c r="G1771" s="675"/>
      <c r="H1771" s="675"/>
      <c r="I1771" s="675"/>
      <c r="J1771" s="675"/>
      <c r="K1771" s="675"/>
      <c r="L1771" s="675"/>
      <c r="M1771" s="675"/>
    </row>
    <row r="1772" spans="1:13" x14ac:dyDescent="0.25">
      <c r="A1772" s="675" t="s">
        <v>1948</v>
      </c>
      <c r="B1772" s="675" t="s">
        <v>545</v>
      </c>
      <c r="C1772" s="675" t="s">
        <v>1965</v>
      </c>
      <c r="D1772" s="675" t="s">
        <v>21</v>
      </c>
      <c r="E1772" s="675" t="s">
        <v>514</v>
      </c>
      <c r="F1772" s="675" t="s">
        <v>515</v>
      </c>
      <c r="G1772" s="675"/>
      <c r="H1772" s="675"/>
      <c r="I1772" s="675"/>
      <c r="J1772" s="675"/>
      <c r="K1772" s="675"/>
      <c r="L1772" s="675"/>
      <c r="M1772" s="675"/>
    </row>
    <row r="1773" spans="1:13" x14ac:dyDescent="0.25">
      <c r="A1773" s="675" t="s">
        <v>1948</v>
      </c>
      <c r="B1773" s="675" t="s">
        <v>545</v>
      </c>
      <c r="C1773" s="675" t="s">
        <v>1966</v>
      </c>
      <c r="D1773" s="675" t="s">
        <v>21</v>
      </c>
      <c r="E1773" s="675" t="s">
        <v>514</v>
      </c>
      <c r="F1773" s="675" t="s">
        <v>515</v>
      </c>
      <c r="G1773" s="675"/>
      <c r="H1773" s="675"/>
      <c r="I1773" s="675"/>
      <c r="J1773" s="675"/>
      <c r="K1773" s="675"/>
      <c r="L1773" s="675"/>
      <c r="M1773" s="675"/>
    </row>
    <row r="1774" spans="1:13" x14ac:dyDescent="0.25">
      <c r="A1774" s="675" t="s">
        <v>1948</v>
      </c>
      <c r="B1774" s="675" t="s">
        <v>545</v>
      </c>
      <c r="C1774" s="675" t="s">
        <v>912</v>
      </c>
      <c r="D1774" s="675" t="s">
        <v>21</v>
      </c>
      <c r="E1774" s="675" t="s">
        <v>514</v>
      </c>
      <c r="F1774" s="675" t="s">
        <v>515</v>
      </c>
      <c r="G1774" s="675"/>
      <c r="H1774" s="675"/>
      <c r="I1774" s="675"/>
      <c r="J1774" s="675"/>
      <c r="K1774" s="675"/>
      <c r="L1774" s="675"/>
      <c r="M1774" s="675"/>
    </row>
    <row r="1775" spans="1:13" x14ac:dyDescent="0.25">
      <c r="A1775" s="675" t="s">
        <v>1948</v>
      </c>
      <c r="B1775" s="675" t="s">
        <v>545</v>
      </c>
      <c r="C1775" s="675" t="s">
        <v>1967</v>
      </c>
      <c r="D1775" s="675" t="s">
        <v>21</v>
      </c>
      <c r="E1775" s="675" t="s">
        <v>514</v>
      </c>
      <c r="F1775" s="675" t="s">
        <v>515</v>
      </c>
      <c r="G1775" s="675"/>
      <c r="H1775" s="675"/>
      <c r="I1775" s="675"/>
      <c r="J1775" s="675"/>
      <c r="K1775" s="675"/>
      <c r="L1775" s="675"/>
      <c r="M1775" s="675"/>
    </row>
    <row r="1776" spans="1:13" x14ac:dyDescent="0.25">
      <c r="A1776" s="675" t="s">
        <v>1948</v>
      </c>
      <c r="B1776" s="675" t="s">
        <v>545</v>
      </c>
      <c r="C1776" s="675" t="s">
        <v>914</v>
      </c>
      <c r="D1776" s="675" t="s">
        <v>21</v>
      </c>
      <c r="E1776" s="675" t="s">
        <v>514</v>
      </c>
      <c r="F1776" s="675" t="s">
        <v>515</v>
      </c>
      <c r="G1776" s="675"/>
      <c r="H1776" s="675"/>
      <c r="I1776" s="675"/>
      <c r="J1776" s="675"/>
      <c r="K1776" s="675"/>
      <c r="L1776" s="675"/>
      <c r="M1776" s="675"/>
    </row>
    <row r="1777" spans="1:13" x14ac:dyDescent="0.25">
      <c r="A1777" s="675" t="s">
        <v>1948</v>
      </c>
      <c r="B1777" s="675" t="s">
        <v>545</v>
      </c>
      <c r="C1777" s="675" t="s">
        <v>1854</v>
      </c>
      <c r="D1777" s="675" t="s">
        <v>21</v>
      </c>
      <c r="E1777" s="675" t="s">
        <v>514</v>
      </c>
      <c r="F1777" s="675" t="s">
        <v>515</v>
      </c>
      <c r="G1777" s="675"/>
      <c r="H1777" s="675"/>
      <c r="I1777" s="675"/>
      <c r="J1777" s="675"/>
      <c r="K1777" s="675"/>
      <c r="L1777" s="675"/>
      <c r="M1777" s="675"/>
    </row>
    <row r="1778" spans="1:13" x14ac:dyDescent="0.25">
      <c r="A1778" s="675" t="s">
        <v>1948</v>
      </c>
      <c r="B1778" s="675" t="s">
        <v>545</v>
      </c>
      <c r="C1778" s="675" t="s">
        <v>1968</v>
      </c>
      <c r="D1778" s="675" t="s">
        <v>21</v>
      </c>
      <c r="E1778" s="675" t="s">
        <v>514</v>
      </c>
      <c r="F1778" s="675" t="s">
        <v>515</v>
      </c>
      <c r="G1778" s="675"/>
      <c r="H1778" s="675"/>
      <c r="I1778" s="675"/>
      <c r="J1778" s="675"/>
      <c r="K1778" s="675"/>
      <c r="L1778" s="675"/>
      <c r="M1778" s="675"/>
    </row>
    <row r="1779" spans="1:13" x14ac:dyDescent="0.25">
      <c r="A1779" s="675" t="s">
        <v>1948</v>
      </c>
      <c r="B1779" s="675" t="s">
        <v>545</v>
      </c>
      <c r="C1779" s="675" t="s">
        <v>1969</v>
      </c>
      <c r="D1779" s="675" t="s">
        <v>21</v>
      </c>
      <c r="E1779" s="675" t="s">
        <v>514</v>
      </c>
      <c r="F1779" s="675" t="s">
        <v>515</v>
      </c>
      <c r="G1779" s="675"/>
      <c r="H1779" s="675"/>
      <c r="I1779" s="675"/>
      <c r="J1779" s="675"/>
      <c r="K1779" s="675"/>
      <c r="L1779" s="675"/>
      <c r="M1779" s="675"/>
    </row>
    <row r="1780" spans="1:13" x14ac:dyDescent="0.25">
      <c r="A1780" s="675" t="s">
        <v>1948</v>
      </c>
      <c r="B1780" s="675" t="s">
        <v>545</v>
      </c>
      <c r="C1780" s="675" t="s">
        <v>1970</v>
      </c>
      <c r="D1780" s="675" t="s">
        <v>21</v>
      </c>
      <c r="E1780" s="675" t="s">
        <v>514</v>
      </c>
      <c r="F1780" s="675" t="s">
        <v>515</v>
      </c>
      <c r="G1780" s="675"/>
      <c r="H1780" s="675"/>
      <c r="I1780" s="675"/>
      <c r="J1780" s="675"/>
      <c r="K1780" s="675"/>
      <c r="L1780" s="675"/>
      <c r="M1780" s="675"/>
    </row>
    <row r="1781" spans="1:13" x14ac:dyDescent="0.25">
      <c r="A1781" s="675" t="s">
        <v>1948</v>
      </c>
      <c r="B1781" s="675" t="s">
        <v>545</v>
      </c>
      <c r="C1781" s="675" t="s">
        <v>1971</v>
      </c>
      <c r="D1781" s="675" t="s">
        <v>21</v>
      </c>
      <c r="E1781" s="675" t="s">
        <v>514</v>
      </c>
      <c r="F1781" s="675" t="s">
        <v>515</v>
      </c>
      <c r="G1781" s="675"/>
      <c r="H1781" s="675"/>
      <c r="I1781" s="675"/>
      <c r="J1781" s="675"/>
      <c r="K1781" s="675"/>
      <c r="L1781" s="675"/>
      <c r="M1781" s="675"/>
    </row>
    <row r="1782" spans="1:13" x14ac:dyDescent="0.25">
      <c r="A1782" s="675" t="s">
        <v>1948</v>
      </c>
      <c r="B1782" s="675" t="s">
        <v>545</v>
      </c>
      <c r="C1782" s="675" t="s">
        <v>1972</v>
      </c>
      <c r="D1782" s="675" t="s">
        <v>21</v>
      </c>
      <c r="E1782" s="675" t="s">
        <v>514</v>
      </c>
      <c r="F1782" s="675" t="s">
        <v>515</v>
      </c>
      <c r="G1782" s="675"/>
      <c r="H1782" s="675"/>
      <c r="I1782" s="675"/>
      <c r="J1782" s="675"/>
      <c r="K1782" s="675"/>
      <c r="L1782" s="675"/>
      <c r="M1782" s="675"/>
    </row>
    <row r="1783" spans="1:13" x14ac:dyDescent="0.25">
      <c r="A1783" s="678" t="s">
        <v>1948</v>
      </c>
      <c r="B1783" s="678" t="s">
        <v>545</v>
      </c>
      <c r="C1783" s="678" t="s">
        <v>1973</v>
      </c>
      <c r="D1783" s="675" t="s">
        <v>21</v>
      </c>
      <c r="E1783" s="678" t="s">
        <v>514</v>
      </c>
      <c r="F1783" s="678" t="s">
        <v>636</v>
      </c>
      <c r="G1783" s="675"/>
      <c r="H1783" s="675"/>
      <c r="I1783" s="675"/>
      <c r="J1783" s="675"/>
      <c r="K1783" s="675"/>
      <c r="L1783" s="675"/>
      <c r="M1783" s="675"/>
    </row>
    <row r="1784" spans="1:13" x14ac:dyDescent="0.25">
      <c r="A1784" s="675" t="s">
        <v>1948</v>
      </c>
      <c r="B1784" s="675" t="s">
        <v>545</v>
      </c>
      <c r="C1784" s="675" t="s">
        <v>1974</v>
      </c>
      <c r="D1784" s="675" t="s">
        <v>21</v>
      </c>
      <c r="E1784" s="675" t="s">
        <v>514</v>
      </c>
      <c r="F1784" s="675" t="s">
        <v>515</v>
      </c>
      <c r="G1784" s="675"/>
      <c r="H1784" s="675"/>
      <c r="I1784" s="675"/>
      <c r="J1784" s="675"/>
      <c r="K1784" s="675"/>
      <c r="L1784" s="675"/>
      <c r="M1784" s="675"/>
    </row>
    <row r="1785" spans="1:13" x14ac:dyDescent="0.25">
      <c r="A1785" s="675" t="s">
        <v>1948</v>
      </c>
      <c r="B1785" s="675" t="s">
        <v>545</v>
      </c>
      <c r="C1785" s="675" t="s">
        <v>1975</v>
      </c>
      <c r="D1785" s="675" t="s">
        <v>21</v>
      </c>
      <c r="E1785" s="675" t="s">
        <v>514</v>
      </c>
      <c r="F1785" s="675" t="s">
        <v>515</v>
      </c>
      <c r="G1785" s="675"/>
      <c r="H1785" s="675"/>
      <c r="I1785" s="675"/>
      <c r="J1785" s="675"/>
      <c r="K1785" s="675"/>
      <c r="L1785" s="675"/>
      <c r="M1785" s="675"/>
    </row>
    <row r="1786" spans="1:13" x14ac:dyDescent="0.25">
      <c r="A1786" s="675" t="s">
        <v>1948</v>
      </c>
      <c r="B1786" s="675" t="s">
        <v>545</v>
      </c>
      <c r="C1786" s="675" t="s">
        <v>1976</v>
      </c>
      <c r="D1786" s="675" t="s">
        <v>21</v>
      </c>
      <c r="E1786" s="675" t="s">
        <v>514</v>
      </c>
      <c r="F1786" s="675" t="s">
        <v>515</v>
      </c>
      <c r="G1786" s="675"/>
      <c r="H1786" s="675"/>
      <c r="I1786" s="675"/>
      <c r="J1786" s="675"/>
      <c r="K1786" s="675"/>
      <c r="L1786" s="675"/>
      <c r="M1786" s="675"/>
    </row>
    <row r="1787" spans="1:13" x14ac:dyDescent="0.25">
      <c r="A1787" s="675" t="s">
        <v>1948</v>
      </c>
      <c r="B1787" s="675" t="s">
        <v>545</v>
      </c>
      <c r="C1787" s="675" t="s">
        <v>1977</v>
      </c>
      <c r="D1787" s="675" t="s">
        <v>21</v>
      </c>
      <c r="E1787" s="675" t="s">
        <v>514</v>
      </c>
      <c r="F1787" s="675" t="s">
        <v>515</v>
      </c>
      <c r="G1787" s="675"/>
      <c r="H1787" s="675"/>
      <c r="I1787" s="675"/>
      <c r="J1787" s="675"/>
      <c r="K1787" s="675"/>
      <c r="L1787" s="675"/>
      <c r="M1787" s="675"/>
    </row>
    <row r="1788" spans="1:13" x14ac:dyDescent="0.25">
      <c r="A1788" s="675" t="s">
        <v>1948</v>
      </c>
      <c r="B1788" s="675" t="s">
        <v>564</v>
      </c>
      <c r="C1788" s="675" t="s">
        <v>1978</v>
      </c>
      <c r="D1788" s="675" t="s">
        <v>21</v>
      </c>
      <c r="E1788" s="675" t="s">
        <v>514</v>
      </c>
      <c r="F1788" s="675" t="s">
        <v>515</v>
      </c>
      <c r="G1788" s="675"/>
      <c r="H1788" s="675"/>
      <c r="I1788" s="675"/>
      <c r="J1788" s="675"/>
      <c r="K1788" s="675"/>
      <c r="L1788" s="675"/>
      <c r="M1788" s="675"/>
    </row>
    <row r="1789" spans="1:13" x14ac:dyDescent="0.25">
      <c r="A1789" s="675" t="s">
        <v>1948</v>
      </c>
      <c r="B1789" s="675" t="s">
        <v>564</v>
      </c>
      <c r="C1789" s="675" t="s">
        <v>1979</v>
      </c>
      <c r="D1789" s="675" t="s">
        <v>21</v>
      </c>
      <c r="E1789" s="675" t="s">
        <v>514</v>
      </c>
      <c r="F1789" s="675" t="s">
        <v>515</v>
      </c>
      <c r="G1789" s="675"/>
      <c r="H1789" s="675"/>
      <c r="I1789" s="675"/>
      <c r="J1789" s="675"/>
      <c r="K1789" s="675"/>
      <c r="L1789" s="675"/>
      <c r="M1789" s="675"/>
    </row>
    <row r="1790" spans="1:13" x14ac:dyDescent="0.25">
      <c r="A1790" s="675" t="s">
        <v>1948</v>
      </c>
      <c r="B1790" s="675" t="s">
        <v>564</v>
      </c>
      <c r="C1790" s="675" t="s">
        <v>1980</v>
      </c>
      <c r="D1790" s="675" t="s">
        <v>21</v>
      </c>
      <c r="E1790" s="675" t="s">
        <v>514</v>
      </c>
      <c r="F1790" s="675" t="s">
        <v>515</v>
      </c>
      <c r="G1790" s="675"/>
      <c r="H1790" s="675"/>
      <c r="I1790" s="675"/>
      <c r="J1790" s="675"/>
      <c r="K1790" s="675"/>
      <c r="L1790" s="675"/>
      <c r="M1790" s="675"/>
    </row>
    <row r="1791" spans="1:13" x14ac:dyDescent="0.25">
      <c r="A1791" s="675" t="s">
        <v>1948</v>
      </c>
      <c r="B1791" s="675" t="s">
        <v>564</v>
      </c>
      <c r="C1791" s="675" t="s">
        <v>979</v>
      </c>
      <c r="D1791" s="675" t="s">
        <v>21</v>
      </c>
      <c r="E1791" s="675" t="s">
        <v>514</v>
      </c>
      <c r="F1791" s="675" t="s">
        <v>515</v>
      </c>
      <c r="G1791" s="675"/>
      <c r="H1791" s="675"/>
      <c r="I1791" s="675"/>
      <c r="J1791" s="675"/>
      <c r="K1791" s="675"/>
      <c r="L1791" s="675"/>
      <c r="M1791" s="675"/>
    </row>
    <row r="1792" spans="1:13" x14ac:dyDescent="0.25">
      <c r="A1792" s="675" t="s">
        <v>1948</v>
      </c>
      <c r="B1792" s="675" t="s">
        <v>564</v>
      </c>
      <c r="C1792" s="675" t="s">
        <v>981</v>
      </c>
      <c r="D1792" s="675" t="s">
        <v>21</v>
      </c>
      <c r="E1792" s="675" t="s">
        <v>514</v>
      </c>
      <c r="F1792" s="675" t="s">
        <v>515</v>
      </c>
      <c r="G1792" s="675"/>
      <c r="H1792" s="675"/>
      <c r="I1792" s="675"/>
      <c r="J1792" s="675"/>
      <c r="K1792" s="675"/>
      <c r="L1792" s="675"/>
      <c r="M1792" s="675"/>
    </row>
    <row r="1793" spans="1:13" x14ac:dyDescent="0.25">
      <c r="A1793" s="675" t="s">
        <v>1948</v>
      </c>
      <c r="B1793" s="675" t="s">
        <v>564</v>
      </c>
      <c r="C1793" s="675" t="s">
        <v>1981</v>
      </c>
      <c r="D1793" s="675" t="s">
        <v>21</v>
      </c>
      <c r="E1793" s="675" t="s">
        <v>514</v>
      </c>
      <c r="F1793" s="675" t="s">
        <v>515</v>
      </c>
      <c r="G1793" s="675"/>
      <c r="H1793" s="675"/>
      <c r="I1793" s="675"/>
      <c r="J1793" s="675"/>
      <c r="K1793" s="675"/>
      <c r="L1793" s="675"/>
      <c r="M1793" s="675"/>
    </row>
    <row r="1794" spans="1:13" x14ac:dyDescent="0.25">
      <c r="A1794" s="675" t="s">
        <v>1948</v>
      </c>
      <c r="B1794" s="675" t="s">
        <v>564</v>
      </c>
      <c r="C1794" s="675" t="s">
        <v>1982</v>
      </c>
      <c r="D1794" s="675" t="s">
        <v>21</v>
      </c>
      <c r="E1794" s="675" t="s">
        <v>514</v>
      </c>
      <c r="F1794" s="675" t="s">
        <v>515</v>
      </c>
      <c r="G1794" s="675"/>
      <c r="H1794" s="675"/>
      <c r="I1794" s="675"/>
      <c r="J1794" s="675"/>
      <c r="K1794" s="675"/>
      <c r="L1794" s="675"/>
      <c r="M1794" s="675"/>
    </row>
    <row r="1795" spans="1:13" x14ac:dyDescent="0.25">
      <c r="A1795" s="675" t="s">
        <v>1948</v>
      </c>
      <c r="B1795" s="675" t="s">
        <v>564</v>
      </c>
      <c r="C1795" s="675" t="s">
        <v>1983</v>
      </c>
      <c r="D1795" s="675" t="s">
        <v>21</v>
      </c>
      <c r="E1795" s="675" t="s">
        <v>514</v>
      </c>
      <c r="F1795" s="675" t="s">
        <v>515</v>
      </c>
      <c r="G1795" s="675"/>
      <c r="H1795" s="675"/>
      <c r="I1795" s="675"/>
      <c r="J1795" s="675"/>
      <c r="K1795" s="675"/>
      <c r="L1795" s="675"/>
      <c r="M1795" s="675"/>
    </row>
    <row r="1796" spans="1:13" x14ac:dyDescent="0.25">
      <c r="A1796" s="675" t="s">
        <v>1948</v>
      </c>
      <c r="B1796" s="675" t="s">
        <v>564</v>
      </c>
      <c r="C1796" s="675" t="s">
        <v>1984</v>
      </c>
      <c r="D1796" s="675" t="s">
        <v>21</v>
      </c>
      <c r="E1796" s="675" t="s">
        <v>514</v>
      </c>
      <c r="F1796" s="675" t="s">
        <v>515</v>
      </c>
      <c r="G1796" s="675"/>
      <c r="H1796" s="675"/>
      <c r="I1796" s="675"/>
      <c r="J1796" s="675"/>
      <c r="K1796" s="675"/>
      <c r="L1796" s="675"/>
      <c r="M1796" s="675"/>
    </row>
    <row r="1797" spans="1:13" x14ac:dyDescent="0.25">
      <c r="A1797" s="675" t="s">
        <v>1948</v>
      </c>
      <c r="B1797" s="675" t="s">
        <v>564</v>
      </c>
      <c r="C1797" s="675" t="s">
        <v>1985</v>
      </c>
      <c r="D1797" s="675" t="s">
        <v>21</v>
      </c>
      <c r="E1797" s="675" t="s">
        <v>514</v>
      </c>
      <c r="F1797" s="675" t="s">
        <v>515</v>
      </c>
      <c r="G1797" s="675"/>
      <c r="H1797" s="675"/>
      <c r="I1797" s="675"/>
      <c r="J1797" s="675"/>
      <c r="K1797" s="675"/>
      <c r="L1797" s="675"/>
      <c r="M1797" s="675"/>
    </row>
    <row r="1798" spans="1:13" x14ac:dyDescent="0.25">
      <c r="A1798" s="675" t="s">
        <v>1948</v>
      </c>
      <c r="B1798" s="675" t="s">
        <v>564</v>
      </c>
      <c r="C1798" s="675" t="s">
        <v>1865</v>
      </c>
      <c r="D1798" s="675" t="s">
        <v>21</v>
      </c>
      <c r="E1798" s="675" t="s">
        <v>514</v>
      </c>
      <c r="F1798" s="675" t="s">
        <v>515</v>
      </c>
      <c r="G1798" s="675"/>
      <c r="H1798" s="675"/>
      <c r="I1798" s="675"/>
      <c r="J1798" s="675"/>
      <c r="K1798" s="675"/>
      <c r="L1798" s="675"/>
      <c r="M1798" s="675"/>
    </row>
    <row r="1799" spans="1:13" x14ac:dyDescent="0.25">
      <c r="A1799" s="675" t="s">
        <v>1948</v>
      </c>
      <c r="B1799" s="675" t="s">
        <v>564</v>
      </c>
      <c r="C1799" s="675" t="s">
        <v>1834</v>
      </c>
      <c r="D1799" s="675" t="s">
        <v>21</v>
      </c>
      <c r="E1799" s="675" t="s">
        <v>514</v>
      </c>
      <c r="F1799" s="675" t="s">
        <v>515</v>
      </c>
      <c r="G1799" s="675"/>
      <c r="H1799" s="675"/>
      <c r="I1799" s="675"/>
      <c r="J1799" s="675"/>
      <c r="K1799" s="675"/>
      <c r="L1799" s="675"/>
      <c r="M1799" s="675"/>
    </row>
    <row r="1800" spans="1:13" x14ac:dyDescent="0.25">
      <c r="A1800" s="675" t="s">
        <v>1948</v>
      </c>
      <c r="B1800" s="675" t="s">
        <v>564</v>
      </c>
      <c r="C1800" s="675" t="s">
        <v>1986</v>
      </c>
      <c r="D1800" s="675" t="s">
        <v>21</v>
      </c>
      <c r="E1800" s="675" t="s">
        <v>514</v>
      </c>
      <c r="F1800" s="675" t="s">
        <v>515</v>
      </c>
      <c r="G1800" s="675"/>
      <c r="H1800" s="675"/>
      <c r="I1800" s="675"/>
      <c r="J1800" s="675"/>
      <c r="K1800" s="675"/>
      <c r="L1800" s="675"/>
      <c r="M1800" s="675"/>
    </row>
    <row r="1801" spans="1:13" x14ac:dyDescent="0.25">
      <c r="A1801" s="675" t="s">
        <v>1948</v>
      </c>
      <c r="B1801" s="675" t="s">
        <v>564</v>
      </c>
      <c r="C1801" s="675" t="s">
        <v>1987</v>
      </c>
      <c r="D1801" s="675" t="s">
        <v>21</v>
      </c>
      <c r="E1801" s="675" t="s">
        <v>514</v>
      </c>
      <c r="F1801" s="675" t="s">
        <v>515</v>
      </c>
      <c r="G1801" s="675"/>
      <c r="H1801" s="675"/>
      <c r="I1801" s="675"/>
      <c r="J1801" s="675"/>
      <c r="K1801" s="675"/>
      <c r="L1801" s="675"/>
      <c r="M1801" s="675"/>
    </row>
    <row r="1802" spans="1:13" x14ac:dyDescent="0.25">
      <c r="A1802" s="675" t="s">
        <v>1948</v>
      </c>
      <c r="B1802" s="675" t="s">
        <v>564</v>
      </c>
      <c r="C1802" s="675" t="s">
        <v>1988</v>
      </c>
      <c r="D1802" s="675" t="s">
        <v>21</v>
      </c>
      <c r="E1802" s="675" t="s">
        <v>514</v>
      </c>
      <c r="F1802" s="675" t="s">
        <v>515</v>
      </c>
      <c r="G1802" s="675"/>
      <c r="H1802" s="675"/>
      <c r="I1802" s="675"/>
      <c r="J1802" s="675"/>
      <c r="K1802" s="675"/>
      <c r="L1802" s="675"/>
      <c r="M1802" s="675"/>
    </row>
    <row r="1803" spans="1:13" x14ac:dyDescent="0.25">
      <c r="A1803" s="675" t="s">
        <v>1948</v>
      </c>
      <c r="B1803" s="675" t="s">
        <v>564</v>
      </c>
      <c r="C1803" s="675" t="s">
        <v>1653</v>
      </c>
      <c r="D1803" s="675" t="s">
        <v>21</v>
      </c>
      <c r="E1803" s="675" t="s">
        <v>514</v>
      </c>
      <c r="F1803" s="675" t="s">
        <v>515</v>
      </c>
      <c r="G1803" s="675"/>
      <c r="H1803" s="675"/>
      <c r="I1803" s="675"/>
      <c r="J1803" s="675"/>
      <c r="K1803" s="675"/>
      <c r="L1803" s="675"/>
      <c r="M1803" s="675"/>
    </row>
    <row r="1804" spans="1:13" x14ac:dyDescent="0.25">
      <c r="A1804" s="675" t="s">
        <v>1989</v>
      </c>
      <c r="B1804" s="702" t="s">
        <v>512</v>
      </c>
      <c r="C1804" s="702" t="s">
        <v>1990</v>
      </c>
      <c r="D1804" s="702" t="s">
        <v>21</v>
      </c>
      <c r="E1804" s="702" t="s">
        <v>514</v>
      </c>
      <c r="F1804" s="702" t="s">
        <v>515</v>
      </c>
      <c r="G1804" s="702"/>
      <c r="H1804" s="702"/>
      <c r="I1804" s="702"/>
      <c r="J1804" s="702"/>
      <c r="K1804" s="702"/>
      <c r="L1804" s="702"/>
      <c r="M1804" s="702"/>
    </row>
    <row r="1805" spans="1:13" x14ac:dyDescent="0.25">
      <c r="A1805" s="675" t="s">
        <v>1991</v>
      </c>
      <c r="B1805" s="702"/>
      <c r="C1805" s="702"/>
      <c r="D1805" s="702"/>
      <c r="E1805" s="702"/>
      <c r="F1805" s="702"/>
      <c r="G1805" s="702"/>
      <c r="H1805" s="702"/>
      <c r="I1805" s="702"/>
      <c r="J1805" s="702"/>
      <c r="K1805" s="702"/>
      <c r="L1805" s="702"/>
      <c r="M1805" s="702"/>
    </row>
    <row r="1806" spans="1:13" x14ac:dyDescent="0.25">
      <c r="A1806" s="675" t="s">
        <v>1989</v>
      </c>
      <c r="B1806" s="702" t="s">
        <v>512</v>
      </c>
      <c r="C1806" s="702" t="s">
        <v>1992</v>
      </c>
      <c r="D1806" s="702" t="s">
        <v>21</v>
      </c>
      <c r="E1806" s="702" t="s">
        <v>514</v>
      </c>
      <c r="F1806" s="702" t="s">
        <v>515</v>
      </c>
      <c r="G1806" s="702"/>
      <c r="H1806" s="702"/>
      <c r="I1806" s="702"/>
      <c r="J1806" s="702"/>
      <c r="K1806" s="702"/>
      <c r="L1806" s="702"/>
      <c r="M1806" s="702"/>
    </row>
    <row r="1807" spans="1:13" x14ac:dyDescent="0.25">
      <c r="A1807" s="675" t="s">
        <v>1991</v>
      </c>
      <c r="B1807" s="702"/>
      <c r="C1807" s="702"/>
      <c r="D1807" s="702"/>
      <c r="E1807" s="702"/>
      <c r="F1807" s="702"/>
      <c r="G1807" s="702"/>
      <c r="H1807" s="702"/>
      <c r="I1807" s="702"/>
      <c r="J1807" s="702"/>
      <c r="K1807" s="702"/>
      <c r="L1807" s="702"/>
      <c r="M1807" s="702"/>
    </row>
    <row r="1808" spans="1:13" x14ac:dyDescent="0.25">
      <c r="A1808" s="678" t="s">
        <v>1989</v>
      </c>
      <c r="B1808" s="703" t="s">
        <v>512</v>
      </c>
      <c r="C1808" s="703" t="s">
        <v>1993</v>
      </c>
      <c r="D1808" s="703" t="s">
        <v>21</v>
      </c>
      <c r="E1808" s="703" t="s">
        <v>514</v>
      </c>
      <c r="F1808" s="703" t="s">
        <v>596</v>
      </c>
      <c r="G1808" s="702"/>
      <c r="H1808" s="702"/>
      <c r="I1808" s="702"/>
      <c r="J1808" s="702"/>
      <c r="K1808" s="702"/>
      <c r="L1808" s="702"/>
      <c r="M1808" s="702"/>
    </row>
    <row r="1809" spans="1:13" x14ac:dyDescent="0.25">
      <c r="A1809" s="678" t="s">
        <v>1991</v>
      </c>
      <c r="B1809" s="703"/>
      <c r="C1809" s="703"/>
      <c r="D1809" s="703"/>
      <c r="E1809" s="703"/>
      <c r="F1809" s="703"/>
      <c r="G1809" s="702"/>
      <c r="H1809" s="702"/>
      <c r="I1809" s="702"/>
      <c r="J1809" s="702"/>
      <c r="K1809" s="702"/>
      <c r="L1809" s="702"/>
      <c r="M1809" s="702"/>
    </row>
    <row r="1810" spans="1:13" x14ac:dyDescent="0.25">
      <c r="A1810" s="675" t="s">
        <v>1989</v>
      </c>
      <c r="B1810" s="702" t="s">
        <v>512</v>
      </c>
      <c r="C1810" s="702" t="s">
        <v>1994</v>
      </c>
      <c r="D1810" s="702" t="s">
        <v>21</v>
      </c>
      <c r="E1810" s="702" t="s">
        <v>514</v>
      </c>
      <c r="F1810" s="702" t="s">
        <v>515</v>
      </c>
      <c r="G1810" s="702"/>
      <c r="H1810" s="702"/>
      <c r="I1810" s="702"/>
      <c r="J1810" s="702"/>
      <c r="K1810" s="702"/>
      <c r="L1810" s="702"/>
      <c r="M1810" s="702"/>
    </row>
    <row r="1811" spans="1:13" x14ac:dyDescent="0.25">
      <c r="A1811" s="675" t="s">
        <v>1991</v>
      </c>
      <c r="B1811" s="702"/>
      <c r="C1811" s="702"/>
      <c r="D1811" s="702"/>
      <c r="E1811" s="702"/>
      <c r="F1811" s="702"/>
      <c r="G1811" s="702"/>
      <c r="H1811" s="702"/>
      <c r="I1811" s="702"/>
      <c r="J1811" s="702"/>
      <c r="K1811" s="702"/>
      <c r="L1811" s="702"/>
      <c r="M1811" s="702"/>
    </row>
    <row r="1812" spans="1:13" x14ac:dyDescent="0.25">
      <c r="A1812" s="675" t="s">
        <v>1989</v>
      </c>
      <c r="B1812" s="702" t="s">
        <v>512</v>
      </c>
      <c r="C1812" s="702" t="s">
        <v>1995</v>
      </c>
      <c r="D1812" s="702" t="s">
        <v>21</v>
      </c>
      <c r="E1812" s="702" t="s">
        <v>514</v>
      </c>
      <c r="F1812" s="702" t="s">
        <v>515</v>
      </c>
      <c r="G1812" s="702"/>
      <c r="H1812" s="702"/>
      <c r="I1812" s="702"/>
      <c r="J1812" s="702"/>
      <c r="K1812" s="702"/>
      <c r="L1812" s="702"/>
      <c r="M1812" s="702"/>
    </row>
    <row r="1813" spans="1:13" x14ac:dyDescent="0.25">
      <c r="A1813" s="675" t="s">
        <v>1991</v>
      </c>
      <c r="B1813" s="702"/>
      <c r="C1813" s="702"/>
      <c r="D1813" s="702"/>
      <c r="E1813" s="702"/>
      <c r="F1813" s="702"/>
      <c r="G1813" s="702"/>
      <c r="H1813" s="702"/>
      <c r="I1813" s="702"/>
      <c r="J1813" s="702"/>
      <c r="K1813" s="702"/>
      <c r="L1813" s="702"/>
      <c r="M1813" s="702"/>
    </row>
    <row r="1814" spans="1:13" x14ac:dyDescent="0.25">
      <c r="A1814" s="675" t="s">
        <v>1989</v>
      </c>
      <c r="B1814" s="702" t="s">
        <v>512</v>
      </c>
      <c r="C1814" s="702" t="s">
        <v>1996</v>
      </c>
      <c r="D1814" s="702" t="s">
        <v>21</v>
      </c>
      <c r="E1814" s="702" t="s">
        <v>514</v>
      </c>
      <c r="F1814" s="702" t="s">
        <v>515</v>
      </c>
      <c r="G1814" s="702"/>
      <c r="H1814" s="702"/>
      <c r="I1814" s="702"/>
      <c r="J1814" s="702"/>
      <c r="K1814" s="702"/>
      <c r="L1814" s="702"/>
      <c r="M1814" s="702"/>
    </row>
    <row r="1815" spans="1:13" x14ac:dyDescent="0.25">
      <c r="A1815" s="675" t="s">
        <v>1991</v>
      </c>
      <c r="B1815" s="702"/>
      <c r="C1815" s="702"/>
      <c r="D1815" s="702"/>
      <c r="E1815" s="702"/>
      <c r="F1815" s="702"/>
      <c r="G1815" s="702"/>
      <c r="H1815" s="702"/>
      <c r="I1815" s="702"/>
      <c r="J1815" s="702"/>
      <c r="K1815" s="702"/>
      <c r="L1815" s="702"/>
      <c r="M1815" s="702"/>
    </row>
    <row r="1816" spans="1:13" x14ac:dyDescent="0.25">
      <c r="A1816" s="675" t="s">
        <v>1989</v>
      </c>
      <c r="B1816" s="702" t="s">
        <v>512</v>
      </c>
      <c r="C1816" s="702" t="s">
        <v>1831</v>
      </c>
      <c r="D1816" s="702" t="s">
        <v>21</v>
      </c>
      <c r="E1816" s="702" t="s">
        <v>514</v>
      </c>
      <c r="F1816" s="702" t="s">
        <v>515</v>
      </c>
      <c r="G1816" s="702"/>
      <c r="H1816" s="702"/>
      <c r="I1816" s="702"/>
      <c r="J1816" s="702"/>
      <c r="K1816" s="702"/>
      <c r="L1816" s="702"/>
      <c r="M1816" s="702"/>
    </row>
    <row r="1817" spans="1:13" x14ac:dyDescent="0.25">
      <c r="A1817" s="675" t="s">
        <v>1991</v>
      </c>
      <c r="B1817" s="702"/>
      <c r="C1817" s="702"/>
      <c r="D1817" s="702"/>
      <c r="E1817" s="702"/>
      <c r="F1817" s="702"/>
      <c r="G1817" s="702"/>
      <c r="H1817" s="702"/>
      <c r="I1817" s="702"/>
      <c r="J1817" s="702"/>
      <c r="K1817" s="702"/>
      <c r="L1817" s="702"/>
      <c r="M1817" s="702"/>
    </row>
    <row r="1818" spans="1:13" x14ac:dyDescent="0.25">
      <c r="A1818" s="675" t="s">
        <v>1989</v>
      </c>
      <c r="B1818" s="702" t="s">
        <v>512</v>
      </c>
      <c r="C1818" s="702" t="s">
        <v>1883</v>
      </c>
      <c r="D1818" s="702" t="s">
        <v>21</v>
      </c>
      <c r="E1818" s="702" t="s">
        <v>514</v>
      </c>
      <c r="F1818" s="702" t="s">
        <v>515</v>
      </c>
      <c r="G1818" s="702"/>
      <c r="H1818" s="702"/>
      <c r="I1818" s="702"/>
      <c r="J1818" s="702"/>
      <c r="K1818" s="702"/>
      <c r="L1818" s="702"/>
      <c r="M1818" s="702"/>
    </row>
    <row r="1819" spans="1:13" x14ac:dyDescent="0.25">
      <c r="A1819" s="675" t="s">
        <v>1991</v>
      </c>
      <c r="B1819" s="702"/>
      <c r="C1819" s="702"/>
      <c r="D1819" s="702"/>
      <c r="E1819" s="702"/>
      <c r="F1819" s="702"/>
      <c r="G1819" s="702"/>
      <c r="H1819" s="702"/>
      <c r="I1819" s="702"/>
      <c r="J1819" s="702"/>
      <c r="K1819" s="702"/>
      <c r="L1819" s="702"/>
      <c r="M1819" s="702"/>
    </row>
    <row r="1820" spans="1:13" x14ac:dyDescent="0.25">
      <c r="A1820" s="675" t="s">
        <v>1989</v>
      </c>
      <c r="B1820" s="702" t="s">
        <v>512</v>
      </c>
      <c r="C1820" s="702" t="s">
        <v>1997</v>
      </c>
      <c r="D1820" s="702" t="s">
        <v>21</v>
      </c>
      <c r="E1820" s="702" t="s">
        <v>514</v>
      </c>
      <c r="F1820" s="702" t="s">
        <v>515</v>
      </c>
      <c r="G1820" s="702"/>
      <c r="H1820" s="702"/>
      <c r="I1820" s="702"/>
      <c r="J1820" s="702"/>
      <c r="K1820" s="702"/>
      <c r="L1820" s="702"/>
      <c r="M1820" s="702"/>
    </row>
    <row r="1821" spans="1:13" x14ac:dyDescent="0.25">
      <c r="A1821" s="675" t="s">
        <v>1991</v>
      </c>
      <c r="B1821" s="702"/>
      <c r="C1821" s="702"/>
      <c r="D1821" s="702"/>
      <c r="E1821" s="702"/>
      <c r="F1821" s="702"/>
      <c r="G1821" s="702"/>
      <c r="H1821" s="702"/>
      <c r="I1821" s="702"/>
      <c r="J1821" s="702"/>
      <c r="K1821" s="702"/>
      <c r="L1821" s="702"/>
      <c r="M1821" s="702"/>
    </row>
    <row r="1822" spans="1:13" x14ac:dyDescent="0.25">
      <c r="A1822" s="675" t="s">
        <v>1989</v>
      </c>
      <c r="B1822" s="702" t="s">
        <v>512</v>
      </c>
      <c r="C1822" s="702" t="s">
        <v>1357</v>
      </c>
      <c r="D1822" s="702" t="s">
        <v>21</v>
      </c>
      <c r="E1822" s="702" t="s">
        <v>514</v>
      </c>
      <c r="F1822" s="702" t="s">
        <v>515</v>
      </c>
      <c r="G1822" s="702"/>
      <c r="H1822" s="702"/>
      <c r="I1822" s="702"/>
      <c r="J1822" s="702"/>
      <c r="K1822" s="702"/>
      <c r="L1822" s="702"/>
      <c r="M1822" s="702"/>
    </row>
    <row r="1823" spans="1:13" x14ac:dyDescent="0.25">
      <c r="A1823" s="675" t="s">
        <v>1991</v>
      </c>
      <c r="B1823" s="702"/>
      <c r="C1823" s="702"/>
      <c r="D1823" s="702"/>
      <c r="E1823" s="702"/>
      <c r="F1823" s="702"/>
      <c r="G1823" s="702"/>
      <c r="H1823" s="702"/>
      <c r="I1823" s="702"/>
      <c r="J1823" s="702"/>
      <c r="K1823" s="702"/>
      <c r="L1823" s="702"/>
      <c r="M1823" s="702"/>
    </row>
    <row r="1824" spans="1:13" x14ac:dyDescent="0.25">
      <c r="A1824" s="675" t="s">
        <v>1989</v>
      </c>
      <c r="B1824" s="702" t="s">
        <v>512</v>
      </c>
      <c r="C1824" s="702" t="s">
        <v>1998</v>
      </c>
      <c r="D1824" s="702" t="s">
        <v>21</v>
      </c>
      <c r="E1824" s="702" t="s">
        <v>514</v>
      </c>
      <c r="F1824" s="702" t="s">
        <v>515</v>
      </c>
      <c r="G1824" s="702"/>
      <c r="H1824" s="702"/>
      <c r="I1824" s="702"/>
      <c r="J1824" s="702"/>
      <c r="K1824" s="702"/>
      <c r="L1824" s="702"/>
      <c r="M1824" s="702"/>
    </row>
    <row r="1825" spans="1:13" x14ac:dyDescent="0.25">
      <c r="A1825" s="675" t="s">
        <v>1991</v>
      </c>
      <c r="B1825" s="702"/>
      <c r="C1825" s="702"/>
      <c r="D1825" s="702"/>
      <c r="E1825" s="702"/>
      <c r="F1825" s="702"/>
      <c r="G1825" s="702"/>
      <c r="H1825" s="702"/>
      <c r="I1825" s="702"/>
      <c r="J1825" s="702"/>
      <c r="K1825" s="702"/>
      <c r="L1825" s="702"/>
      <c r="M1825" s="702"/>
    </row>
    <row r="1826" spans="1:13" x14ac:dyDescent="0.25">
      <c r="A1826" s="675" t="s">
        <v>1989</v>
      </c>
      <c r="B1826" s="702" t="s">
        <v>512</v>
      </c>
      <c r="C1826" s="702" t="s">
        <v>1009</v>
      </c>
      <c r="D1826" s="702" t="s">
        <v>21</v>
      </c>
      <c r="E1826" s="702" t="s">
        <v>514</v>
      </c>
      <c r="F1826" s="702" t="s">
        <v>515</v>
      </c>
      <c r="G1826" s="702"/>
      <c r="H1826" s="702"/>
      <c r="I1826" s="702"/>
      <c r="J1826" s="702"/>
      <c r="K1826" s="702"/>
      <c r="L1826" s="702"/>
      <c r="M1826" s="702"/>
    </row>
    <row r="1827" spans="1:13" x14ac:dyDescent="0.25">
      <c r="A1827" s="675" t="s">
        <v>1991</v>
      </c>
      <c r="B1827" s="702"/>
      <c r="C1827" s="702"/>
      <c r="D1827" s="702"/>
      <c r="E1827" s="702"/>
      <c r="F1827" s="702"/>
      <c r="G1827" s="702"/>
      <c r="H1827" s="702"/>
      <c r="I1827" s="702"/>
      <c r="J1827" s="702"/>
      <c r="K1827" s="702"/>
      <c r="L1827" s="702"/>
      <c r="M1827" s="702"/>
    </row>
    <row r="1828" spans="1:13" x14ac:dyDescent="0.25">
      <c r="A1828" s="678" t="s">
        <v>1989</v>
      </c>
      <c r="B1828" s="703" t="s">
        <v>512</v>
      </c>
      <c r="C1828" s="703" t="s">
        <v>1010</v>
      </c>
      <c r="D1828" s="703" t="s">
        <v>21</v>
      </c>
      <c r="E1828" s="703" t="s">
        <v>514</v>
      </c>
      <c r="F1828" s="703" t="s">
        <v>596</v>
      </c>
      <c r="G1828" s="702"/>
      <c r="H1828" s="702"/>
      <c r="I1828" s="702"/>
      <c r="J1828" s="702"/>
      <c r="K1828" s="702"/>
      <c r="L1828" s="702"/>
      <c r="M1828" s="702"/>
    </row>
    <row r="1829" spans="1:13" x14ac:dyDescent="0.25">
      <c r="A1829" s="678" t="s">
        <v>1991</v>
      </c>
      <c r="B1829" s="703"/>
      <c r="C1829" s="703"/>
      <c r="D1829" s="703"/>
      <c r="E1829" s="703"/>
      <c r="F1829" s="703"/>
      <c r="G1829" s="702"/>
      <c r="H1829" s="702"/>
      <c r="I1829" s="702"/>
      <c r="J1829" s="702"/>
      <c r="K1829" s="702"/>
      <c r="L1829" s="702"/>
      <c r="M1829" s="702"/>
    </row>
    <row r="1830" spans="1:13" x14ac:dyDescent="0.25">
      <c r="A1830" s="675" t="s">
        <v>1989</v>
      </c>
      <c r="B1830" s="702" t="s">
        <v>512</v>
      </c>
      <c r="C1830" s="702" t="s">
        <v>1999</v>
      </c>
      <c r="D1830" s="702" t="s">
        <v>21</v>
      </c>
      <c r="E1830" s="702" t="s">
        <v>514</v>
      </c>
      <c r="F1830" s="702" t="s">
        <v>515</v>
      </c>
      <c r="G1830" s="702"/>
      <c r="H1830" s="702"/>
      <c r="I1830" s="702"/>
      <c r="J1830" s="702"/>
      <c r="K1830" s="702"/>
      <c r="L1830" s="702"/>
      <c r="M1830" s="702"/>
    </row>
    <row r="1831" spans="1:13" x14ac:dyDescent="0.25">
      <c r="A1831" s="675" t="s">
        <v>1991</v>
      </c>
      <c r="B1831" s="702"/>
      <c r="C1831" s="702"/>
      <c r="D1831" s="702"/>
      <c r="E1831" s="702"/>
      <c r="F1831" s="702"/>
      <c r="G1831" s="702"/>
      <c r="H1831" s="702"/>
      <c r="I1831" s="702"/>
      <c r="J1831" s="702"/>
      <c r="K1831" s="702"/>
      <c r="L1831" s="702"/>
      <c r="M1831" s="702"/>
    </row>
    <row r="1832" spans="1:13" x14ac:dyDescent="0.25">
      <c r="A1832" s="675" t="s">
        <v>1989</v>
      </c>
      <c r="B1832" s="702" t="s">
        <v>512</v>
      </c>
      <c r="C1832" s="702" t="s">
        <v>2000</v>
      </c>
      <c r="D1832" s="702" t="s">
        <v>21</v>
      </c>
      <c r="E1832" s="702" t="s">
        <v>514</v>
      </c>
      <c r="F1832" s="702" t="s">
        <v>515</v>
      </c>
      <c r="G1832" s="702"/>
      <c r="H1832" s="702"/>
      <c r="I1832" s="702"/>
      <c r="J1832" s="702"/>
      <c r="K1832" s="702"/>
      <c r="L1832" s="702"/>
      <c r="M1832" s="702"/>
    </row>
    <row r="1833" spans="1:13" x14ac:dyDescent="0.25">
      <c r="A1833" s="675" t="s">
        <v>1991</v>
      </c>
      <c r="B1833" s="702"/>
      <c r="C1833" s="702"/>
      <c r="D1833" s="702"/>
      <c r="E1833" s="702"/>
      <c r="F1833" s="702"/>
      <c r="G1833" s="702"/>
      <c r="H1833" s="702"/>
      <c r="I1833" s="702"/>
      <c r="J1833" s="702"/>
      <c r="K1833" s="702"/>
      <c r="L1833" s="702"/>
      <c r="M1833" s="702"/>
    </row>
    <row r="1834" spans="1:13" x14ac:dyDescent="0.25">
      <c r="A1834" s="675" t="s">
        <v>1989</v>
      </c>
      <c r="B1834" s="702" t="s">
        <v>512</v>
      </c>
      <c r="C1834" s="702" t="s">
        <v>2001</v>
      </c>
      <c r="D1834" s="702" t="s">
        <v>21</v>
      </c>
      <c r="E1834" s="702" t="s">
        <v>514</v>
      </c>
      <c r="F1834" s="702" t="s">
        <v>515</v>
      </c>
      <c r="G1834" s="702"/>
      <c r="H1834" s="702"/>
      <c r="I1834" s="702"/>
      <c r="J1834" s="702"/>
      <c r="K1834" s="702"/>
      <c r="L1834" s="702"/>
      <c r="M1834" s="702"/>
    </row>
    <row r="1835" spans="1:13" x14ac:dyDescent="0.25">
      <c r="A1835" s="675" t="s">
        <v>1991</v>
      </c>
      <c r="B1835" s="702"/>
      <c r="C1835" s="702"/>
      <c r="D1835" s="702"/>
      <c r="E1835" s="702"/>
      <c r="F1835" s="702"/>
      <c r="G1835" s="702"/>
      <c r="H1835" s="702"/>
      <c r="I1835" s="702"/>
      <c r="J1835" s="702"/>
      <c r="K1835" s="702"/>
      <c r="L1835" s="702"/>
      <c r="M1835" s="702"/>
    </row>
    <row r="1836" spans="1:13" x14ac:dyDescent="0.25">
      <c r="A1836" s="675" t="s">
        <v>1989</v>
      </c>
      <c r="B1836" s="702" t="s">
        <v>545</v>
      </c>
      <c r="C1836" s="702" t="s">
        <v>1579</v>
      </c>
      <c r="D1836" s="702" t="s">
        <v>21</v>
      </c>
      <c r="E1836" s="702" t="s">
        <v>514</v>
      </c>
      <c r="F1836" s="702" t="s">
        <v>515</v>
      </c>
      <c r="G1836" s="702"/>
      <c r="H1836" s="702"/>
      <c r="I1836" s="702"/>
      <c r="J1836" s="702"/>
      <c r="K1836" s="702"/>
      <c r="L1836" s="702"/>
      <c r="M1836" s="702"/>
    </row>
    <row r="1837" spans="1:13" x14ac:dyDescent="0.25">
      <c r="A1837" s="675" t="s">
        <v>1991</v>
      </c>
      <c r="B1837" s="702"/>
      <c r="C1837" s="702"/>
      <c r="D1837" s="702"/>
      <c r="E1837" s="702"/>
      <c r="F1837" s="702"/>
      <c r="G1837" s="702"/>
      <c r="H1837" s="702"/>
      <c r="I1837" s="702"/>
      <c r="J1837" s="702"/>
      <c r="K1837" s="702"/>
      <c r="L1837" s="702"/>
      <c r="M1837" s="702"/>
    </row>
    <row r="1838" spans="1:13" x14ac:dyDescent="0.25">
      <c r="A1838" s="675" t="s">
        <v>1989</v>
      </c>
      <c r="B1838" s="702" t="s">
        <v>545</v>
      </c>
      <c r="C1838" s="702" t="s">
        <v>1580</v>
      </c>
      <c r="D1838" s="702" t="s">
        <v>21</v>
      </c>
      <c r="E1838" s="702" t="s">
        <v>514</v>
      </c>
      <c r="F1838" s="702" t="s">
        <v>515</v>
      </c>
      <c r="G1838" s="702"/>
      <c r="H1838" s="702"/>
      <c r="I1838" s="702"/>
      <c r="J1838" s="702"/>
      <c r="K1838" s="702"/>
      <c r="L1838" s="702"/>
      <c r="M1838" s="702"/>
    </row>
    <row r="1839" spans="1:13" x14ac:dyDescent="0.25">
      <c r="A1839" s="675" t="s">
        <v>1991</v>
      </c>
      <c r="B1839" s="702"/>
      <c r="C1839" s="702"/>
      <c r="D1839" s="702"/>
      <c r="E1839" s="702"/>
      <c r="F1839" s="702"/>
      <c r="G1839" s="702"/>
      <c r="H1839" s="702"/>
      <c r="I1839" s="702"/>
      <c r="J1839" s="702"/>
      <c r="K1839" s="702"/>
      <c r="L1839" s="702"/>
      <c r="M1839" s="702"/>
    </row>
    <row r="1840" spans="1:13" x14ac:dyDescent="0.25">
      <c r="A1840" s="675" t="s">
        <v>1989</v>
      </c>
      <c r="B1840" s="702" t="s">
        <v>545</v>
      </c>
      <c r="C1840" s="702" t="s">
        <v>1581</v>
      </c>
      <c r="D1840" s="702" t="s">
        <v>21</v>
      </c>
      <c r="E1840" s="702" t="s">
        <v>514</v>
      </c>
      <c r="F1840" s="702" t="s">
        <v>515</v>
      </c>
      <c r="G1840" s="702"/>
      <c r="H1840" s="702"/>
      <c r="I1840" s="702"/>
      <c r="J1840" s="702"/>
      <c r="K1840" s="702"/>
      <c r="L1840" s="702"/>
      <c r="M1840" s="702"/>
    </row>
    <row r="1841" spans="1:13" x14ac:dyDescent="0.25">
      <c r="A1841" s="675" t="s">
        <v>1991</v>
      </c>
      <c r="B1841" s="702"/>
      <c r="C1841" s="702"/>
      <c r="D1841" s="702"/>
      <c r="E1841" s="702"/>
      <c r="F1841" s="702"/>
      <c r="G1841" s="702"/>
      <c r="H1841" s="702"/>
      <c r="I1841" s="702"/>
      <c r="J1841" s="702"/>
      <c r="K1841" s="702"/>
      <c r="L1841" s="702"/>
      <c r="M1841" s="702"/>
    </row>
    <row r="1842" spans="1:13" x14ac:dyDescent="0.25">
      <c r="A1842" s="675" t="s">
        <v>1989</v>
      </c>
      <c r="B1842" s="702" t="s">
        <v>545</v>
      </c>
      <c r="C1842" s="702" t="s">
        <v>1582</v>
      </c>
      <c r="D1842" s="702" t="s">
        <v>21</v>
      </c>
      <c r="E1842" s="702" t="s">
        <v>514</v>
      </c>
      <c r="F1842" s="702" t="s">
        <v>515</v>
      </c>
      <c r="G1842" s="702"/>
      <c r="H1842" s="702"/>
      <c r="I1842" s="702"/>
      <c r="J1842" s="702"/>
      <c r="K1842" s="702"/>
      <c r="L1842" s="702"/>
      <c r="M1842" s="702"/>
    </row>
    <row r="1843" spans="1:13" x14ac:dyDescent="0.25">
      <c r="A1843" s="675" t="s">
        <v>1991</v>
      </c>
      <c r="B1843" s="702"/>
      <c r="C1843" s="702"/>
      <c r="D1843" s="702"/>
      <c r="E1843" s="702"/>
      <c r="F1843" s="702"/>
      <c r="G1843" s="702"/>
      <c r="H1843" s="702"/>
      <c r="I1843" s="702"/>
      <c r="J1843" s="702"/>
      <c r="K1843" s="702"/>
      <c r="L1843" s="702"/>
      <c r="M1843" s="702"/>
    </row>
    <row r="1844" spans="1:13" x14ac:dyDescent="0.25">
      <c r="A1844" s="675" t="s">
        <v>1989</v>
      </c>
      <c r="B1844" s="702" t="s">
        <v>545</v>
      </c>
      <c r="C1844" s="702" t="s">
        <v>1789</v>
      </c>
      <c r="D1844" s="702" t="s">
        <v>21</v>
      </c>
      <c r="E1844" s="702" t="s">
        <v>514</v>
      </c>
      <c r="F1844" s="702" t="s">
        <v>515</v>
      </c>
      <c r="G1844" s="702"/>
      <c r="H1844" s="702"/>
      <c r="I1844" s="702"/>
      <c r="J1844" s="702"/>
      <c r="K1844" s="702"/>
      <c r="L1844" s="702"/>
      <c r="M1844" s="702"/>
    </row>
    <row r="1845" spans="1:13" x14ac:dyDescent="0.25">
      <c r="A1845" s="675" t="s">
        <v>1991</v>
      </c>
      <c r="B1845" s="702"/>
      <c r="C1845" s="702"/>
      <c r="D1845" s="702"/>
      <c r="E1845" s="702"/>
      <c r="F1845" s="702"/>
      <c r="G1845" s="702"/>
      <c r="H1845" s="702"/>
      <c r="I1845" s="702"/>
      <c r="J1845" s="702"/>
      <c r="K1845" s="702"/>
      <c r="L1845" s="702"/>
      <c r="M1845" s="702"/>
    </row>
    <row r="1846" spans="1:13" x14ac:dyDescent="0.25">
      <c r="A1846" s="675" t="s">
        <v>1989</v>
      </c>
      <c r="B1846" s="702" t="s">
        <v>545</v>
      </c>
      <c r="C1846" s="702" t="s">
        <v>2002</v>
      </c>
      <c r="D1846" s="702" t="s">
        <v>21</v>
      </c>
      <c r="E1846" s="702" t="s">
        <v>514</v>
      </c>
      <c r="F1846" s="702" t="s">
        <v>515</v>
      </c>
      <c r="G1846" s="702"/>
      <c r="H1846" s="702"/>
      <c r="I1846" s="702"/>
      <c r="J1846" s="702"/>
      <c r="K1846" s="702"/>
      <c r="L1846" s="702"/>
      <c r="M1846" s="702"/>
    </row>
    <row r="1847" spans="1:13" x14ac:dyDescent="0.25">
      <c r="A1847" s="675" t="s">
        <v>1991</v>
      </c>
      <c r="B1847" s="702"/>
      <c r="C1847" s="702"/>
      <c r="D1847" s="702"/>
      <c r="E1847" s="702"/>
      <c r="F1847" s="702"/>
      <c r="G1847" s="702"/>
      <c r="H1847" s="702"/>
      <c r="I1847" s="702"/>
      <c r="J1847" s="702"/>
      <c r="K1847" s="702"/>
      <c r="L1847" s="702"/>
      <c r="M1847" s="702"/>
    </row>
    <row r="1848" spans="1:13" x14ac:dyDescent="0.25">
      <c r="A1848" s="675" t="s">
        <v>1989</v>
      </c>
      <c r="B1848" s="702" t="s">
        <v>545</v>
      </c>
      <c r="C1848" s="702" t="s">
        <v>2003</v>
      </c>
      <c r="D1848" s="702" t="s">
        <v>21</v>
      </c>
      <c r="E1848" s="702" t="s">
        <v>514</v>
      </c>
      <c r="F1848" s="702" t="s">
        <v>515</v>
      </c>
      <c r="G1848" s="702"/>
      <c r="H1848" s="702"/>
      <c r="I1848" s="702"/>
      <c r="J1848" s="702"/>
      <c r="K1848" s="702"/>
      <c r="L1848" s="702"/>
      <c r="M1848" s="702"/>
    </row>
    <row r="1849" spans="1:13" x14ac:dyDescent="0.25">
      <c r="A1849" s="675" t="s">
        <v>1991</v>
      </c>
      <c r="B1849" s="702"/>
      <c r="C1849" s="702"/>
      <c r="D1849" s="702"/>
      <c r="E1849" s="702"/>
      <c r="F1849" s="702"/>
      <c r="G1849" s="702"/>
      <c r="H1849" s="702"/>
      <c r="I1849" s="702"/>
      <c r="J1849" s="702"/>
      <c r="K1849" s="702"/>
      <c r="L1849" s="702"/>
      <c r="M1849" s="702"/>
    </row>
    <row r="1850" spans="1:13" x14ac:dyDescent="0.25">
      <c r="A1850" s="675" t="s">
        <v>1989</v>
      </c>
      <c r="B1850" s="702" t="s">
        <v>545</v>
      </c>
      <c r="C1850" s="702" t="s">
        <v>2004</v>
      </c>
      <c r="D1850" s="702" t="s">
        <v>21</v>
      </c>
      <c r="E1850" s="702" t="s">
        <v>514</v>
      </c>
      <c r="F1850" s="702" t="s">
        <v>515</v>
      </c>
      <c r="G1850" s="702"/>
      <c r="H1850" s="702"/>
      <c r="I1850" s="702"/>
      <c r="J1850" s="702"/>
      <c r="K1850" s="702"/>
      <c r="L1850" s="702"/>
      <c r="M1850" s="702"/>
    </row>
    <row r="1851" spans="1:13" x14ac:dyDescent="0.25">
      <c r="A1851" s="675" t="s">
        <v>1991</v>
      </c>
      <c r="B1851" s="702"/>
      <c r="C1851" s="702"/>
      <c r="D1851" s="702"/>
      <c r="E1851" s="702"/>
      <c r="F1851" s="702"/>
      <c r="G1851" s="702"/>
      <c r="H1851" s="702"/>
      <c r="I1851" s="702"/>
      <c r="J1851" s="702"/>
      <c r="K1851" s="702"/>
      <c r="L1851" s="702"/>
      <c r="M1851" s="702"/>
    </row>
    <row r="1852" spans="1:13" x14ac:dyDescent="0.25">
      <c r="A1852" s="675" t="s">
        <v>1989</v>
      </c>
      <c r="B1852" s="702" t="s">
        <v>545</v>
      </c>
      <c r="C1852" s="702" t="s">
        <v>2005</v>
      </c>
      <c r="D1852" s="702" t="s">
        <v>21</v>
      </c>
      <c r="E1852" s="702" t="s">
        <v>514</v>
      </c>
      <c r="F1852" s="702" t="s">
        <v>515</v>
      </c>
      <c r="G1852" s="702"/>
      <c r="H1852" s="702"/>
      <c r="I1852" s="702"/>
      <c r="J1852" s="702"/>
      <c r="K1852" s="702"/>
      <c r="L1852" s="702"/>
      <c r="M1852" s="702"/>
    </row>
    <row r="1853" spans="1:13" x14ac:dyDescent="0.25">
      <c r="A1853" s="675" t="s">
        <v>1991</v>
      </c>
      <c r="B1853" s="702"/>
      <c r="C1853" s="702"/>
      <c r="D1853" s="702"/>
      <c r="E1853" s="702"/>
      <c r="F1853" s="702"/>
      <c r="G1853" s="702"/>
      <c r="H1853" s="702"/>
      <c r="I1853" s="702"/>
      <c r="J1853" s="702"/>
      <c r="K1853" s="702"/>
      <c r="L1853" s="702"/>
      <c r="M1853" s="702"/>
    </row>
    <row r="1854" spans="1:13" x14ac:dyDescent="0.25">
      <c r="A1854" s="675" t="s">
        <v>1989</v>
      </c>
      <c r="B1854" s="702" t="s">
        <v>545</v>
      </c>
      <c r="C1854" s="702" t="s">
        <v>2006</v>
      </c>
      <c r="D1854" s="702" t="s">
        <v>21</v>
      </c>
      <c r="E1854" s="702" t="s">
        <v>514</v>
      </c>
      <c r="F1854" s="702" t="s">
        <v>515</v>
      </c>
      <c r="G1854" s="702"/>
      <c r="H1854" s="702"/>
      <c r="I1854" s="702"/>
      <c r="J1854" s="702"/>
      <c r="K1854" s="702"/>
      <c r="L1854" s="702"/>
      <c r="M1854" s="702"/>
    </row>
    <row r="1855" spans="1:13" x14ac:dyDescent="0.25">
      <c r="A1855" s="675" t="s">
        <v>1991</v>
      </c>
      <c r="B1855" s="702"/>
      <c r="C1855" s="702"/>
      <c r="D1855" s="702"/>
      <c r="E1855" s="702"/>
      <c r="F1855" s="702"/>
      <c r="G1855" s="702"/>
      <c r="H1855" s="702"/>
      <c r="I1855" s="702"/>
      <c r="J1855" s="702"/>
      <c r="K1855" s="702"/>
      <c r="L1855" s="702"/>
      <c r="M1855" s="702"/>
    </row>
    <row r="1856" spans="1:13" x14ac:dyDescent="0.25">
      <c r="A1856" s="675" t="s">
        <v>1989</v>
      </c>
      <c r="B1856" s="702" t="s">
        <v>545</v>
      </c>
      <c r="C1856" s="702" t="s">
        <v>2007</v>
      </c>
      <c r="D1856" s="702" t="s">
        <v>21</v>
      </c>
      <c r="E1856" s="702" t="s">
        <v>514</v>
      </c>
      <c r="F1856" s="702" t="s">
        <v>515</v>
      </c>
      <c r="G1856" s="702"/>
      <c r="H1856" s="702"/>
      <c r="I1856" s="702"/>
      <c r="J1856" s="702"/>
      <c r="K1856" s="702"/>
      <c r="L1856" s="702"/>
      <c r="M1856" s="702"/>
    </row>
    <row r="1857" spans="1:13" x14ac:dyDescent="0.25">
      <c r="A1857" s="675" t="s">
        <v>1991</v>
      </c>
      <c r="B1857" s="702"/>
      <c r="C1857" s="702"/>
      <c r="D1857" s="702"/>
      <c r="E1857" s="702"/>
      <c r="F1857" s="702"/>
      <c r="G1857" s="702"/>
      <c r="H1857" s="702"/>
      <c r="I1857" s="702"/>
      <c r="J1857" s="702"/>
      <c r="K1857" s="702"/>
      <c r="L1857" s="702"/>
      <c r="M1857" s="702"/>
    </row>
    <row r="1858" spans="1:13" x14ac:dyDescent="0.25">
      <c r="A1858" s="675" t="s">
        <v>1989</v>
      </c>
      <c r="B1858" s="702" t="s">
        <v>545</v>
      </c>
      <c r="C1858" s="702" t="s">
        <v>1591</v>
      </c>
      <c r="D1858" s="702" t="s">
        <v>21</v>
      </c>
      <c r="E1858" s="702" t="s">
        <v>514</v>
      </c>
      <c r="F1858" s="702" t="s">
        <v>515</v>
      </c>
      <c r="G1858" s="702"/>
      <c r="H1858" s="702"/>
      <c r="I1858" s="702"/>
      <c r="J1858" s="702"/>
      <c r="K1858" s="702"/>
      <c r="L1858" s="702"/>
      <c r="M1858" s="702"/>
    </row>
    <row r="1859" spans="1:13" x14ac:dyDescent="0.25">
      <c r="A1859" s="675" t="s">
        <v>1991</v>
      </c>
      <c r="B1859" s="702"/>
      <c r="C1859" s="702"/>
      <c r="D1859" s="702"/>
      <c r="E1859" s="702"/>
      <c r="F1859" s="702"/>
      <c r="G1859" s="702"/>
      <c r="H1859" s="702"/>
      <c r="I1859" s="702"/>
      <c r="J1859" s="702"/>
      <c r="K1859" s="702"/>
      <c r="L1859" s="702"/>
      <c r="M1859" s="702"/>
    </row>
    <row r="1860" spans="1:13" x14ac:dyDescent="0.25">
      <c r="A1860" s="675" t="s">
        <v>1989</v>
      </c>
      <c r="B1860" s="702" t="s">
        <v>564</v>
      </c>
      <c r="C1860" s="702" t="s">
        <v>1791</v>
      </c>
      <c r="D1860" s="702" t="s">
        <v>21</v>
      </c>
      <c r="E1860" s="702" t="s">
        <v>514</v>
      </c>
      <c r="F1860" s="702" t="s">
        <v>515</v>
      </c>
      <c r="G1860" s="702"/>
      <c r="H1860" s="702"/>
      <c r="I1860" s="702"/>
      <c r="J1860" s="702"/>
      <c r="K1860" s="702"/>
      <c r="L1860" s="702"/>
      <c r="M1860" s="702"/>
    </row>
    <row r="1861" spans="1:13" x14ac:dyDescent="0.25">
      <c r="A1861" s="675" t="s">
        <v>1991</v>
      </c>
      <c r="B1861" s="702"/>
      <c r="C1861" s="702"/>
      <c r="D1861" s="702"/>
      <c r="E1861" s="702"/>
      <c r="F1861" s="702"/>
      <c r="G1861" s="702"/>
      <c r="H1861" s="702"/>
      <c r="I1861" s="702"/>
      <c r="J1861" s="702"/>
      <c r="K1861" s="702"/>
      <c r="L1861" s="702"/>
      <c r="M1861" s="702"/>
    </row>
    <row r="1862" spans="1:13" x14ac:dyDescent="0.25">
      <c r="A1862" s="675" t="s">
        <v>1989</v>
      </c>
      <c r="B1862" s="702" t="s">
        <v>564</v>
      </c>
      <c r="C1862" s="702" t="s">
        <v>2008</v>
      </c>
      <c r="D1862" s="702" t="s">
        <v>21</v>
      </c>
      <c r="E1862" s="702" t="s">
        <v>514</v>
      </c>
      <c r="F1862" s="702" t="s">
        <v>515</v>
      </c>
      <c r="G1862" s="702"/>
      <c r="H1862" s="702"/>
      <c r="I1862" s="702"/>
      <c r="J1862" s="702"/>
      <c r="K1862" s="702"/>
      <c r="L1862" s="702"/>
      <c r="M1862" s="702"/>
    </row>
    <row r="1863" spans="1:13" x14ac:dyDescent="0.25">
      <c r="A1863" s="675" t="s">
        <v>1991</v>
      </c>
      <c r="B1863" s="702"/>
      <c r="C1863" s="702"/>
      <c r="D1863" s="702"/>
      <c r="E1863" s="702"/>
      <c r="F1863" s="702"/>
      <c r="G1863" s="702"/>
      <c r="H1863" s="702"/>
      <c r="I1863" s="702"/>
      <c r="J1863" s="702"/>
      <c r="K1863" s="702"/>
      <c r="L1863" s="702"/>
      <c r="M1863" s="702"/>
    </row>
    <row r="1864" spans="1:13" x14ac:dyDescent="0.25">
      <c r="A1864" s="675" t="s">
        <v>1989</v>
      </c>
      <c r="B1864" s="702" t="s">
        <v>564</v>
      </c>
      <c r="C1864" s="702" t="s">
        <v>2009</v>
      </c>
      <c r="D1864" s="702" t="s">
        <v>21</v>
      </c>
      <c r="E1864" s="702" t="s">
        <v>514</v>
      </c>
      <c r="F1864" s="702" t="s">
        <v>515</v>
      </c>
      <c r="G1864" s="702"/>
      <c r="H1864" s="702"/>
      <c r="I1864" s="702"/>
      <c r="J1864" s="702"/>
      <c r="K1864" s="702"/>
      <c r="L1864" s="702"/>
      <c r="M1864" s="702"/>
    </row>
    <row r="1865" spans="1:13" x14ac:dyDescent="0.25">
      <c r="A1865" s="675" t="s">
        <v>1991</v>
      </c>
      <c r="B1865" s="702"/>
      <c r="C1865" s="702"/>
      <c r="D1865" s="702"/>
      <c r="E1865" s="702"/>
      <c r="F1865" s="702"/>
      <c r="G1865" s="702"/>
      <c r="H1865" s="702"/>
      <c r="I1865" s="702"/>
      <c r="J1865" s="702"/>
      <c r="K1865" s="702"/>
      <c r="L1865" s="702"/>
      <c r="M1865" s="702"/>
    </row>
    <row r="1866" spans="1:13" x14ac:dyDescent="0.25">
      <c r="A1866" s="675" t="s">
        <v>1989</v>
      </c>
      <c r="B1866" s="702" t="s">
        <v>564</v>
      </c>
      <c r="C1866" s="702" t="s">
        <v>1793</v>
      </c>
      <c r="D1866" s="702" t="s">
        <v>21</v>
      </c>
      <c r="E1866" s="702" t="s">
        <v>514</v>
      </c>
      <c r="F1866" s="702" t="s">
        <v>515</v>
      </c>
      <c r="G1866" s="702"/>
      <c r="H1866" s="702"/>
      <c r="I1866" s="702"/>
      <c r="J1866" s="702"/>
      <c r="K1866" s="702"/>
      <c r="L1866" s="702"/>
      <c r="M1866" s="702"/>
    </row>
    <row r="1867" spans="1:13" x14ac:dyDescent="0.25">
      <c r="A1867" s="675" t="s">
        <v>1991</v>
      </c>
      <c r="B1867" s="702"/>
      <c r="C1867" s="702"/>
      <c r="D1867" s="702"/>
      <c r="E1867" s="702"/>
      <c r="F1867" s="702"/>
      <c r="G1867" s="702"/>
      <c r="H1867" s="702"/>
      <c r="I1867" s="702"/>
      <c r="J1867" s="702"/>
      <c r="K1867" s="702"/>
      <c r="L1867" s="702"/>
      <c r="M1867" s="702"/>
    </row>
    <row r="1868" spans="1:13" x14ac:dyDescent="0.25">
      <c r="A1868" s="675" t="s">
        <v>1989</v>
      </c>
      <c r="B1868" s="702" t="s">
        <v>564</v>
      </c>
      <c r="C1868" s="702" t="s">
        <v>1653</v>
      </c>
      <c r="D1868" s="702" t="s">
        <v>21</v>
      </c>
      <c r="E1868" s="702" t="s">
        <v>514</v>
      </c>
      <c r="F1868" s="702" t="s">
        <v>515</v>
      </c>
      <c r="G1868" s="702"/>
      <c r="H1868" s="702"/>
      <c r="I1868" s="702"/>
      <c r="J1868" s="702"/>
      <c r="K1868" s="702"/>
      <c r="L1868" s="702"/>
      <c r="M1868" s="702"/>
    </row>
    <row r="1869" spans="1:13" x14ac:dyDescent="0.25">
      <c r="A1869" s="675" t="s">
        <v>1991</v>
      </c>
      <c r="B1869" s="702"/>
      <c r="C1869" s="702"/>
      <c r="D1869" s="702"/>
      <c r="E1869" s="702"/>
      <c r="F1869" s="702"/>
      <c r="G1869" s="702"/>
      <c r="H1869" s="702"/>
      <c r="I1869" s="702"/>
      <c r="J1869" s="702"/>
      <c r="K1869" s="702"/>
      <c r="L1869" s="702"/>
      <c r="M1869" s="702"/>
    </row>
    <row r="1870" spans="1:13" x14ac:dyDescent="0.25">
      <c r="A1870" s="675" t="s">
        <v>1989</v>
      </c>
      <c r="B1870" s="702" t="s">
        <v>564</v>
      </c>
      <c r="C1870" s="702" t="s">
        <v>1794</v>
      </c>
      <c r="D1870" s="702" t="s">
        <v>21</v>
      </c>
      <c r="E1870" s="702" t="s">
        <v>514</v>
      </c>
      <c r="F1870" s="702" t="s">
        <v>515</v>
      </c>
      <c r="G1870" s="702"/>
      <c r="H1870" s="702"/>
      <c r="I1870" s="702"/>
      <c r="J1870" s="702"/>
      <c r="K1870" s="702"/>
      <c r="L1870" s="702"/>
      <c r="M1870" s="702"/>
    </row>
    <row r="1871" spans="1:13" x14ac:dyDescent="0.25">
      <c r="A1871" s="675" t="s">
        <v>1991</v>
      </c>
      <c r="B1871" s="702"/>
      <c r="C1871" s="702"/>
      <c r="D1871" s="702"/>
      <c r="E1871" s="702"/>
      <c r="F1871" s="702"/>
      <c r="G1871" s="702"/>
      <c r="H1871" s="702"/>
      <c r="I1871" s="702"/>
      <c r="J1871" s="702"/>
      <c r="K1871" s="702"/>
      <c r="L1871" s="702"/>
      <c r="M1871" s="702"/>
    </row>
    <row r="1872" spans="1:13" x14ac:dyDescent="0.25">
      <c r="A1872" s="675" t="s">
        <v>2010</v>
      </c>
      <c r="B1872" s="675" t="s">
        <v>512</v>
      </c>
      <c r="C1872" s="675" t="s">
        <v>806</v>
      </c>
      <c r="D1872" s="675" t="s">
        <v>21</v>
      </c>
      <c r="E1872" s="675" t="s">
        <v>514</v>
      </c>
      <c r="F1872" s="675" t="s">
        <v>515</v>
      </c>
      <c r="G1872" s="675"/>
      <c r="H1872" s="675"/>
      <c r="I1872" s="675"/>
      <c r="J1872" s="675"/>
      <c r="K1872" s="675"/>
      <c r="L1872" s="675"/>
      <c r="M1872" s="675"/>
    </row>
    <row r="1873" spans="1:13" x14ac:dyDescent="0.25">
      <c r="A1873" s="675" t="s">
        <v>2010</v>
      </c>
      <c r="B1873" s="675" t="s">
        <v>512</v>
      </c>
      <c r="C1873" s="675" t="s">
        <v>807</v>
      </c>
      <c r="D1873" s="675" t="s">
        <v>21</v>
      </c>
      <c r="E1873" s="675" t="s">
        <v>514</v>
      </c>
      <c r="F1873" s="675" t="s">
        <v>515</v>
      </c>
      <c r="G1873" s="675"/>
      <c r="H1873" s="675"/>
      <c r="I1873" s="675"/>
      <c r="J1873" s="675"/>
      <c r="K1873" s="675"/>
      <c r="L1873" s="675"/>
      <c r="M1873" s="675"/>
    </row>
    <row r="1874" spans="1:13" x14ac:dyDescent="0.25">
      <c r="A1874" s="675" t="s">
        <v>2010</v>
      </c>
      <c r="B1874" s="675" t="s">
        <v>512</v>
      </c>
      <c r="C1874" s="675" t="s">
        <v>1694</v>
      </c>
      <c r="D1874" s="675" t="s">
        <v>21</v>
      </c>
      <c r="E1874" s="675" t="s">
        <v>514</v>
      </c>
      <c r="F1874" s="675" t="s">
        <v>515</v>
      </c>
      <c r="G1874" s="675"/>
      <c r="H1874" s="675"/>
      <c r="I1874" s="675"/>
      <c r="J1874" s="675"/>
      <c r="K1874" s="675"/>
      <c r="L1874" s="675"/>
      <c r="M1874" s="675"/>
    </row>
    <row r="1875" spans="1:13" x14ac:dyDescent="0.25">
      <c r="A1875" s="675" t="s">
        <v>2010</v>
      </c>
      <c r="B1875" s="675" t="s">
        <v>512</v>
      </c>
      <c r="C1875" s="675" t="s">
        <v>813</v>
      </c>
      <c r="D1875" s="675" t="s">
        <v>21</v>
      </c>
      <c r="E1875" s="675" t="s">
        <v>514</v>
      </c>
      <c r="F1875" s="675" t="s">
        <v>515</v>
      </c>
      <c r="G1875" s="675"/>
      <c r="H1875" s="675"/>
      <c r="I1875" s="675"/>
      <c r="J1875" s="675"/>
      <c r="K1875" s="675"/>
      <c r="L1875" s="675"/>
      <c r="M1875" s="675"/>
    </row>
    <row r="1876" spans="1:13" x14ac:dyDescent="0.25">
      <c r="A1876" s="675" t="s">
        <v>2010</v>
      </c>
      <c r="B1876" s="675" t="s">
        <v>512</v>
      </c>
      <c r="C1876" s="675" t="s">
        <v>815</v>
      </c>
      <c r="D1876" s="675" t="s">
        <v>21</v>
      </c>
      <c r="E1876" s="675" t="s">
        <v>514</v>
      </c>
      <c r="F1876" s="675" t="s">
        <v>515</v>
      </c>
      <c r="G1876" s="675"/>
      <c r="H1876" s="675"/>
      <c r="I1876" s="675"/>
      <c r="J1876" s="675"/>
      <c r="K1876" s="675"/>
      <c r="L1876" s="675"/>
      <c r="M1876" s="675"/>
    </row>
    <row r="1877" spans="1:13" x14ac:dyDescent="0.25">
      <c r="A1877" s="678" t="s">
        <v>2010</v>
      </c>
      <c r="B1877" s="678" t="s">
        <v>545</v>
      </c>
      <c r="C1877" s="678" t="s">
        <v>1541</v>
      </c>
      <c r="D1877" s="678" t="s">
        <v>21</v>
      </c>
      <c r="E1877" s="678" t="s">
        <v>514</v>
      </c>
      <c r="F1877" s="678" t="s">
        <v>636</v>
      </c>
      <c r="G1877" s="675"/>
      <c r="H1877" s="675"/>
      <c r="I1877" s="675"/>
      <c r="J1877" s="675"/>
      <c r="K1877" s="675"/>
      <c r="L1877" s="675"/>
      <c r="M1877" s="675"/>
    </row>
    <row r="1878" spans="1:13" x14ac:dyDescent="0.25">
      <c r="A1878" s="675" t="s">
        <v>2010</v>
      </c>
      <c r="B1878" s="675" t="s">
        <v>564</v>
      </c>
      <c r="C1878" s="675" t="s">
        <v>2011</v>
      </c>
      <c r="D1878" s="675" t="s">
        <v>21</v>
      </c>
      <c r="E1878" s="675" t="s">
        <v>514</v>
      </c>
      <c r="F1878" s="675" t="s">
        <v>515</v>
      </c>
      <c r="G1878" s="675"/>
      <c r="H1878" s="675"/>
      <c r="I1878" s="675"/>
      <c r="J1878" s="675"/>
      <c r="K1878" s="675"/>
      <c r="L1878" s="675"/>
      <c r="M1878" s="675"/>
    </row>
    <row r="1879" spans="1:13" x14ac:dyDescent="0.25">
      <c r="A1879" s="675" t="s">
        <v>2010</v>
      </c>
      <c r="B1879" s="675" t="s">
        <v>564</v>
      </c>
      <c r="C1879" s="675" t="s">
        <v>2012</v>
      </c>
      <c r="D1879" s="675" t="s">
        <v>21</v>
      </c>
      <c r="E1879" s="675" t="s">
        <v>514</v>
      </c>
      <c r="F1879" s="675" t="s">
        <v>515</v>
      </c>
      <c r="G1879" s="675"/>
      <c r="H1879" s="675"/>
      <c r="I1879" s="675"/>
      <c r="J1879" s="675"/>
      <c r="K1879" s="675"/>
      <c r="L1879" s="675"/>
      <c r="M1879" s="675"/>
    </row>
    <row r="1880" spans="1:13" x14ac:dyDescent="0.25">
      <c r="A1880" s="675" t="s">
        <v>2013</v>
      </c>
      <c r="B1880" s="675" t="s">
        <v>512</v>
      </c>
      <c r="C1880" s="675" t="s">
        <v>2014</v>
      </c>
      <c r="D1880" s="675" t="s">
        <v>21</v>
      </c>
      <c r="E1880" s="675" t="s">
        <v>514</v>
      </c>
      <c r="F1880" s="675" t="s">
        <v>515</v>
      </c>
      <c r="G1880" s="675"/>
      <c r="H1880" s="675"/>
      <c r="I1880" s="675"/>
      <c r="J1880" s="675"/>
      <c r="K1880" s="675"/>
      <c r="L1880" s="675"/>
      <c r="M1880" s="675"/>
    </row>
    <row r="1881" spans="1:13" x14ac:dyDescent="0.25">
      <c r="A1881" s="675" t="s">
        <v>2013</v>
      </c>
      <c r="B1881" s="675" t="s">
        <v>545</v>
      </c>
      <c r="C1881" s="675" t="s">
        <v>2015</v>
      </c>
      <c r="D1881" s="675" t="s">
        <v>21</v>
      </c>
      <c r="E1881" s="675" t="s">
        <v>514</v>
      </c>
      <c r="F1881" s="675" t="s">
        <v>515</v>
      </c>
      <c r="G1881" s="675"/>
      <c r="H1881" s="675"/>
      <c r="I1881" s="675"/>
      <c r="J1881" s="675"/>
      <c r="K1881" s="675"/>
      <c r="L1881" s="675"/>
      <c r="M1881" s="675"/>
    </row>
    <row r="1882" spans="1:13" x14ac:dyDescent="0.25">
      <c r="A1882" s="678" t="s">
        <v>2013</v>
      </c>
      <c r="B1882" s="678" t="s">
        <v>545</v>
      </c>
      <c r="C1882" s="678" t="s">
        <v>2016</v>
      </c>
      <c r="D1882" s="678" t="s">
        <v>21</v>
      </c>
      <c r="E1882" s="678" t="s">
        <v>514</v>
      </c>
      <c r="F1882" s="678" t="s">
        <v>636</v>
      </c>
      <c r="G1882" s="675"/>
      <c r="H1882" s="675"/>
      <c r="I1882" s="675"/>
      <c r="J1882" s="675"/>
      <c r="K1882" s="675"/>
      <c r="L1882" s="675"/>
      <c r="M1882" s="675"/>
    </row>
    <row r="1883" spans="1:13" x14ac:dyDescent="0.25">
      <c r="A1883" s="675" t="s">
        <v>2013</v>
      </c>
      <c r="B1883" s="675" t="s">
        <v>545</v>
      </c>
      <c r="C1883" s="675" t="s">
        <v>690</v>
      </c>
      <c r="D1883" s="675" t="s">
        <v>21</v>
      </c>
      <c r="E1883" s="675" t="s">
        <v>514</v>
      </c>
      <c r="F1883" s="675" t="s">
        <v>515</v>
      </c>
      <c r="G1883" s="675"/>
      <c r="H1883" s="675"/>
      <c r="I1883" s="675"/>
      <c r="J1883" s="675"/>
      <c r="K1883" s="675"/>
      <c r="L1883" s="675"/>
      <c r="M1883" s="675"/>
    </row>
    <row r="1884" spans="1:13" x14ac:dyDescent="0.25">
      <c r="A1884" s="675" t="s">
        <v>2013</v>
      </c>
      <c r="B1884" s="675" t="s">
        <v>564</v>
      </c>
      <c r="C1884" s="675" t="s">
        <v>693</v>
      </c>
      <c r="D1884" s="675" t="s">
        <v>21</v>
      </c>
      <c r="E1884" s="675" t="s">
        <v>514</v>
      </c>
      <c r="F1884" s="675" t="s">
        <v>515</v>
      </c>
      <c r="G1884" s="675"/>
      <c r="H1884" s="675"/>
      <c r="I1884" s="675"/>
      <c r="J1884" s="675"/>
      <c r="K1884" s="675"/>
      <c r="L1884" s="675"/>
      <c r="M1884" s="675"/>
    </row>
    <row r="1885" spans="1:13" x14ac:dyDescent="0.25">
      <c r="A1885" s="675" t="s">
        <v>2017</v>
      </c>
      <c r="B1885" s="675" t="s">
        <v>512</v>
      </c>
      <c r="C1885" s="675" t="s">
        <v>2018</v>
      </c>
      <c r="D1885" s="675" t="s">
        <v>21</v>
      </c>
      <c r="E1885" s="675" t="s">
        <v>514</v>
      </c>
      <c r="F1885" s="675" t="s">
        <v>515</v>
      </c>
      <c r="G1885" s="675"/>
      <c r="H1885" s="675"/>
      <c r="I1885" s="675"/>
      <c r="J1885" s="675"/>
      <c r="K1885" s="675"/>
      <c r="L1885" s="675"/>
      <c r="M1885" s="675"/>
    </row>
    <row r="1886" spans="1:13" x14ac:dyDescent="0.25">
      <c r="A1886" s="675" t="s">
        <v>2017</v>
      </c>
      <c r="B1886" s="675" t="s">
        <v>512</v>
      </c>
      <c r="C1886" s="675" t="s">
        <v>2019</v>
      </c>
      <c r="D1886" s="675" t="s">
        <v>21</v>
      </c>
      <c r="E1886" s="675" t="s">
        <v>514</v>
      </c>
      <c r="F1886" s="675" t="s">
        <v>515</v>
      </c>
      <c r="G1886" s="675"/>
      <c r="H1886" s="675"/>
      <c r="I1886" s="675"/>
      <c r="J1886" s="675"/>
      <c r="K1886" s="675"/>
      <c r="L1886" s="675"/>
      <c r="M1886" s="675"/>
    </row>
    <row r="1887" spans="1:13" x14ac:dyDescent="0.25">
      <c r="A1887" s="675" t="s">
        <v>2017</v>
      </c>
      <c r="B1887" s="675" t="s">
        <v>512</v>
      </c>
      <c r="C1887" s="675" t="s">
        <v>2020</v>
      </c>
      <c r="D1887" s="675" t="s">
        <v>21</v>
      </c>
      <c r="E1887" s="675" t="s">
        <v>514</v>
      </c>
      <c r="F1887" s="675" t="s">
        <v>515</v>
      </c>
      <c r="G1887" s="675"/>
      <c r="H1887" s="675"/>
      <c r="I1887" s="675"/>
      <c r="J1887" s="675"/>
      <c r="K1887" s="675"/>
      <c r="L1887" s="675"/>
      <c r="M1887" s="675"/>
    </row>
    <row r="1888" spans="1:13" x14ac:dyDescent="0.25">
      <c r="A1888" s="675" t="s">
        <v>2017</v>
      </c>
      <c r="B1888" s="675" t="s">
        <v>512</v>
      </c>
      <c r="C1888" s="675" t="s">
        <v>2021</v>
      </c>
      <c r="D1888" s="675" t="s">
        <v>21</v>
      </c>
      <c r="E1888" s="675" t="s">
        <v>514</v>
      </c>
      <c r="F1888" s="675" t="s">
        <v>515</v>
      </c>
      <c r="G1888" s="675"/>
      <c r="H1888" s="675"/>
      <c r="I1888" s="675"/>
      <c r="J1888" s="675"/>
      <c r="K1888" s="675"/>
      <c r="L1888" s="675"/>
      <c r="M1888" s="675"/>
    </row>
    <row r="1889" spans="1:13" x14ac:dyDescent="0.25">
      <c r="A1889" s="675" t="s">
        <v>2017</v>
      </c>
      <c r="B1889" s="675" t="s">
        <v>512</v>
      </c>
      <c r="C1889" s="675" t="s">
        <v>2022</v>
      </c>
      <c r="D1889" s="675" t="s">
        <v>21</v>
      </c>
      <c r="E1889" s="675" t="s">
        <v>514</v>
      </c>
      <c r="F1889" s="675" t="s">
        <v>515</v>
      </c>
      <c r="G1889" s="675"/>
      <c r="H1889" s="675"/>
      <c r="I1889" s="675"/>
      <c r="J1889" s="675"/>
      <c r="K1889" s="675"/>
      <c r="L1889" s="675"/>
      <c r="M1889" s="675"/>
    </row>
    <row r="1890" spans="1:13" x14ac:dyDescent="0.25">
      <c r="A1890" s="675" t="s">
        <v>2017</v>
      </c>
      <c r="B1890" s="675" t="s">
        <v>512</v>
      </c>
      <c r="C1890" s="675" t="s">
        <v>2023</v>
      </c>
      <c r="D1890" s="675" t="s">
        <v>21</v>
      </c>
      <c r="E1890" s="675" t="s">
        <v>514</v>
      </c>
      <c r="F1890" s="675" t="s">
        <v>515</v>
      </c>
      <c r="G1890" s="675"/>
      <c r="H1890" s="675"/>
      <c r="I1890" s="675"/>
      <c r="J1890" s="675"/>
      <c r="K1890" s="675"/>
      <c r="L1890" s="675"/>
      <c r="M1890" s="675"/>
    </row>
    <row r="1891" spans="1:13" x14ac:dyDescent="0.25">
      <c r="A1891" s="678" t="s">
        <v>2017</v>
      </c>
      <c r="B1891" s="678" t="s">
        <v>545</v>
      </c>
      <c r="C1891" s="678" t="s">
        <v>2024</v>
      </c>
      <c r="D1891" s="678" t="s">
        <v>21</v>
      </c>
      <c r="E1891" s="678" t="s">
        <v>514</v>
      </c>
      <c r="F1891" s="678" t="s">
        <v>636</v>
      </c>
      <c r="G1891" s="675"/>
      <c r="H1891" s="675"/>
      <c r="I1891" s="675"/>
      <c r="J1891" s="675"/>
      <c r="K1891" s="675"/>
      <c r="L1891" s="675"/>
      <c r="M1891" s="675"/>
    </row>
    <row r="1892" spans="1:13" x14ac:dyDescent="0.25">
      <c r="A1892" s="678" t="s">
        <v>2017</v>
      </c>
      <c r="B1892" s="678" t="s">
        <v>545</v>
      </c>
      <c r="C1892" s="678" t="s">
        <v>2025</v>
      </c>
      <c r="D1892" s="678" t="s">
        <v>21</v>
      </c>
      <c r="E1892" s="678" t="s">
        <v>514</v>
      </c>
      <c r="F1892" s="678" t="s">
        <v>636</v>
      </c>
      <c r="G1892" s="675"/>
      <c r="H1892" s="675"/>
      <c r="I1892" s="675"/>
      <c r="J1892" s="675"/>
      <c r="K1892" s="675"/>
      <c r="L1892" s="675"/>
      <c r="M1892" s="675"/>
    </row>
    <row r="1893" spans="1:13" x14ac:dyDescent="0.25">
      <c r="A1893" s="678" t="s">
        <v>2017</v>
      </c>
      <c r="B1893" s="678" t="s">
        <v>545</v>
      </c>
      <c r="C1893" s="678" t="s">
        <v>2026</v>
      </c>
      <c r="D1893" s="678" t="s">
        <v>21</v>
      </c>
      <c r="E1893" s="678" t="s">
        <v>514</v>
      </c>
      <c r="F1893" s="678" t="s">
        <v>636</v>
      </c>
      <c r="G1893" s="675"/>
      <c r="H1893" s="675"/>
      <c r="I1893" s="675"/>
      <c r="J1893" s="675"/>
      <c r="K1893" s="675"/>
      <c r="L1893" s="675"/>
      <c r="M1893" s="675"/>
    </row>
    <row r="1894" spans="1:13" x14ac:dyDescent="0.25">
      <c r="A1894" s="675" t="s">
        <v>2017</v>
      </c>
      <c r="B1894" s="675" t="s">
        <v>564</v>
      </c>
      <c r="C1894" s="675" t="s">
        <v>2027</v>
      </c>
      <c r="D1894" s="675" t="s">
        <v>21</v>
      </c>
      <c r="E1894" s="675" t="s">
        <v>514</v>
      </c>
      <c r="F1894" s="675" t="s">
        <v>515</v>
      </c>
      <c r="G1894" s="675"/>
      <c r="H1894" s="675"/>
      <c r="I1894" s="675"/>
      <c r="J1894" s="675"/>
      <c r="K1894" s="675"/>
      <c r="L1894" s="675"/>
      <c r="M1894" s="675"/>
    </row>
    <row r="1895" spans="1:13" x14ac:dyDescent="0.25">
      <c r="A1895" s="675" t="s">
        <v>2028</v>
      </c>
      <c r="B1895" s="675" t="s">
        <v>512</v>
      </c>
      <c r="C1895" s="675" t="s">
        <v>2029</v>
      </c>
      <c r="D1895" s="675" t="s">
        <v>21</v>
      </c>
      <c r="E1895" s="702"/>
      <c r="F1895" s="702"/>
      <c r="G1895" s="675"/>
      <c r="H1895" s="675"/>
      <c r="I1895" s="675"/>
      <c r="J1895" s="675"/>
      <c r="K1895" s="675"/>
      <c r="L1895" s="675"/>
      <c r="M1895" s="675"/>
    </row>
    <row r="1896" spans="1:13" x14ac:dyDescent="0.25">
      <c r="A1896" s="675" t="s">
        <v>2028</v>
      </c>
      <c r="B1896" s="675" t="s">
        <v>512</v>
      </c>
      <c r="C1896" s="675" t="s">
        <v>2018</v>
      </c>
      <c r="D1896" s="675" t="s">
        <v>21</v>
      </c>
      <c r="E1896" s="675" t="s">
        <v>514</v>
      </c>
      <c r="F1896" s="675" t="s">
        <v>515</v>
      </c>
      <c r="G1896" s="675"/>
      <c r="H1896" s="675"/>
      <c r="I1896" s="675"/>
      <c r="J1896" s="675"/>
      <c r="K1896" s="675"/>
      <c r="L1896" s="675"/>
      <c r="M1896" s="675"/>
    </row>
    <row r="1897" spans="1:13" x14ac:dyDescent="0.25">
      <c r="A1897" s="675" t="s">
        <v>2028</v>
      </c>
      <c r="B1897" s="675" t="s">
        <v>512</v>
      </c>
      <c r="C1897" s="675" t="s">
        <v>2019</v>
      </c>
      <c r="D1897" s="675" t="s">
        <v>21</v>
      </c>
      <c r="E1897" s="675" t="s">
        <v>514</v>
      </c>
      <c r="F1897" s="675" t="s">
        <v>515</v>
      </c>
      <c r="G1897" s="675"/>
      <c r="H1897" s="675"/>
      <c r="I1897" s="675"/>
      <c r="J1897" s="675"/>
      <c r="K1897" s="675"/>
      <c r="L1897" s="675"/>
      <c r="M1897" s="675"/>
    </row>
    <row r="1898" spans="1:13" x14ac:dyDescent="0.25">
      <c r="A1898" s="675" t="s">
        <v>2028</v>
      </c>
      <c r="B1898" s="675" t="s">
        <v>512</v>
      </c>
      <c r="C1898" s="675" t="s">
        <v>2020</v>
      </c>
      <c r="D1898" s="675" t="s">
        <v>21</v>
      </c>
      <c r="E1898" s="675" t="s">
        <v>514</v>
      </c>
      <c r="F1898" s="675" t="s">
        <v>515</v>
      </c>
      <c r="G1898" s="675"/>
      <c r="H1898" s="675"/>
      <c r="I1898" s="675"/>
      <c r="J1898" s="675"/>
      <c r="K1898" s="675"/>
      <c r="L1898" s="675"/>
      <c r="M1898" s="675"/>
    </row>
    <row r="1899" spans="1:13" x14ac:dyDescent="0.25">
      <c r="A1899" s="675" t="s">
        <v>2028</v>
      </c>
      <c r="B1899" s="675" t="s">
        <v>512</v>
      </c>
      <c r="C1899" s="675" t="s">
        <v>2021</v>
      </c>
      <c r="D1899" s="675" t="s">
        <v>21</v>
      </c>
      <c r="E1899" s="675" t="s">
        <v>514</v>
      </c>
      <c r="F1899" s="675" t="s">
        <v>515</v>
      </c>
      <c r="G1899" s="675"/>
      <c r="H1899" s="675"/>
      <c r="I1899" s="675"/>
      <c r="J1899" s="675"/>
      <c r="K1899" s="675"/>
      <c r="L1899" s="675"/>
      <c r="M1899" s="675"/>
    </row>
    <row r="1900" spans="1:13" x14ac:dyDescent="0.25">
      <c r="A1900" s="675" t="s">
        <v>2028</v>
      </c>
      <c r="B1900" s="675" t="s">
        <v>512</v>
      </c>
      <c r="C1900" s="675" t="s">
        <v>2030</v>
      </c>
      <c r="D1900" s="675" t="s">
        <v>21</v>
      </c>
      <c r="E1900" s="675" t="s">
        <v>514</v>
      </c>
      <c r="F1900" s="675" t="s">
        <v>515</v>
      </c>
      <c r="G1900" s="675"/>
      <c r="H1900" s="675"/>
      <c r="I1900" s="675"/>
      <c r="J1900" s="675"/>
      <c r="K1900" s="675"/>
      <c r="L1900" s="675"/>
      <c r="M1900" s="675"/>
    </row>
    <row r="1901" spans="1:13" x14ac:dyDescent="0.25">
      <c r="A1901" s="675" t="s">
        <v>2028</v>
      </c>
      <c r="B1901" s="675" t="s">
        <v>512</v>
      </c>
      <c r="C1901" s="675" t="s">
        <v>2031</v>
      </c>
      <c r="D1901" s="675" t="s">
        <v>21</v>
      </c>
      <c r="E1901" s="675" t="s">
        <v>514</v>
      </c>
      <c r="F1901" s="675" t="s">
        <v>515</v>
      </c>
      <c r="G1901" s="675"/>
      <c r="H1901" s="675"/>
      <c r="I1901" s="675"/>
      <c r="J1901" s="675"/>
      <c r="K1901" s="675"/>
      <c r="L1901" s="675"/>
      <c r="M1901" s="675"/>
    </row>
    <row r="1902" spans="1:13" x14ac:dyDescent="0.25">
      <c r="A1902" s="675" t="s">
        <v>2028</v>
      </c>
      <c r="B1902" s="675" t="s">
        <v>512</v>
      </c>
      <c r="C1902" s="675" t="s">
        <v>2032</v>
      </c>
      <c r="D1902" s="675" t="s">
        <v>21</v>
      </c>
      <c r="E1902" s="702"/>
      <c r="F1902" s="702"/>
      <c r="G1902" s="675"/>
      <c r="H1902" s="675"/>
      <c r="I1902" s="675"/>
      <c r="J1902" s="675"/>
      <c r="K1902" s="675"/>
      <c r="L1902" s="675"/>
      <c r="M1902" s="675"/>
    </row>
    <row r="1903" spans="1:13" x14ac:dyDescent="0.25">
      <c r="A1903" s="675" t="s">
        <v>2028</v>
      </c>
      <c r="B1903" s="675" t="s">
        <v>512</v>
      </c>
      <c r="C1903" s="675" t="s">
        <v>2033</v>
      </c>
      <c r="D1903" s="675" t="s">
        <v>21</v>
      </c>
      <c r="E1903" s="702"/>
      <c r="F1903" s="702"/>
      <c r="G1903" s="675"/>
      <c r="H1903" s="675"/>
      <c r="I1903" s="675"/>
      <c r="J1903" s="675"/>
      <c r="K1903" s="675"/>
      <c r="L1903" s="675"/>
      <c r="M1903" s="675"/>
    </row>
    <row r="1904" spans="1:13" x14ac:dyDescent="0.25">
      <c r="A1904" s="675" t="s">
        <v>2028</v>
      </c>
      <c r="B1904" s="675" t="s">
        <v>512</v>
      </c>
      <c r="C1904" s="675" t="s">
        <v>2034</v>
      </c>
      <c r="D1904" s="675" t="s">
        <v>21</v>
      </c>
      <c r="E1904" s="702"/>
      <c r="F1904" s="702"/>
      <c r="G1904" s="675"/>
      <c r="H1904" s="675"/>
      <c r="I1904" s="675"/>
      <c r="J1904" s="675"/>
      <c r="K1904" s="675"/>
      <c r="L1904" s="675"/>
      <c r="M1904" s="675"/>
    </row>
    <row r="1905" spans="1:13" x14ac:dyDescent="0.25">
      <c r="A1905" s="675" t="s">
        <v>2028</v>
      </c>
      <c r="B1905" s="675" t="s">
        <v>512</v>
      </c>
      <c r="C1905" s="675" t="s">
        <v>2035</v>
      </c>
      <c r="D1905" s="675" t="s">
        <v>21</v>
      </c>
      <c r="E1905" s="702"/>
      <c r="F1905" s="702"/>
      <c r="G1905" s="675"/>
      <c r="H1905" s="675"/>
      <c r="I1905" s="675"/>
      <c r="J1905" s="675"/>
      <c r="K1905" s="675"/>
      <c r="L1905" s="675"/>
      <c r="M1905" s="675"/>
    </row>
    <row r="1906" spans="1:13" x14ac:dyDescent="0.25">
      <c r="A1906" s="675" t="s">
        <v>2028</v>
      </c>
      <c r="B1906" s="675" t="s">
        <v>545</v>
      </c>
      <c r="C1906" s="675" t="s">
        <v>2036</v>
      </c>
      <c r="D1906" s="675" t="s">
        <v>21</v>
      </c>
      <c r="E1906" s="702"/>
      <c r="F1906" s="702"/>
      <c r="G1906" s="675"/>
      <c r="H1906" s="675"/>
      <c r="I1906" s="675"/>
      <c r="J1906" s="675"/>
      <c r="K1906" s="675"/>
      <c r="L1906" s="675"/>
      <c r="M1906" s="675"/>
    </row>
    <row r="1907" spans="1:13" x14ac:dyDescent="0.25">
      <c r="A1907" s="675" t="s">
        <v>2028</v>
      </c>
      <c r="B1907" s="675" t="s">
        <v>545</v>
      </c>
      <c r="C1907" s="675" t="s">
        <v>2037</v>
      </c>
      <c r="D1907" s="675" t="s">
        <v>21</v>
      </c>
      <c r="E1907" s="702"/>
      <c r="F1907" s="702"/>
      <c r="G1907" s="675"/>
      <c r="H1907" s="675"/>
      <c r="I1907" s="675"/>
      <c r="J1907" s="675"/>
      <c r="K1907" s="675"/>
      <c r="L1907" s="675"/>
      <c r="M1907" s="675"/>
    </row>
    <row r="1908" spans="1:13" x14ac:dyDescent="0.25">
      <c r="A1908" s="675" t="s">
        <v>2028</v>
      </c>
      <c r="B1908" s="675" t="s">
        <v>545</v>
      </c>
      <c r="C1908" s="675" t="s">
        <v>2038</v>
      </c>
      <c r="D1908" s="675" t="s">
        <v>21</v>
      </c>
      <c r="E1908" s="702"/>
      <c r="F1908" s="702"/>
      <c r="G1908" s="675"/>
      <c r="H1908" s="675"/>
      <c r="I1908" s="675"/>
      <c r="J1908" s="675"/>
      <c r="K1908" s="675"/>
      <c r="L1908" s="675"/>
      <c r="M1908" s="675"/>
    </row>
    <row r="1909" spans="1:13" x14ac:dyDescent="0.25">
      <c r="A1909" s="675" t="s">
        <v>2028</v>
      </c>
      <c r="B1909" s="675" t="s">
        <v>545</v>
      </c>
      <c r="C1909" s="675" t="s">
        <v>2039</v>
      </c>
      <c r="D1909" s="675" t="s">
        <v>21</v>
      </c>
      <c r="E1909" s="702"/>
      <c r="F1909" s="702"/>
      <c r="G1909" s="675"/>
      <c r="H1909" s="675"/>
      <c r="I1909" s="675"/>
      <c r="J1909" s="675"/>
      <c r="K1909" s="675"/>
      <c r="L1909" s="675"/>
      <c r="M1909" s="675"/>
    </row>
    <row r="1910" spans="1:13" x14ac:dyDescent="0.25">
      <c r="A1910" s="675" t="s">
        <v>2028</v>
      </c>
      <c r="B1910" s="675" t="s">
        <v>545</v>
      </c>
      <c r="C1910" s="675" t="s">
        <v>2040</v>
      </c>
      <c r="D1910" s="675" t="s">
        <v>21</v>
      </c>
      <c r="E1910" s="702"/>
      <c r="F1910" s="702"/>
      <c r="G1910" s="675"/>
      <c r="H1910" s="675"/>
      <c r="I1910" s="675"/>
      <c r="J1910" s="675"/>
      <c r="K1910" s="675"/>
      <c r="L1910" s="675"/>
      <c r="M1910" s="675"/>
    </row>
    <row r="1911" spans="1:13" x14ac:dyDescent="0.25">
      <c r="A1911" s="675" t="s">
        <v>2028</v>
      </c>
      <c r="B1911" s="675" t="s">
        <v>564</v>
      </c>
      <c r="C1911" s="680" t="s">
        <v>2041</v>
      </c>
      <c r="D1911" s="675" t="s">
        <v>21</v>
      </c>
      <c r="E1911" s="702"/>
      <c r="F1911" s="702"/>
      <c r="G1911" s="675"/>
      <c r="H1911" s="675"/>
      <c r="I1911" s="675"/>
      <c r="J1911" s="675"/>
      <c r="K1911" s="675"/>
      <c r="L1911" s="675"/>
      <c r="M1911" s="675"/>
    </row>
    <row r="1912" spans="1:13" x14ac:dyDescent="0.25">
      <c r="A1912" s="675" t="s">
        <v>2028</v>
      </c>
      <c r="B1912" s="675" t="s">
        <v>564</v>
      </c>
      <c r="C1912" s="680" t="s">
        <v>2042</v>
      </c>
      <c r="D1912" s="675" t="s">
        <v>21</v>
      </c>
      <c r="E1912" s="702"/>
      <c r="F1912" s="702"/>
      <c r="G1912" s="675"/>
      <c r="H1912" s="675"/>
      <c r="I1912" s="675"/>
      <c r="J1912" s="675"/>
      <c r="K1912" s="675"/>
      <c r="L1912" s="675"/>
      <c r="M1912" s="675"/>
    </row>
    <row r="1913" spans="1:13" x14ac:dyDescent="0.25">
      <c r="A1913" s="675" t="s">
        <v>2028</v>
      </c>
      <c r="B1913" s="675" t="s">
        <v>564</v>
      </c>
      <c r="C1913" s="680" t="s">
        <v>2043</v>
      </c>
      <c r="D1913" s="675" t="s">
        <v>21</v>
      </c>
      <c r="E1913" s="702"/>
      <c r="F1913" s="702"/>
      <c r="G1913" s="675"/>
      <c r="H1913" s="675"/>
      <c r="I1913" s="675"/>
      <c r="J1913" s="675"/>
      <c r="K1913" s="675"/>
      <c r="L1913" s="675"/>
      <c r="M1913" s="675"/>
    </row>
    <row r="1914" spans="1:13" x14ac:dyDescent="0.25">
      <c r="A1914" s="675" t="s">
        <v>2028</v>
      </c>
      <c r="B1914" s="675" t="s">
        <v>564</v>
      </c>
      <c r="C1914" s="680" t="s">
        <v>2044</v>
      </c>
      <c r="D1914" s="675" t="s">
        <v>21</v>
      </c>
      <c r="E1914" s="702"/>
      <c r="F1914" s="702"/>
      <c r="G1914" s="675"/>
      <c r="H1914" s="675"/>
      <c r="I1914" s="675"/>
      <c r="J1914" s="675"/>
      <c r="K1914" s="675"/>
      <c r="L1914" s="675"/>
      <c r="M1914" s="675"/>
    </row>
    <row r="1915" spans="1:13" x14ac:dyDescent="0.25">
      <c r="A1915" s="675" t="s">
        <v>2028</v>
      </c>
      <c r="B1915" s="675" t="s">
        <v>564</v>
      </c>
      <c r="C1915" s="680" t="s">
        <v>2045</v>
      </c>
      <c r="D1915" s="675" t="s">
        <v>21</v>
      </c>
      <c r="E1915" s="702"/>
      <c r="F1915" s="702"/>
      <c r="G1915" s="675"/>
      <c r="H1915" s="675"/>
      <c r="I1915" s="675"/>
      <c r="J1915" s="675"/>
      <c r="K1915" s="675"/>
      <c r="L1915" s="675"/>
      <c r="M1915" s="675"/>
    </row>
    <row r="1916" spans="1:13" x14ac:dyDescent="0.25">
      <c r="A1916" s="675" t="s">
        <v>2046</v>
      </c>
      <c r="B1916" s="675" t="s">
        <v>512</v>
      </c>
      <c r="C1916" s="675" t="s">
        <v>2047</v>
      </c>
      <c r="D1916" s="675" t="s">
        <v>21</v>
      </c>
      <c r="E1916" s="702"/>
      <c r="F1916" s="702"/>
      <c r="G1916" s="675"/>
      <c r="H1916" s="675"/>
      <c r="I1916" s="675"/>
      <c r="J1916" s="675"/>
      <c r="K1916" s="675"/>
      <c r="L1916" s="675"/>
      <c r="M1916" s="675"/>
    </row>
    <row r="1917" spans="1:13" x14ac:dyDescent="0.25">
      <c r="A1917" s="675" t="s">
        <v>2046</v>
      </c>
      <c r="B1917" s="675" t="s">
        <v>512</v>
      </c>
      <c r="C1917" s="675" t="s">
        <v>2048</v>
      </c>
      <c r="D1917" s="675" t="s">
        <v>21</v>
      </c>
      <c r="E1917" s="702"/>
      <c r="F1917" s="702"/>
      <c r="G1917" s="675"/>
      <c r="H1917" s="675"/>
      <c r="I1917" s="675"/>
      <c r="J1917" s="675"/>
      <c r="K1917" s="675"/>
      <c r="L1917" s="675"/>
      <c r="M1917" s="675"/>
    </row>
    <row r="1918" spans="1:13" x14ac:dyDescent="0.25">
      <c r="A1918" s="675" t="s">
        <v>2046</v>
      </c>
      <c r="B1918" s="675" t="s">
        <v>512</v>
      </c>
      <c r="C1918" s="675" t="s">
        <v>2049</v>
      </c>
      <c r="D1918" s="675" t="s">
        <v>21</v>
      </c>
      <c r="E1918" s="702"/>
      <c r="F1918" s="702"/>
      <c r="G1918" s="675"/>
      <c r="H1918" s="675"/>
      <c r="I1918" s="675"/>
      <c r="J1918" s="675"/>
      <c r="K1918" s="675"/>
      <c r="L1918" s="675"/>
      <c r="M1918" s="675"/>
    </row>
    <row r="1919" spans="1:13" x14ac:dyDescent="0.25">
      <c r="A1919" s="675" t="s">
        <v>2046</v>
      </c>
      <c r="B1919" s="675" t="s">
        <v>512</v>
      </c>
      <c r="C1919" s="675" t="s">
        <v>2050</v>
      </c>
      <c r="D1919" s="675" t="s">
        <v>21</v>
      </c>
      <c r="E1919" s="702"/>
      <c r="F1919" s="702"/>
      <c r="G1919" s="675"/>
      <c r="H1919" s="675"/>
      <c r="I1919" s="675"/>
      <c r="J1919" s="675"/>
      <c r="K1919" s="675"/>
      <c r="L1919" s="675"/>
      <c r="M1919" s="675"/>
    </row>
    <row r="1920" spans="1:13" x14ac:dyDescent="0.25">
      <c r="A1920" s="675" t="s">
        <v>2046</v>
      </c>
      <c r="B1920" s="675" t="s">
        <v>512</v>
      </c>
      <c r="C1920" s="675" t="s">
        <v>2051</v>
      </c>
      <c r="D1920" s="675" t="s">
        <v>21</v>
      </c>
      <c r="E1920" s="702"/>
      <c r="F1920" s="702"/>
      <c r="G1920" s="675"/>
      <c r="H1920" s="675"/>
      <c r="I1920" s="675"/>
      <c r="J1920" s="675"/>
      <c r="K1920" s="675"/>
      <c r="L1920" s="675"/>
      <c r="M1920" s="675"/>
    </row>
    <row r="1921" spans="1:13" x14ac:dyDescent="0.25">
      <c r="A1921" s="675" t="s">
        <v>2046</v>
      </c>
      <c r="B1921" s="675" t="s">
        <v>545</v>
      </c>
      <c r="C1921" s="675" t="s">
        <v>2052</v>
      </c>
      <c r="D1921" s="675" t="s">
        <v>21</v>
      </c>
      <c r="E1921" s="702"/>
      <c r="F1921" s="702"/>
      <c r="G1921" s="675"/>
      <c r="H1921" s="675"/>
      <c r="I1921" s="675"/>
      <c r="J1921" s="675"/>
      <c r="K1921" s="675"/>
      <c r="L1921" s="675"/>
      <c r="M1921" s="675"/>
    </row>
    <row r="1922" spans="1:13" x14ac:dyDescent="0.25">
      <c r="A1922" s="675" t="s">
        <v>2046</v>
      </c>
      <c r="B1922" s="675" t="s">
        <v>545</v>
      </c>
      <c r="C1922" s="675" t="s">
        <v>2053</v>
      </c>
      <c r="D1922" s="675" t="s">
        <v>21</v>
      </c>
      <c r="E1922" s="702"/>
      <c r="F1922" s="702"/>
      <c r="G1922" s="675"/>
      <c r="H1922" s="675"/>
      <c r="I1922" s="675"/>
      <c r="J1922" s="675"/>
      <c r="K1922" s="675"/>
      <c r="L1922" s="675"/>
      <c r="M1922" s="675"/>
    </row>
    <row r="1923" spans="1:13" x14ac:dyDescent="0.25">
      <c r="A1923" s="675" t="s">
        <v>2046</v>
      </c>
      <c r="B1923" s="675" t="s">
        <v>545</v>
      </c>
      <c r="C1923" s="675" t="s">
        <v>2054</v>
      </c>
      <c r="D1923" s="675" t="s">
        <v>21</v>
      </c>
      <c r="E1923" s="702"/>
      <c r="F1923" s="702"/>
      <c r="G1923" s="675"/>
      <c r="H1923" s="675"/>
      <c r="I1923" s="675"/>
      <c r="J1923" s="675"/>
      <c r="K1923" s="675"/>
      <c r="L1923" s="675"/>
      <c r="M1923" s="675"/>
    </row>
    <row r="1924" spans="1:13" x14ac:dyDescent="0.25">
      <c r="A1924" s="675" t="s">
        <v>2046</v>
      </c>
      <c r="B1924" s="675" t="s">
        <v>545</v>
      </c>
      <c r="C1924" s="675" t="s">
        <v>2055</v>
      </c>
      <c r="D1924" s="675" t="s">
        <v>21</v>
      </c>
      <c r="E1924" s="702"/>
      <c r="F1924" s="702"/>
      <c r="G1924" s="675"/>
      <c r="H1924" s="675"/>
      <c r="I1924" s="675"/>
      <c r="J1924" s="675"/>
      <c r="K1924" s="675"/>
      <c r="L1924" s="675"/>
      <c r="M1924" s="675"/>
    </row>
    <row r="1925" spans="1:13" x14ac:dyDescent="0.25">
      <c r="A1925" s="675" t="s">
        <v>2046</v>
      </c>
      <c r="B1925" s="675" t="s">
        <v>545</v>
      </c>
      <c r="C1925" s="675" t="s">
        <v>2056</v>
      </c>
      <c r="D1925" s="675" t="s">
        <v>21</v>
      </c>
      <c r="E1925" s="702"/>
      <c r="F1925" s="702"/>
      <c r="G1925" s="675"/>
      <c r="H1925" s="675"/>
      <c r="I1925" s="675"/>
      <c r="J1925" s="675"/>
      <c r="K1925" s="675"/>
      <c r="L1925" s="675"/>
      <c r="M1925" s="675"/>
    </row>
    <row r="1926" spans="1:13" x14ac:dyDescent="0.25">
      <c r="A1926" s="675" t="s">
        <v>2046</v>
      </c>
      <c r="B1926" s="675" t="s">
        <v>564</v>
      </c>
      <c r="C1926" s="675" t="s">
        <v>2057</v>
      </c>
      <c r="D1926" s="675" t="s">
        <v>21</v>
      </c>
      <c r="E1926" s="702"/>
      <c r="F1926" s="702"/>
      <c r="G1926" s="675"/>
      <c r="H1926" s="675"/>
      <c r="I1926" s="675"/>
      <c r="J1926" s="675"/>
      <c r="K1926" s="675"/>
      <c r="L1926" s="675"/>
      <c r="M1926" s="675"/>
    </row>
    <row r="1927" spans="1:13" x14ac:dyDescent="0.25">
      <c r="A1927" s="675" t="s">
        <v>2046</v>
      </c>
      <c r="B1927" s="675" t="s">
        <v>564</v>
      </c>
      <c r="C1927" s="675" t="s">
        <v>2058</v>
      </c>
      <c r="D1927" s="675" t="s">
        <v>21</v>
      </c>
      <c r="E1927" s="702"/>
      <c r="F1927" s="702"/>
      <c r="G1927" s="675"/>
      <c r="H1927" s="675"/>
      <c r="I1927" s="675"/>
      <c r="J1927" s="675"/>
      <c r="K1927" s="675"/>
      <c r="L1927" s="675"/>
      <c r="M1927" s="675"/>
    </row>
    <row r="1928" spans="1:13" x14ac:dyDescent="0.25">
      <c r="A1928" s="675" t="s">
        <v>2046</v>
      </c>
      <c r="B1928" s="675" t="s">
        <v>564</v>
      </c>
      <c r="C1928" s="675" t="s">
        <v>2059</v>
      </c>
      <c r="D1928" s="675" t="s">
        <v>21</v>
      </c>
      <c r="E1928" s="702"/>
      <c r="F1928" s="702"/>
      <c r="G1928" s="675"/>
      <c r="H1928" s="675"/>
      <c r="I1928" s="675"/>
      <c r="J1928" s="675"/>
      <c r="K1928" s="675"/>
      <c r="L1928" s="675"/>
      <c r="M1928" s="675"/>
    </row>
    <row r="1929" spans="1:13" x14ac:dyDescent="0.25">
      <c r="A1929" s="675" t="s">
        <v>2046</v>
      </c>
      <c r="B1929" s="675" t="s">
        <v>564</v>
      </c>
      <c r="C1929" s="675" t="s">
        <v>2060</v>
      </c>
      <c r="D1929" s="675" t="s">
        <v>21</v>
      </c>
      <c r="E1929" s="702"/>
      <c r="F1929" s="702"/>
      <c r="G1929" s="675"/>
      <c r="H1929" s="675"/>
      <c r="I1929" s="675"/>
      <c r="J1929" s="675"/>
      <c r="K1929" s="675"/>
      <c r="L1929" s="675"/>
      <c r="M1929" s="675"/>
    </row>
    <row r="1930" spans="1:13" x14ac:dyDescent="0.25">
      <c r="A1930" s="675" t="s">
        <v>2046</v>
      </c>
      <c r="B1930" s="675" t="s">
        <v>564</v>
      </c>
      <c r="C1930" s="675" t="s">
        <v>2061</v>
      </c>
      <c r="D1930" s="675" t="s">
        <v>21</v>
      </c>
      <c r="E1930" s="702"/>
      <c r="F1930" s="702"/>
      <c r="G1930" s="675"/>
      <c r="H1930" s="675"/>
      <c r="I1930" s="675"/>
      <c r="J1930" s="675"/>
      <c r="K1930" s="675"/>
      <c r="L1930" s="675"/>
      <c r="M1930" s="675"/>
    </row>
    <row r="1931" spans="1:13" x14ac:dyDescent="0.25">
      <c r="A1931" s="675" t="s">
        <v>2062</v>
      </c>
      <c r="B1931" s="675" t="s">
        <v>512</v>
      </c>
      <c r="C1931" s="675" t="s">
        <v>519</v>
      </c>
      <c r="D1931" s="675" t="s">
        <v>21</v>
      </c>
      <c r="E1931" s="675" t="s">
        <v>514</v>
      </c>
      <c r="F1931" s="675" t="s">
        <v>515</v>
      </c>
      <c r="G1931" s="675"/>
      <c r="H1931" s="675"/>
      <c r="I1931" s="675"/>
      <c r="J1931" s="675"/>
      <c r="K1931" s="675"/>
      <c r="L1931" s="675"/>
      <c r="M1931" s="675"/>
    </row>
    <row r="1932" spans="1:13" x14ac:dyDescent="0.25">
      <c r="A1932" s="675" t="s">
        <v>2062</v>
      </c>
      <c r="B1932" s="675" t="s">
        <v>512</v>
      </c>
      <c r="C1932" s="675" t="s">
        <v>523</v>
      </c>
      <c r="D1932" s="675" t="s">
        <v>21</v>
      </c>
      <c r="E1932" s="675" t="s">
        <v>514</v>
      </c>
      <c r="F1932" s="675" t="s">
        <v>515</v>
      </c>
      <c r="G1932" s="675"/>
      <c r="H1932" s="675"/>
      <c r="I1932" s="675"/>
      <c r="J1932" s="675"/>
      <c r="K1932" s="675"/>
      <c r="L1932" s="675"/>
      <c r="M1932" s="675"/>
    </row>
    <row r="1933" spans="1:13" x14ac:dyDescent="0.25">
      <c r="A1933" s="675" t="s">
        <v>2062</v>
      </c>
      <c r="B1933" s="675" t="s">
        <v>512</v>
      </c>
      <c r="C1933" s="675" t="s">
        <v>524</v>
      </c>
      <c r="D1933" s="675" t="s">
        <v>21</v>
      </c>
      <c r="E1933" s="675" t="s">
        <v>514</v>
      </c>
      <c r="F1933" s="675" t="s">
        <v>515</v>
      </c>
      <c r="G1933" s="675"/>
      <c r="H1933" s="675"/>
      <c r="I1933" s="675"/>
      <c r="J1933" s="675"/>
      <c r="K1933" s="675"/>
      <c r="L1933" s="675"/>
      <c r="M1933" s="675"/>
    </row>
    <row r="1934" spans="1:13" x14ac:dyDescent="0.25">
      <c r="A1934" s="675" t="s">
        <v>2062</v>
      </c>
      <c r="B1934" s="675" t="s">
        <v>512</v>
      </c>
      <c r="C1934" s="675" t="s">
        <v>2063</v>
      </c>
      <c r="D1934" s="675" t="s">
        <v>21</v>
      </c>
      <c r="E1934" s="675" t="s">
        <v>514</v>
      </c>
      <c r="F1934" s="675" t="s">
        <v>515</v>
      </c>
      <c r="G1934" s="675"/>
      <c r="H1934" s="675"/>
      <c r="I1934" s="675"/>
      <c r="J1934" s="675"/>
      <c r="K1934" s="675"/>
      <c r="L1934" s="675"/>
      <c r="M1934" s="675"/>
    </row>
    <row r="1935" spans="1:13" x14ac:dyDescent="0.25">
      <c r="A1935" s="675" t="s">
        <v>2062</v>
      </c>
      <c r="B1935" s="675" t="s">
        <v>512</v>
      </c>
      <c r="C1935" s="675" t="s">
        <v>533</v>
      </c>
      <c r="D1935" s="675" t="s">
        <v>21</v>
      </c>
      <c r="E1935" s="675" t="s">
        <v>514</v>
      </c>
      <c r="F1935" s="675" t="s">
        <v>515</v>
      </c>
      <c r="G1935" s="675"/>
      <c r="H1935" s="675"/>
      <c r="I1935" s="675"/>
      <c r="J1935" s="675"/>
      <c r="K1935" s="675"/>
      <c r="L1935" s="675"/>
      <c r="M1935" s="675"/>
    </row>
    <row r="1936" spans="1:13" x14ac:dyDescent="0.25">
      <c r="A1936" s="675" t="s">
        <v>2062</v>
      </c>
      <c r="B1936" s="675" t="s">
        <v>512</v>
      </c>
      <c r="C1936" s="675" t="s">
        <v>541</v>
      </c>
      <c r="D1936" s="675" t="s">
        <v>21</v>
      </c>
      <c r="E1936" s="675" t="s">
        <v>514</v>
      </c>
      <c r="F1936" s="675" t="s">
        <v>515</v>
      </c>
      <c r="G1936" s="675"/>
      <c r="H1936" s="675"/>
      <c r="I1936" s="675"/>
      <c r="J1936" s="675"/>
      <c r="K1936" s="675"/>
      <c r="L1936" s="675"/>
      <c r="M1936" s="675"/>
    </row>
    <row r="1937" spans="1:13" x14ac:dyDescent="0.25">
      <c r="A1937" s="675" t="s">
        <v>2062</v>
      </c>
      <c r="B1937" s="675" t="s">
        <v>512</v>
      </c>
      <c r="C1937" s="675" t="s">
        <v>543</v>
      </c>
      <c r="D1937" s="675" t="s">
        <v>21</v>
      </c>
      <c r="E1937" s="675" t="s">
        <v>514</v>
      </c>
      <c r="F1937" s="675" t="s">
        <v>515</v>
      </c>
      <c r="G1937" s="675"/>
      <c r="H1937" s="675"/>
      <c r="I1937" s="675"/>
      <c r="J1937" s="675"/>
      <c r="K1937" s="675"/>
      <c r="L1937" s="675"/>
      <c r="M1937" s="675"/>
    </row>
    <row r="1938" spans="1:13" x14ac:dyDescent="0.25">
      <c r="A1938" s="675" t="s">
        <v>2062</v>
      </c>
      <c r="B1938" s="675" t="s">
        <v>512</v>
      </c>
      <c r="C1938" s="675" t="s">
        <v>666</v>
      </c>
      <c r="D1938" s="675" t="s">
        <v>21</v>
      </c>
      <c r="E1938" s="675" t="s">
        <v>514</v>
      </c>
      <c r="F1938" s="675" t="s">
        <v>515</v>
      </c>
      <c r="G1938" s="675"/>
      <c r="H1938" s="675"/>
      <c r="I1938" s="675"/>
      <c r="J1938" s="675"/>
      <c r="K1938" s="675"/>
      <c r="L1938" s="675"/>
      <c r="M1938" s="675"/>
    </row>
    <row r="1939" spans="1:13" x14ac:dyDescent="0.25">
      <c r="A1939" s="675" t="s">
        <v>2064</v>
      </c>
      <c r="B1939" s="675" t="s">
        <v>512</v>
      </c>
      <c r="C1939" s="675" t="s">
        <v>2065</v>
      </c>
      <c r="D1939" s="675" t="s">
        <v>21</v>
      </c>
      <c r="E1939" s="675" t="s">
        <v>514</v>
      </c>
      <c r="F1939" s="675" t="s">
        <v>515</v>
      </c>
      <c r="G1939" s="675"/>
      <c r="H1939" s="675"/>
      <c r="I1939" s="675"/>
      <c r="J1939" s="675"/>
      <c r="K1939" s="675"/>
      <c r="L1939" s="675"/>
      <c r="M1939" s="675"/>
    </row>
    <row r="1940" spans="1:13" x14ac:dyDescent="0.25">
      <c r="A1940" s="675" t="s">
        <v>2064</v>
      </c>
      <c r="B1940" s="675" t="s">
        <v>512</v>
      </c>
      <c r="C1940" s="675" t="s">
        <v>519</v>
      </c>
      <c r="D1940" s="675" t="s">
        <v>21</v>
      </c>
      <c r="E1940" s="675" t="s">
        <v>514</v>
      </c>
      <c r="F1940" s="675" t="s">
        <v>515</v>
      </c>
      <c r="G1940" s="675"/>
      <c r="H1940" s="675"/>
      <c r="I1940" s="675"/>
      <c r="J1940" s="675"/>
      <c r="K1940" s="675"/>
      <c r="L1940" s="675"/>
      <c r="M1940" s="675"/>
    </row>
    <row r="1941" spans="1:13" x14ac:dyDescent="0.25">
      <c r="A1941" s="675" t="s">
        <v>2064</v>
      </c>
      <c r="B1941" s="675" t="s">
        <v>512</v>
      </c>
      <c r="C1941" s="675" t="s">
        <v>525</v>
      </c>
      <c r="D1941" s="675" t="s">
        <v>21</v>
      </c>
      <c r="E1941" s="675" t="s">
        <v>514</v>
      </c>
      <c r="F1941" s="675" t="s">
        <v>515</v>
      </c>
      <c r="G1941" s="675"/>
      <c r="H1941" s="675"/>
      <c r="I1941" s="675"/>
      <c r="J1941" s="675"/>
      <c r="K1941" s="675"/>
      <c r="L1941" s="675"/>
      <c r="M1941" s="675"/>
    </row>
    <row r="1942" spans="1:13" x14ac:dyDescent="0.25">
      <c r="A1942" s="675" t="s">
        <v>2064</v>
      </c>
      <c r="B1942" s="675" t="s">
        <v>512</v>
      </c>
      <c r="C1942" s="675" t="s">
        <v>541</v>
      </c>
      <c r="D1942" s="675" t="s">
        <v>21</v>
      </c>
      <c r="E1942" s="675" t="s">
        <v>514</v>
      </c>
      <c r="F1942" s="675" t="s">
        <v>515</v>
      </c>
      <c r="G1942" s="675"/>
      <c r="H1942" s="675"/>
      <c r="I1942" s="675"/>
      <c r="J1942" s="675"/>
      <c r="K1942" s="675"/>
      <c r="L1942" s="675"/>
      <c r="M1942" s="675"/>
    </row>
    <row r="1943" spans="1:13" x14ac:dyDescent="0.25">
      <c r="A1943" s="675" t="s">
        <v>2064</v>
      </c>
      <c r="B1943" s="675" t="s">
        <v>512</v>
      </c>
      <c r="C1943" s="675" t="s">
        <v>666</v>
      </c>
      <c r="D1943" s="675" t="s">
        <v>21</v>
      </c>
      <c r="E1943" s="675" t="s">
        <v>514</v>
      </c>
      <c r="F1943" s="675" t="s">
        <v>515</v>
      </c>
      <c r="G1943" s="675"/>
      <c r="H1943" s="675"/>
      <c r="I1943" s="675"/>
      <c r="J1943" s="675"/>
      <c r="K1943" s="675"/>
      <c r="L1943" s="675"/>
      <c r="M1943" s="675"/>
    </row>
    <row r="1944" spans="1:13" x14ac:dyDescent="0.25">
      <c r="A1944" s="675" t="s">
        <v>2064</v>
      </c>
      <c r="B1944" s="675" t="s">
        <v>545</v>
      </c>
      <c r="C1944" s="675" t="s">
        <v>553</v>
      </c>
      <c r="D1944" s="675" t="s">
        <v>21</v>
      </c>
      <c r="E1944" s="675" t="s">
        <v>514</v>
      </c>
      <c r="F1944" s="675" t="s">
        <v>515</v>
      </c>
      <c r="G1944" s="675"/>
      <c r="H1944" s="675"/>
      <c r="I1944" s="675"/>
      <c r="J1944" s="675"/>
      <c r="K1944" s="675"/>
      <c r="L1944" s="675"/>
      <c r="M1944" s="675"/>
    </row>
    <row r="1945" spans="1:13" x14ac:dyDescent="0.25">
      <c r="A1945" s="675" t="s">
        <v>2064</v>
      </c>
      <c r="B1945" s="675" t="s">
        <v>545</v>
      </c>
      <c r="C1945" s="675" t="s">
        <v>2066</v>
      </c>
      <c r="D1945" s="675" t="s">
        <v>21</v>
      </c>
      <c r="E1945" s="675" t="s">
        <v>514</v>
      </c>
      <c r="F1945" s="675" t="s">
        <v>515</v>
      </c>
      <c r="G1945" s="675"/>
      <c r="H1945" s="675"/>
      <c r="I1945" s="675"/>
      <c r="J1945" s="675"/>
      <c r="K1945" s="675"/>
      <c r="L1945" s="675"/>
      <c r="M1945" s="675"/>
    </row>
    <row r="1946" spans="1:13" x14ac:dyDescent="0.25">
      <c r="A1946" s="675" t="s">
        <v>2064</v>
      </c>
      <c r="B1946" s="675" t="s">
        <v>545</v>
      </c>
      <c r="C1946" s="675" t="s">
        <v>2067</v>
      </c>
      <c r="D1946" s="675" t="s">
        <v>21</v>
      </c>
      <c r="E1946" s="675" t="s">
        <v>514</v>
      </c>
      <c r="F1946" s="675" t="s">
        <v>515</v>
      </c>
      <c r="G1946" s="675"/>
      <c r="H1946" s="675"/>
      <c r="I1946" s="675"/>
      <c r="J1946" s="675"/>
      <c r="K1946" s="675"/>
      <c r="L1946" s="675"/>
      <c r="M1946" s="675"/>
    </row>
    <row r="1947" spans="1:13" x14ac:dyDescent="0.25">
      <c r="A1947" s="675" t="s">
        <v>2064</v>
      </c>
      <c r="B1947" s="675" t="s">
        <v>545</v>
      </c>
      <c r="C1947" s="675" t="s">
        <v>1017</v>
      </c>
      <c r="D1947" s="675" t="s">
        <v>21</v>
      </c>
      <c r="E1947" s="675" t="s">
        <v>514</v>
      </c>
      <c r="F1947" s="675" t="s">
        <v>515</v>
      </c>
      <c r="G1947" s="675"/>
      <c r="H1947" s="675"/>
      <c r="I1947" s="675"/>
      <c r="J1947" s="675"/>
      <c r="K1947" s="675"/>
      <c r="L1947" s="675"/>
      <c r="M1947" s="675"/>
    </row>
    <row r="1948" spans="1:13" x14ac:dyDescent="0.25">
      <c r="A1948" s="675" t="s">
        <v>2064</v>
      </c>
      <c r="B1948" s="675" t="s">
        <v>545</v>
      </c>
      <c r="C1948" s="675" t="s">
        <v>2068</v>
      </c>
      <c r="D1948" s="675" t="s">
        <v>21</v>
      </c>
      <c r="E1948" s="675" t="s">
        <v>514</v>
      </c>
      <c r="F1948" s="675" t="s">
        <v>515</v>
      </c>
      <c r="G1948" s="675"/>
      <c r="H1948" s="675"/>
      <c r="I1948" s="675"/>
      <c r="J1948" s="675"/>
      <c r="K1948" s="675"/>
      <c r="L1948" s="675"/>
      <c r="M1948" s="675"/>
    </row>
    <row r="1949" spans="1:13" x14ac:dyDescent="0.25">
      <c r="A1949" s="675" t="s">
        <v>2064</v>
      </c>
      <c r="B1949" s="675" t="s">
        <v>545</v>
      </c>
      <c r="C1949" s="675" t="s">
        <v>562</v>
      </c>
      <c r="D1949" s="675" t="s">
        <v>21</v>
      </c>
      <c r="E1949" s="675" t="s">
        <v>514</v>
      </c>
      <c r="F1949" s="675" t="s">
        <v>515</v>
      </c>
      <c r="G1949" s="675"/>
      <c r="H1949" s="675"/>
      <c r="I1949" s="675"/>
      <c r="J1949" s="675"/>
      <c r="K1949" s="675"/>
      <c r="L1949" s="675"/>
      <c r="M1949" s="675"/>
    </row>
    <row r="1950" spans="1:13" x14ac:dyDescent="0.25">
      <c r="A1950" s="675" t="s">
        <v>2064</v>
      </c>
      <c r="B1950" s="675" t="s">
        <v>545</v>
      </c>
      <c r="C1950" s="675" t="s">
        <v>563</v>
      </c>
      <c r="D1950" s="675" t="s">
        <v>21</v>
      </c>
      <c r="E1950" s="675" t="s">
        <v>514</v>
      </c>
      <c r="F1950" s="675" t="s">
        <v>515</v>
      </c>
      <c r="G1950" s="675"/>
      <c r="H1950" s="675"/>
      <c r="I1950" s="675"/>
      <c r="J1950" s="675"/>
      <c r="K1950" s="675"/>
      <c r="L1950" s="675"/>
      <c r="M1950" s="675"/>
    </row>
    <row r="1951" spans="1:13" x14ac:dyDescent="0.25">
      <c r="A1951" s="675" t="s">
        <v>2064</v>
      </c>
      <c r="B1951" s="675" t="s">
        <v>564</v>
      </c>
      <c r="C1951" s="675" t="s">
        <v>2069</v>
      </c>
      <c r="D1951" s="675" t="s">
        <v>21</v>
      </c>
      <c r="E1951" s="675" t="s">
        <v>514</v>
      </c>
      <c r="F1951" s="675" t="s">
        <v>515</v>
      </c>
      <c r="G1951" s="675"/>
      <c r="H1951" s="675"/>
      <c r="I1951" s="675"/>
      <c r="J1951" s="675"/>
      <c r="K1951" s="675"/>
      <c r="L1951" s="675"/>
      <c r="M1951" s="675"/>
    </row>
    <row r="1952" spans="1:13" x14ac:dyDescent="0.25">
      <c r="A1952" s="675" t="s">
        <v>2064</v>
      </c>
      <c r="B1952" s="675" t="s">
        <v>564</v>
      </c>
      <c r="C1952" s="675" t="s">
        <v>2070</v>
      </c>
      <c r="D1952" s="675" t="s">
        <v>21</v>
      </c>
      <c r="E1952" s="675" t="s">
        <v>514</v>
      </c>
      <c r="F1952" s="675" t="s">
        <v>515</v>
      </c>
      <c r="G1952" s="675"/>
      <c r="H1952" s="675"/>
      <c r="I1952" s="675"/>
      <c r="J1952" s="675"/>
      <c r="K1952" s="675"/>
      <c r="L1952" s="675"/>
      <c r="M1952" s="675"/>
    </row>
    <row r="1953" spans="1:13" x14ac:dyDescent="0.25">
      <c r="A1953" s="675" t="s">
        <v>2064</v>
      </c>
      <c r="B1953" s="675" t="s">
        <v>564</v>
      </c>
      <c r="C1953" s="675" t="s">
        <v>2071</v>
      </c>
      <c r="D1953" s="675" t="s">
        <v>21</v>
      </c>
      <c r="E1953" s="675" t="s">
        <v>514</v>
      </c>
      <c r="F1953" s="675" t="s">
        <v>515</v>
      </c>
      <c r="G1953" s="675"/>
      <c r="H1953" s="675"/>
      <c r="I1953" s="675"/>
      <c r="J1953" s="675"/>
      <c r="K1953" s="675"/>
      <c r="L1953" s="675"/>
      <c r="M1953" s="675"/>
    </row>
    <row r="1954" spans="1:13" x14ac:dyDescent="0.25">
      <c r="A1954" s="675" t="s">
        <v>2072</v>
      </c>
      <c r="B1954" s="675" t="s">
        <v>512</v>
      </c>
      <c r="C1954" s="675" t="s">
        <v>1141</v>
      </c>
      <c r="D1954" s="675" t="s">
        <v>21</v>
      </c>
      <c r="E1954" s="675" t="s">
        <v>514</v>
      </c>
      <c r="F1954" s="675" t="s">
        <v>515</v>
      </c>
      <c r="G1954" s="675"/>
      <c r="H1954" s="675"/>
      <c r="I1954" s="675"/>
      <c r="J1954" s="675"/>
      <c r="K1954" s="675"/>
      <c r="L1954" s="675"/>
      <c r="M1954" s="675"/>
    </row>
    <row r="1955" spans="1:13" x14ac:dyDescent="0.25">
      <c r="A1955" s="675" t="s">
        <v>2072</v>
      </c>
      <c r="B1955" s="675" t="s">
        <v>512</v>
      </c>
      <c r="C1955" s="675" t="s">
        <v>2073</v>
      </c>
      <c r="D1955" s="675" t="s">
        <v>21</v>
      </c>
      <c r="E1955" s="675" t="s">
        <v>514</v>
      </c>
      <c r="F1955" s="675" t="s">
        <v>515</v>
      </c>
      <c r="G1955" s="675"/>
      <c r="H1955" s="675"/>
      <c r="I1955" s="675"/>
      <c r="J1955" s="675"/>
      <c r="K1955" s="675"/>
      <c r="L1955" s="675"/>
      <c r="M1955" s="675"/>
    </row>
    <row r="1956" spans="1:13" x14ac:dyDescent="0.25">
      <c r="A1956" s="675" t="s">
        <v>2072</v>
      </c>
      <c r="B1956" s="675" t="s">
        <v>512</v>
      </c>
      <c r="C1956" s="675" t="s">
        <v>2074</v>
      </c>
      <c r="D1956" s="675" t="s">
        <v>21</v>
      </c>
      <c r="E1956" s="675" t="s">
        <v>514</v>
      </c>
      <c r="F1956" s="675" t="s">
        <v>515</v>
      </c>
      <c r="G1956" s="675"/>
      <c r="H1956" s="675"/>
      <c r="I1956" s="675"/>
      <c r="J1956" s="675"/>
      <c r="K1956" s="675"/>
      <c r="L1956" s="675"/>
      <c r="M1956" s="675"/>
    </row>
    <row r="1957" spans="1:13" x14ac:dyDescent="0.25">
      <c r="A1957" s="675" t="s">
        <v>2072</v>
      </c>
      <c r="B1957" s="675" t="s">
        <v>512</v>
      </c>
      <c r="C1957" s="675" t="s">
        <v>1341</v>
      </c>
      <c r="D1957" s="675" t="s">
        <v>21</v>
      </c>
      <c r="E1957" s="675" t="s">
        <v>514</v>
      </c>
      <c r="F1957" s="675" t="s">
        <v>515</v>
      </c>
      <c r="G1957" s="675"/>
      <c r="H1957" s="675"/>
      <c r="I1957" s="675"/>
      <c r="J1957" s="675"/>
      <c r="K1957" s="675"/>
      <c r="L1957" s="675"/>
      <c r="M1957" s="675"/>
    </row>
    <row r="1958" spans="1:13" x14ac:dyDescent="0.25">
      <c r="A1958" s="675" t="s">
        <v>2072</v>
      </c>
      <c r="B1958" s="675" t="s">
        <v>512</v>
      </c>
      <c r="C1958" s="675" t="s">
        <v>2075</v>
      </c>
      <c r="D1958" s="675" t="s">
        <v>21</v>
      </c>
      <c r="E1958" s="675" t="s">
        <v>514</v>
      </c>
      <c r="F1958" s="675" t="s">
        <v>515</v>
      </c>
      <c r="G1958" s="675"/>
      <c r="H1958" s="675"/>
      <c r="I1958" s="675"/>
      <c r="J1958" s="675"/>
      <c r="K1958" s="675"/>
      <c r="L1958" s="675"/>
      <c r="M1958" s="675"/>
    </row>
    <row r="1959" spans="1:13" x14ac:dyDescent="0.25">
      <c r="A1959" s="675" t="s">
        <v>2072</v>
      </c>
      <c r="B1959" s="675" t="s">
        <v>512</v>
      </c>
      <c r="C1959" s="675" t="s">
        <v>1345</v>
      </c>
      <c r="D1959" s="675" t="s">
        <v>21</v>
      </c>
      <c r="E1959" s="675" t="s">
        <v>514</v>
      </c>
      <c r="F1959" s="675" t="s">
        <v>515</v>
      </c>
      <c r="G1959" s="675"/>
      <c r="H1959" s="675"/>
      <c r="I1959" s="675"/>
      <c r="J1959" s="675"/>
      <c r="K1959" s="675"/>
      <c r="L1959" s="675"/>
      <c r="M1959" s="675"/>
    </row>
    <row r="1960" spans="1:13" x14ac:dyDescent="0.25">
      <c r="A1960" s="678" t="s">
        <v>2072</v>
      </c>
      <c r="B1960" s="678" t="s">
        <v>512</v>
      </c>
      <c r="C1960" s="678" t="s">
        <v>2076</v>
      </c>
      <c r="D1960" s="675" t="s">
        <v>21</v>
      </c>
      <c r="E1960" s="678" t="s">
        <v>514</v>
      </c>
      <c r="F1960" s="678" t="s">
        <v>596</v>
      </c>
      <c r="G1960" s="675"/>
      <c r="H1960" s="675"/>
      <c r="I1960" s="675"/>
      <c r="J1960" s="675"/>
      <c r="K1960" s="675"/>
      <c r="L1960" s="675"/>
      <c r="M1960" s="675"/>
    </row>
    <row r="1961" spans="1:13" x14ac:dyDescent="0.25">
      <c r="A1961" s="675" t="s">
        <v>2072</v>
      </c>
      <c r="B1961" s="675" t="s">
        <v>512</v>
      </c>
      <c r="C1961" s="675" t="s">
        <v>1349</v>
      </c>
      <c r="D1961" s="675" t="s">
        <v>21</v>
      </c>
      <c r="E1961" s="675" t="s">
        <v>514</v>
      </c>
      <c r="F1961" s="675" t="s">
        <v>515</v>
      </c>
      <c r="G1961" s="675"/>
      <c r="H1961" s="675"/>
      <c r="I1961" s="675"/>
      <c r="J1961" s="675"/>
      <c r="K1961" s="675"/>
      <c r="L1961" s="675"/>
      <c r="M1961" s="675"/>
    </row>
    <row r="1962" spans="1:13" x14ac:dyDescent="0.25">
      <c r="A1962" s="675" t="s">
        <v>2072</v>
      </c>
      <c r="B1962" s="675" t="s">
        <v>512</v>
      </c>
      <c r="C1962" s="675" t="s">
        <v>1216</v>
      </c>
      <c r="D1962" s="675" t="s">
        <v>21</v>
      </c>
      <c r="E1962" s="675" t="s">
        <v>514</v>
      </c>
      <c r="F1962" s="675" t="s">
        <v>515</v>
      </c>
      <c r="G1962" s="675"/>
      <c r="H1962" s="675"/>
      <c r="I1962" s="675"/>
      <c r="J1962" s="675"/>
      <c r="K1962" s="675"/>
      <c r="L1962" s="675"/>
      <c r="M1962" s="675"/>
    </row>
    <row r="1963" spans="1:13" x14ac:dyDescent="0.25">
      <c r="A1963" s="675" t="s">
        <v>2072</v>
      </c>
      <c r="B1963" s="675" t="s">
        <v>512</v>
      </c>
      <c r="C1963" s="675" t="s">
        <v>1217</v>
      </c>
      <c r="D1963" s="675" t="s">
        <v>21</v>
      </c>
      <c r="E1963" s="675" t="s">
        <v>514</v>
      </c>
      <c r="F1963" s="675" t="s">
        <v>515</v>
      </c>
      <c r="G1963" s="675"/>
      <c r="H1963" s="675"/>
      <c r="I1963" s="675"/>
      <c r="J1963" s="675"/>
      <c r="K1963" s="675"/>
      <c r="L1963" s="675"/>
      <c r="M1963" s="675"/>
    </row>
    <row r="1964" spans="1:13" x14ac:dyDescent="0.25">
      <c r="A1964" s="675" t="s">
        <v>2072</v>
      </c>
      <c r="B1964" s="675" t="s">
        <v>512</v>
      </c>
      <c r="C1964" s="675" t="s">
        <v>2077</v>
      </c>
      <c r="D1964" s="675" t="s">
        <v>21</v>
      </c>
      <c r="E1964" s="675" t="s">
        <v>514</v>
      </c>
      <c r="F1964" s="675" t="s">
        <v>515</v>
      </c>
      <c r="G1964" s="675"/>
      <c r="H1964" s="675"/>
      <c r="I1964" s="675"/>
      <c r="J1964" s="675"/>
      <c r="K1964" s="675"/>
      <c r="L1964" s="675"/>
      <c r="M1964" s="675"/>
    </row>
    <row r="1965" spans="1:13" x14ac:dyDescent="0.25">
      <c r="A1965" s="675" t="s">
        <v>2072</v>
      </c>
      <c r="B1965" s="675" t="s">
        <v>512</v>
      </c>
      <c r="C1965" s="675" t="s">
        <v>887</v>
      </c>
      <c r="D1965" s="675" t="s">
        <v>21</v>
      </c>
      <c r="E1965" s="675" t="s">
        <v>514</v>
      </c>
      <c r="F1965" s="675" t="s">
        <v>515</v>
      </c>
      <c r="G1965" s="675"/>
      <c r="H1965" s="675"/>
      <c r="I1965" s="675"/>
      <c r="J1965" s="675"/>
      <c r="K1965" s="675"/>
      <c r="L1965" s="675"/>
      <c r="M1965" s="675"/>
    </row>
    <row r="1966" spans="1:13" x14ac:dyDescent="0.25">
      <c r="A1966" s="675" t="s">
        <v>2072</v>
      </c>
      <c r="B1966" s="675" t="s">
        <v>512</v>
      </c>
      <c r="C1966" s="675" t="s">
        <v>664</v>
      </c>
      <c r="D1966" s="675" t="s">
        <v>21</v>
      </c>
      <c r="E1966" s="675" t="s">
        <v>514</v>
      </c>
      <c r="F1966" s="675" t="s">
        <v>515</v>
      </c>
      <c r="G1966" s="675"/>
      <c r="H1966" s="675"/>
      <c r="I1966" s="675"/>
      <c r="J1966" s="675"/>
      <c r="K1966" s="675"/>
      <c r="L1966" s="675"/>
      <c r="M1966" s="675"/>
    </row>
    <row r="1967" spans="1:13" x14ac:dyDescent="0.25">
      <c r="A1967" s="675" t="s">
        <v>2072</v>
      </c>
      <c r="B1967" s="675" t="s">
        <v>512</v>
      </c>
      <c r="C1967" s="675" t="s">
        <v>1156</v>
      </c>
      <c r="D1967" s="675" t="s">
        <v>21</v>
      </c>
      <c r="E1967" s="675" t="s">
        <v>514</v>
      </c>
      <c r="F1967" s="675" t="s">
        <v>515</v>
      </c>
      <c r="G1967" s="675"/>
      <c r="H1967" s="675"/>
      <c r="I1967" s="675"/>
      <c r="J1967" s="675"/>
      <c r="K1967" s="675"/>
      <c r="L1967" s="675"/>
      <c r="M1967" s="675"/>
    </row>
    <row r="1968" spans="1:13" x14ac:dyDescent="0.25">
      <c r="A1968" s="678" t="s">
        <v>2072</v>
      </c>
      <c r="B1968" s="678" t="s">
        <v>512</v>
      </c>
      <c r="C1968" s="678" t="s">
        <v>665</v>
      </c>
      <c r="D1968" s="675" t="s">
        <v>21</v>
      </c>
      <c r="E1968" s="678" t="s">
        <v>514</v>
      </c>
      <c r="F1968" s="678" t="s">
        <v>596</v>
      </c>
      <c r="G1968" s="675"/>
      <c r="H1968" s="675"/>
      <c r="I1968" s="675"/>
      <c r="J1968" s="675"/>
      <c r="K1968" s="675"/>
      <c r="L1968" s="675"/>
      <c r="M1968" s="675"/>
    </row>
    <row r="1969" spans="1:13" x14ac:dyDescent="0.25">
      <c r="A1969" s="675" t="s">
        <v>2072</v>
      </c>
      <c r="B1969" s="675" t="s">
        <v>512</v>
      </c>
      <c r="C1969" s="675" t="s">
        <v>1220</v>
      </c>
      <c r="D1969" s="675" t="s">
        <v>21</v>
      </c>
      <c r="E1969" s="675" t="s">
        <v>514</v>
      </c>
      <c r="F1969" s="675" t="s">
        <v>515</v>
      </c>
      <c r="G1969" s="675"/>
      <c r="H1969" s="675"/>
      <c r="I1969" s="675"/>
      <c r="J1969" s="675"/>
      <c r="K1969" s="675"/>
      <c r="L1969" s="675"/>
      <c r="M1969" s="675"/>
    </row>
    <row r="1970" spans="1:13" x14ac:dyDescent="0.25">
      <c r="A1970" s="675" t="s">
        <v>2072</v>
      </c>
      <c r="B1970" s="675" t="s">
        <v>512</v>
      </c>
      <c r="C1970" s="675" t="s">
        <v>1143</v>
      </c>
      <c r="D1970" s="675" t="s">
        <v>21</v>
      </c>
      <c r="E1970" s="675" t="s">
        <v>514</v>
      </c>
      <c r="F1970" s="675" t="s">
        <v>515</v>
      </c>
      <c r="G1970" s="675"/>
      <c r="H1970" s="675"/>
      <c r="I1970" s="675"/>
      <c r="J1970" s="675"/>
      <c r="K1970" s="675"/>
      <c r="L1970" s="675"/>
      <c r="M1970" s="675"/>
    </row>
    <row r="1971" spans="1:13" x14ac:dyDescent="0.25">
      <c r="A1971" s="675" t="s">
        <v>2072</v>
      </c>
      <c r="B1971" s="675" t="s">
        <v>512</v>
      </c>
      <c r="C1971" s="675" t="s">
        <v>892</v>
      </c>
      <c r="D1971" s="675" t="s">
        <v>21</v>
      </c>
      <c r="E1971" s="675" t="s">
        <v>514</v>
      </c>
      <c r="F1971" s="675" t="s">
        <v>515</v>
      </c>
      <c r="G1971" s="675"/>
      <c r="H1971" s="675"/>
      <c r="I1971" s="675"/>
      <c r="J1971" s="675"/>
      <c r="K1971" s="675"/>
      <c r="L1971" s="675"/>
      <c r="M1971" s="675"/>
    </row>
    <row r="1972" spans="1:13" x14ac:dyDescent="0.25">
      <c r="A1972" s="675" t="s">
        <v>2072</v>
      </c>
      <c r="B1972" s="675" t="s">
        <v>512</v>
      </c>
      <c r="C1972" s="675" t="s">
        <v>2078</v>
      </c>
      <c r="D1972" s="675" t="s">
        <v>21</v>
      </c>
      <c r="E1972" s="675" t="s">
        <v>514</v>
      </c>
      <c r="F1972" s="675" t="s">
        <v>515</v>
      </c>
      <c r="G1972" s="675"/>
      <c r="H1972" s="675"/>
      <c r="I1972" s="675"/>
      <c r="J1972" s="675"/>
      <c r="K1972" s="675"/>
      <c r="L1972" s="675"/>
      <c r="M1972" s="675"/>
    </row>
    <row r="1973" spans="1:13" x14ac:dyDescent="0.25">
      <c r="A1973" s="678" t="s">
        <v>2072</v>
      </c>
      <c r="B1973" s="678" t="s">
        <v>545</v>
      </c>
      <c r="C1973" s="678" t="s">
        <v>2079</v>
      </c>
      <c r="D1973" s="675" t="s">
        <v>21</v>
      </c>
      <c r="E1973" s="678" t="s">
        <v>514</v>
      </c>
      <c r="F1973" s="678" t="s">
        <v>636</v>
      </c>
      <c r="G1973" s="675"/>
      <c r="H1973" s="675"/>
      <c r="I1973" s="675"/>
      <c r="J1973" s="675"/>
      <c r="K1973" s="675"/>
      <c r="L1973" s="675"/>
      <c r="M1973" s="675"/>
    </row>
    <row r="1974" spans="1:13" x14ac:dyDescent="0.25">
      <c r="A1974" s="675" t="s">
        <v>2072</v>
      </c>
      <c r="B1974" s="675" t="s">
        <v>545</v>
      </c>
      <c r="C1974" s="675" t="s">
        <v>2080</v>
      </c>
      <c r="D1974" s="675" t="s">
        <v>21</v>
      </c>
      <c r="E1974" s="675" t="s">
        <v>514</v>
      </c>
      <c r="F1974" s="675" t="s">
        <v>515</v>
      </c>
      <c r="G1974" s="675"/>
      <c r="H1974" s="675"/>
      <c r="I1974" s="675"/>
      <c r="J1974" s="675"/>
      <c r="K1974" s="675"/>
      <c r="L1974" s="675"/>
      <c r="M1974" s="675"/>
    </row>
    <row r="1975" spans="1:13" x14ac:dyDescent="0.25">
      <c r="A1975" s="675" t="s">
        <v>2072</v>
      </c>
      <c r="B1975" s="675" t="s">
        <v>545</v>
      </c>
      <c r="C1975" s="675" t="s">
        <v>2081</v>
      </c>
      <c r="D1975" s="675" t="s">
        <v>21</v>
      </c>
      <c r="E1975" s="675" t="s">
        <v>514</v>
      </c>
      <c r="F1975" s="675" t="s">
        <v>515</v>
      </c>
      <c r="G1975" s="675"/>
      <c r="H1975" s="675"/>
      <c r="I1975" s="675"/>
      <c r="J1975" s="675"/>
      <c r="K1975" s="675"/>
      <c r="L1975" s="675"/>
      <c r="M1975" s="675"/>
    </row>
    <row r="1976" spans="1:13" x14ac:dyDescent="0.25">
      <c r="A1976" s="678" t="s">
        <v>2072</v>
      </c>
      <c r="B1976" s="678" t="s">
        <v>545</v>
      </c>
      <c r="C1976" s="678" t="s">
        <v>2082</v>
      </c>
      <c r="D1976" s="675" t="s">
        <v>21</v>
      </c>
      <c r="E1976" s="678" t="s">
        <v>514</v>
      </c>
      <c r="F1976" s="678" t="s">
        <v>636</v>
      </c>
      <c r="G1976" s="675"/>
      <c r="H1976" s="675"/>
      <c r="I1976" s="675"/>
      <c r="J1976" s="675"/>
      <c r="K1976" s="675"/>
      <c r="L1976" s="675"/>
      <c r="M1976" s="675"/>
    </row>
    <row r="1977" spans="1:13" x14ac:dyDescent="0.25">
      <c r="A1977" s="675" t="s">
        <v>2072</v>
      </c>
      <c r="B1977" s="675" t="s">
        <v>545</v>
      </c>
      <c r="C1977" s="675" t="s">
        <v>2083</v>
      </c>
      <c r="D1977" s="675" t="s">
        <v>21</v>
      </c>
      <c r="E1977" s="675" t="s">
        <v>514</v>
      </c>
      <c r="F1977" s="675" t="s">
        <v>515</v>
      </c>
      <c r="G1977" s="675"/>
      <c r="H1977" s="675"/>
      <c r="I1977" s="675"/>
      <c r="J1977" s="675"/>
      <c r="K1977" s="675"/>
      <c r="L1977" s="675"/>
      <c r="M1977" s="675"/>
    </row>
    <row r="1978" spans="1:13" x14ac:dyDescent="0.25">
      <c r="A1978" s="675" t="s">
        <v>2072</v>
      </c>
      <c r="B1978" s="675" t="s">
        <v>545</v>
      </c>
      <c r="C1978" s="675" t="s">
        <v>2084</v>
      </c>
      <c r="D1978" s="675" t="s">
        <v>21</v>
      </c>
      <c r="E1978" s="675" t="s">
        <v>514</v>
      </c>
      <c r="F1978" s="675" t="s">
        <v>515</v>
      </c>
      <c r="G1978" s="675"/>
      <c r="H1978" s="675"/>
      <c r="I1978" s="675"/>
      <c r="J1978" s="675"/>
      <c r="K1978" s="675"/>
      <c r="L1978" s="675"/>
      <c r="M1978" s="675"/>
    </row>
    <row r="1979" spans="1:13" x14ac:dyDescent="0.25">
      <c r="A1979" s="675" t="s">
        <v>2072</v>
      </c>
      <c r="B1979" s="675" t="s">
        <v>545</v>
      </c>
      <c r="C1979" s="675" t="s">
        <v>2085</v>
      </c>
      <c r="D1979" s="675" t="s">
        <v>21</v>
      </c>
      <c r="E1979" s="675" t="s">
        <v>514</v>
      </c>
      <c r="F1979" s="675" t="s">
        <v>515</v>
      </c>
      <c r="G1979" s="675"/>
      <c r="H1979" s="675"/>
      <c r="I1979" s="675"/>
      <c r="J1979" s="675"/>
      <c r="K1979" s="675"/>
      <c r="L1979" s="675"/>
      <c r="M1979" s="675"/>
    </row>
    <row r="1980" spans="1:13" x14ac:dyDescent="0.25">
      <c r="A1980" s="678" t="s">
        <v>2072</v>
      </c>
      <c r="B1980" s="678" t="s">
        <v>545</v>
      </c>
      <c r="C1980" s="678" t="s">
        <v>2086</v>
      </c>
      <c r="D1980" s="675" t="s">
        <v>21</v>
      </c>
      <c r="E1980" s="678" t="s">
        <v>514</v>
      </c>
      <c r="F1980" s="678" t="s">
        <v>636</v>
      </c>
      <c r="G1980" s="675"/>
      <c r="H1980" s="675"/>
      <c r="I1980" s="675"/>
      <c r="J1980" s="675"/>
      <c r="K1980" s="675"/>
      <c r="L1980" s="675"/>
      <c r="M1980" s="675"/>
    </row>
    <row r="1981" spans="1:13" x14ac:dyDescent="0.25">
      <c r="A1981" s="675" t="s">
        <v>2072</v>
      </c>
      <c r="B1981" s="675" t="s">
        <v>545</v>
      </c>
      <c r="C1981" s="675" t="s">
        <v>2087</v>
      </c>
      <c r="D1981" s="675" t="s">
        <v>21</v>
      </c>
      <c r="E1981" s="675" t="s">
        <v>514</v>
      </c>
      <c r="F1981" s="675" t="s">
        <v>515</v>
      </c>
      <c r="G1981" s="675"/>
      <c r="H1981" s="675"/>
      <c r="I1981" s="675"/>
      <c r="J1981" s="675"/>
      <c r="K1981" s="675"/>
      <c r="L1981" s="675"/>
      <c r="M1981" s="675"/>
    </row>
    <row r="1982" spans="1:13" x14ac:dyDescent="0.25">
      <c r="A1982" s="678" t="s">
        <v>2072</v>
      </c>
      <c r="B1982" s="678" t="s">
        <v>545</v>
      </c>
      <c r="C1982" s="678" t="s">
        <v>2088</v>
      </c>
      <c r="D1982" s="675" t="s">
        <v>21</v>
      </c>
      <c r="E1982" s="678" t="s">
        <v>514</v>
      </c>
      <c r="F1982" s="678" t="s">
        <v>636</v>
      </c>
      <c r="G1982" s="675"/>
      <c r="H1982" s="675"/>
      <c r="I1982" s="675"/>
      <c r="J1982" s="675"/>
      <c r="K1982" s="675"/>
      <c r="L1982" s="675"/>
      <c r="M1982" s="675"/>
    </row>
    <row r="1983" spans="1:13" x14ac:dyDescent="0.25">
      <c r="A1983" s="675" t="s">
        <v>2072</v>
      </c>
      <c r="B1983" s="675" t="s">
        <v>545</v>
      </c>
      <c r="C1983" s="675" t="s">
        <v>2089</v>
      </c>
      <c r="D1983" s="675" t="s">
        <v>21</v>
      </c>
      <c r="E1983" s="675" t="s">
        <v>514</v>
      </c>
      <c r="F1983" s="675" t="s">
        <v>515</v>
      </c>
      <c r="G1983" s="675"/>
      <c r="H1983" s="675"/>
      <c r="I1983" s="675"/>
      <c r="J1983" s="675"/>
      <c r="K1983" s="675"/>
      <c r="L1983" s="675"/>
      <c r="M1983" s="675"/>
    </row>
    <row r="1984" spans="1:13" x14ac:dyDescent="0.25">
      <c r="A1984" s="675" t="s">
        <v>2072</v>
      </c>
      <c r="B1984" s="675" t="s">
        <v>545</v>
      </c>
      <c r="C1984" s="675" t="s">
        <v>2090</v>
      </c>
      <c r="D1984" s="675" t="s">
        <v>21</v>
      </c>
      <c r="E1984" s="675" t="s">
        <v>514</v>
      </c>
      <c r="F1984" s="675" t="s">
        <v>515</v>
      </c>
      <c r="G1984" s="675"/>
      <c r="H1984" s="675"/>
      <c r="I1984" s="675"/>
      <c r="J1984" s="675"/>
      <c r="K1984" s="675"/>
      <c r="L1984" s="675"/>
      <c r="M1984" s="675"/>
    </row>
    <row r="1985" spans="1:13" x14ac:dyDescent="0.25">
      <c r="A1985" s="675" t="s">
        <v>2072</v>
      </c>
      <c r="B1985" s="675" t="s">
        <v>545</v>
      </c>
      <c r="C1985" s="675" t="s">
        <v>2091</v>
      </c>
      <c r="D1985" s="675" t="s">
        <v>21</v>
      </c>
      <c r="E1985" s="675" t="s">
        <v>514</v>
      </c>
      <c r="F1985" s="675" t="s">
        <v>515</v>
      </c>
      <c r="G1985" s="675"/>
      <c r="H1985" s="675"/>
      <c r="I1985" s="675"/>
      <c r="J1985" s="675"/>
      <c r="K1985" s="675"/>
      <c r="L1985" s="675"/>
      <c r="M1985" s="675"/>
    </row>
    <row r="1986" spans="1:13" x14ac:dyDescent="0.25">
      <c r="A1986" s="675" t="s">
        <v>2072</v>
      </c>
      <c r="B1986" s="675" t="s">
        <v>545</v>
      </c>
      <c r="C1986" s="675" t="s">
        <v>2092</v>
      </c>
      <c r="D1986" s="675" t="s">
        <v>21</v>
      </c>
      <c r="E1986" s="675" t="s">
        <v>514</v>
      </c>
      <c r="F1986" s="675" t="s">
        <v>515</v>
      </c>
      <c r="G1986" s="675"/>
      <c r="H1986" s="675"/>
      <c r="I1986" s="675"/>
      <c r="J1986" s="675"/>
      <c r="K1986" s="675"/>
      <c r="L1986" s="675"/>
      <c r="M1986" s="675"/>
    </row>
    <row r="1987" spans="1:13" x14ac:dyDescent="0.25">
      <c r="A1987" s="675" t="s">
        <v>2072</v>
      </c>
      <c r="B1987" s="675" t="s">
        <v>564</v>
      </c>
      <c r="C1987" s="675" t="s">
        <v>2093</v>
      </c>
      <c r="D1987" s="675" t="s">
        <v>21</v>
      </c>
      <c r="E1987" s="675" t="s">
        <v>514</v>
      </c>
      <c r="F1987" s="675" t="s">
        <v>515</v>
      </c>
      <c r="G1987" s="675"/>
      <c r="H1987" s="675"/>
      <c r="I1987" s="675"/>
      <c r="J1987" s="675"/>
      <c r="K1987" s="675"/>
      <c r="L1987" s="675"/>
      <c r="M1987" s="675"/>
    </row>
    <row r="1988" spans="1:13" x14ac:dyDescent="0.25">
      <c r="A1988" s="675" t="s">
        <v>2072</v>
      </c>
      <c r="B1988" s="675" t="s">
        <v>564</v>
      </c>
      <c r="C1988" s="675" t="s">
        <v>2094</v>
      </c>
      <c r="D1988" s="675" t="s">
        <v>21</v>
      </c>
      <c r="E1988" s="675" t="s">
        <v>514</v>
      </c>
      <c r="F1988" s="675" t="s">
        <v>515</v>
      </c>
      <c r="G1988" s="675"/>
      <c r="H1988" s="675"/>
      <c r="I1988" s="675"/>
      <c r="J1988" s="675"/>
      <c r="K1988" s="675"/>
      <c r="L1988" s="675"/>
      <c r="M1988" s="675"/>
    </row>
    <row r="1989" spans="1:13" x14ac:dyDescent="0.25">
      <c r="A1989" s="675" t="s">
        <v>2072</v>
      </c>
      <c r="B1989" s="675" t="s">
        <v>564</v>
      </c>
      <c r="C1989" s="675" t="s">
        <v>1382</v>
      </c>
      <c r="D1989" s="675" t="s">
        <v>21</v>
      </c>
      <c r="E1989" s="675" t="s">
        <v>514</v>
      </c>
      <c r="F1989" s="675" t="s">
        <v>515</v>
      </c>
      <c r="G1989" s="675"/>
      <c r="H1989" s="675"/>
      <c r="I1989" s="675"/>
      <c r="J1989" s="675"/>
      <c r="K1989" s="675"/>
      <c r="L1989" s="675"/>
      <c r="M1989" s="675"/>
    </row>
    <row r="1990" spans="1:13" x14ac:dyDescent="0.25">
      <c r="A1990" s="675" t="s">
        <v>2072</v>
      </c>
      <c r="B1990" s="675" t="s">
        <v>564</v>
      </c>
      <c r="C1990" s="675" t="s">
        <v>1539</v>
      </c>
      <c r="D1990" s="675" t="s">
        <v>21</v>
      </c>
      <c r="E1990" s="675" t="s">
        <v>514</v>
      </c>
      <c r="F1990" s="675" t="s">
        <v>515</v>
      </c>
      <c r="G1990" s="675"/>
      <c r="H1990" s="675"/>
      <c r="I1990" s="675"/>
      <c r="J1990" s="675"/>
      <c r="K1990" s="675"/>
      <c r="L1990" s="675"/>
      <c r="M1990" s="675"/>
    </row>
    <row r="1991" spans="1:13" x14ac:dyDescent="0.25">
      <c r="A1991" s="675" t="s">
        <v>2072</v>
      </c>
      <c r="B1991" s="675" t="s">
        <v>564</v>
      </c>
      <c r="C1991" s="675" t="s">
        <v>1152</v>
      </c>
      <c r="D1991" s="675" t="s">
        <v>21</v>
      </c>
      <c r="E1991" s="675" t="s">
        <v>514</v>
      </c>
      <c r="F1991" s="675" t="s">
        <v>515</v>
      </c>
      <c r="G1991" s="675"/>
      <c r="H1991" s="675"/>
      <c r="I1991" s="675"/>
      <c r="J1991" s="675"/>
      <c r="K1991" s="675"/>
      <c r="L1991" s="675"/>
      <c r="M1991" s="675"/>
    </row>
    <row r="1992" spans="1:13" x14ac:dyDescent="0.25">
      <c r="A1992" s="675" t="s">
        <v>2072</v>
      </c>
      <c r="B1992" s="675" t="s">
        <v>564</v>
      </c>
      <c r="C1992" s="675" t="s">
        <v>2095</v>
      </c>
      <c r="D1992" s="675" t="s">
        <v>21</v>
      </c>
      <c r="E1992" s="675" t="s">
        <v>514</v>
      </c>
      <c r="F1992" s="675" t="s">
        <v>515</v>
      </c>
      <c r="G1992" s="675"/>
      <c r="H1992" s="675"/>
      <c r="I1992" s="675"/>
      <c r="J1992" s="675"/>
      <c r="K1992" s="675"/>
      <c r="L1992" s="675"/>
      <c r="M1992" s="675"/>
    </row>
    <row r="1993" spans="1:13" x14ac:dyDescent="0.25">
      <c r="A1993" s="675" t="s">
        <v>2072</v>
      </c>
      <c r="B1993" s="675" t="s">
        <v>564</v>
      </c>
      <c r="C1993" s="675" t="s">
        <v>2096</v>
      </c>
      <c r="D1993" s="675" t="s">
        <v>21</v>
      </c>
      <c r="E1993" s="675" t="s">
        <v>514</v>
      </c>
      <c r="F1993" s="675" t="s">
        <v>515</v>
      </c>
      <c r="G1993" s="675"/>
      <c r="H1993" s="675"/>
      <c r="I1993" s="675"/>
      <c r="J1993" s="675"/>
      <c r="K1993" s="675"/>
      <c r="L1993" s="675"/>
      <c r="M1993" s="675"/>
    </row>
    <row r="1994" spans="1:13" x14ac:dyDescent="0.25">
      <c r="A1994" s="675" t="s">
        <v>2072</v>
      </c>
      <c r="B1994" s="675" t="s">
        <v>564</v>
      </c>
      <c r="C1994" s="675" t="s">
        <v>2097</v>
      </c>
      <c r="D1994" s="675" t="s">
        <v>21</v>
      </c>
      <c r="E1994" s="675" t="s">
        <v>514</v>
      </c>
      <c r="F1994" s="675" t="s">
        <v>515</v>
      </c>
      <c r="G1994" s="675"/>
      <c r="H1994" s="675"/>
      <c r="I1994" s="675"/>
      <c r="J1994" s="675"/>
      <c r="K1994" s="675"/>
      <c r="L1994" s="675"/>
      <c r="M1994" s="675"/>
    </row>
    <row r="1995" spans="1:13" x14ac:dyDescent="0.25">
      <c r="A1995" s="675" t="s">
        <v>2098</v>
      </c>
      <c r="B1995" s="675" t="s">
        <v>512</v>
      </c>
      <c r="C1995" s="675" t="s">
        <v>1141</v>
      </c>
      <c r="D1995" s="675" t="s">
        <v>21</v>
      </c>
      <c r="E1995" s="675" t="s">
        <v>514</v>
      </c>
      <c r="F1995" s="675" t="s">
        <v>515</v>
      </c>
      <c r="G1995" s="675"/>
      <c r="H1995" s="675"/>
      <c r="I1995" s="675"/>
      <c r="J1995" s="675"/>
      <c r="K1995" s="675"/>
      <c r="L1995" s="675"/>
      <c r="M1995" s="675"/>
    </row>
    <row r="1996" spans="1:13" x14ac:dyDescent="0.25">
      <c r="A1996" s="675" t="s">
        <v>2098</v>
      </c>
      <c r="B1996" s="675" t="s">
        <v>512</v>
      </c>
      <c r="C1996" s="675" t="s">
        <v>2099</v>
      </c>
      <c r="D1996" s="675" t="s">
        <v>21</v>
      </c>
      <c r="E1996" s="675" t="s">
        <v>514</v>
      </c>
      <c r="F1996" s="675" t="s">
        <v>515</v>
      </c>
      <c r="G1996" s="675"/>
      <c r="H1996" s="675"/>
      <c r="I1996" s="675"/>
      <c r="J1996" s="675"/>
      <c r="K1996" s="675"/>
      <c r="L1996" s="675"/>
      <c r="M1996" s="675"/>
    </row>
    <row r="1997" spans="1:13" x14ac:dyDescent="0.25">
      <c r="A1997" s="675" t="s">
        <v>2098</v>
      </c>
      <c r="B1997" s="675" t="s">
        <v>512</v>
      </c>
      <c r="C1997" s="675" t="s">
        <v>2100</v>
      </c>
      <c r="D1997" s="675" t="s">
        <v>21</v>
      </c>
      <c r="E1997" s="675" t="s">
        <v>514</v>
      </c>
      <c r="F1997" s="675" t="s">
        <v>515</v>
      </c>
      <c r="G1997" s="675"/>
      <c r="H1997" s="675"/>
      <c r="I1997" s="675"/>
      <c r="J1997" s="675"/>
      <c r="K1997" s="675"/>
      <c r="L1997" s="675"/>
      <c r="M1997" s="675"/>
    </row>
    <row r="1998" spans="1:13" x14ac:dyDescent="0.25">
      <c r="A1998" s="675" t="s">
        <v>2098</v>
      </c>
      <c r="B1998" s="675" t="s">
        <v>512</v>
      </c>
      <c r="C1998" s="675" t="s">
        <v>1204</v>
      </c>
      <c r="D1998" s="675" t="s">
        <v>21</v>
      </c>
      <c r="E1998" s="675" t="s">
        <v>514</v>
      </c>
      <c r="F1998" s="675" t="s">
        <v>515</v>
      </c>
      <c r="G1998" s="675"/>
      <c r="H1998" s="675"/>
      <c r="I1998" s="675"/>
      <c r="J1998" s="675"/>
      <c r="K1998" s="675"/>
      <c r="L1998" s="675"/>
      <c r="M1998" s="675"/>
    </row>
    <row r="1999" spans="1:13" x14ac:dyDescent="0.25">
      <c r="A1999" s="675" t="s">
        <v>2098</v>
      </c>
      <c r="B1999" s="675" t="s">
        <v>512</v>
      </c>
      <c r="C1999" s="675" t="s">
        <v>2074</v>
      </c>
      <c r="D1999" s="675" t="s">
        <v>21</v>
      </c>
      <c r="E1999" s="675" t="s">
        <v>514</v>
      </c>
      <c r="F1999" s="675" t="s">
        <v>515</v>
      </c>
      <c r="G1999" s="675"/>
      <c r="H1999" s="675"/>
      <c r="I1999" s="675"/>
      <c r="J1999" s="675"/>
      <c r="K1999" s="675"/>
      <c r="L1999" s="675"/>
      <c r="M1999" s="675"/>
    </row>
    <row r="2000" spans="1:13" x14ac:dyDescent="0.25">
      <c r="A2000" s="675" t="s">
        <v>2098</v>
      </c>
      <c r="B2000" s="675" t="s">
        <v>512</v>
      </c>
      <c r="C2000" s="675" t="s">
        <v>1421</v>
      </c>
      <c r="D2000" s="675" t="s">
        <v>21</v>
      </c>
      <c r="E2000" s="675" t="s">
        <v>514</v>
      </c>
      <c r="F2000" s="675" t="s">
        <v>515</v>
      </c>
      <c r="G2000" s="675"/>
      <c r="H2000" s="675"/>
      <c r="I2000" s="675"/>
      <c r="J2000" s="675"/>
      <c r="K2000" s="675"/>
      <c r="L2000" s="675"/>
      <c r="M2000" s="675"/>
    </row>
    <row r="2001" spans="1:13" x14ac:dyDescent="0.25">
      <c r="A2001" s="675" t="s">
        <v>2098</v>
      </c>
      <c r="B2001" s="675" t="s">
        <v>512</v>
      </c>
      <c r="C2001" s="675" t="s">
        <v>2101</v>
      </c>
      <c r="D2001" s="675" t="s">
        <v>21</v>
      </c>
      <c r="E2001" s="675" t="s">
        <v>514</v>
      </c>
      <c r="F2001" s="675" t="s">
        <v>515</v>
      </c>
      <c r="G2001" s="675"/>
      <c r="H2001" s="675"/>
      <c r="I2001" s="675"/>
      <c r="J2001" s="675"/>
      <c r="K2001" s="675"/>
      <c r="L2001" s="675"/>
      <c r="M2001" s="675"/>
    </row>
    <row r="2002" spans="1:13" x14ac:dyDescent="0.25">
      <c r="A2002" s="675" t="s">
        <v>2098</v>
      </c>
      <c r="B2002" s="675" t="s">
        <v>512</v>
      </c>
      <c r="C2002" s="675" t="s">
        <v>2102</v>
      </c>
      <c r="D2002" s="675" t="s">
        <v>21</v>
      </c>
      <c r="E2002" s="675" t="s">
        <v>514</v>
      </c>
      <c r="F2002" s="675" t="s">
        <v>515</v>
      </c>
      <c r="G2002" s="675"/>
      <c r="H2002" s="675"/>
      <c r="I2002" s="675"/>
      <c r="J2002" s="675"/>
      <c r="K2002" s="675"/>
      <c r="L2002" s="675"/>
      <c r="M2002" s="675"/>
    </row>
    <row r="2003" spans="1:13" x14ac:dyDescent="0.25">
      <c r="A2003" s="678" t="s">
        <v>2098</v>
      </c>
      <c r="B2003" s="678" t="s">
        <v>512</v>
      </c>
      <c r="C2003" s="678" t="s">
        <v>2103</v>
      </c>
      <c r="D2003" s="675" t="s">
        <v>21</v>
      </c>
      <c r="E2003" s="678" t="s">
        <v>514</v>
      </c>
      <c r="F2003" s="678" t="s">
        <v>596</v>
      </c>
      <c r="G2003" s="675"/>
      <c r="H2003" s="675"/>
      <c r="I2003" s="675"/>
      <c r="J2003" s="675"/>
      <c r="K2003" s="675"/>
      <c r="L2003" s="675"/>
      <c r="M2003" s="675"/>
    </row>
    <row r="2004" spans="1:13" x14ac:dyDescent="0.25">
      <c r="A2004" s="675" t="s">
        <v>2098</v>
      </c>
      <c r="B2004" s="675" t="s">
        <v>512</v>
      </c>
      <c r="C2004" s="675" t="s">
        <v>2104</v>
      </c>
      <c r="D2004" s="675" t="s">
        <v>21</v>
      </c>
      <c r="E2004" s="675" t="s">
        <v>514</v>
      </c>
      <c r="F2004" s="675" t="s">
        <v>515</v>
      </c>
      <c r="G2004" s="675"/>
      <c r="H2004" s="675"/>
      <c r="I2004" s="675"/>
      <c r="J2004" s="675"/>
      <c r="K2004" s="675"/>
      <c r="L2004" s="675"/>
      <c r="M2004" s="675"/>
    </row>
    <row r="2005" spans="1:13" x14ac:dyDescent="0.25">
      <c r="A2005" s="675" t="s">
        <v>2098</v>
      </c>
      <c r="B2005" s="675" t="s">
        <v>512</v>
      </c>
      <c r="C2005" s="675" t="s">
        <v>2105</v>
      </c>
      <c r="D2005" s="675" t="s">
        <v>21</v>
      </c>
      <c r="E2005" s="675" t="s">
        <v>514</v>
      </c>
      <c r="F2005" s="675" t="s">
        <v>515</v>
      </c>
      <c r="G2005" s="675"/>
      <c r="H2005" s="675"/>
      <c r="I2005" s="675"/>
      <c r="J2005" s="675"/>
      <c r="K2005" s="675"/>
      <c r="L2005" s="675"/>
      <c r="M2005" s="675"/>
    </row>
    <row r="2006" spans="1:13" x14ac:dyDescent="0.25">
      <c r="A2006" s="675" t="s">
        <v>2098</v>
      </c>
      <c r="B2006" s="675" t="s">
        <v>512</v>
      </c>
      <c r="C2006" s="675" t="s">
        <v>2106</v>
      </c>
      <c r="D2006" s="675" t="s">
        <v>21</v>
      </c>
      <c r="E2006" s="675" t="s">
        <v>514</v>
      </c>
      <c r="F2006" s="675" t="s">
        <v>515</v>
      </c>
      <c r="G2006" s="675"/>
      <c r="H2006" s="675"/>
      <c r="I2006" s="675"/>
      <c r="J2006" s="675"/>
      <c r="K2006" s="675"/>
      <c r="L2006" s="675"/>
      <c r="M2006" s="675"/>
    </row>
    <row r="2007" spans="1:13" x14ac:dyDescent="0.25">
      <c r="A2007" s="675" t="s">
        <v>2098</v>
      </c>
      <c r="B2007" s="675" t="s">
        <v>512</v>
      </c>
      <c r="C2007" s="675" t="s">
        <v>887</v>
      </c>
      <c r="D2007" s="675" t="s">
        <v>21</v>
      </c>
      <c r="E2007" s="675" t="s">
        <v>514</v>
      </c>
      <c r="F2007" s="675" t="s">
        <v>515</v>
      </c>
      <c r="G2007" s="675"/>
      <c r="H2007" s="675"/>
      <c r="I2007" s="675"/>
      <c r="J2007" s="675"/>
      <c r="K2007" s="675"/>
      <c r="L2007" s="675"/>
      <c r="M2007" s="675"/>
    </row>
    <row r="2008" spans="1:13" x14ac:dyDescent="0.25">
      <c r="A2008" s="675" t="s">
        <v>2098</v>
      </c>
      <c r="B2008" s="675" t="s">
        <v>512</v>
      </c>
      <c r="C2008" s="675" t="s">
        <v>1156</v>
      </c>
      <c r="D2008" s="675" t="s">
        <v>21</v>
      </c>
      <c r="E2008" s="675" t="s">
        <v>514</v>
      </c>
      <c r="F2008" s="675" t="s">
        <v>515</v>
      </c>
      <c r="G2008" s="675"/>
      <c r="H2008" s="675"/>
      <c r="I2008" s="675"/>
      <c r="J2008" s="675"/>
      <c r="K2008" s="675"/>
      <c r="L2008" s="675"/>
      <c r="M2008" s="675"/>
    </row>
    <row r="2009" spans="1:13" x14ac:dyDescent="0.25">
      <c r="A2009" s="675" t="s">
        <v>2098</v>
      </c>
      <c r="B2009" s="675" t="s">
        <v>512</v>
      </c>
      <c r="C2009" s="675" t="s">
        <v>841</v>
      </c>
      <c r="D2009" s="675" t="s">
        <v>21</v>
      </c>
      <c r="E2009" s="675" t="s">
        <v>514</v>
      </c>
      <c r="F2009" s="675" t="s">
        <v>515</v>
      </c>
      <c r="G2009" s="675"/>
      <c r="H2009" s="675"/>
      <c r="I2009" s="675"/>
      <c r="J2009" s="675"/>
      <c r="K2009" s="675"/>
      <c r="L2009" s="675"/>
      <c r="M2009" s="675"/>
    </row>
    <row r="2010" spans="1:13" x14ac:dyDescent="0.25">
      <c r="A2010" s="675" t="s">
        <v>2098</v>
      </c>
      <c r="B2010" s="675" t="s">
        <v>512</v>
      </c>
      <c r="C2010" s="675" t="s">
        <v>1143</v>
      </c>
      <c r="D2010" s="675" t="s">
        <v>21</v>
      </c>
      <c r="E2010" s="675" t="s">
        <v>514</v>
      </c>
      <c r="F2010" s="675" t="s">
        <v>515</v>
      </c>
      <c r="G2010" s="675"/>
      <c r="H2010" s="675"/>
      <c r="I2010" s="675"/>
      <c r="J2010" s="675"/>
      <c r="K2010" s="675"/>
      <c r="L2010" s="675"/>
      <c r="M2010" s="675"/>
    </row>
    <row r="2011" spans="1:13" x14ac:dyDescent="0.25">
      <c r="A2011" s="675" t="s">
        <v>2098</v>
      </c>
      <c r="B2011" s="675" t="s">
        <v>512</v>
      </c>
      <c r="C2011" s="675" t="s">
        <v>892</v>
      </c>
      <c r="D2011" s="675" t="s">
        <v>21</v>
      </c>
      <c r="E2011" s="675" t="s">
        <v>514</v>
      </c>
      <c r="F2011" s="675" t="s">
        <v>515</v>
      </c>
      <c r="G2011" s="675"/>
      <c r="H2011" s="675"/>
      <c r="I2011" s="675"/>
      <c r="J2011" s="675"/>
      <c r="K2011" s="675"/>
      <c r="L2011" s="675"/>
      <c r="M2011" s="675"/>
    </row>
    <row r="2012" spans="1:13" x14ac:dyDescent="0.25">
      <c r="A2012" s="675" t="s">
        <v>2098</v>
      </c>
      <c r="B2012" s="675" t="s">
        <v>512</v>
      </c>
      <c r="C2012" s="675" t="s">
        <v>1572</v>
      </c>
      <c r="D2012" s="675" t="s">
        <v>21</v>
      </c>
      <c r="E2012" s="675" t="s">
        <v>514</v>
      </c>
      <c r="F2012" s="675" t="s">
        <v>515</v>
      </c>
      <c r="G2012" s="675"/>
      <c r="H2012" s="675"/>
      <c r="I2012" s="675"/>
      <c r="J2012" s="675"/>
      <c r="K2012" s="675"/>
      <c r="L2012" s="675"/>
      <c r="M2012" s="675"/>
    </row>
    <row r="2013" spans="1:13" x14ac:dyDescent="0.25">
      <c r="A2013" s="675" t="s">
        <v>2098</v>
      </c>
      <c r="B2013" s="675" t="s">
        <v>512</v>
      </c>
      <c r="C2013" s="675" t="s">
        <v>2107</v>
      </c>
      <c r="D2013" s="675" t="s">
        <v>21</v>
      </c>
      <c r="E2013" s="675" t="s">
        <v>514</v>
      </c>
      <c r="F2013" s="675" t="s">
        <v>515</v>
      </c>
      <c r="G2013" s="675"/>
      <c r="H2013" s="675"/>
      <c r="I2013" s="675"/>
      <c r="J2013" s="675"/>
      <c r="K2013" s="675"/>
      <c r="L2013" s="675"/>
      <c r="M2013" s="675"/>
    </row>
    <row r="2014" spans="1:13" x14ac:dyDescent="0.25">
      <c r="A2014" s="675" t="s">
        <v>2098</v>
      </c>
      <c r="B2014" s="675" t="s">
        <v>512</v>
      </c>
      <c r="C2014" s="675" t="s">
        <v>1358</v>
      </c>
      <c r="D2014" s="675" t="s">
        <v>21</v>
      </c>
      <c r="E2014" s="675" t="s">
        <v>514</v>
      </c>
      <c r="F2014" s="675" t="s">
        <v>515</v>
      </c>
      <c r="G2014" s="675"/>
      <c r="H2014" s="675"/>
      <c r="I2014" s="675"/>
      <c r="J2014" s="675"/>
      <c r="K2014" s="675"/>
      <c r="L2014" s="675"/>
      <c r="M2014" s="675"/>
    </row>
    <row r="2015" spans="1:13" x14ac:dyDescent="0.25">
      <c r="A2015" s="675" t="s">
        <v>2098</v>
      </c>
      <c r="B2015" s="675" t="s">
        <v>512</v>
      </c>
      <c r="C2015" s="675" t="s">
        <v>2108</v>
      </c>
      <c r="D2015" s="675" t="s">
        <v>21</v>
      </c>
      <c r="E2015" s="675" t="s">
        <v>514</v>
      </c>
      <c r="F2015" s="675" t="s">
        <v>515</v>
      </c>
      <c r="G2015" s="675"/>
      <c r="H2015" s="675"/>
      <c r="I2015" s="675"/>
      <c r="J2015" s="675"/>
      <c r="K2015" s="675"/>
      <c r="L2015" s="675"/>
      <c r="M2015" s="675"/>
    </row>
    <row r="2016" spans="1:13" x14ac:dyDescent="0.25">
      <c r="A2016" s="675" t="s">
        <v>2098</v>
      </c>
      <c r="B2016" s="675" t="s">
        <v>512</v>
      </c>
      <c r="C2016" s="675" t="s">
        <v>2109</v>
      </c>
      <c r="D2016" s="675" t="s">
        <v>21</v>
      </c>
      <c r="E2016" s="675" t="s">
        <v>514</v>
      </c>
      <c r="F2016" s="675" t="s">
        <v>515</v>
      </c>
      <c r="G2016" s="675"/>
      <c r="H2016" s="675"/>
      <c r="I2016" s="675"/>
      <c r="J2016" s="675"/>
      <c r="K2016" s="675"/>
      <c r="L2016" s="675"/>
      <c r="M2016" s="675"/>
    </row>
    <row r="2017" spans="1:13" x14ac:dyDescent="0.25">
      <c r="A2017" s="675" t="s">
        <v>2098</v>
      </c>
      <c r="B2017" s="675" t="s">
        <v>512</v>
      </c>
      <c r="C2017" s="675" t="s">
        <v>2110</v>
      </c>
      <c r="D2017" s="675" t="s">
        <v>21</v>
      </c>
      <c r="E2017" s="675" t="s">
        <v>514</v>
      </c>
      <c r="F2017" s="675" t="s">
        <v>515</v>
      </c>
      <c r="G2017" s="675"/>
      <c r="H2017" s="675"/>
      <c r="I2017" s="675"/>
      <c r="J2017" s="675"/>
      <c r="K2017" s="675"/>
      <c r="L2017" s="675"/>
      <c r="M2017" s="675"/>
    </row>
    <row r="2018" spans="1:13" x14ac:dyDescent="0.25">
      <c r="A2018" s="675" t="s">
        <v>2098</v>
      </c>
      <c r="B2018" s="675" t="s">
        <v>512</v>
      </c>
      <c r="C2018" s="675" t="s">
        <v>2111</v>
      </c>
      <c r="D2018" s="675" t="s">
        <v>21</v>
      </c>
      <c r="E2018" s="675" t="s">
        <v>514</v>
      </c>
      <c r="F2018" s="675" t="s">
        <v>515</v>
      </c>
      <c r="G2018" s="675"/>
      <c r="H2018" s="675"/>
      <c r="I2018" s="675"/>
      <c r="J2018" s="675"/>
      <c r="K2018" s="675"/>
      <c r="L2018" s="675"/>
      <c r="M2018" s="675"/>
    </row>
    <row r="2019" spans="1:13" x14ac:dyDescent="0.25">
      <c r="A2019" s="675" t="s">
        <v>2098</v>
      </c>
      <c r="B2019" s="675" t="s">
        <v>512</v>
      </c>
      <c r="C2019" s="675" t="s">
        <v>2112</v>
      </c>
      <c r="D2019" s="675" t="s">
        <v>21</v>
      </c>
      <c r="E2019" s="675" t="s">
        <v>514</v>
      </c>
      <c r="F2019" s="675" t="s">
        <v>515</v>
      </c>
      <c r="G2019" s="675"/>
      <c r="H2019" s="675"/>
      <c r="I2019" s="675"/>
      <c r="J2019" s="675"/>
      <c r="K2019" s="675"/>
      <c r="L2019" s="675"/>
      <c r="M2019" s="675"/>
    </row>
    <row r="2020" spans="1:13" x14ac:dyDescent="0.25">
      <c r="A2020" s="675" t="s">
        <v>2098</v>
      </c>
      <c r="B2020" s="675" t="s">
        <v>512</v>
      </c>
      <c r="C2020" s="675" t="s">
        <v>2113</v>
      </c>
      <c r="D2020" s="675" t="s">
        <v>21</v>
      </c>
      <c r="E2020" s="675" t="s">
        <v>514</v>
      </c>
      <c r="F2020" s="675" t="s">
        <v>515</v>
      </c>
      <c r="G2020" s="675"/>
      <c r="H2020" s="675"/>
      <c r="I2020" s="675"/>
      <c r="J2020" s="675"/>
      <c r="K2020" s="675"/>
      <c r="L2020" s="675"/>
      <c r="M2020" s="675"/>
    </row>
    <row r="2021" spans="1:13" x14ac:dyDescent="0.25">
      <c r="A2021" s="675" t="s">
        <v>2098</v>
      </c>
      <c r="B2021" s="675" t="s">
        <v>512</v>
      </c>
      <c r="C2021" s="675" t="s">
        <v>2114</v>
      </c>
      <c r="D2021" s="675" t="s">
        <v>21</v>
      </c>
      <c r="E2021" s="675" t="s">
        <v>514</v>
      </c>
      <c r="F2021" s="675" t="s">
        <v>515</v>
      </c>
      <c r="G2021" s="675"/>
      <c r="H2021" s="675"/>
      <c r="I2021" s="675"/>
      <c r="J2021" s="675"/>
      <c r="K2021" s="675"/>
      <c r="L2021" s="675"/>
      <c r="M2021" s="675"/>
    </row>
    <row r="2022" spans="1:13" x14ac:dyDescent="0.25">
      <c r="A2022" s="675" t="s">
        <v>2098</v>
      </c>
      <c r="B2022" s="675" t="s">
        <v>512</v>
      </c>
      <c r="C2022" s="675" t="s">
        <v>2115</v>
      </c>
      <c r="D2022" s="675" t="s">
        <v>21</v>
      </c>
      <c r="E2022" s="675" t="s">
        <v>514</v>
      </c>
      <c r="F2022" s="675" t="s">
        <v>515</v>
      </c>
      <c r="G2022" s="675"/>
      <c r="H2022" s="675"/>
      <c r="I2022" s="675"/>
      <c r="J2022" s="675"/>
      <c r="K2022" s="675"/>
      <c r="L2022" s="675"/>
      <c r="M2022" s="675"/>
    </row>
    <row r="2023" spans="1:13" x14ac:dyDescent="0.25">
      <c r="A2023" s="675" t="s">
        <v>2098</v>
      </c>
      <c r="B2023" s="675" t="s">
        <v>512</v>
      </c>
      <c r="C2023" s="675" t="s">
        <v>2116</v>
      </c>
      <c r="D2023" s="675" t="s">
        <v>21</v>
      </c>
      <c r="E2023" s="675" t="s">
        <v>514</v>
      </c>
      <c r="F2023" s="675" t="s">
        <v>515</v>
      </c>
      <c r="G2023" s="675"/>
      <c r="H2023" s="675"/>
      <c r="I2023" s="675"/>
      <c r="J2023" s="675"/>
      <c r="K2023" s="675"/>
      <c r="L2023" s="675"/>
      <c r="M2023" s="675"/>
    </row>
    <row r="2024" spans="1:13" x14ac:dyDescent="0.25">
      <c r="A2024" s="675" t="s">
        <v>2098</v>
      </c>
      <c r="B2024" s="675" t="s">
        <v>512</v>
      </c>
      <c r="C2024" s="675" t="s">
        <v>2117</v>
      </c>
      <c r="D2024" s="675" t="s">
        <v>21</v>
      </c>
      <c r="E2024" s="675" t="s">
        <v>514</v>
      </c>
      <c r="F2024" s="675" t="s">
        <v>515</v>
      </c>
      <c r="G2024" s="675"/>
      <c r="H2024" s="675"/>
      <c r="I2024" s="675"/>
      <c r="J2024" s="675"/>
      <c r="K2024" s="675"/>
      <c r="L2024" s="675"/>
      <c r="M2024" s="675"/>
    </row>
    <row r="2025" spans="1:13" x14ac:dyDescent="0.25">
      <c r="A2025" s="675" t="s">
        <v>2098</v>
      </c>
      <c r="B2025" s="675" t="s">
        <v>512</v>
      </c>
      <c r="C2025" s="675" t="s">
        <v>2118</v>
      </c>
      <c r="D2025" s="675" t="s">
        <v>21</v>
      </c>
      <c r="E2025" s="675" t="s">
        <v>514</v>
      </c>
      <c r="F2025" s="675" t="s">
        <v>515</v>
      </c>
      <c r="G2025" s="675"/>
      <c r="H2025" s="675"/>
      <c r="I2025" s="675"/>
      <c r="J2025" s="675"/>
      <c r="K2025" s="675"/>
      <c r="L2025" s="675"/>
      <c r="M2025" s="675"/>
    </row>
    <row r="2026" spans="1:13" x14ac:dyDescent="0.25">
      <c r="A2026" s="675" t="s">
        <v>2098</v>
      </c>
      <c r="B2026" s="675" t="s">
        <v>512</v>
      </c>
      <c r="C2026" s="675" t="s">
        <v>2119</v>
      </c>
      <c r="D2026" s="675" t="s">
        <v>21</v>
      </c>
      <c r="E2026" s="675" t="s">
        <v>514</v>
      </c>
      <c r="F2026" s="675" t="s">
        <v>515</v>
      </c>
      <c r="G2026" s="675"/>
      <c r="H2026" s="675"/>
      <c r="I2026" s="675"/>
      <c r="J2026" s="675"/>
      <c r="K2026" s="675"/>
      <c r="L2026" s="675"/>
      <c r="M2026" s="675"/>
    </row>
    <row r="2027" spans="1:13" x14ac:dyDescent="0.25">
      <c r="A2027" s="675" t="s">
        <v>2098</v>
      </c>
      <c r="B2027" s="675" t="s">
        <v>512</v>
      </c>
      <c r="C2027" s="675" t="s">
        <v>1227</v>
      </c>
      <c r="D2027" s="675" t="s">
        <v>21</v>
      </c>
      <c r="E2027" s="675" t="s">
        <v>514</v>
      </c>
      <c r="F2027" s="675" t="s">
        <v>515</v>
      </c>
      <c r="G2027" s="675"/>
      <c r="H2027" s="675"/>
      <c r="I2027" s="675"/>
      <c r="J2027" s="675"/>
      <c r="K2027" s="675"/>
      <c r="L2027" s="675"/>
      <c r="M2027" s="675"/>
    </row>
    <row r="2028" spans="1:13" x14ac:dyDescent="0.25">
      <c r="A2028" s="675" t="s">
        <v>2098</v>
      </c>
      <c r="B2028" s="675" t="s">
        <v>512</v>
      </c>
      <c r="C2028" s="675" t="s">
        <v>713</v>
      </c>
      <c r="D2028" s="675" t="s">
        <v>21</v>
      </c>
      <c r="E2028" s="675" t="s">
        <v>514</v>
      </c>
      <c r="F2028" s="675" t="s">
        <v>515</v>
      </c>
      <c r="G2028" s="675"/>
      <c r="H2028" s="675"/>
      <c r="I2028" s="675"/>
      <c r="J2028" s="675"/>
      <c r="K2028" s="675"/>
      <c r="L2028" s="675"/>
      <c r="M2028" s="675"/>
    </row>
    <row r="2029" spans="1:13" x14ac:dyDescent="0.25">
      <c r="A2029" s="675" t="s">
        <v>2098</v>
      </c>
      <c r="B2029" s="675" t="s">
        <v>512</v>
      </c>
      <c r="C2029" s="675" t="s">
        <v>717</v>
      </c>
      <c r="D2029" s="675" t="s">
        <v>21</v>
      </c>
      <c r="E2029" s="675" t="s">
        <v>514</v>
      </c>
      <c r="F2029" s="675" t="s">
        <v>515</v>
      </c>
      <c r="G2029" s="675"/>
      <c r="H2029" s="675"/>
      <c r="I2029" s="675"/>
      <c r="J2029" s="675"/>
      <c r="K2029" s="675"/>
      <c r="L2029" s="675"/>
      <c r="M2029" s="675"/>
    </row>
    <row r="2030" spans="1:13" x14ac:dyDescent="0.25">
      <c r="A2030" s="675" t="s">
        <v>2098</v>
      </c>
      <c r="B2030" s="675" t="s">
        <v>545</v>
      </c>
      <c r="C2030" s="675" t="s">
        <v>2120</v>
      </c>
      <c r="D2030" s="675" t="s">
        <v>21</v>
      </c>
      <c r="E2030" s="675" t="s">
        <v>514</v>
      </c>
      <c r="F2030" s="675" t="s">
        <v>515</v>
      </c>
      <c r="G2030" s="675"/>
      <c r="H2030" s="675"/>
      <c r="I2030" s="675"/>
      <c r="J2030" s="675"/>
      <c r="K2030" s="675"/>
      <c r="L2030" s="675"/>
      <c r="M2030" s="675"/>
    </row>
    <row r="2031" spans="1:13" x14ac:dyDescent="0.25">
      <c r="A2031" s="675" t="s">
        <v>2098</v>
      </c>
      <c r="B2031" s="675" t="s">
        <v>545</v>
      </c>
      <c r="C2031" s="675" t="s">
        <v>2121</v>
      </c>
      <c r="D2031" s="675" t="s">
        <v>21</v>
      </c>
      <c r="E2031" s="675" t="s">
        <v>514</v>
      </c>
      <c r="F2031" s="675" t="s">
        <v>515</v>
      </c>
      <c r="G2031" s="675"/>
      <c r="H2031" s="675"/>
      <c r="I2031" s="675"/>
      <c r="J2031" s="675"/>
      <c r="K2031" s="675"/>
      <c r="L2031" s="675"/>
      <c r="M2031" s="675"/>
    </row>
    <row r="2032" spans="1:13" x14ac:dyDescent="0.25">
      <c r="A2032" s="675" t="s">
        <v>2098</v>
      </c>
      <c r="B2032" s="675" t="s">
        <v>545</v>
      </c>
      <c r="C2032" s="675" t="s">
        <v>2122</v>
      </c>
      <c r="D2032" s="675" t="s">
        <v>21</v>
      </c>
      <c r="E2032" s="675" t="s">
        <v>514</v>
      </c>
      <c r="F2032" s="675" t="s">
        <v>515</v>
      </c>
      <c r="G2032" s="675"/>
      <c r="H2032" s="675"/>
      <c r="I2032" s="675"/>
      <c r="J2032" s="675"/>
      <c r="K2032" s="675"/>
      <c r="L2032" s="675"/>
      <c r="M2032" s="675"/>
    </row>
    <row r="2033" spans="1:13" x14ac:dyDescent="0.25">
      <c r="A2033" s="675" t="s">
        <v>2098</v>
      </c>
      <c r="B2033" s="675" t="s">
        <v>545</v>
      </c>
      <c r="C2033" s="675" t="s">
        <v>2123</v>
      </c>
      <c r="D2033" s="675" t="s">
        <v>21</v>
      </c>
      <c r="E2033" s="675" t="s">
        <v>514</v>
      </c>
      <c r="F2033" s="675" t="s">
        <v>515</v>
      </c>
      <c r="G2033" s="675"/>
      <c r="H2033" s="675"/>
      <c r="I2033" s="675"/>
      <c r="J2033" s="675"/>
      <c r="K2033" s="675"/>
      <c r="L2033" s="675"/>
      <c r="M2033" s="675"/>
    </row>
    <row r="2034" spans="1:13" x14ac:dyDescent="0.25">
      <c r="A2034" s="675" t="s">
        <v>2098</v>
      </c>
      <c r="B2034" s="675" t="s">
        <v>545</v>
      </c>
      <c r="C2034" s="675" t="s">
        <v>682</v>
      </c>
      <c r="D2034" s="675" t="s">
        <v>21</v>
      </c>
      <c r="E2034" s="675" t="s">
        <v>514</v>
      </c>
      <c r="F2034" s="675" t="s">
        <v>515</v>
      </c>
      <c r="G2034" s="675"/>
      <c r="H2034" s="675"/>
      <c r="I2034" s="675"/>
      <c r="J2034" s="675"/>
      <c r="K2034" s="675"/>
      <c r="L2034" s="675"/>
      <c r="M2034" s="675"/>
    </row>
    <row r="2035" spans="1:13" x14ac:dyDescent="0.25">
      <c r="A2035" s="675" t="s">
        <v>2098</v>
      </c>
      <c r="B2035" s="675" t="s">
        <v>545</v>
      </c>
      <c r="C2035" s="675" t="s">
        <v>2124</v>
      </c>
      <c r="D2035" s="675" t="s">
        <v>21</v>
      </c>
      <c r="E2035" s="675" t="s">
        <v>514</v>
      </c>
      <c r="F2035" s="675" t="s">
        <v>515</v>
      </c>
      <c r="G2035" s="675"/>
      <c r="H2035" s="675"/>
      <c r="I2035" s="675"/>
      <c r="J2035" s="675"/>
      <c r="K2035" s="675"/>
      <c r="L2035" s="675"/>
      <c r="M2035" s="675"/>
    </row>
    <row r="2036" spans="1:13" x14ac:dyDescent="0.25">
      <c r="A2036" s="678" t="s">
        <v>2098</v>
      </c>
      <c r="B2036" s="678" t="s">
        <v>545</v>
      </c>
      <c r="C2036" s="678" t="s">
        <v>2125</v>
      </c>
      <c r="D2036" s="675" t="s">
        <v>21</v>
      </c>
      <c r="E2036" s="678" t="s">
        <v>514</v>
      </c>
      <c r="F2036" s="678" t="s">
        <v>636</v>
      </c>
      <c r="G2036" s="675"/>
      <c r="H2036" s="675"/>
      <c r="I2036" s="675"/>
      <c r="J2036" s="675"/>
      <c r="K2036" s="675"/>
      <c r="L2036" s="675"/>
      <c r="M2036" s="675"/>
    </row>
    <row r="2037" spans="1:13" x14ac:dyDescent="0.25">
      <c r="A2037" s="678" t="s">
        <v>2098</v>
      </c>
      <c r="B2037" s="678" t="s">
        <v>545</v>
      </c>
      <c r="C2037" s="678" t="s">
        <v>2088</v>
      </c>
      <c r="D2037" s="675" t="s">
        <v>21</v>
      </c>
      <c r="E2037" s="678" t="s">
        <v>514</v>
      </c>
      <c r="F2037" s="678" t="s">
        <v>636</v>
      </c>
      <c r="G2037" s="675"/>
      <c r="H2037" s="675"/>
      <c r="I2037" s="675"/>
      <c r="J2037" s="675"/>
      <c r="K2037" s="675"/>
      <c r="L2037" s="675"/>
      <c r="M2037" s="675"/>
    </row>
    <row r="2038" spans="1:13" x14ac:dyDescent="0.25">
      <c r="A2038" s="675" t="s">
        <v>2098</v>
      </c>
      <c r="B2038" s="675" t="s">
        <v>545</v>
      </c>
      <c r="C2038" s="675" t="s">
        <v>2126</v>
      </c>
      <c r="D2038" s="675" t="s">
        <v>21</v>
      </c>
      <c r="E2038" s="675" t="s">
        <v>514</v>
      </c>
      <c r="F2038" s="675" t="s">
        <v>515</v>
      </c>
      <c r="G2038" s="675"/>
      <c r="H2038" s="675"/>
      <c r="I2038" s="675"/>
      <c r="J2038" s="675"/>
      <c r="K2038" s="675"/>
      <c r="L2038" s="675"/>
      <c r="M2038" s="675"/>
    </row>
    <row r="2039" spans="1:13" x14ac:dyDescent="0.25">
      <c r="A2039" s="675" t="s">
        <v>2098</v>
      </c>
      <c r="B2039" s="675" t="s">
        <v>545</v>
      </c>
      <c r="C2039" s="675" t="s">
        <v>1616</v>
      </c>
      <c r="D2039" s="675" t="s">
        <v>21</v>
      </c>
      <c r="E2039" s="675" t="s">
        <v>514</v>
      </c>
      <c r="F2039" s="675" t="s">
        <v>515</v>
      </c>
      <c r="G2039" s="675"/>
      <c r="H2039" s="675"/>
      <c r="I2039" s="675"/>
      <c r="J2039" s="675"/>
      <c r="K2039" s="675"/>
      <c r="L2039" s="675"/>
      <c r="M2039" s="675"/>
    </row>
    <row r="2040" spans="1:13" x14ac:dyDescent="0.25">
      <c r="A2040" s="675" t="s">
        <v>2098</v>
      </c>
      <c r="B2040" s="675" t="s">
        <v>545</v>
      </c>
      <c r="C2040" s="675" t="s">
        <v>609</v>
      </c>
      <c r="D2040" s="675" t="s">
        <v>21</v>
      </c>
      <c r="E2040" s="675" t="s">
        <v>514</v>
      </c>
      <c r="F2040" s="675" t="s">
        <v>515</v>
      </c>
      <c r="G2040" s="675"/>
      <c r="H2040" s="675"/>
      <c r="I2040" s="675"/>
      <c r="J2040" s="675"/>
      <c r="K2040" s="675"/>
      <c r="L2040" s="675"/>
      <c r="M2040" s="675"/>
    </row>
    <row r="2041" spans="1:13" x14ac:dyDescent="0.25">
      <c r="A2041" s="675" t="s">
        <v>2098</v>
      </c>
      <c r="B2041" s="675" t="s">
        <v>545</v>
      </c>
      <c r="C2041" s="675" t="s">
        <v>1290</v>
      </c>
      <c r="D2041" s="675" t="s">
        <v>21</v>
      </c>
      <c r="E2041" s="675" t="s">
        <v>514</v>
      </c>
      <c r="F2041" s="675" t="s">
        <v>515</v>
      </c>
      <c r="G2041" s="675"/>
      <c r="H2041" s="675"/>
      <c r="I2041" s="675"/>
      <c r="J2041" s="675"/>
      <c r="K2041" s="675"/>
      <c r="L2041" s="675"/>
      <c r="M2041" s="675"/>
    </row>
    <row r="2042" spans="1:13" x14ac:dyDescent="0.25">
      <c r="A2042" s="675" t="s">
        <v>2098</v>
      </c>
      <c r="B2042" s="675" t="s">
        <v>545</v>
      </c>
      <c r="C2042" s="675" t="s">
        <v>2127</v>
      </c>
      <c r="D2042" s="675" t="s">
        <v>21</v>
      </c>
      <c r="E2042" s="675" t="s">
        <v>514</v>
      </c>
      <c r="F2042" s="675" t="s">
        <v>515</v>
      </c>
      <c r="G2042" s="675"/>
      <c r="H2042" s="675"/>
      <c r="I2042" s="675"/>
      <c r="J2042" s="675"/>
      <c r="K2042" s="675"/>
      <c r="L2042" s="675"/>
      <c r="M2042" s="675"/>
    </row>
    <row r="2043" spans="1:13" x14ac:dyDescent="0.25">
      <c r="A2043" s="675" t="s">
        <v>2098</v>
      </c>
      <c r="B2043" s="675" t="s">
        <v>564</v>
      </c>
      <c r="C2043" s="675" t="s">
        <v>728</v>
      </c>
      <c r="D2043" s="675" t="s">
        <v>21</v>
      </c>
      <c r="E2043" s="675" t="s">
        <v>514</v>
      </c>
      <c r="F2043" s="675" t="s">
        <v>515</v>
      </c>
      <c r="G2043" s="675"/>
      <c r="H2043" s="675"/>
      <c r="I2043" s="675"/>
      <c r="J2043" s="675"/>
      <c r="K2043" s="675"/>
      <c r="L2043" s="675"/>
      <c r="M2043" s="675"/>
    </row>
    <row r="2044" spans="1:13" x14ac:dyDescent="0.25">
      <c r="A2044" s="675" t="s">
        <v>2098</v>
      </c>
      <c r="B2044" s="675" t="s">
        <v>564</v>
      </c>
      <c r="C2044" s="675" t="s">
        <v>2128</v>
      </c>
      <c r="D2044" s="675" t="s">
        <v>21</v>
      </c>
      <c r="E2044" s="675" t="s">
        <v>514</v>
      </c>
      <c r="F2044" s="675" t="s">
        <v>515</v>
      </c>
      <c r="G2044" s="675"/>
      <c r="H2044" s="675"/>
      <c r="I2044" s="675"/>
      <c r="J2044" s="675"/>
      <c r="K2044" s="675"/>
      <c r="L2044" s="675"/>
      <c r="M2044" s="675"/>
    </row>
    <row r="2045" spans="1:13" x14ac:dyDescent="0.25">
      <c r="A2045" s="675" t="s">
        <v>2098</v>
      </c>
      <c r="B2045" s="675" t="s">
        <v>564</v>
      </c>
      <c r="C2045" s="675" t="s">
        <v>1862</v>
      </c>
      <c r="D2045" s="675" t="s">
        <v>21</v>
      </c>
      <c r="E2045" s="675" t="s">
        <v>514</v>
      </c>
      <c r="F2045" s="675" t="s">
        <v>515</v>
      </c>
      <c r="G2045" s="675"/>
      <c r="H2045" s="675"/>
      <c r="I2045" s="675"/>
      <c r="J2045" s="675"/>
      <c r="K2045" s="675"/>
      <c r="L2045" s="675"/>
      <c r="M2045" s="675"/>
    </row>
    <row r="2046" spans="1:13" x14ac:dyDescent="0.25">
      <c r="A2046" s="675" t="s">
        <v>2098</v>
      </c>
      <c r="B2046" s="675" t="s">
        <v>564</v>
      </c>
      <c r="C2046" s="675" t="s">
        <v>2129</v>
      </c>
      <c r="D2046" s="675" t="s">
        <v>21</v>
      </c>
      <c r="E2046" s="675" t="s">
        <v>514</v>
      </c>
      <c r="F2046" s="675" t="s">
        <v>515</v>
      </c>
      <c r="G2046" s="675"/>
      <c r="H2046" s="675"/>
      <c r="I2046" s="675"/>
      <c r="J2046" s="675"/>
      <c r="K2046" s="675"/>
      <c r="L2046" s="675"/>
      <c r="M2046" s="675"/>
    </row>
    <row r="2047" spans="1:13" x14ac:dyDescent="0.25">
      <c r="A2047" s="675" t="s">
        <v>2098</v>
      </c>
      <c r="B2047" s="675" t="s">
        <v>564</v>
      </c>
      <c r="C2047" s="675" t="s">
        <v>2093</v>
      </c>
      <c r="D2047" s="675" t="s">
        <v>21</v>
      </c>
      <c r="E2047" s="675" t="s">
        <v>514</v>
      </c>
      <c r="F2047" s="675" t="s">
        <v>515</v>
      </c>
      <c r="G2047" s="675"/>
      <c r="H2047" s="675"/>
      <c r="I2047" s="675"/>
      <c r="J2047" s="675"/>
      <c r="K2047" s="675"/>
      <c r="L2047" s="675"/>
      <c r="M2047" s="675"/>
    </row>
    <row r="2048" spans="1:13" x14ac:dyDescent="0.25">
      <c r="A2048" s="675" t="s">
        <v>2098</v>
      </c>
      <c r="B2048" s="675" t="s">
        <v>564</v>
      </c>
      <c r="C2048" s="675" t="s">
        <v>2094</v>
      </c>
      <c r="D2048" s="675" t="s">
        <v>21</v>
      </c>
      <c r="E2048" s="675" t="s">
        <v>514</v>
      </c>
      <c r="F2048" s="675" t="s">
        <v>515</v>
      </c>
      <c r="G2048" s="675"/>
      <c r="H2048" s="675"/>
      <c r="I2048" s="675"/>
      <c r="J2048" s="675"/>
      <c r="K2048" s="675"/>
      <c r="L2048" s="675"/>
      <c r="M2048" s="675"/>
    </row>
    <row r="2049" spans="1:13" x14ac:dyDescent="0.25">
      <c r="A2049" s="675" t="s">
        <v>2098</v>
      </c>
      <c r="B2049" s="675" t="s">
        <v>564</v>
      </c>
      <c r="C2049" s="675" t="s">
        <v>1382</v>
      </c>
      <c r="D2049" s="675" t="s">
        <v>21</v>
      </c>
      <c r="E2049" s="675" t="s">
        <v>514</v>
      </c>
      <c r="F2049" s="675" t="s">
        <v>515</v>
      </c>
      <c r="G2049" s="675"/>
      <c r="H2049" s="675"/>
      <c r="I2049" s="675"/>
      <c r="J2049" s="675"/>
      <c r="K2049" s="675"/>
      <c r="L2049" s="675"/>
      <c r="M2049" s="675"/>
    </row>
    <row r="2050" spans="1:13" x14ac:dyDescent="0.25">
      <c r="A2050" s="675" t="s">
        <v>2098</v>
      </c>
      <c r="B2050" s="675" t="s">
        <v>564</v>
      </c>
      <c r="C2050" s="675" t="s">
        <v>1539</v>
      </c>
      <c r="D2050" s="675" t="s">
        <v>21</v>
      </c>
      <c r="E2050" s="675" t="s">
        <v>514</v>
      </c>
      <c r="F2050" s="675" t="s">
        <v>515</v>
      </c>
      <c r="G2050" s="675"/>
      <c r="H2050" s="675"/>
      <c r="I2050" s="675"/>
      <c r="J2050" s="675"/>
      <c r="K2050" s="675"/>
      <c r="L2050" s="675"/>
      <c r="M2050" s="675"/>
    </row>
    <row r="2051" spans="1:13" x14ac:dyDescent="0.25">
      <c r="A2051" s="675" t="s">
        <v>2098</v>
      </c>
      <c r="B2051" s="675" t="s">
        <v>564</v>
      </c>
      <c r="C2051" s="675" t="s">
        <v>1152</v>
      </c>
      <c r="D2051" s="675" t="s">
        <v>21</v>
      </c>
      <c r="E2051" s="675" t="s">
        <v>514</v>
      </c>
      <c r="F2051" s="675" t="s">
        <v>515</v>
      </c>
      <c r="G2051" s="675"/>
      <c r="H2051" s="675"/>
      <c r="I2051" s="675"/>
      <c r="J2051" s="675"/>
      <c r="K2051" s="675"/>
      <c r="L2051" s="675"/>
      <c r="M2051" s="675"/>
    </row>
    <row r="2052" spans="1:13" x14ac:dyDescent="0.25">
      <c r="A2052" s="675" t="s">
        <v>2098</v>
      </c>
      <c r="B2052" s="675" t="s">
        <v>564</v>
      </c>
      <c r="C2052" s="675" t="s">
        <v>737</v>
      </c>
      <c r="D2052" s="675" t="s">
        <v>21</v>
      </c>
      <c r="E2052" s="675" t="s">
        <v>514</v>
      </c>
      <c r="F2052" s="675" t="s">
        <v>515</v>
      </c>
      <c r="G2052" s="675"/>
      <c r="H2052" s="675"/>
      <c r="I2052" s="675"/>
      <c r="J2052" s="675"/>
      <c r="K2052" s="675"/>
      <c r="L2052" s="675"/>
      <c r="M2052" s="675"/>
    </row>
    <row r="2053" spans="1:13" x14ac:dyDescent="0.25">
      <c r="A2053" s="675" t="s">
        <v>2098</v>
      </c>
      <c r="B2053" s="675" t="s">
        <v>564</v>
      </c>
      <c r="C2053" s="675" t="s">
        <v>738</v>
      </c>
      <c r="D2053" s="675" t="s">
        <v>21</v>
      </c>
      <c r="E2053" s="675" t="s">
        <v>514</v>
      </c>
      <c r="F2053" s="675" t="s">
        <v>515</v>
      </c>
      <c r="G2053" s="675"/>
      <c r="H2053" s="675"/>
      <c r="I2053" s="675"/>
      <c r="J2053" s="675"/>
      <c r="K2053" s="675"/>
      <c r="L2053" s="675"/>
      <c r="M2053" s="675"/>
    </row>
    <row r="2054" spans="1:13" x14ac:dyDescent="0.25">
      <c r="A2054" s="675" t="s">
        <v>2098</v>
      </c>
      <c r="B2054" s="675" t="s">
        <v>564</v>
      </c>
      <c r="C2054" s="675" t="s">
        <v>739</v>
      </c>
      <c r="D2054" s="675" t="s">
        <v>21</v>
      </c>
      <c r="E2054" s="675" t="s">
        <v>514</v>
      </c>
      <c r="F2054" s="675" t="s">
        <v>515</v>
      </c>
      <c r="G2054" s="675"/>
      <c r="H2054" s="675"/>
      <c r="I2054" s="675"/>
      <c r="J2054" s="675"/>
      <c r="K2054" s="675"/>
      <c r="L2054" s="675"/>
      <c r="M2054" s="675"/>
    </row>
    <row r="2055" spans="1:13" x14ac:dyDescent="0.25">
      <c r="A2055" s="675" t="s">
        <v>2130</v>
      </c>
      <c r="B2055" s="675" t="s">
        <v>512</v>
      </c>
      <c r="C2055" s="675" t="s">
        <v>2131</v>
      </c>
      <c r="D2055" s="675" t="s">
        <v>21</v>
      </c>
      <c r="E2055" s="675" t="s">
        <v>514</v>
      </c>
      <c r="F2055" s="675" t="s">
        <v>515</v>
      </c>
      <c r="G2055" s="675"/>
      <c r="H2055" s="675"/>
      <c r="I2055" s="675"/>
      <c r="J2055" s="675"/>
      <c r="K2055" s="675"/>
      <c r="L2055" s="675"/>
      <c r="M2055" s="675"/>
    </row>
    <row r="2056" spans="1:13" x14ac:dyDescent="0.25">
      <c r="A2056" s="675" t="s">
        <v>2130</v>
      </c>
      <c r="B2056" s="675" t="s">
        <v>512</v>
      </c>
      <c r="C2056" s="675" t="s">
        <v>2132</v>
      </c>
      <c r="D2056" s="675" t="s">
        <v>21</v>
      </c>
      <c r="E2056" s="675" t="s">
        <v>514</v>
      </c>
      <c r="F2056" s="675" t="s">
        <v>515</v>
      </c>
      <c r="G2056" s="675"/>
      <c r="H2056" s="675"/>
      <c r="I2056" s="675"/>
      <c r="J2056" s="675"/>
      <c r="K2056" s="675"/>
      <c r="L2056" s="675"/>
      <c r="M2056" s="675"/>
    </row>
    <row r="2057" spans="1:13" x14ac:dyDescent="0.25">
      <c r="A2057" s="675" t="s">
        <v>2130</v>
      </c>
      <c r="B2057" s="675" t="s">
        <v>512</v>
      </c>
      <c r="C2057" s="675" t="s">
        <v>2133</v>
      </c>
      <c r="D2057" s="675" t="s">
        <v>21</v>
      </c>
      <c r="E2057" s="675" t="s">
        <v>514</v>
      </c>
      <c r="F2057" s="675" t="s">
        <v>515</v>
      </c>
      <c r="G2057" s="675"/>
      <c r="H2057" s="675"/>
      <c r="I2057" s="675"/>
      <c r="J2057" s="675"/>
      <c r="K2057" s="675"/>
      <c r="L2057" s="675"/>
      <c r="M2057" s="675"/>
    </row>
    <row r="2058" spans="1:13" x14ac:dyDescent="0.25">
      <c r="A2058" s="675" t="s">
        <v>2130</v>
      </c>
      <c r="B2058" s="675" t="s">
        <v>545</v>
      </c>
      <c r="C2058" s="675" t="s">
        <v>2134</v>
      </c>
      <c r="D2058" s="675" t="s">
        <v>21</v>
      </c>
      <c r="E2058" s="675" t="s">
        <v>514</v>
      </c>
      <c r="F2058" s="675" t="s">
        <v>515</v>
      </c>
      <c r="G2058" s="675"/>
      <c r="H2058" s="675"/>
      <c r="I2058" s="675"/>
      <c r="J2058" s="675"/>
      <c r="K2058" s="675"/>
      <c r="L2058" s="675"/>
      <c r="M2058" s="675"/>
    </row>
    <row r="2059" spans="1:13" x14ac:dyDescent="0.25">
      <c r="A2059" s="675" t="s">
        <v>2130</v>
      </c>
      <c r="B2059" s="675" t="s">
        <v>545</v>
      </c>
      <c r="C2059" s="675" t="s">
        <v>2135</v>
      </c>
      <c r="D2059" s="675" t="s">
        <v>21</v>
      </c>
      <c r="E2059" s="675" t="s">
        <v>514</v>
      </c>
      <c r="F2059" s="675" t="s">
        <v>515</v>
      </c>
      <c r="G2059" s="675"/>
      <c r="H2059" s="675"/>
      <c r="I2059" s="675"/>
      <c r="J2059" s="675"/>
      <c r="K2059" s="675"/>
      <c r="L2059" s="675"/>
      <c r="M2059" s="675"/>
    </row>
    <row r="2060" spans="1:13" x14ac:dyDescent="0.25">
      <c r="A2060" s="675" t="s">
        <v>2130</v>
      </c>
      <c r="B2060" s="675" t="s">
        <v>545</v>
      </c>
      <c r="C2060" s="675" t="s">
        <v>2136</v>
      </c>
      <c r="D2060" s="675" t="s">
        <v>21</v>
      </c>
      <c r="E2060" s="675" t="s">
        <v>514</v>
      </c>
      <c r="F2060" s="675" t="s">
        <v>515</v>
      </c>
      <c r="G2060" s="675"/>
      <c r="H2060" s="675"/>
      <c r="I2060" s="675"/>
      <c r="J2060" s="675"/>
      <c r="K2060" s="675"/>
      <c r="L2060" s="675"/>
      <c r="M2060" s="675"/>
    </row>
    <row r="2061" spans="1:13" x14ac:dyDescent="0.25">
      <c r="A2061" s="675" t="s">
        <v>2130</v>
      </c>
      <c r="B2061" s="675" t="s">
        <v>545</v>
      </c>
      <c r="C2061" s="675" t="s">
        <v>2137</v>
      </c>
      <c r="D2061" s="675" t="s">
        <v>21</v>
      </c>
      <c r="E2061" s="675" t="s">
        <v>514</v>
      </c>
      <c r="F2061" s="675" t="s">
        <v>515</v>
      </c>
      <c r="G2061" s="675"/>
      <c r="H2061" s="675"/>
      <c r="I2061" s="675"/>
      <c r="J2061" s="675"/>
      <c r="K2061" s="675"/>
      <c r="L2061" s="675"/>
      <c r="M2061" s="675"/>
    </row>
    <row r="2062" spans="1:13" x14ac:dyDescent="0.25">
      <c r="A2062" s="675" t="s">
        <v>2138</v>
      </c>
      <c r="B2062" s="675" t="s">
        <v>512</v>
      </c>
      <c r="C2062" s="675" t="s">
        <v>863</v>
      </c>
      <c r="D2062" s="675" t="s">
        <v>21</v>
      </c>
      <c r="E2062" s="675" t="s">
        <v>514</v>
      </c>
      <c r="F2062" s="675" t="s">
        <v>515</v>
      </c>
      <c r="G2062" s="675"/>
      <c r="H2062" s="675"/>
      <c r="I2062" s="675"/>
      <c r="J2062" s="675"/>
      <c r="K2062" s="675"/>
      <c r="L2062" s="675"/>
      <c r="M2062" s="675"/>
    </row>
    <row r="2063" spans="1:13" x14ac:dyDescent="0.25">
      <c r="A2063" s="678" t="s">
        <v>2138</v>
      </c>
      <c r="B2063" s="678" t="s">
        <v>512</v>
      </c>
      <c r="C2063" s="678" t="s">
        <v>1822</v>
      </c>
      <c r="D2063" s="675" t="s">
        <v>21</v>
      </c>
      <c r="E2063" s="678" t="s">
        <v>514</v>
      </c>
      <c r="F2063" s="678" t="s">
        <v>596</v>
      </c>
      <c r="G2063" s="675"/>
      <c r="H2063" s="675"/>
      <c r="I2063" s="675"/>
      <c r="J2063" s="675"/>
      <c r="K2063" s="675"/>
      <c r="L2063" s="675"/>
      <c r="M2063" s="675"/>
    </row>
    <row r="2064" spans="1:13" x14ac:dyDescent="0.25">
      <c r="A2064" s="675" t="s">
        <v>2138</v>
      </c>
      <c r="B2064" s="675" t="s">
        <v>512</v>
      </c>
      <c r="C2064" s="675" t="s">
        <v>2139</v>
      </c>
      <c r="D2064" s="675" t="s">
        <v>21</v>
      </c>
      <c r="E2064" s="675" t="s">
        <v>514</v>
      </c>
      <c r="F2064" s="675" t="s">
        <v>515</v>
      </c>
      <c r="G2064" s="675"/>
      <c r="H2064" s="675"/>
      <c r="I2064" s="675"/>
      <c r="J2064" s="675"/>
      <c r="K2064" s="675"/>
      <c r="L2064" s="675"/>
      <c r="M2064" s="675"/>
    </row>
    <row r="2065" spans="1:13" x14ac:dyDescent="0.25">
      <c r="A2065" s="675" t="s">
        <v>2138</v>
      </c>
      <c r="B2065" s="675" t="s">
        <v>545</v>
      </c>
      <c r="C2065" s="675" t="s">
        <v>863</v>
      </c>
      <c r="D2065" s="675" t="s">
        <v>21</v>
      </c>
      <c r="E2065" s="675" t="s">
        <v>514</v>
      </c>
      <c r="F2065" s="675" t="s">
        <v>515</v>
      </c>
      <c r="G2065" s="675"/>
      <c r="H2065" s="675"/>
      <c r="I2065" s="675"/>
      <c r="J2065" s="675"/>
      <c r="K2065" s="675"/>
      <c r="L2065" s="675"/>
      <c r="M2065" s="675"/>
    </row>
    <row r="2066" spans="1:13" x14ac:dyDescent="0.25">
      <c r="A2066" s="675" t="s">
        <v>2138</v>
      </c>
      <c r="B2066" s="675" t="s">
        <v>545</v>
      </c>
      <c r="C2066" s="675" t="s">
        <v>2140</v>
      </c>
      <c r="D2066" s="675" t="s">
        <v>21</v>
      </c>
      <c r="E2066" s="675" t="s">
        <v>514</v>
      </c>
      <c r="F2066" s="675" t="s">
        <v>515</v>
      </c>
      <c r="G2066" s="675"/>
      <c r="H2066" s="675"/>
      <c r="I2066" s="675"/>
      <c r="J2066" s="675"/>
      <c r="K2066" s="675"/>
      <c r="L2066" s="675"/>
      <c r="M2066" s="675"/>
    </row>
    <row r="2067" spans="1:13" x14ac:dyDescent="0.25">
      <c r="A2067" s="675" t="s">
        <v>2141</v>
      </c>
      <c r="B2067" s="675" t="s">
        <v>512</v>
      </c>
      <c r="C2067" s="675" t="s">
        <v>2142</v>
      </c>
      <c r="D2067" s="675" t="s">
        <v>21</v>
      </c>
      <c r="E2067" s="675" t="s">
        <v>514</v>
      </c>
      <c r="F2067" s="675" t="s">
        <v>515</v>
      </c>
      <c r="G2067" s="675"/>
      <c r="H2067" s="675"/>
      <c r="I2067" s="675"/>
      <c r="J2067" s="675"/>
      <c r="K2067" s="675"/>
      <c r="L2067" s="675"/>
      <c r="M2067" s="675"/>
    </row>
    <row r="2068" spans="1:13" x14ac:dyDescent="0.25">
      <c r="A2068" s="675" t="s">
        <v>2141</v>
      </c>
      <c r="B2068" s="675" t="s">
        <v>512</v>
      </c>
      <c r="C2068" s="675" t="s">
        <v>2143</v>
      </c>
      <c r="D2068" s="675" t="s">
        <v>21</v>
      </c>
      <c r="E2068" s="675" t="s">
        <v>514</v>
      </c>
      <c r="F2068" s="675" t="s">
        <v>515</v>
      </c>
      <c r="G2068" s="675"/>
      <c r="H2068" s="675"/>
      <c r="I2068" s="675"/>
      <c r="J2068" s="675"/>
      <c r="K2068" s="675"/>
      <c r="L2068" s="675"/>
      <c r="M2068" s="675"/>
    </row>
    <row r="2069" spans="1:13" x14ac:dyDescent="0.25">
      <c r="A2069" s="675" t="s">
        <v>2144</v>
      </c>
      <c r="B2069" s="675" t="s">
        <v>512</v>
      </c>
      <c r="C2069" s="675" t="s">
        <v>2145</v>
      </c>
      <c r="D2069" s="675" t="s">
        <v>21</v>
      </c>
      <c r="E2069" s="675" t="s">
        <v>514</v>
      </c>
      <c r="F2069" s="675" t="s">
        <v>515</v>
      </c>
      <c r="G2069" s="675"/>
      <c r="H2069" s="675"/>
      <c r="I2069" s="675"/>
      <c r="J2069" s="675"/>
      <c r="K2069" s="675"/>
      <c r="L2069" s="675"/>
      <c r="M2069" s="675"/>
    </row>
    <row r="2070" spans="1:13" x14ac:dyDescent="0.25">
      <c r="A2070" s="675" t="s">
        <v>2146</v>
      </c>
      <c r="B2070" s="675" t="s">
        <v>512</v>
      </c>
      <c r="C2070" s="675" t="s">
        <v>2147</v>
      </c>
      <c r="D2070" s="675" t="s">
        <v>21</v>
      </c>
      <c r="E2070" s="675" t="s">
        <v>514</v>
      </c>
      <c r="F2070" s="675" t="s">
        <v>515</v>
      </c>
      <c r="G2070" s="675"/>
      <c r="H2070" s="675"/>
      <c r="I2070" s="675"/>
      <c r="J2070" s="675"/>
      <c r="K2070" s="675"/>
      <c r="L2070" s="675"/>
      <c r="M2070" s="675"/>
    </row>
    <row r="2071" spans="1:13" x14ac:dyDescent="0.25">
      <c r="A2071" s="675" t="s">
        <v>2146</v>
      </c>
      <c r="B2071" s="675" t="s">
        <v>512</v>
      </c>
      <c r="C2071" s="675" t="s">
        <v>2148</v>
      </c>
      <c r="D2071" s="675" t="s">
        <v>21</v>
      </c>
      <c r="E2071" s="675" t="s">
        <v>514</v>
      </c>
      <c r="F2071" s="675" t="s">
        <v>515</v>
      </c>
      <c r="G2071" s="675"/>
      <c r="H2071" s="675"/>
      <c r="I2071" s="675"/>
      <c r="J2071" s="675"/>
      <c r="K2071" s="675"/>
      <c r="L2071" s="675"/>
      <c r="M2071" s="675"/>
    </row>
    <row r="2072" spans="1:13" x14ac:dyDescent="0.25">
      <c r="A2072" s="675" t="s">
        <v>2146</v>
      </c>
      <c r="B2072" s="675" t="s">
        <v>512</v>
      </c>
      <c r="C2072" s="675" t="s">
        <v>2149</v>
      </c>
      <c r="D2072" s="675" t="s">
        <v>21</v>
      </c>
      <c r="E2072" s="675" t="s">
        <v>514</v>
      </c>
      <c r="F2072" s="675" t="s">
        <v>515</v>
      </c>
      <c r="G2072" s="675"/>
      <c r="H2072" s="675"/>
      <c r="I2072" s="675"/>
      <c r="J2072" s="675"/>
      <c r="K2072" s="675"/>
      <c r="L2072" s="675"/>
      <c r="M2072" s="675"/>
    </row>
    <row r="2073" spans="1:13" x14ac:dyDescent="0.25">
      <c r="A2073" s="678" t="s">
        <v>2146</v>
      </c>
      <c r="B2073" s="678" t="s">
        <v>512</v>
      </c>
      <c r="C2073" s="678" t="s">
        <v>2150</v>
      </c>
      <c r="D2073" s="678" t="s">
        <v>21</v>
      </c>
      <c r="E2073" s="678" t="s">
        <v>514</v>
      </c>
      <c r="F2073" s="678" t="s">
        <v>596</v>
      </c>
      <c r="G2073" s="675"/>
      <c r="H2073" s="675"/>
      <c r="I2073" s="675"/>
      <c r="J2073" s="675"/>
      <c r="K2073" s="675"/>
      <c r="L2073" s="675"/>
      <c r="M2073" s="675"/>
    </row>
    <row r="2074" spans="1:13" x14ac:dyDescent="0.25">
      <c r="A2074" s="675" t="s">
        <v>2146</v>
      </c>
      <c r="B2074" s="675" t="s">
        <v>512</v>
      </c>
      <c r="C2074" s="675" t="s">
        <v>2151</v>
      </c>
      <c r="D2074" s="675" t="s">
        <v>21</v>
      </c>
      <c r="E2074" s="675" t="s">
        <v>514</v>
      </c>
      <c r="F2074" s="675" t="s">
        <v>515</v>
      </c>
      <c r="G2074" s="675"/>
      <c r="H2074" s="675"/>
      <c r="I2074" s="675"/>
      <c r="J2074" s="675"/>
      <c r="K2074" s="675"/>
      <c r="L2074" s="675"/>
      <c r="M2074" s="675"/>
    </row>
    <row r="2075" spans="1:13" x14ac:dyDescent="0.25">
      <c r="A2075" s="675" t="s">
        <v>2146</v>
      </c>
      <c r="B2075" s="675" t="s">
        <v>512</v>
      </c>
      <c r="C2075" s="675" t="s">
        <v>2152</v>
      </c>
      <c r="D2075" s="675" t="s">
        <v>21</v>
      </c>
      <c r="E2075" s="675" t="s">
        <v>514</v>
      </c>
      <c r="F2075" s="675" t="s">
        <v>515</v>
      </c>
      <c r="G2075" s="675"/>
      <c r="H2075" s="675"/>
      <c r="I2075" s="675"/>
      <c r="J2075" s="675"/>
      <c r="K2075" s="675"/>
      <c r="L2075" s="675"/>
      <c r="M2075" s="675"/>
    </row>
    <row r="2076" spans="1:13" x14ac:dyDescent="0.25">
      <c r="A2076" s="678" t="s">
        <v>2146</v>
      </c>
      <c r="B2076" s="678" t="s">
        <v>512</v>
      </c>
      <c r="C2076" s="678" t="s">
        <v>2153</v>
      </c>
      <c r="D2076" s="678" t="s">
        <v>21</v>
      </c>
      <c r="E2076" s="678" t="s">
        <v>514</v>
      </c>
      <c r="F2076" s="678" t="s">
        <v>596</v>
      </c>
      <c r="G2076" s="675"/>
      <c r="H2076" s="675"/>
      <c r="I2076" s="675"/>
      <c r="J2076" s="675"/>
      <c r="K2076" s="675"/>
      <c r="L2076" s="675"/>
      <c r="M2076" s="675"/>
    </row>
    <row r="2077" spans="1:13" x14ac:dyDescent="0.25">
      <c r="A2077" s="675" t="s">
        <v>2146</v>
      </c>
      <c r="B2077" s="675" t="s">
        <v>512</v>
      </c>
      <c r="C2077" s="675" t="s">
        <v>2154</v>
      </c>
      <c r="D2077" s="675" t="s">
        <v>21</v>
      </c>
      <c r="E2077" s="675" t="s">
        <v>514</v>
      </c>
      <c r="F2077" s="675" t="s">
        <v>515</v>
      </c>
      <c r="G2077" s="675"/>
      <c r="H2077" s="675"/>
      <c r="I2077" s="675"/>
      <c r="J2077" s="675"/>
      <c r="K2077" s="675"/>
      <c r="L2077" s="675"/>
      <c r="M2077" s="675"/>
    </row>
    <row r="2078" spans="1:13" x14ac:dyDescent="0.25">
      <c r="A2078" s="675" t="s">
        <v>2146</v>
      </c>
      <c r="B2078" s="675" t="s">
        <v>512</v>
      </c>
      <c r="C2078" s="675" t="s">
        <v>2155</v>
      </c>
      <c r="D2078" s="675" t="s">
        <v>21</v>
      </c>
      <c r="E2078" s="675" t="s">
        <v>514</v>
      </c>
      <c r="F2078" s="675" t="s">
        <v>515</v>
      </c>
      <c r="G2078" s="675"/>
      <c r="H2078" s="675"/>
      <c r="I2078" s="675"/>
      <c r="J2078" s="675"/>
      <c r="K2078" s="675"/>
      <c r="L2078" s="675"/>
      <c r="M2078" s="675"/>
    </row>
    <row r="2079" spans="1:13" x14ac:dyDescent="0.25">
      <c r="A2079" s="675" t="s">
        <v>2146</v>
      </c>
      <c r="B2079" s="675" t="s">
        <v>512</v>
      </c>
      <c r="C2079" s="675" t="s">
        <v>2156</v>
      </c>
      <c r="D2079" s="675" t="s">
        <v>21</v>
      </c>
      <c r="E2079" s="675" t="s">
        <v>514</v>
      </c>
      <c r="F2079" s="675" t="s">
        <v>515</v>
      </c>
      <c r="G2079" s="675"/>
      <c r="H2079" s="675"/>
      <c r="I2079" s="675"/>
      <c r="J2079" s="675"/>
      <c r="K2079" s="675"/>
      <c r="L2079" s="675"/>
      <c r="M2079" s="675"/>
    </row>
    <row r="2080" spans="1:13" x14ac:dyDescent="0.25">
      <c r="A2080" s="675" t="s">
        <v>2146</v>
      </c>
      <c r="B2080" s="675" t="s">
        <v>512</v>
      </c>
      <c r="C2080" s="675" t="s">
        <v>2157</v>
      </c>
      <c r="D2080" s="675" t="s">
        <v>21</v>
      </c>
      <c r="E2080" s="675" t="s">
        <v>514</v>
      </c>
      <c r="F2080" s="675" t="s">
        <v>515</v>
      </c>
      <c r="G2080" s="675"/>
      <c r="H2080" s="675"/>
      <c r="I2080" s="675"/>
      <c r="J2080" s="675"/>
      <c r="K2080" s="675"/>
      <c r="L2080" s="675"/>
      <c r="M2080" s="675"/>
    </row>
    <row r="2081" spans="1:13" x14ac:dyDescent="0.25">
      <c r="A2081" s="675" t="s">
        <v>2146</v>
      </c>
      <c r="B2081" s="675" t="s">
        <v>512</v>
      </c>
      <c r="C2081" s="675" t="s">
        <v>1482</v>
      </c>
      <c r="D2081" s="675" t="s">
        <v>21</v>
      </c>
      <c r="E2081" s="675" t="s">
        <v>514</v>
      </c>
      <c r="F2081" s="675" t="s">
        <v>515</v>
      </c>
      <c r="G2081" s="675"/>
      <c r="H2081" s="675"/>
      <c r="I2081" s="675"/>
      <c r="J2081" s="675"/>
      <c r="K2081" s="675"/>
      <c r="L2081" s="675"/>
      <c r="M2081" s="675"/>
    </row>
    <row r="2082" spans="1:13" x14ac:dyDescent="0.25">
      <c r="A2082" s="675" t="s">
        <v>2146</v>
      </c>
      <c r="B2082" s="675" t="s">
        <v>512</v>
      </c>
      <c r="C2082" s="675" t="s">
        <v>1505</v>
      </c>
      <c r="D2082" s="675" t="s">
        <v>21</v>
      </c>
      <c r="E2082" s="675" t="s">
        <v>514</v>
      </c>
      <c r="F2082" s="675" t="s">
        <v>515</v>
      </c>
      <c r="G2082" s="675"/>
      <c r="H2082" s="675"/>
      <c r="I2082" s="675"/>
      <c r="J2082" s="675"/>
      <c r="K2082" s="675"/>
      <c r="L2082" s="675"/>
      <c r="M2082" s="675"/>
    </row>
    <row r="2083" spans="1:13" x14ac:dyDescent="0.25">
      <c r="A2083" s="675" t="s">
        <v>2146</v>
      </c>
      <c r="B2083" s="675" t="s">
        <v>512</v>
      </c>
      <c r="C2083" s="675" t="s">
        <v>2158</v>
      </c>
      <c r="D2083" s="675" t="s">
        <v>21</v>
      </c>
      <c r="E2083" s="675" t="s">
        <v>514</v>
      </c>
      <c r="F2083" s="675" t="s">
        <v>515</v>
      </c>
      <c r="G2083" s="675"/>
      <c r="H2083" s="675"/>
      <c r="I2083" s="675"/>
      <c r="J2083" s="675"/>
      <c r="K2083" s="675"/>
      <c r="L2083" s="675"/>
      <c r="M2083" s="675"/>
    </row>
    <row r="2084" spans="1:13" x14ac:dyDescent="0.25">
      <c r="A2084" s="675" t="s">
        <v>2146</v>
      </c>
      <c r="B2084" s="675" t="s">
        <v>512</v>
      </c>
      <c r="C2084" s="675" t="s">
        <v>2159</v>
      </c>
      <c r="D2084" s="675" t="s">
        <v>21</v>
      </c>
      <c r="E2084" s="675" t="s">
        <v>514</v>
      </c>
      <c r="F2084" s="675" t="s">
        <v>515</v>
      </c>
      <c r="G2084" s="675"/>
      <c r="H2084" s="675"/>
      <c r="I2084" s="675"/>
      <c r="J2084" s="675"/>
      <c r="K2084" s="675"/>
      <c r="L2084" s="675"/>
      <c r="M2084" s="675"/>
    </row>
    <row r="2085" spans="1:13" x14ac:dyDescent="0.25">
      <c r="A2085" s="675" t="s">
        <v>2146</v>
      </c>
      <c r="B2085" s="675" t="s">
        <v>512</v>
      </c>
      <c r="C2085" s="675" t="s">
        <v>2160</v>
      </c>
      <c r="D2085" s="675" t="s">
        <v>21</v>
      </c>
      <c r="E2085" s="675" t="s">
        <v>514</v>
      </c>
      <c r="F2085" s="675" t="s">
        <v>515</v>
      </c>
      <c r="G2085" s="675"/>
      <c r="H2085" s="675"/>
      <c r="I2085" s="675"/>
      <c r="J2085" s="675"/>
      <c r="K2085" s="675"/>
      <c r="L2085" s="675"/>
      <c r="M2085" s="675"/>
    </row>
    <row r="2086" spans="1:13" x14ac:dyDescent="0.25">
      <c r="A2086" s="675" t="s">
        <v>2146</v>
      </c>
      <c r="B2086" s="675" t="s">
        <v>512</v>
      </c>
      <c r="C2086" s="675" t="s">
        <v>2161</v>
      </c>
      <c r="D2086" s="675" t="s">
        <v>21</v>
      </c>
      <c r="E2086" s="675" t="s">
        <v>514</v>
      </c>
      <c r="F2086" s="675" t="s">
        <v>515</v>
      </c>
      <c r="G2086" s="675"/>
      <c r="H2086" s="675"/>
      <c r="I2086" s="675"/>
      <c r="J2086" s="675"/>
      <c r="K2086" s="675"/>
      <c r="L2086" s="675"/>
      <c r="M2086" s="675"/>
    </row>
    <row r="2087" spans="1:13" x14ac:dyDescent="0.25">
      <c r="A2087" s="675" t="s">
        <v>2146</v>
      </c>
      <c r="B2087" s="675" t="s">
        <v>512</v>
      </c>
      <c r="C2087" s="675" t="s">
        <v>2162</v>
      </c>
      <c r="D2087" s="675" t="s">
        <v>21</v>
      </c>
      <c r="E2087" s="675" t="s">
        <v>514</v>
      </c>
      <c r="F2087" s="675" t="s">
        <v>515</v>
      </c>
      <c r="G2087" s="675"/>
      <c r="H2087" s="675"/>
      <c r="I2087" s="675"/>
      <c r="J2087" s="675"/>
      <c r="K2087" s="675"/>
      <c r="L2087" s="675"/>
      <c r="M2087" s="675"/>
    </row>
    <row r="2088" spans="1:13" x14ac:dyDescent="0.25">
      <c r="A2088" s="675" t="s">
        <v>2146</v>
      </c>
      <c r="B2088" s="675" t="s">
        <v>545</v>
      </c>
      <c r="C2088" s="675" t="s">
        <v>2163</v>
      </c>
      <c r="D2088" s="675" t="s">
        <v>21</v>
      </c>
      <c r="E2088" s="675" t="s">
        <v>514</v>
      </c>
      <c r="F2088" s="675" t="s">
        <v>515</v>
      </c>
      <c r="G2088" s="675"/>
      <c r="H2088" s="675"/>
      <c r="I2088" s="675"/>
      <c r="J2088" s="675"/>
      <c r="K2088" s="675"/>
      <c r="L2088" s="675"/>
      <c r="M2088" s="675"/>
    </row>
    <row r="2089" spans="1:13" x14ac:dyDescent="0.25">
      <c r="A2089" s="675" t="s">
        <v>2146</v>
      </c>
      <c r="B2089" s="675" t="s">
        <v>545</v>
      </c>
      <c r="C2089" s="675" t="s">
        <v>2164</v>
      </c>
      <c r="D2089" s="675" t="s">
        <v>21</v>
      </c>
      <c r="E2089" s="675" t="s">
        <v>514</v>
      </c>
      <c r="F2089" s="675" t="s">
        <v>515</v>
      </c>
      <c r="G2089" s="675"/>
      <c r="H2089" s="675"/>
      <c r="I2089" s="675"/>
      <c r="J2089" s="675"/>
      <c r="K2089" s="675"/>
      <c r="L2089" s="675"/>
      <c r="M2089" s="675"/>
    </row>
    <row r="2090" spans="1:13" x14ac:dyDescent="0.25">
      <c r="A2090" s="675" t="s">
        <v>2146</v>
      </c>
      <c r="B2090" s="675" t="s">
        <v>545</v>
      </c>
      <c r="C2090" s="675" t="s">
        <v>1786</v>
      </c>
      <c r="D2090" s="675" t="s">
        <v>21</v>
      </c>
      <c r="E2090" s="675" t="s">
        <v>514</v>
      </c>
      <c r="F2090" s="675" t="s">
        <v>515</v>
      </c>
      <c r="G2090" s="675"/>
      <c r="H2090" s="675"/>
      <c r="I2090" s="675"/>
      <c r="J2090" s="675"/>
      <c r="K2090" s="675"/>
      <c r="L2090" s="675"/>
      <c r="M2090" s="675"/>
    </row>
    <row r="2091" spans="1:13" x14ac:dyDescent="0.25">
      <c r="A2091" s="675" t="s">
        <v>2146</v>
      </c>
      <c r="B2091" s="675" t="s">
        <v>545</v>
      </c>
      <c r="C2091" s="675" t="s">
        <v>2165</v>
      </c>
      <c r="D2091" s="675" t="s">
        <v>21</v>
      </c>
      <c r="E2091" s="675" t="s">
        <v>514</v>
      </c>
      <c r="F2091" s="675" t="s">
        <v>515</v>
      </c>
      <c r="G2091" s="675"/>
      <c r="H2091" s="675"/>
      <c r="I2091" s="675"/>
      <c r="J2091" s="675"/>
      <c r="K2091" s="675"/>
      <c r="L2091" s="675"/>
      <c r="M2091" s="675"/>
    </row>
    <row r="2092" spans="1:13" x14ac:dyDescent="0.25">
      <c r="A2092" s="675" t="s">
        <v>2146</v>
      </c>
      <c r="B2092" s="675" t="s">
        <v>545</v>
      </c>
      <c r="C2092" s="675" t="s">
        <v>2166</v>
      </c>
      <c r="D2092" s="675" t="s">
        <v>21</v>
      </c>
      <c r="E2092" s="675" t="s">
        <v>514</v>
      </c>
      <c r="F2092" s="675" t="s">
        <v>515</v>
      </c>
      <c r="G2092" s="675"/>
      <c r="H2092" s="675"/>
      <c r="I2092" s="675"/>
      <c r="J2092" s="675"/>
      <c r="K2092" s="675"/>
      <c r="L2092" s="675"/>
      <c r="M2092" s="675"/>
    </row>
    <row r="2093" spans="1:13" x14ac:dyDescent="0.25">
      <c r="A2093" s="675" t="s">
        <v>2146</v>
      </c>
      <c r="B2093" s="675" t="s">
        <v>545</v>
      </c>
      <c r="C2093" s="675" t="s">
        <v>2167</v>
      </c>
      <c r="D2093" s="675" t="s">
        <v>21</v>
      </c>
      <c r="E2093" s="675" t="s">
        <v>514</v>
      </c>
      <c r="F2093" s="675" t="s">
        <v>515</v>
      </c>
      <c r="G2093" s="675"/>
      <c r="H2093" s="675"/>
      <c r="I2093" s="675"/>
      <c r="J2093" s="675"/>
      <c r="K2093" s="675"/>
      <c r="L2093" s="675"/>
      <c r="M2093" s="675"/>
    </row>
    <row r="2094" spans="1:13" x14ac:dyDescent="0.25">
      <c r="A2094" s="675" t="s">
        <v>2146</v>
      </c>
      <c r="B2094" s="675" t="s">
        <v>545</v>
      </c>
      <c r="C2094" s="675" t="s">
        <v>2168</v>
      </c>
      <c r="D2094" s="675" t="s">
        <v>21</v>
      </c>
      <c r="E2094" s="675" t="s">
        <v>514</v>
      </c>
      <c r="F2094" s="675" t="s">
        <v>515</v>
      </c>
      <c r="G2094" s="675"/>
      <c r="H2094" s="675"/>
      <c r="I2094" s="675"/>
      <c r="J2094" s="675"/>
      <c r="K2094" s="675"/>
      <c r="L2094" s="675"/>
      <c r="M2094" s="675"/>
    </row>
    <row r="2095" spans="1:13" x14ac:dyDescent="0.25">
      <c r="A2095" s="675" t="s">
        <v>2146</v>
      </c>
      <c r="B2095" s="675" t="s">
        <v>545</v>
      </c>
      <c r="C2095" s="675" t="s">
        <v>2169</v>
      </c>
      <c r="D2095" s="675" t="s">
        <v>21</v>
      </c>
      <c r="E2095" s="675" t="s">
        <v>514</v>
      </c>
      <c r="F2095" s="675" t="s">
        <v>515</v>
      </c>
      <c r="G2095" s="675"/>
      <c r="H2095" s="675"/>
      <c r="I2095" s="675"/>
      <c r="J2095" s="675"/>
      <c r="K2095" s="675"/>
      <c r="L2095" s="675"/>
      <c r="M2095" s="675"/>
    </row>
    <row r="2096" spans="1:13" x14ac:dyDescent="0.25">
      <c r="A2096" s="675" t="s">
        <v>2146</v>
      </c>
      <c r="B2096" s="675" t="s">
        <v>545</v>
      </c>
      <c r="C2096" s="675" t="s">
        <v>2170</v>
      </c>
      <c r="D2096" s="675" t="s">
        <v>21</v>
      </c>
      <c r="E2096" s="675" t="s">
        <v>514</v>
      </c>
      <c r="F2096" s="675" t="s">
        <v>515</v>
      </c>
      <c r="G2096" s="675"/>
      <c r="H2096" s="675"/>
      <c r="I2096" s="675"/>
      <c r="J2096" s="675"/>
      <c r="K2096" s="675"/>
      <c r="L2096" s="675"/>
      <c r="M2096" s="675"/>
    </row>
    <row r="2097" spans="1:13" x14ac:dyDescent="0.25">
      <c r="A2097" s="675" t="s">
        <v>2146</v>
      </c>
      <c r="B2097" s="675" t="s">
        <v>545</v>
      </c>
      <c r="C2097" s="675" t="s">
        <v>2171</v>
      </c>
      <c r="D2097" s="675" t="s">
        <v>21</v>
      </c>
      <c r="E2097" s="675" t="s">
        <v>514</v>
      </c>
      <c r="F2097" s="675" t="s">
        <v>515</v>
      </c>
      <c r="G2097" s="675"/>
      <c r="H2097" s="675"/>
      <c r="I2097" s="675"/>
      <c r="J2097" s="675"/>
      <c r="K2097" s="675"/>
      <c r="L2097" s="675"/>
      <c r="M2097" s="675"/>
    </row>
    <row r="2098" spans="1:13" x14ac:dyDescent="0.25">
      <c r="A2098" s="675" t="s">
        <v>2146</v>
      </c>
      <c r="B2098" s="675" t="s">
        <v>545</v>
      </c>
      <c r="C2098" s="675" t="s">
        <v>2172</v>
      </c>
      <c r="D2098" s="675" t="s">
        <v>21</v>
      </c>
      <c r="E2098" s="675" t="s">
        <v>514</v>
      </c>
      <c r="F2098" s="675" t="s">
        <v>515</v>
      </c>
      <c r="G2098" s="675"/>
      <c r="H2098" s="675"/>
      <c r="I2098" s="675"/>
      <c r="J2098" s="675"/>
      <c r="K2098" s="675"/>
      <c r="L2098" s="675"/>
      <c r="M2098" s="675"/>
    </row>
    <row r="2099" spans="1:13" x14ac:dyDescent="0.25">
      <c r="A2099" s="675" t="s">
        <v>2146</v>
      </c>
      <c r="B2099" s="675" t="s">
        <v>545</v>
      </c>
      <c r="C2099" s="675" t="s">
        <v>2173</v>
      </c>
      <c r="D2099" s="675" t="s">
        <v>21</v>
      </c>
      <c r="E2099" s="675" t="s">
        <v>514</v>
      </c>
      <c r="F2099" s="675" t="s">
        <v>515</v>
      </c>
      <c r="G2099" s="675"/>
      <c r="H2099" s="675"/>
      <c r="I2099" s="675"/>
      <c r="J2099" s="675"/>
      <c r="K2099" s="675"/>
      <c r="L2099" s="675"/>
      <c r="M2099" s="675"/>
    </row>
    <row r="2100" spans="1:13" x14ac:dyDescent="0.25">
      <c r="A2100" s="675" t="s">
        <v>2146</v>
      </c>
      <c r="B2100" s="675" t="s">
        <v>545</v>
      </c>
      <c r="C2100" s="675" t="s">
        <v>1097</v>
      </c>
      <c r="D2100" s="675" t="s">
        <v>21</v>
      </c>
      <c r="E2100" s="675" t="s">
        <v>514</v>
      </c>
      <c r="F2100" s="675" t="s">
        <v>515</v>
      </c>
      <c r="G2100" s="675"/>
      <c r="H2100" s="675"/>
      <c r="I2100" s="675"/>
      <c r="J2100" s="675"/>
      <c r="K2100" s="675"/>
      <c r="L2100" s="675"/>
      <c r="M2100" s="675"/>
    </row>
    <row r="2101" spans="1:13" x14ac:dyDescent="0.25">
      <c r="A2101" s="675" t="s">
        <v>2146</v>
      </c>
      <c r="B2101" s="675" t="s">
        <v>545</v>
      </c>
      <c r="C2101" s="675" t="s">
        <v>2174</v>
      </c>
      <c r="D2101" s="675" t="s">
        <v>21</v>
      </c>
      <c r="E2101" s="675" t="s">
        <v>514</v>
      </c>
      <c r="F2101" s="675" t="s">
        <v>515</v>
      </c>
      <c r="G2101" s="675"/>
      <c r="H2101" s="675"/>
      <c r="I2101" s="675"/>
      <c r="J2101" s="675"/>
      <c r="K2101" s="675"/>
      <c r="L2101" s="675"/>
      <c r="M2101" s="675"/>
    </row>
    <row r="2102" spans="1:13" x14ac:dyDescent="0.25">
      <c r="A2102" s="675" t="s">
        <v>2146</v>
      </c>
      <c r="B2102" s="675" t="s">
        <v>545</v>
      </c>
      <c r="C2102" s="675" t="s">
        <v>2175</v>
      </c>
      <c r="D2102" s="675" t="s">
        <v>21</v>
      </c>
      <c r="E2102" s="675" t="s">
        <v>514</v>
      </c>
      <c r="F2102" s="675" t="s">
        <v>515</v>
      </c>
      <c r="G2102" s="675"/>
      <c r="H2102" s="675"/>
      <c r="I2102" s="675"/>
      <c r="J2102" s="675"/>
      <c r="K2102" s="675"/>
      <c r="L2102" s="675"/>
      <c r="M2102" s="675"/>
    </row>
    <row r="2103" spans="1:13" x14ac:dyDescent="0.25">
      <c r="A2103" s="675" t="s">
        <v>2146</v>
      </c>
      <c r="B2103" s="675" t="s">
        <v>545</v>
      </c>
      <c r="C2103" s="675" t="s">
        <v>2176</v>
      </c>
      <c r="D2103" s="675" t="s">
        <v>21</v>
      </c>
      <c r="E2103" s="675" t="s">
        <v>514</v>
      </c>
      <c r="F2103" s="675" t="s">
        <v>515</v>
      </c>
      <c r="G2103" s="675"/>
      <c r="H2103" s="675"/>
      <c r="I2103" s="675"/>
      <c r="J2103" s="675"/>
      <c r="K2103" s="675"/>
      <c r="L2103" s="675"/>
      <c r="M2103" s="675"/>
    </row>
    <row r="2104" spans="1:13" x14ac:dyDescent="0.25">
      <c r="A2104" s="675" t="s">
        <v>2146</v>
      </c>
      <c r="B2104" s="675" t="s">
        <v>545</v>
      </c>
      <c r="C2104" s="675" t="s">
        <v>2177</v>
      </c>
      <c r="D2104" s="675" t="s">
        <v>21</v>
      </c>
      <c r="E2104" s="675" t="s">
        <v>514</v>
      </c>
      <c r="F2104" s="675" t="s">
        <v>515</v>
      </c>
      <c r="G2104" s="675"/>
      <c r="H2104" s="675"/>
      <c r="I2104" s="675"/>
      <c r="J2104" s="675"/>
      <c r="K2104" s="675"/>
      <c r="L2104" s="675"/>
      <c r="M2104" s="675"/>
    </row>
    <row r="2105" spans="1:13" x14ac:dyDescent="0.25">
      <c r="A2105" s="675" t="s">
        <v>2146</v>
      </c>
      <c r="B2105" s="675" t="s">
        <v>545</v>
      </c>
      <c r="C2105" s="675" t="s">
        <v>2178</v>
      </c>
      <c r="D2105" s="675" t="s">
        <v>21</v>
      </c>
      <c r="E2105" s="675" t="s">
        <v>514</v>
      </c>
      <c r="F2105" s="675" t="s">
        <v>515</v>
      </c>
      <c r="G2105" s="675"/>
      <c r="H2105" s="675"/>
      <c r="I2105" s="675"/>
      <c r="J2105" s="675"/>
      <c r="K2105" s="675"/>
      <c r="L2105" s="675"/>
      <c r="M2105" s="675"/>
    </row>
    <row r="2106" spans="1:13" x14ac:dyDescent="0.25">
      <c r="A2106" s="675" t="s">
        <v>2146</v>
      </c>
      <c r="B2106" s="675" t="s">
        <v>545</v>
      </c>
      <c r="C2106" s="675" t="s">
        <v>2179</v>
      </c>
      <c r="D2106" s="675" t="s">
        <v>21</v>
      </c>
      <c r="E2106" s="675" t="s">
        <v>514</v>
      </c>
      <c r="F2106" s="675" t="s">
        <v>515</v>
      </c>
      <c r="G2106" s="675"/>
      <c r="H2106" s="675"/>
      <c r="I2106" s="675"/>
      <c r="J2106" s="675"/>
      <c r="K2106" s="675"/>
      <c r="L2106" s="675"/>
      <c r="M2106" s="675"/>
    </row>
    <row r="2107" spans="1:13" x14ac:dyDescent="0.25">
      <c r="A2107" s="675" t="s">
        <v>2146</v>
      </c>
      <c r="B2107" s="675" t="s">
        <v>545</v>
      </c>
      <c r="C2107" s="675" t="s">
        <v>2180</v>
      </c>
      <c r="D2107" s="675" t="s">
        <v>21</v>
      </c>
      <c r="E2107" s="675" t="s">
        <v>514</v>
      </c>
      <c r="F2107" s="675" t="s">
        <v>515</v>
      </c>
      <c r="G2107" s="675"/>
      <c r="H2107" s="675"/>
      <c r="I2107" s="675"/>
      <c r="J2107" s="675"/>
      <c r="K2107" s="675"/>
      <c r="L2107" s="675"/>
      <c r="M2107" s="675"/>
    </row>
    <row r="2108" spans="1:13" x14ac:dyDescent="0.25">
      <c r="A2108" s="675" t="s">
        <v>2146</v>
      </c>
      <c r="B2108" s="675" t="s">
        <v>564</v>
      </c>
      <c r="C2108" s="675" t="s">
        <v>2149</v>
      </c>
      <c r="D2108" s="675" t="s">
        <v>21</v>
      </c>
      <c r="E2108" s="675" t="s">
        <v>514</v>
      </c>
      <c r="F2108" s="675" t="s">
        <v>515</v>
      </c>
      <c r="G2108" s="675"/>
      <c r="H2108" s="675"/>
      <c r="I2108" s="675"/>
      <c r="J2108" s="675"/>
      <c r="K2108" s="675"/>
      <c r="L2108" s="675"/>
      <c r="M2108" s="675"/>
    </row>
    <row r="2109" spans="1:13" x14ac:dyDescent="0.25">
      <c r="A2109" s="678" t="s">
        <v>2146</v>
      </c>
      <c r="B2109" s="678" t="s">
        <v>564</v>
      </c>
      <c r="C2109" s="678" t="s">
        <v>2150</v>
      </c>
      <c r="D2109" s="678" t="s">
        <v>21</v>
      </c>
      <c r="E2109" s="678" t="s">
        <v>514</v>
      </c>
      <c r="F2109" s="678" t="s">
        <v>596</v>
      </c>
      <c r="G2109" s="675"/>
      <c r="H2109" s="675"/>
      <c r="I2109" s="675"/>
      <c r="J2109" s="675"/>
      <c r="K2109" s="675"/>
      <c r="L2109" s="675"/>
      <c r="M2109" s="675"/>
    </row>
    <row r="2110" spans="1:13" x14ac:dyDescent="0.25">
      <c r="A2110" s="675" t="s">
        <v>2146</v>
      </c>
      <c r="B2110" s="675" t="s">
        <v>564</v>
      </c>
      <c r="C2110" s="675" t="s">
        <v>1739</v>
      </c>
      <c r="D2110" s="675" t="s">
        <v>21</v>
      </c>
      <c r="E2110" s="675" t="s">
        <v>514</v>
      </c>
      <c r="F2110" s="675" t="s">
        <v>515</v>
      </c>
      <c r="G2110" s="675"/>
      <c r="H2110" s="675"/>
      <c r="I2110" s="675"/>
      <c r="J2110" s="675"/>
      <c r="K2110" s="675"/>
      <c r="L2110" s="675"/>
      <c r="M2110" s="675"/>
    </row>
    <row r="2111" spans="1:13" x14ac:dyDescent="0.25">
      <c r="A2111" s="675" t="s">
        <v>2146</v>
      </c>
      <c r="B2111" s="675" t="s">
        <v>564</v>
      </c>
      <c r="C2111" s="675" t="s">
        <v>2181</v>
      </c>
      <c r="D2111" s="675" t="s">
        <v>21</v>
      </c>
      <c r="E2111" s="675" t="s">
        <v>514</v>
      </c>
      <c r="F2111" s="675" t="s">
        <v>515</v>
      </c>
      <c r="G2111" s="675"/>
      <c r="H2111" s="675"/>
      <c r="I2111" s="675"/>
      <c r="J2111" s="675"/>
      <c r="K2111" s="675"/>
      <c r="L2111" s="675"/>
      <c r="M2111" s="675"/>
    </row>
    <row r="2112" spans="1:13" x14ac:dyDescent="0.25">
      <c r="A2112" s="675" t="s">
        <v>2146</v>
      </c>
      <c r="B2112" s="675" t="s">
        <v>564</v>
      </c>
      <c r="C2112" s="675" t="s">
        <v>2182</v>
      </c>
      <c r="D2112" s="675" t="s">
        <v>21</v>
      </c>
      <c r="E2112" s="675" t="s">
        <v>514</v>
      </c>
      <c r="F2112" s="675" t="s">
        <v>515</v>
      </c>
      <c r="G2112" s="675"/>
      <c r="H2112" s="675"/>
      <c r="I2112" s="675"/>
      <c r="J2112" s="675"/>
      <c r="K2112" s="675"/>
      <c r="L2112" s="675"/>
      <c r="M2112" s="675"/>
    </row>
    <row r="2113" spans="1:13" x14ac:dyDescent="0.25">
      <c r="A2113" s="675" t="s">
        <v>2146</v>
      </c>
      <c r="B2113" s="675" t="s">
        <v>564</v>
      </c>
      <c r="C2113" s="675" t="s">
        <v>2183</v>
      </c>
      <c r="D2113" s="675" t="s">
        <v>21</v>
      </c>
      <c r="E2113" s="675" t="s">
        <v>514</v>
      </c>
      <c r="F2113" s="675" t="s">
        <v>515</v>
      </c>
      <c r="G2113" s="675"/>
      <c r="H2113" s="675"/>
      <c r="I2113" s="675"/>
      <c r="J2113" s="675"/>
      <c r="K2113" s="675"/>
      <c r="L2113" s="675"/>
      <c r="M2113" s="675"/>
    </row>
    <row r="2114" spans="1:13" x14ac:dyDescent="0.25">
      <c r="A2114" s="675" t="s">
        <v>2146</v>
      </c>
      <c r="B2114" s="675" t="s">
        <v>564</v>
      </c>
      <c r="C2114" s="675" t="s">
        <v>2155</v>
      </c>
      <c r="D2114" s="675" t="s">
        <v>21</v>
      </c>
      <c r="E2114" s="675" t="s">
        <v>514</v>
      </c>
      <c r="F2114" s="675" t="s">
        <v>515</v>
      </c>
      <c r="G2114" s="675"/>
      <c r="H2114" s="675"/>
      <c r="I2114" s="675"/>
      <c r="J2114" s="675"/>
      <c r="K2114" s="675"/>
      <c r="L2114" s="675"/>
      <c r="M2114" s="675"/>
    </row>
    <row r="2115" spans="1:13" x14ac:dyDescent="0.25">
      <c r="A2115" s="675" t="s">
        <v>2146</v>
      </c>
      <c r="B2115" s="675" t="s">
        <v>564</v>
      </c>
      <c r="C2115" s="675" t="s">
        <v>2184</v>
      </c>
      <c r="D2115" s="675" t="s">
        <v>21</v>
      </c>
      <c r="E2115" s="675" t="s">
        <v>514</v>
      </c>
      <c r="F2115" s="675" t="s">
        <v>515</v>
      </c>
      <c r="G2115" s="675"/>
      <c r="H2115" s="675"/>
      <c r="I2115" s="675"/>
      <c r="J2115" s="675"/>
      <c r="K2115" s="675"/>
      <c r="L2115" s="675"/>
      <c r="M2115" s="675"/>
    </row>
    <row r="2116" spans="1:13" x14ac:dyDescent="0.25">
      <c r="A2116" s="675" t="s">
        <v>2146</v>
      </c>
      <c r="B2116" s="675" t="s">
        <v>564</v>
      </c>
      <c r="C2116" s="675" t="s">
        <v>1505</v>
      </c>
      <c r="D2116" s="675" t="s">
        <v>21</v>
      </c>
      <c r="E2116" s="675" t="s">
        <v>514</v>
      </c>
      <c r="F2116" s="675" t="s">
        <v>515</v>
      </c>
      <c r="G2116" s="675"/>
      <c r="H2116" s="675"/>
      <c r="I2116" s="675"/>
      <c r="J2116" s="675"/>
      <c r="K2116" s="675"/>
      <c r="L2116" s="675"/>
      <c r="M2116" s="675"/>
    </row>
    <row r="2117" spans="1:13" x14ac:dyDescent="0.25">
      <c r="A2117" s="675" t="s">
        <v>2146</v>
      </c>
      <c r="B2117" s="675" t="s">
        <v>564</v>
      </c>
      <c r="C2117" s="675" t="s">
        <v>2185</v>
      </c>
      <c r="D2117" s="675" t="s">
        <v>21</v>
      </c>
      <c r="E2117" s="675" t="s">
        <v>514</v>
      </c>
      <c r="F2117" s="675" t="s">
        <v>515</v>
      </c>
      <c r="G2117" s="675"/>
      <c r="H2117" s="675"/>
      <c r="I2117" s="675"/>
      <c r="J2117" s="675"/>
      <c r="K2117" s="675"/>
      <c r="L2117" s="675"/>
      <c r="M2117" s="675"/>
    </row>
    <row r="2118" spans="1:13" x14ac:dyDescent="0.25">
      <c r="A2118" s="675" t="s">
        <v>2146</v>
      </c>
      <c r="B2118" s="675" t="s">
        <v>564</v>
      </c>
      <c r="C2118" s="675" t="s">
        <v>2186</v>
      </c>
      <c r="D2118" s="675" t="s">
        <v>21</v>
      </c>
      <c r="E2118" s="675" t="s">
        <v>514</v>
      </c>
      <c r="F2118" s="675" t="s">
        <v>515</v>
      </c>
      <c r="G2118" s="675"/>
      <c r="H2118" s="675"/>
      <c r="I2118" s="675"/>
      <c r="J2118" s="675"/>
      <c r="K2118" s="675"/>
      <c r="L2118" s="675"/>
      <c r="M2118" s="675"/>
    </row>
    <row r="2119" spans="1:13" x14ac:dyDescent="0.25">
      <c r="A2119" s="675" t="s">
        <v>2146</v>
      </c>
      <c r="B2119" s="675" t="s">
        <v>564</v>
      </c>
      <c r="C2119" s="675" t="s">
        <v>2187</v>
      </c>
      <c r="D2119" s="675" t="s">
        <v>21</v>
      </c>
      <c r="E2119" s="675" t="s">
        <v>514</v>
      </c>
      <c r="F2119" s="675" t="s">
        <v>515</v>
      </c>
      <c r="G2119" s="675"/>
      <c r="H2119" s="675"/>
      <c r="I2119" s="675"/>
      <c r="J2119" s="675"/>
      <c r="K2119" s="675"/>
      <c r="L2119" s="675"/>
      <c r="M2119" s="675"/>
    </row>
    <row r="2120" spans="1:13" x14ac:dyDescent="0.25">
      <c r="A2120" s="675" t="s">
        <v>2188</v>
      </c>
      <c r="B2120" s="675" t="s">
        <v>512</v>
      </c>
      <c r="C2120" s="675" t="s">
        <v>629</v>
      </c>
      <c r="D2120" s="675" t="s">
        <v>21</v>
      </c>
      <c r="E2120" s="675" t="s">
        <v>514</v>
      </c>
      <c r="F2120" s="675" t="s">
        <v>515</v>
      </c>
      <c r="G2120" s="675"/>
      <c r="H2120" s="675"/>
      <c r="I2120" s="675"/>
      <c r="J2120" s="675"/>
      <c r="K2120" s="675"/>
      <c r="L2120" s="675"/>
      <c r="M2120" s="675"/>
    </row>
    <row r="2121" spans="1:13" x14ac:dyDescent="0.25">
      <c r="A2121" s="675" t="s">
        <v>2188</v>
      </c>
      <c r="B2121" s="675" t="s">
        <v>512</v>
      </c>
      <c r="C2121" s="675" t="s">
        <v>2189</v>
      </c>
      <c r="D2121" s="675" t="s">
        <v>21</v>
      </c>
      <c r="E2121" s="675" t="s">
        <v>514</v>
      </c>
      <c r="F2121" s="675" t="s">
        <v>515</v>
      </c>
      <c r="G2121" s="675"/>
      <c r="H2121" s="675"/>
      <c r="I2121" s="675"/>
      <c r="J2121" s="675"/>
      <c r="K2121" s="675"/>
      <c r="L2121" s="675"/>
      <c r="M2121" s="675"/>
    </row>
    <row r="2122" spans="1:13" x14ac:dyDescent="0.25">
      <c r="A2122" s="675" t="s">
        <v>2188</v>
      </c>
      <c r="B2122" s="675" t="s">
        <v>512</v>
      </c>
      <c r="C2122" s="675" t="s">
        <v>811</v>
      </c>
      <c r="D2122" s="675" t="s">
        <v>21</v>
      </c>
      <c r="E2122" s="675" t="s">
        <v>514</v>
      </c>
      <c r="F2122" s="675" t="s">
        <v>515</v>
      </c>
      <c r="G2122" s="675"/>
      <c r="H2122" s="675"/>
      <c r="I2122" s="675"/>
      <c r="J2122" s="675"/>
      <c r="K2122" s="675"/>
      <c r="L2122" s="675"/>
      <c r="M2122" s="675"/>
    </row>
    <row r="2123" spans="1:13" x14ac:dyDescent="0.25">
      <c r="A2123" s="675" t="s">
        <v>2188</v>
      </c>
      <c r="B2123" s="675" t="s">
        <v>512</v>
      </c>
      <c r="C2123" s="675" t="s">
        <v>2190</v>
      </c>
      <c r="D2123" s="675" t="s">
        <v>21</v>
      </c>
      <c r="E2123" s="675" t="s">
        <v>514</v>
      </c>
      <c r="F2123" s="675" t="s">
        <v>515</v>
      </c>
      <c r="G2123" s="675"/>
      <c r="H2123" s="675"/>
      <c r="I2123" s="675"/>
      <c r="J2123" s="675"/>
      <c r="K2123" s="675"/>
      <c r="L2123" s="675"/>
      <c r="M2123" s="675"/>
    </row>
    <row r="2124" spans="1:13" x14ac:dyDescent="0.25">
      <c r="A2124" s="675" t="s">
        <v>2188</v>
      </c>
      <c r="B2124" s="675" t="s">
        <v>512</v>
      </c>
      <c r="C2124" s="675" t="s">
        <v>633</v>
      </c>
      <c r="D2124" s="675" t="s">
        <v>21</v>
      </c>
      <c r="E2124" s="675" t="s">
        <v>514</v>
      </c>
      <c r="F2124" s="675" t="s">
        <v>515</v>
      </c>
      <c r="G2124" s="675"/>
      <c r="H2124" s="675"/>
      <c r="I2124" s="675"/>
      <c r="J2124" s="675"/>
      <c r="K2124" s="675"/>
      <c r="L2124" s="675"/>
      <c r="M2124" s="675"/>
    </row>
    <row r="2125" spans="1:13" x14ac:dyDescent="0.25">
      <c r="A2125" s="675" t="s">
        <v>2188</v>
      </c>
      <c r="B2125" s="675" t="s">
        <v>512</v>
      </c>
      <c r="C2125" s="675" t="s">
        <v>2191</v>
      </c>
      <c r="D2125" s="675" t="s">
        <v>21</v>
      </c>
      <c r="E2125" s="675" t="s">
        <v>514</v>
      </c>
      <c r="F2125" s="675" t="s">
        <v>515</v>
      </c>
      <c r="G2125" s="675"/>
      <c r="H2125" s="675"/>
      <c r="I2125" s="675"/>
      <c r="J2125" s="675"/>
      <c r="K2125" s="675"/>
      <c r="L2125" s="675"/>
      <c r="M2125" s="675"/>
    </row>
    <row r="2126" spans="1:13" x14ac:dyDescent="0.25">
      <c r="A2126" s="675" t="s">
        <v>2188</v>
      </c>
      <c r="B2126" s="675" t="s">
        <v>512</v>
      </c>
      <c r="C2126" s="675" t="s">
        <v>2192</v>
      </c>
      <c r="D2126" s="675" t="s">
        <v>21</v>
      </c>
      <c r="E2126" s="675" t="s">
        <v>514</v>
      </c>
      <c r="F2126" s="675" t="s">
        <v>515</v>
      </c>
      <c r="G2126" s="675"/>
      <c r="H2126" s="675"/>
      <c r="I2126" s="675"/>
      <c r="J2126" s="675"/>
      <c r="K2126" s="675"/>
      <c r="L2126" s="675"/>
      <c r="M2126" s="675"/>
    </row>
    <row r="2127" spans="1:13" x14ac:dyDescent="0.25">
      <c r="A2127" s="675" t="s">
        <v>2188</v>
      </c>
      <c r="B2127" s="675" t="s">
        <v>545</v>
      </c>
      <c r="C2127" s="675" t="s">
        <v>2169</v>
      </c>
      <c r="D2127" s="675" t="s">
        <v>21</v>
      </c>
      <c r="E2127" s="675" t="s">
        <v>514</v>
      </c>
      <c r="F2127" s="675" t="s">
        <v>515</v>
      </c>
      <c r="G2127" s="675"/>
      <c r="H2127" s="675"/>
      <c r="I2127" s="675"/>
      <c r="J2127" s="675"/>
      <c r="K2127" s="675"/>
      <c r="L2127" s="675"/>
      <c r="M2127" s="675"/>
    </row>
    <row r="2128" spans="1:13" x14ac:dyDescent="0.25">
      <c r="A2128" s="675" t="s">
        <v>2188</v>
      </c>
      <c r="B2128" s="675" t="s">
        <v>545</v>
      </c>
      <c r="C2128" s="675" t="s">
        <v>2193</v>
      </c>
      <c r="D2128" s="675" t="s">
        <v>21</v>
      </c>
      <c r="E2128" s="675" t="s">
        <v>514</v>
      </c>
      <c r="F2128" s="675" t="s">
        <v>515</v>
      </c>
      <c r="G2128" s="675"/>
      <c r="H2128" s="675"/>
      <c r="I2128" s="675"/>
      <c r="J2128" s="675"/>
      <c r="K2128" s="675"/>
      <c r="L2128" s="675"/>
      <c r="M2128" s="675"/>
    </row>
    <row r="2129" spans="1:13" x14ac:dyDescent="0.25">
      <c r="A2129" s="675" t="s">
        <v>2188</v>
      </c>
      <c r="B2129" s="675" t="s">
        <v>545</v>
      </c>
      <c r="C2129" s="675" t="s">
        <v>2174</v>
      </c>
      <c r="D2129" s="675" t="s">
        <v>21</v>
      </c>
      <c r="E2129" s="675" t="s">
        <v>514</v>
      </c>
      <c r="F2129" s="675" t="s">
        <v>515</v>
      </c>
      <c r="G2129" s="675"/>
      <c r="H2129" s="675"/>
      <c r="I2129" s="675"/>
      <c r="J2129" s="675"/>
      <c r="K2129" s="675"/>
      <c r="L2129" s="675"/>
      <c r="M2129" s="675"/>
    </row>
    <row r="2130" spans="1:13" x14ac:dyDescent="0.25">
      <c r="A2130" s="675" t="s">
        <v>2188</v>
      </c>
      <c r="B2130" s="675" t="s">
        <v>545</v>
      </c>
      <c r="C2130" s="675" t="s">
        <v>2194</v>
      </c>
      <c r="D2130" s="675" t="s">
        <v>21</v>
      </c>
      <c r="E2130" s="675" t="s">
        <v>514</v>
      </c>
      <c r="F2130" s="675" t="s">
        <v>515</v>
      </c>
      <c r="G2130" s="675"/>
      <c r="H2130" s="675"/>
      <c r="I2130" s="675"/>
      <c r="J2130" s="675"/>
      <c r="K2130" s="675"/>
      <c r="L2130" s="675"/>
      <c r="M2130" s="675"/>
    </row>
    <row r="2131" spans="1:13" x14ac:dyDescent="0.25">
      <c r="A2131" s="675" t="s">
        <v>2188</v>
      </c>
      <c r="B2131" s="675" t="s">
        <v>564</v>
      </c>
      <c r="C2131" s="675" t="s">
        <v>2195</v>
      </c>
      <c r="D2131" s="675" t="s">
        <v>21</v>
      </c>
      <c r="E2131" s="675" t="s">
        <v>514</v>
      </c>
      <c r="F2131" s="675" t="s">
        <v>515</v>
      </c>
      <c r="G2131" s="675"/>
      <c r="H2131" s="675"/>
      <c r="I2131" s="675"/>
      <c r="J2131" s="675"/>
      <c r="K2131" s="675"/>
      <c r="L2131" s="675"/>
      <c r="M2131" s="675"/>
    </row>
    <row r="2132" spans="1:13" x14ac:dyDescent="0.25">
      <c r="A2132" s="675" t="s">
        <v>2188</v>
      </c>
      <c r="B2132" s="675" t="s">
        <v>564</v>
      </c>
      <c r="C2132" s="675" t="s">
        <v>2196</v>
      </c>
      <c r="D2132" s="675" t="s">
        <v>21</v>
      </c>
      <c r="E2132" s="675" t="s">
        <v>514</v>
      </c>
      <c r="F2132" s="675" t="s">
        <v>515</v>
      </c>
      <c r="G2132" s="675"/>
      <c r="H2132" s="675"/>
      <c r="I2132" s="675"/>
      <c r="J2132" s="675"/>
      <c r="K2132" s="675"/>
      <c r="L2132" s="675"/>
      <c r="M2132" s="675"/>
    </row>
    <row r="2133" spans="1:13" x14ac:dyDescent="0.25">
      <c r="A2133" s="675" t="s">
        <v>2197</v>
      </c>
      <c r="B2133" s="675" t="s">
        <v>512</v>
      </c>
      <c r="C2133" s="675" t="s">
        <v>1556</v>
      </c>
      <c r="D2133" s="675" t="s">
        <v>21</v>
      </c>
      <c r="E2133" s="675" t="s">
        <v>514</v>
      </c>
      <c r="F2133" s="675" t="s">
        <v>515</v>
      </c>
      <c r="G2133" s="675"/>
      <c r="H2133" s="675"/>
      <c r="I2133" s="675"/>
      <c r="J2133" s="675"/>
      <c r="K2133" s="675"/>
      <c r="L2133" s="675"/>
      <c r="M2133" s="675"/>
    </row>
    <row r="2134" spans="1:13" x14ac:dyDescent="0.25">
      <c r="A2134" s="675" t="s">
        <v>2197</v>
      </c>
      <c r="B2134" s="675" t="s">
        <v>512</v>
      </c>
      <c r="C2134" s="675" t="s">
        <v>2198</v>
      </c>
      <c r="D2134" s="675" t="s">
        <v>21</v>
      </c>
      <c r="E2134" s="675" t="s">
        <v>514</v>
      </c>
      <c r="F2134" s="675" t="s">
        <v>515</v>
      </c>
      <c r="G2134" s="675"/>
      <c r="H2134" s="675"/>
      <c r="I2134" s="675"/>
      <c r="J2134" s="675"/>
      <c r="K2134" s="675"/>
      <c r="L2134" s="675"/>
      <c r="M2134" s="675"/>
    </row>
    <row r="2135" spans="1:13" x14ac:dyDescent="0.25">
      <c r="A2135" s="675" t="s">
        <v>2197</v>
      </c>
      <c r="B2135" s="675" t="s">
        <v>512</v>
      </c>
      <c r="C2135" s="675" t="s">
        <v>2199</v>
      </c>
      <c r="D2135" s="675" t="s">
        <v>21</v>
      </c>
      <c r="E2135" s="675" t="s">
        <v>514</v>
      </c>
      <c r="F2135" s="675" t="s">
        <v>515</v>
      </c>
      <c r="G2135" s="675"/>
      <c r="H2135" s="675"/>
      <c r="I2135" s="675"/>
      <c r="J2135" s="675"/>
      <c r="K2135" s="675"/>
      <c r="L2135" s="675"/>
      <c r="M2135" s="675"/>
    </row>
    <row r="2136" spans="1:13" x14ac:dyDescent="0.25">
      <c r="A2136" s="675" t="s">
        <v>2197</v>
      </c>
      <c r="B2136" s="675" t="s">
        <v>512</v>
      </c>
      <c r="C2136" s="675" t="s">
        <v>2200</v>
      </c>
      <c r="D2136" s="675" t="s">
        <v>21</v>
      </c>
      <c r="E2136" s="675" t="s">
        <v>514</v>
      </c>
      <c r="F2136" s="675" t="s">
        <v>515</v>
      </c>
      <c r="G2136" s="675"/>
      <c r="H2136" s="675"/>
      <c r="I2136" s="675"/>
      <c r="J2136" s="675"/>
      <c r="K2136" s="675"/>
      <c r="L2136" s="675"/>
      <c r="M2136" s="675"/>
    </row>
    <row r="2137" spans="1:13" x14ac:dyDescent="0.25">
      <c r="A2137" s="675" t="s">
        <v>2197</v>
      </c>
      <c r="B2137" s="675" t="s">
        <v>512</v>
      </c>
      <c r="C2137" s="675" t="s">
        <v>2200</v>
      </c>
      <c r="D2137" s="675" t="s">
        <v>21</v>
      </c>
      <c r="E2137" s="675" t="s">
        <v>514</v>
      </c>
      <c r="F2137" s="675" t="s">
        <v>515</v>
      </c>
      <c r="G2137" s="675"/>
      <c r="H2137" s="675"/>
      <c r="I2137" s="675"/>
      <c r="J2137" s="675"/>
      <c r="K2137" s="675"/>
      <c r="L2137" s="675"/>
      <c r="M2137" s="675"/>
    </row>
    <row r="2138" spans="1:13" x14ac:dyDescent="0.25">
      <c r="A2138" s="675" t="s">
        <v>2197</v>
      </c>
      <c r="B2138" s="675" t="s">
        <v>512</v>
      </c>
      <c r="C2138" s="675" t="s">
        <v>1561</v>
      </c>
      <c r="D2138" s="675" t="s">
        <v>21</v>
      </c>
      <c r="E2138" s="675" t="s">
        <v>514</v>
      </c>
      <c r="F2138" s="675" t="s">
        <v>515</v>
      </c>
      <c r="G2138" s="675"/>
      <c r="H2138" s="675"/>
      <c r="I2138" s="675"/>
      <c r="J2138" s="675"/>
      <c r="K2138" s="675"/>
      <c r="L2138" s="675"/>
      <c r="M2138" s="675"/>
    </row>
    <row r="2139" spans="1:13" x14ac:dyDescent="0.25">
      <c r="A2139" s="675" t="s">
        <v>2197</v>
      </c>
      <c r="B2139" s="675" t="s">
        <v>512</v>
      </c>
      <c r="C2139" s="675" t="s">
        <v>2201</v>
      </c>
      <c r="D2139" s="675" t="s">
        <v>21</v>
      </c>
      <c r="E2139" s="675" t="s">
        <v>514</v>
      </c>
      <c r="F2139" s="675" t="s">
        <v>515</v>
      </c>
      <c r="G2139" s="675"/>
      <c r="H2139" s="675"/>
      <c r="I2139" s="675"/>
      <c r="J2139" s="675"/>
      <c r="K2139" s="675"/>
      <c r="L2139" s="675"/>
      <c r="M2139" s="675"/>
    </row>
    <row r="2140" spans="1:13" x14ac:dyDescent="0.25">
      <c r="A2140" s="675" t="s">
        <v>2197</v>
      </c>
      <c r="B2140" s="675" t="s">
        <v>512</v>
      </c>
      <c r="C2140" s="675" t="s">
        <v>2202</v>
      </c>
      <c r="D2140" s="675" t="s">
        <v>21</v>
      </c>
      <c r="E2140" s="675" t="s">
        <v>514</v>
      </c>
      <c r="F2140" s="675" t="s">
        <v>515</v>
      </c>
      <c r="G2140" s="675"/>
      <c r="H2140" s="675"/>
      <c r="I2140" s="675"/>
      <c r="J2140" s="675"/>
      <c r="K2140" s="675"/>
      <c r="L2140" s="675"/>
      <c r="M2140" s="675"/>
    </row>
    <row r="2141" spans="1:13" x14ac:dyDescent="0.25">
      <c r="A2141" s="675" t="s">
        <v>2197</v>
      </c>
      <c r="B2141" s="675" t="s">
        <v>512</v>
      </c>
      <c r="C2141" s="675" t="s">
        <v>2203</v>
      </c>
      <c r="D2141" s="675" t="s">
        <v>21</v>
      </c>
      <c r="E2141" s="675" t="s">
        <v>514</v>
      </c>
      <c r="F2141" s="675" t="s">
        <v>515</v>
      </c>
      <c r="G2141" s="675"/>
      <c r="H2141" s="675"/>
      <c r="I2141" s="675"/>
      <c r="J2141" s="675"/>
      <c r="K2141" s="675"/>
      <c r="L2141" s="675"/>
      <c r="M2141" s="675"/>
    </row>
    <row r="2142" spans="1:13" x14ac:dyDescent="0.25">
      <c r="A2142" s="675" t="s">
        <v>2197</v>
      </c>
      <c r="B2142" s="675" t="s">
        <v>512</v>
      </c>
      <c r="C2142" s="675" t="s">
        <v>2204</v>
      </c>
      <c r="D2142" s="675" t="s">
        <v>21</v>
      </c>
      <c r="E2142" s="675" t="s">
        <v>514</v>
      </c>
      <c r="F2142" s="675" t="s">
        <v>515</v>
      </c>
      <c r="G2142" s="675"/>
      <c r="H2142" s="675"/>
      <c r="I2142" s="675"/>
      <c r="J2142" s="675"/>
      <c r="K2142" s="675"/>
      <c r="L2142" s="675"/>
      <c r="M2142" s="675"/>
    </row>
    <row r="2143" spans="1:13" x14ac:dyDescent="0.25">
      <c r="A2143" s="675" t="s">
        <v>2197</v>
      </c>
      <c r="B2143" s="675" t="s">
        <v>512</v>
      </c>
      <c r="C2143" s="675" t="s">
        <v>2205</v>
      </c>
      <c r="D2143" s="675" t="s">
        <v>21</v>
      </c>
      <c r="E2143" s="675" t="s">
        <v>514</v>
      </c>
      <c r="F2143" s="675" t="s">
        <v>515</v>
      </c>
      <c r="G2143" s="675"/>
      <c r="H2143" s="675"/>
      <c r="I2143" s="675"/>
      <c r="J2143" s="675"/>
      <c r="K2143" s="675"/>
      <c r="L2143" s="675"/>
      <c r="M2143" s="675"/>
    </row>
    <row r="2144" spans="1:13" x14ac:dyDescent="0.25">
      <c r="A2144" s="675" t="s">
        <v>2197</v>
      </c>
      <c r="B2144" s="675" t="s">
        <v>512</v>
      </c>
      <c r="C2144" s="675" t="s">
        <v>2074</v>
      </c>
      <c r="D2144" s="675" t="s">
        <v>21</v>
      </c>
      <c r="E2144" s="675" t="s">
        <v>514</v>
      </c>
      <c r="F2144" s="675" t="s">
        <v>515</v>
      </c>
      <c r="G2144" s="675"/>
      <c r="H2144" s="675"/>
      <c r="I2144" s="675"/>
      <c r="J2144" s="675"/>
      <c r="K2144" s="675"/>
      <c r="L2144" s="675"/>
      <c r="M2144" s="675"/>
    </row>
    <row r="2145" spans="1:13" x14ac:dyDescent="0.25">
      <c r="A2145" s="675" t="s">
        <v>2197</v>
      </c>
      <c r="B2145" s="675" t="s">
        <v>512</v>
      </c>
      <c r="C2145" s="675" t="s">
        <v>2206</v>
      </c>
      <c r="D2145" s="675" t="s">
        <v>21</v>
      </c>
      <c r="E2145" s="675" t="s">
        <v>514</v>
      </c>
      <c r="F2145" s="675" t="s">
        <v>515</v>
      </c>
      <c r="G2145" s="675"/>
      <c r="H2145" s="675"/>
      <c r="I2145" s="675"/>
      <c r="J2145" s="675"/>
      <c r="K2145" s="675"/>
      <c r="L2145" s="675"/>
      <c r="M2145" s="675"/>
    </row>
    <row r="2146" spans="1:13" x14ac:dyDescent="0.25">
      <c r="A2146" s="675" t="s">
        <v>2197</v>
      </c>
      <c r="B2146" s="675" t="s">
        <v>512</v>
      </c>
      <c r="C2146" s="675" t="s">
        <v>2206</v>
      </c>
      <c r="D2146" s="675" t="s">
        <v>21</v>
      </c>
      <c r="E2146" s="675" t="s">
        <v>514</v>
      </c>
      <c r="F2146" s="675" t="s">
        <v>515</v>
      </c>
      <c r="G2146" s="675"/>
      <c r="H2146" s="675"/>
      <c r="I2146" s="675"/>
      <c r="J2146" s="675"/>
      <c r="K2146" s="675"/>
      <c r="L2146" s="675"/>
      <c r="M2146" s="675"/>
    </row>
    <row r="2147" spans="1:13" x14ac:dyDescent="0.25">
      <c r="A2147" s="675" t="s">
        <v>2197</v>
      </c>
      <c r="B2147" s="675" t="s">
        <v>512</v>
      </c>
      <c r="C2147" s="675" t="s">
        <v>887</v>
      </c>
      <c r="D2147" s="675" t="s">
        <v>21</v>
      </c>
      <c r="E2147" s="675" t="s">
        <v>514</v>
      </c>
      <c r="F2147" s="675" t="s">
        <v>515</v>
      </c>
      <c r="G2147" s="675"/>
      <c r="H2147" s="675"/>
      <c r="I2147" s="675"/>
      <c r="J2147" s="675"/>
      <c r="K2147" s="675"/>
      <c r="L2147" s="675"/>
      <c r="M2147" s="675"/>
    </row>
    <row r="2148" spans="1:13" x14ac:dyDescent="0.25">
      <c r="A2148" s="675" t="s">
        <v>2197</v>
      </c>
      <c r="B2148" s="675" t="s">
        <v>512</v>
      </c>
      <c r="C2148" s="675" t="s">
        <v>2207</v>
      </c>
      <c r="D2148" s="675" t="s">
        <v>21</v>
      </c>
      <c r="E2148" s="675" t="s">
        <v>514</v>
      </c>
      <c r="F2148" s="675" t="s">
        <v>515</v>
      </c>
      <c r="G2148" s="675"/>
      <c r="H2148" s="675"/>
      <c r="I2148" s="675"/>
      <c r="J2148" s="675"/>
      <c r="K2148" s="675"/>
      <c r="L2148" s="675"/>
      <c r="M2148" s="675"/>
    </row>
    <row r="2149" spans="1:13" x14ac:dyDescent="0.25">
      <c r="A2149" s="678" t="s">
        <v>2197</v>
      </c>
      <c r="B2149" s="678" t="s">
        <v>512</v>
      </c>
      <c r="C2149" s="678" t="s">
        <v>2208</v>
      </c>
      <c r="D2149" s="678" t="s">
        <v>21</v>
      </c>
      <c r="E2149" s="678" t="s">
        <v>514</v>
      </c>
      <c r="F2149" s="678" t="s">
        <v>596</v>
      </c>
      <c r="G2149" s="675"/>
      <c r="H2149" s="675"/>
      <c r="I2149" s="675"/>
      <c r="J2149" s="675"/>
      <c r="K2149" s="675"/>
      <c r="L2149" s="675"/>
      <c r="M2149" s="675"/>
    </row>
    <row r="2150" spans="1:13" x14ac:dyDescent="0.25">
      <c r="A2150" s="675" t="s">
        <v>2197</v>
      </c>
      <c r="B2150" s="675" t="s">
        <v>512</v>
      </c>
      <c r="C2150" s="675" t="s">
        <v>2209</v>
      </c>
      <c r="D2150" s="675" t="s">
        <v>21</v>
      </c>
      <c r="E2150" s="675" t="s">
        <v>514</v>
      </c>
      <c r="F2150" s="675" t="s">
        <v>515</v>
      </c>
      <c r="G2150" s="675"/>
      <c r="H2150" s="675"/>
      <c r="I2150" s="675"/>
      <c r="J2150" s="675"/>
      <c r="K2150" s="675"/>
      <c r="L2150" s="675"/>
      <c r="M2150" s="675"/>
    </row>
    <row r="2151" spans="1:13" x14ac:dyDescent="0.25">
      <c r="A2151" s="675" t="s">
        <v>2197</v>
      </c>
      <c r="B2151" s="675" t="s">
        <v>512</v>
      </c>
      <c r="C2151" s="675" t="s">
        <v>2209</v>
      </c>
      <c r="D2151" s="675" t="s">
        <v>21</v>
      </c>
      <c r="E2151" s="675" t="s">
        <v>514</v>
      </c>
      <c r="F2151" s="675" t="s">
        <v>515</v>
      </c>
      <c r="G2151" s="675"/>
      <c r="H2151" s="675"/>
      <c r="I2151" s="675"/>
      <c r="J2151" s="675"/>
      <c r="K2151" s="675"/>
      <c r="L2151" s="675"/>
      <c r="M2151" s="675"/>
    </row>
    <row r="2152" spans="1:13" x14ac:dyDescent="0.25">
      <c r="A2152" s="675" t="s">
        <v>2197</v>
      </c>
      <c r="B2152" s="675" t="s">
        <v>512</v>
      </c>
      <c r="C2152" s="675" t="s">
        <v>2210</v>
      </c>
      <c r="D2152" s="675" t="s">
        <v>21</v>
      </c>
      <c r="E2152" s="675" t="s">
        <v>514</v>
      </c>
      <c r="F2152" s="675" t="s">
        <v>515</v>
      </c>
      <c r="G2152" s="675"/>
      <c r="H2152" s="675"/>
      <c r="I2152" s="675"/>
      <c r="J2152" s="675"/>
      <c r="K2152" s="675"/>
      <c r="L2152" s="675"/>
      <c r="M2152" s="675"/>
    </row>
    <row r="2153" spans="1:13" x14ac:dyDescent="0.25">
      <c r="A2153" s="675" t="s">
        <v>2197</v>
      </c>
      <c r="B2153" s="675" t="s">
        <v>512</v>
      </c>
      <c r="C2153" s="675" t="s">
        <v>2210</v>
      </c>
      <c r="D2153" s="675" t="s">
        <v>21</v>
      </c>
      <c r="E2153" s="675" t="s">
        <v>514</v>
      </c>
      <c r="F2153" s="675" t="s">
        <v>515</v>
      </c>
      <c r="G2153" s="675"/>
      <c r="H2153" s="675"/>
      <c r="I2153" s="675"/>
      <c r="J2153" s="675"/>
      <c r="K2153" s="675"/>
      <c r="L2153" s="675"/>
      <c r="M2153" s="675"/>
    </row>
    <row r="2154" spans="1:13" x14ac:dyDescent="0.25">
      <c r="A2154" s="675" t="s">
        <v>2197</v>
      </c>
      <c r="B2154" s="675" t="s">
        <v>512</v>
      </c>
      <c r="C2154" s="675" t="s">
        <v>2211</v>
      </c>
      <c r="D2154" s="675" t="s">
        <v>21</v>
      </c>
      <c r="E2154" s="675" t="s">
        <v>514</v>
      </c>
      <c r="F2154" s="675" t="s">
        <v>515</v>
      </c>
      <c r="G2154" s="675"/>
      <c r="H2154" s="675"/>
      <c r="I2154" s="675"/>
      <c r="J2154" s="675"/>
      <c r="K2154" s="675"/>
      <c r="L2154" s="675"/>
      <c r="M2154" s="675"/>
    </row>
    <row r="2155" spans="1:13" x14ac:dyDescent="0.25">
      <c r="A2155" s="675" t="s">
        <v>2197</v>
      </c>
      <c r="B2155" s="675" t="s">
        <v>512</v>
      </c>
      <c r="C2155" s="675" t="s">
        <v>1357</v>
      </c>
      <c r="D2155" s="675" t="s">
        <v>21</v>
      </c>
      <c r="E2155" s="675" t="s">
        <v>514</v>
      </c>
      <c r="F2155" s="675" t="s">
        <v>515</v>
      </c>
      <c r="G2155" s="675"/>
      <c r="H2155" s="675"/>
      <c r="I2155" s="675"/>
      <c r="J2155" s="675"/>
      <c r="K2155" s="675"/>
      <c r="L2155" s="675"/>
      <c r="M2155" s="675"/>
    </row>
    <row r="2156" spans="1:13" x14ac:dyDescent="0.25">
      <c r="A2156" s="675" t="s">
        <v>2197</v>
      </c>
      <c r="B2156" s="675" t="s">
        <v>512</v>
      </c>
      <c r="C2156" s="675" t="s">
        <v>2212</v>
      </c>
      <c r="D2156" s="675" t="s">
        <v>21</v>
      </c>
      <c r="E2156" s="675" t="s">
        <v>514</v>
      </c>
      <c r="F2156" s="675" t="s">
        <v>515</v>
      </c>
      <c r="G2156" s="675"/>
      <c r="H2156" s="675"/>
      <c r="I2156" s="675"/>
      <c r="J2156" s="675"/>
      <c r="K2156" s="675"/>
      <c r="L2156" s="675"/>
      <c r="M2156" s="675"/>
    </row>
    <row r="2157" spans="1:13" x14ac:dyDescent="0.25">
      <c r="A2157" s="675" t="s">
        <v>2197</v>
      </c>
      <c r="B2157" s="675" t="s">
        <v>512</v>
      </c>
      <c r="C2157" s="675" t="s">
        <v>2213</v>
      </c>
      <c r="D2157" s="675" t="s">
        <v>21</v>
      </c>
      <c r="E2157" s="675" t="s">
        <v>514</v>
      </c>
      <c r="F2157" s="675" t="s">
        <v>515</v>
      </c>
      <c r="G2157" s="675"/>
      <c r="H2157" s="675"/>
      <c r="I2157" s="675"/>
      <c r="J2157" s="675"/>
      <c r="K2157" s="675"/>
      <c r="L2157" s="675"/>
      <c r="M2157" s="675"/>
    </row>
    <row r="2158" spans="1:13" x14ac:dyDescent="0.25">
      <c r="A2158" s="675" t="s">
        <v>2197</v>
      </c>
      <c r="B2158" s="675" t="s">
        <v>512</v>
      </c>
      <c r="C2158" s="675" t="s">
        <v>2214</v>
      </c>
      <c r="D2158" s="675" t="s">
        <v>21</v>
      </c>
      <c r="E2158" s="675" t="s">
        <v>514</v>
      </c>
      <c r="F2158" s="675" t="s">
        <v>515</v>
      </c>
      <c r="G2158" s="675"/>
      <c r="H2158" s="675"/>
      <c r="I2158" s="675"/>
      <c r="J2158" s="675"/>
      <c r="K2158" s="675"/>
      <c r="L2158" s="675"/>
      <c r="M2158" s="675"/>
    </row>
    <row r="2159" spans="1:13" x14ac:dyDescent="0.25">
      <c r="A2159" s="675" t="s">
        <v>2197</v>
      </c>
      <c r="B2159" s="675" t="s">
        <v>512</v>
      </c>
      <c r="C2159" s="675" t="s">
        <v>2214</v>
      </c>
      <c r="D2159" s="675" t="s">
        <v>21</v>
      </c>
      <c r="E2159" s="675" t="s">
        <v>514</v>
      </c>
      <c r="F2159" s="675" t="s">
        <v>515</v>
      </c>
      <c r="G2159" s="675"/>
      <c r="H2159" s="675"/>
      <c r="I2159" s="675"/>
      <c r="J2159" s="675"/>
      <c r="K2159" s="675"/>
      <c r="L2159" s="675"/>
      <c r="M2159" s="675"/>
    </row>
    <row r="2160" spans="1:13" x14ac:dyDescent="0.25">
      <c r="A2160" s="675" t="s">
        <v>2197</v>
      </c>
      <c r="B2160" s="675" t="s">
        <v>512</v>
      </c>
      <c r="C2160" s="675" t="s">
        <v>1009</v>
      </c>
      <c r="D2160" s="675" t="s">
        <v>21</v>
      </c>
      <c r="E2160" s="675" t="s">
        <v>514</v>
      </c>
      <c r="F2160" s="675" t="s">
        <v>515</v>
      </c>
      <c r="G2160" s="675"/>
      <c r="H2160" s="675"/>
      <c r="I2160" s="675"/>
      <c r="J2160" s="675"/>
      <c r="K2160" s="675"/>
      <c r="L2160" s="675"/>
      <c r="M2160" s="675"/>
    </row>
    <row r="2161" spans="1:13" x14ac:dyDescent="0.25">
      <c r="A2161" s="678" t="s">
        <v>2197</v>
      </c>
      <c r="B2161" s="678" t="s">
        <v>512</v>
      </c>
      <c r="C2161" s="678" t="s">
        <v>1010</v>
      </c>
      <c r="D2161" s="678" t="s">
        <v>21</v>
      </c>
      <c r="E2161" s="678" t="s">
        <v>514</v>
      </c>
      <c r="F2161" s="678" t="s">
        <v>596</v>
      </c>
      <c r="G2161" s="675"/>
      <c r="H2161" s="675"/>
      <c r="I2161" s="675"/>
      <c r="J2161" s="675"/>
      <c r="K2161" s="675"/>
      <c r="L2161" s="675"/>
      <c r="M2161" s="675"/>
    </row>
    <row r="2162" spans="1:13" x14ac:dyDescent="0.25">
      <c r="A2162" s="675" t="s">
        <v>2197</v>
      </c>
      <c r="B2162" s="675" t="s">
        <v>512</v>
      </c>
      <c r="C2162" s="675" t="s">
        <v>2215</v>
      </c>
      <c r="D2162" s="675" t="s">
        <v>21</v>
      </c>
      <c r="E2162" s="675" t="s">
        <v>514</v>
      </c>
      <c r="F2162" s="675" t="s">
        <v>515</v>
      </c>
      <c r="G2162" s="675"/>
      <c r="H2162" s="675"/>
      <c r="I2162" s="675"/>
      <c r="J2162" s="675"/>
      <c r="K2162" s="675"/>
      <c r="L2162" s="675"/>
      <c r="M2162" s="675"/>
    </row>
    <row r="2163" spans="1:13" x14ac:dyDescent="0.25">
      <c r="A2163" s="675" t="s">
        <v>2197</v>
      </c>
      <c r="B2163" s="675" t="s">
        <v>512</v>
      </c>
      <c r="C2163" s="675" t="s">
        <v>1887</v>
      </c>
      <c r="D2163" s="675" t="s">
        <v>21</v>
      </c>
      <c r="E2163" s="675" t="s">
        <v>514</v>
      </c>
      <c r="F2163" s="675" t="s">
        <v>515</v>
      </c>
      <c r="G2163" s="675"/>
      <c r="H2163" s="675"/>
      <c r="I2163" s="675"/>
      <c r="J2163" s="675"/>
      <c r="K2163" s="675"/>
      <c r="L2163" s="675"/>
      <c r="M2163" s="675"/>
    </row>
    <row r="2164" spans="1:13" x14ac:dyDescent="0.25">
      <c r="A2164" s="675" t="s">
        <v>2197</v>
      </c>
      <c r="B2164" s="675" t="s">
        <v>512</v>
      </c>
      <c r="C2164" s="675" t="s">
        <v>2216</v>
      </c>
      <c r="D2164" s="675" t="s">
        <v>21</v>
      </c>
      <c r="E2164" s="675" t="s">
        <v>514</v>
      </c>
      <c r="F2164" s="675" t="s">
        <v>515</v>
      </c>
      <c r="G2164" s="675"/>
      <c r="H2164" s="675"/>
      <c r="I2164" s="675"/>
      <c r="J2164" s="675"/>
      <c r="K2164" s="675"/>
      <c r="L2164" s="675"/>
      <c r="M2164" s="675"/>
    </row>
    <row r="2165" spans="1:13" x14ac:dyDescent="0.25">
      <c r="A2165" s="675" t="s">
        <v>2197</v>
      </c>
      <c r="B2165" s="675" t="s">
        <v>512</v>
      </c>
      <c r="C2165" s="675" t="s">
        <v>2217</v>
      </c>
      <c r="D2165" s="675" t="s">
        <v>21</v>
      </c>
      <c r="E2165" s="675" t="s">
        <v>514</v>
      </c>
      <c r="F2165" s="675" t="s">
        <v>515</v>
      </c>
      <c r="G2165" s="675"/>
      <c r="H2165" s="675"/>
      <c r="I2165" s="675"/>
      <c r="J2165" s="675"/>
      <c r="K2165" s="675"/>
      <c r="L2165" s="675"/>
      <c r="M2165" s="675"/>
    </row>
    <row r="2166" spans="1:13" x14ac:dyDescent="0.25">
      <c r="A2166" s="675" t="s">
        <v>2197</v>
      </c>
      <c r="B2166" s="675" t="s">
        <v>512</v>
      </c>
      <c r="C2166" s="675" t="s">
        <v>2218</v>
      </c>
      <c r="D2166" s="675" t="s">
        <v>21</v>
      </c>
      <c r="E2166" s="675" t="s">
        <v>514</v>
      </c>
      <c r="F2166" s="675" t="s">
        <v>515</v>
      </c>
      <c r="G2166" s="675"/>
      <c r="H2166" s="675"/>
      <c r="I2166" s="675"/>
      <c r="J2166" s="675"/>
      <c r="K2166" s="675"/>
      <c r="L2166" s="675"/>
      <c r="M2166" s="675"/>
    </row>
    <row r="2167" spans="1:13" x14ac:dyDescent="0.25">
      <c r="A2167" s="675" t="s">
        <v>2197</v>
      </c>
      <c r="B2167" s="675" t="s">
        <v>512</v>
      </c>
      <c r="C2167" s="675" t="s">
        <v>2218</v>
      </c>
      <c r="D2167" s="675" t="s">
        <v>21</v>
      </c>
      <c r="E2167" s="675" t="s">
        <v>514</v>
      </c>
      <c r="F2167" s="675" t="s">
        <v>515</v>
      </c>
      <c r="G2167" s="675"/>
      <c r="H2167" s="675"/>
      <c r="I2167" s="675"/>
      <c r="J2167" s="675"/>
      <c r="K2167" s="675"/>
      <c r="L2167" s="675"/>
      <c r="M2167" s="675"/>
    </row>
    <row r="2168" spans="1:13" x14ac:dyDescent="0.25">
      <c r="A2168" s="675" t="s">
        <v>2197</v>
      </c>
      <c r="B2168" s="675" t="s">
        <v>512</v>
      </c>
      <c r="C2168" s="675" t="s">
        <v>2219</v>
      </c>
      <c r="D2168" s="675" t="s">
        <v>21</v>
      </c>
      <c r="E2168" s="675" t="s">
        <v>514</v>
      </c>
      <c r="F2168" s="675" t="s">
        <v>515</v>
      </c>
      <c r="G2168" s="675"/>
      <c r="H2168" s="675"/>
      <c r="I2168" s="675"/>
      <c r="J2168" s="675"/>
      <c r="K2168" s="675"/>
      <c r="L2168" s="675"/>
      <c r="M2168" s="675"/>
    </row>
    <row r="2169" spans="1:13" x14ac:dyDescent="0.25">
      <c r="A2169" s="675" t="s">
        <v>2197</v>
      </c>
      <c r="B2169" s="675" t="s">
        <v>512</v>
      </c>
      <c r="C2169" s="675" t="s">
        <v>2219</v>
      </c>
      <c r="D2169" s="675" t="s">
        <v>21</v>
      </c>
      <c r="E2169" s="675" t="s">
        <v>514</v>
      </c>
      <c r="F2169" s="675" t="s">
        <v>515</v>
      </c>
      <c r="G2169" s="675"/>
      <c r="H2169" s="675"/>
      <c r="I2169" s="675"/>
      <c r="J2169" s="675"/>
      <c r="K2169" s="675"/>
      <c r="L2169" s="675"/>
      <c r="M2169" s="675"/>
    </row>
    <row r="2170" spans="1:13" x14ac:dyDescent="0.25">
      <c r="A2170" s="675" t="s">
        <v>2197</v>
      </c>
      <c r="B2170" s="675" t="s">
        <v>512</v>
      </c>
      <c r="C2170" s="675" t="s">
        <v>2220</v>
      </c>
      <c r="D2170" s="675" t="s">
        <v>21</v>
      </c>
      <c r="E2170" s="675" t="s">
        <v>514</v>
      </c>
      <c r="F2170" s="675" t="s">
        <v>515</v>
      </c>
      <c r="G2170" s="675"/>
      <c r="H2170" s="675"/>
      <c r="I2170" s="675"/>
      <c r="J2170" s="675"/>
      <c r="K2170" s="675"/>
      <c r="L2170" s="675"/>
      <c r="M2170" s="675"/>
    </row>
    <row r="2171" spans="1:13" x14ac:dyDescent="0.25">
      <c r="A2171" s="675" t="s">
        <v>2197</v>
      </c>
      <c r="B2171" s="675" t="s">
        <v>545</v>
      </c>
      <c r="C2171" s="675" t="s">
        <v>2221</v>
      </c>
      <c r="D2171" s="675" t="s">
        <v>21</v>
      </c>
      <c r="E2171" s="675" t="s">
        <v>514</v>
      </c>
      <c r="F2171" s="675" t="s">
        <v>515</v>
      </c>
      <c r="G2171" s="675"/>
      <c r="H2171" s="675"/>
      <c r="I2171" s="675"/>
      <c r="J2171" s="675"/>
      <c r="K2171" s="675"/>
      <c r="L2171" s="675"/>
      <c r="M2171" s="675"/>
    </row>
    <row r="2172" spans="1:13" x14ac:dyDescent="0.25">
      <c r="A2172" s="675" t="s">
        <v>2197</v>
      </c>
      <c r="B2172" s="675" t="s">
        <v>545</v>
      </c>
      <c r="C2172" s="675" t="s">
        <v>2221</v>
      </c>
      <c r="D2172" s="675" t="s">
        <v>21</v>
      </c>
      <c r="E2172" s="675" t="s">
        <v>514</v>
      </c>
      <c r="F2172" s="675" t="s">
        <v>515</v>
      </c>
      <c r="G2172" s="675"/>
      <c r="H2172" s="675"/>
      <c r="I2172" s="675"/>
      <c r="J2172" s="675"/>
      <c r="K2172" s="675"/>
      <c r="L2172" s="675"/>
      <c r="M2172" s="675"/>
    </row>
    <row r="2173" spans="1:13" x14ac:dyDescent="0.25">
      <c r="A2173" s="675" t="s">
        <v>2197</v>
      </c>
      <c r="B2173" s="675" t="s">
        <v>545</v>
      </c>
      <c r="C2173" s="675" t="s">
        <v>2222</v>
      </c>
      <c r="D2173" s="675" t="s">
        <v>21</v>
      </c>
      <c r="E2173" s="675" t="s">
        <v>514</v>
      </c>
      <c r="F2173" s="675" t="s">
        <v>515</v>
      </c>
      <c r="G2173" s="675"/>
      <c r="H2173" s="675"/>
      <c r="I2173" s="675"/>
      <c r="J2173" s="675"/>
      <c r="K2173" s="675"/>
      <c r="L2173" s="675"/>
      <c r="M2173" s="675"/>
    </row>
    <row r="2174" spans="1:13" x14ac:dyDescent="0.25">
      <c r="A2174" s="675" t="s">
        <v>2197</v>
      </c>
      <c r="B2174" s="675" t="s">
        <v>545</v>
      </c>
      <c r="C2174" s="675" t="s">
        <v>2222</v>
      </c>
      <c r="D2174" s="675" t="s">
        <v>21</v>
      </c>
      <c r="E2174" s="675" t="s">
        <v>514</v>
      </c>
      <c r="F2174" s="675" t="s">
        <v>515</v>
      </c>
      <c r="G2174" s="675"/>
      <c r="H2174" s="675"/>
      <c r="I2174" s="675"/>
      <c r="J2174" s="675"/>
      <c r="K2174" s="675"/>
      <c r="L2174" s="675"/>
      <c r="M2174" s="675"/>
    </row>
    <row r="2175" spans="1:13" x14ac:dyDescent="0.25">
      <c r="A2175" s="675" t="s">
        <v>2197</v>
      </c>
      <c r="B2175" s="675" t="s">
        <v>545</v>
      </c>
      <c r="C2175" s="675" t="s">
        <v>1642</v>
      </c>
      <c r="D2175" s="675" t="s">
        <v>21</v>
      </c>
      <c r="E2175" s="675" t="s">
        <v>514</v>
      </c>
      <c r="F2175" s="675" t="s">
        <v>515</v>
      </c>
      <c r="G2175" s="675"/>
      <c r="H2175" s="675"/>
      <c r="I2175" s="675"/>
      <c r="J2175" s="675"/>
      <c r="K2175" s="675"/>
      <c r="L2175" s="675"/>
      <c r="M2175" s="675"/>
    </row>
    <row r="2176" spans="1:13" x14ac:dyDescent="0.25">
      <c r="A2176" s="675" t="s">
        <v>2197</v>
      </c>
      <c r="B2176" s="675" t="s">
        <v>545</v>
      </c>
      <c r="C2176" s="675" t="s">
        <v>2223</v>
      </c>
      <c r="D2176" s="675" t="s">
        <v>21</v>
      </c>
      <c r="E2176" s="675" t="s">
        <v>514</v>
      </c>
      <c r="F2176" s="675" t="s">
        <v>515</v>
      </c>
      <c r="G2176" s="675"/>
      <c r="H2176" s="675"/>
      <c r="I2176" s="675"/>
      <c r="J2176" s="675"/>
      <c r="K2176" s="675"/>
      <c r="L2176" s="675"/>
      <c r="M2176" s="675"/>
    </row>
    <row r="2177" spans="1:13" x14ac:dyDescent="0.25">
      <c r="A2177" s="675" t="s">
        <v>2197</v>
      </c>
      <c r="B2177" s="675" t="s">
        <v>545</v>
      </c>
      <c r="C2177" s="675" t="s">
        <v>2224</v>
      </c>
      <c r="D2177" s="675" t="s">
        <v>21</v>
      </c>
      <c r="E2177" s="675" t="s">
        <v>514</v>
      </c>
      <c r="F2177" s="675" t="s">
        <v>515</v>
      </c>
      <c r="G2177" s="675"/>
      <c r="H2177" s="675"/>
      <c r="I2177" s="675"/>
      <c r="J2177" s="675"/>
      <c r="K2177" s="675"/>
      <c r="L2177" s="675"/>
      <c r="M2177" s="675"/>
    </row>
    <row r="2178" spans="1:13" x14ac:dyDescent="0.25">
      <c r="A2178" s="675" t="s">
        <v>2197</v>
      </c>
      <c r="B2178" s="675" t="s">
        <v>545</v>
      </c>
      <c r="C2178" s="675" t="s">
        <v>2224</v>
      </c>
      <c r="D2178" s="675" t="s">
        <v>21</v>
      </c>
      <c r="E2178" s="675" t="s">
        <v>514</v>
      </c>
      <c r="F2178" s="675" t="s">
        <v>515</v>
      </c>
      <c r="G2178" s="675"/>
      <c r="H2178" s="675"/>
      <c r="I2178" s="675"/>
      <c r="J2178" s="675"/>
      <c r="K2178" s="675"/>
      <c r="L2178" s="675"/>
      <c r="M2178" s="675"/>
    </row>
    <row r="2179" spans="1:13" x14ac:dyDescent="0.25">
      <c r="A2179" s="675" t="s">
        <v>2197</v>
      </c>
      <c r="B2179" s="675" t="s">
        <v>545</v>
      </c>
      <c r="C2179" s="675" t="s">
        <v>2225</v>
      </c>
      <c r="D2179" s="675" t="s">
        <v>21</v>
      </c>
      <c r="E2179" s="675" t="s">
        <v>514</v>
      </c>
      <c r="F2179" s="675" t="s">
        <v>515</v>
      </c>
      <c r="G2179" s="675"/>
      <c r="H2179" s="675"/>
      <c r="I2179" s="675"/>
      <c r="J2179" s="675"/>
      <c r="K2179" s="675"/>
      <c r="L2179" s="675"/>
      <c r="M2179" s="675"/>
    </row>
    <row r="2180" spans="1:13" x14ac:dyDescent="0.25">
      <c r="A2180" s="675" t="s">
        <v>2197</v>
      </c>
      <c r="B2180" s="675" t="s">
        <v>545</v>
      </c>
      <c r="C2180" s="675" t="s">
        <v>2225</v>
      </c>
      <c r="D2180" s="675" t="s">
        <v>21</v>
      </c>
      <c r="E2180" s="675" t="s">
        <v>514</v>
      </c>
      <c r="F2180" s="675" t="s">
        <v>515</v>
      </c>
      <c r="G2180" s="675"/>
      <c r="H2180" s="675"/>
      <c r="I2180" s="675"/>
      <c r="J2180" s="675"/>
      <c r="K2180" s="675"/>
      <c r="L2180" s="675"/>
      <c r="M2180" s="675"/>
    </row>
    <row r="2181" spans="1:13" x14ac:dyDescent="0.25">
      <c r="A2181" s="675" t="s">
        <v>2197</v>
      </c>
      <c r="B2181" s="675" t="s">
        <v>545</v>
      </c>
      <c r="C2181" s="675" t="s">
        <v>2226</v>
      </c>
      <c r="D2181" s="675" t="s">
        <v>21</v>
      </c>
      <c r="E2181" s="675" t="s">
        <v>514</v>
      </c>
      <c r="F2181" s="675" t="s">
        <v>515</v>
      </c>
      <c r="G2181" s="675"/>
      <c r="H2181" s="675"/>
      <c r="I2181" s="675"/>
      <c r="J2181" s="675"/>
      <c r="K2181" s="675"/>
      <c r="L2181" s="675"/>
      <c r="M2181" s="675"/>
    </row>
    <row r="2182" spans="1:13" x14ac:dyDescent="0.25">
      <c r="A2182" s="675" t="s">
        <v>2197</v>
      </c>
      <c r="B2182" s="675" t="s">
        <v>545</v>
      </c>
      <c r="C2182" s="675" t="s">
        <v>2227</v>
      </c>
      <c r="D2182" s="675" t="s">
        <v>21</v>
      </c>
      <c r="E2182" s="675" t="s">
        <v>514</v>
      </c>
      <c r="F2182" s="675" t="s">
        <v>515</v>
      </c>
      <c r="G2182" s="675"/>
      <c r="H2182" s="675"/>
      <c r="I2182" s="675"/>
      <c r="J2182" s="675"/>
      <c r="K2182" s="675"/>
      <c r="L2182" s="675"/>
      <c r="M2182" s="675"/>
    </row>
    <row r="2183" spans="1:13" x14ac:dyDescent="0.25">
      <c r="A2183" s="675" t="s">
        <v>2197</v>
      </c>
      <c r="B2183" s="675" t="s">
        <v>545</v>
      </c>
      <c r="C2183" s="675" t="s">
        <v>2227</v>
      </c>
      <c r="D2183" s="675" t="s">
        <v>21</v>
      </c>
      <c r="E2183" s="675" t="s">
        <v>514</v>
      </c>
      <c r="F2183" s="675" t="s">
        <v>515</v>
      </c>
      <c r="G2183" s="675"/>
      <c r="H2183" s="675"/>
      <c r="I2183" s="675"/>
      <c r="J2183" s="675"/>
      <c r="K2183" s="675"/>
      <c r="L2183" s="675"/>
      <c r="M2183" s="675"/>
    </row>
    <row r="2184" spans="1:13" x14ac:dyDescent="0.25">
      <c r="A2184" s="675" t="s">
        <v>2197</v>
      </c>
      <c r="B2184" s="675" t="s">
        <v>545</v>
      </c>
      <c r="C2184" s="675" t="s">
        <v>848</v>
      </c>
      <c r="D2184" s="675" t="s">
        <v>21</v>
      </c>
      <c r="E2184" s="675" t="s">
        <v>514</v>
      </c>
      <c r="F2184" s="675" t="s">
        <v>515</v>
      </c>
      <c r="G2184" s="675"/>
      <c r="H2184" s="675"/>
      <c r="I2184" s="675"/>
      <c r="J2184" s="675"/>
      <c r="K2184" s="675"/>
      <c r="L2184" s="675"/>
      <c r="M2184" s="675"/>
    </row>
    <row r="2185" spans="1:13" x14ac:dyDescent="0.25">
      <c r="A2185" s="675" t="s">
        <v>2197</v>
      </c>
      <c r="B2185" s="675" t="s">
        <v>545</v>
      </c>
      <c r="C2185" s="675" t="s">
        <v>2228</v>
      </c>
      <c r="D2185" s="675" t="s">
        <v>21</v>
      </c>
      <c r="E2185" s="675" t="s">
        <v>514</v>
      </c>
      <c r="F2185" s="675" t="s">
        <v>515</v>
      </c>
      <c r="G2185" s="675"/>
      <c r="H2185" s="675"/>
      <c r="I2185" s="675"/>
      <c r="J2185" s="675"/>
      <c r="K2185" s="675"/>
      <c r="L2185" s="675"/>
      <c r="M2185" s="675"/>
    </row>
    <row r="2186" spans="1:13" x14ac:dyDescent="0.25">
      <c r="A2186" s="675" t="s">
        <v>2197</v>
      </c>
      <c r="B2186" s="675" t="s">
        <v>545</v>
      </c>
      <c r="C2186" s="675" t="s">
        <v>2228</v>
      </c>
      <c r="D2186" s="675" t="s">
        <v>21</v>
      </c>
      <c r="E2186" s="675" t="s">
        <v>514</v>
      </c>
      <c r="F2186" s="675" t="s">
        <v>515</v>
      </c>
      <c r="G2186" s="675"/>
      <c r="H2186" s="675"/>
      <c r="I2186" s="675"/>
      <c r="J2186" s="675"/>
      <c r="K2186" s="675"/>
      <c r="L2186" s="675"/>
      <c r="M2186" s="675"/>
    </row>
    <row r="2187" spans="1:13" x14ac:dyDescent="0.25">
      <c r="A2187" s="675" t="s">
        <v>2197</v>
      </c>
      <c r="B2187" s="675" t="s">
        <v>545</v>
      </c>
      <c r="C2187" s="675" t="s">
        <v>2229</v>
      </c>
      <c r="D2187" s="675" t="s">
        <v>21</v>
      </c>
      <c r="E2187" s="675" t="s">
        <v>514</v>
      </c>
      <c r="F2187" s="675" t="s">
        <v>515</v>
      </c>
      <c r="G2187" s="675"/>
      <c r="H2187" s="675"/>
      <c r="I2187" s="675"/>
      <c r="J2187" s="675"/>
      <c r="K2187" s="675"/>
      <c r="L2187" s="675"/>
      <c r="M2187" s="675"/>
    </row>
    <row r="2188" spans="1:13" x14ac:dyDescent="0.25">
      <c r="A2188" s="675" t="s">
        <v>2197</v>
      </c>
      <c r="B2188" s="675" t="s">
        <v>545</v>
      </c>
      <c r="C2188" s="675" t="s">
        <v>1649</v>
      </c>
      <c r="D2188" s="675" t="s">
        <v>21</v>
      </c>
      <c r="E2188" s="675" t="s">
        <v>514</v>
      </c>
      <c r="F2188" s="675" t="s">
        <v>515</v>
      </c>
      <c r="G2188" s="675"/>
      <c r="H2188" s="675"/>
      <c r="I2188" s="675"/>
      <c r="J2188" s="675"/>
      <c r="K2188" s="675"/>
      <c r="L2188" s="675"/>
      <c r="M2188" s="675"/>
    </row>
    <row r="2189" spans="1:13" x14ac:dyDescent="0.25">
      <c r="A2189" s="678" t="s">
        <v>2197</v>
      </c>
      <c r="B2189" s="678" t="s">
        <v>545</v>
      </c>
      <c r="C2189" s="678" t="s">
        <v>2230</v>
      </c>
      <c r="D2189" s="678" t="s">
        <v>21</v>
      </c>
      <c r="E2189" s="678" t="s">
        <v>514</v>
      </c>
      <c r="F2189" s="678" t="s">
        <v>636</v>
      </c>
      <c r="G2189" s="675"/>
      <c r="H2189" s="675"/>
      <c r="I2189" s="675"/>
      <c r="J2189" s="675"/>
      <c r="K2189" s="675"/>
      <c r="L2189" s="675"/>
      <c r="M2189" s="675"/>
    </row>
    <row r="2190" spans="1:13" x14ac:dyDescent="0.25">
      <c r="A2190" s="678" t="s">
        <v>2197</v>
      </c>
      <c r="B2190" s="678" t="s">
        <v>545</v>
      </c>
      <c r="C2190" s="678" t="s">
        <v>2230</v>
      </c>
      <c r="D2190" s="678" t="s">
        <v>21</v>
      </c>
      <c r="E2190" s="678" t="s">
        <v>514</v>
      </c>
      <c r="F2190" s="678" t="s">
        <v>636</v>
      </c>
      <c r="G2190" s="675"/>
      <c r="H2190" s="675"/>
      <c r="I2190" s="675"/>
      <c r="J2190" s="675"/>
      <c r="K2190" s="675"/>
      <c r="L2190" s="675"/>
      <c r="M2190" s="675"/>
    </row>
    <row r="2191" spans="1:13" x14ac:dyDescent="0.25">
      <c r="A2191" s="675" t="s">
        <v>2197</v>
      </c>
      <c r="B2191" s="675" t="s">
        <v>545</v>
      </c>
      <c r="C2191" s="675" t="s">
        <v>2231</v>
      </c>
      <c r="D2191" s="675" t="s">
        <v>21</v>
      </c>
      <c r="E2191" s="675" t="s">
        <v>514</v>
      </c>
      <c r="F2191" s="675" t="s">
        <v>515</v>
      </c>
      <c r="G2191" s="675"/>
      <c r="H2191" s="675"/>
      <c r="I2191" s="675"/>
      <c r="J2191" s="675"/>
      <c r="K2191" s="675"/>
      <c r="L2191" s="675"/>
      <c r="M2191" s="675"/>
    </row>
    <row r="2192" spans="1:13" x14ac:dyDescent="0.25">
      <c r="A2192" s="675" t="s">
        <v>2197</v>
      </c>
      <c r="B2192" s="675" t="s">
        <v>545</v>
      </c>
      <c r="C2192" s="675" t="s">
        <v>2231</v>
      </c>
      <c r="D2192" s="675" t="s">
        <v>21</v>
      </c>
      <c r="E2192" s="675" t="s">
        <v>514</v>
      </c>
      <c r="F2192" s="675" t="s">
        <v>515</v>
      </c>
      <c r="G2192" s="675"/>
      <c r="H2192" s="675"/>
      <c r="I2192" s="675"/>
      <c r="J2192" s="675"/>
      <c r="K2192" s="675"/>
      <c r="L2192" s="675"/>
      <c r="M2192" s="675"/>
    </row>
    <row r="2193" spans="1:13" x14ac:dyDescent="0.25">
      <c r="A2193" s="675" t="s">
        <v>2197</v>
      </c>
      <c r="B2193" s="675" t="s">
        <v>545</v>
      </c>
      <c r="C2193" s="675" t="s">
        <v>2232</v>
      </c>
      <c r="D2193" s="675" t="s">
        <v>21</v>
      </c>
      <c r="E2193" s="675" t="s">
        <v>514</v>
      </c>
      <c r="F2193" s="675" t="s">
        <v>515</v>
      </c>
      <c r="G2193" s="675"/>
      <c r="H2193" s="675"/>
      <c r="I2193" s="675"/>
      <c r="J2193" s="675"/>
      <c r="K2193" s="675"/>
      <c r="L2193" s="675"/>
      <c r="M2193" s="675"/>
    </row>
    <row r="2194" spans="1:13" x14ac:dyDescent="0.25">
      <c r="A2194" s="675" t="s">
        <v>2197</v>
      </c>
      <c r="B2194" s="675" t="s">
        <v>545</v>
      </c>
      <c r="C2194" s="675" t="s">
        <v>2232</v>
      </c>
      <c r="D2194" s="675" t="s">
        <v>21</v>
      </c>
      <c r="E2194" s="675" t="s">
        <v>514</v>
      </c>
      <c r="F2194" s="675" t="s">
        <v>515</v>
      </c>
      <c r="G2194" s="675"/>
      <c r="H2194" s="675"/>
      <c r="I2194" s="675"/>
      <c r="J2194" s="675"/>
      <c r="K2194" s="675"/>
      <c r="L2194" s="675"/>
      <c r="M2194" s="675"/>
    </row>
    <row r="2195" spans="1:13" x14ac:dyDescent="0.25">
      <c r="A2195" s="675" t="s">
        <v>2197</v>
      </c>
      <c r="B2195" s="675" t="s">
        <v>564</v>
      </c>
      <c r="C2195" s="675" t="s">
        <v>2233</v>
      </c>
      <c r="D2195" s="675" t="s">
        <v>21</v>
      </c>
      <c r="E2195" s="675" t="s">
        <v>514</v>
      </c>
      <c r="F2195" s="675" t="s">
        <v>515</v>
      </c>
      <c r="G2195" s="675"/>
      <c r="H2195" s="675"/>
      <c r="I2195" s="675"/>
      <c r="J2195" s="675"/>
      <c r="K2195" s="675"/>
      <c r="L2195" s="675"/>
      <c r="M2195" s="675"/>
    </row>
    <row r="2196" spans="1:13" x14ac:dyDescent="0.25">
      <c r="A2196" s="675" t="s">
        <v>2197</v>
      </c>
      <c r="B2196" s="675" t="s">
        <v>564</v>
      </c>
      <c r="C2196" s="675" t="s">
        <v>2234</v>
      </c>
      <c r="D2196" s="675" t="s">
        <v>21</v>
      </c>
      <c r="E2196" s="675" t="s">
        <v>514</v>
      </c>
      <c r="F2196" s="675" t="s">
        <v>515</v>
      </c>
      <c r="G2196" s="675"/>
      <c r="H2196" s="675"/>
      <c r="I2196" s="675"/>
      <c r="J2196" s="675"/>
      <c r="K2196" s="675"/>
      <c r="L2196" s="675"/>
      <c r="M2196" s="675"/>
    </row>
    <row r="2197" spans="1:13" x14ac:dyDescent="0.25">
      <c r="A2197" s="675" t="s">
        <v>2197</v>
      </c>
      <c r="B2197" s="675" t="s">
        <v>564</v>
      </c>
      <c r="C2197" s="675" t="s">
        <v>2235</v>
      </c>
      <c r="D2197" s="675" t="s">
        <v>21</v>
      </c>
      <c r="E2197" s="675" t="s">
        <v>514</v>
      </c>
      <c r="F2197" s="675" t="s">
        <v>515</v>
      </c>
      <c r="G2197" s="675"/>
      <c r="H2197" s="675"/>
      <c r="I2197" s="675"/>
      <c r="J2197" s="675"/>
      <c r="K2197" s="675"/>
      <c r="L2197" s="675"/>
      <c r="M2197" s="675"/>
    </row>
    <row r="2198" spans="1:13" x14ac:dyDescent="0.25">
      <c r="A2198" s="675" t="s">
        <v>2197</v>
      </c>
      <c r="B2198" s="675" t="s">
        <v>564</v>
      </c>
      <c r="C2198" s="675" t="s">
        <v>2235</v>
      </c>
      <c r="D2198" s="675" t="s">
        <v>21</v>
      </c>
      <c r="E2198" s="675" t="s">
        <v>514</v>
      </c>
      <c r="F2198" s="675" t="s">
        <v>515</v>
      </c>
      <c r="G2198" s="675"/>
      <c r="H2198" s="675"/>
      <c r="I2198" s="675"/>
      <c r="J2198" s="675"/>
      <c r="K2198" s="675"/>
      <c r="L2198" s="675"/>
      <c r="M2198" s="675"/>
    </row>
    <row r="2199" spans="1:13" x14ac:dyDescent="0.25">
      <c r="A2199" s="675" t="s">
        <v>2197</v>
      </c>
      <c r="B2199" s="675" t="s">
        <v>564</v>
      </c>
      <c r="C2199" s="675" t="s">
        <v>2236</v>
      </c>
      <c r="D2199" s="675" t="s">
        <v>21</v>
      </c>
      <c r="E2199" s="675" t="s">
        <v>514</v>
      </c>
      <c r="F2199" s="675" t="s">
        <v>515</v>
      </c>
      <c r="G2199" s="675"/>
      <c r="H2199" s="675"/>
      <c r="I2199" s="675"/>
      <c r="J2199" s="675"/>
      <c r="K2199" s="675"/>
      <c r="L2199" s="675"/>
      <c r="M2199" s="675"/>
    </row>
    <row r="2200" spans="1:13" x14ac:dyDescent="0.25">
      <c r="A2200" s="675" t="s">
        <v>2197</v>
      </c>
      <c r="B2200" s="675" t="s">
        <v>564</v>
      </c>
      <c r="C2200" s="675" t="s">
        <v>2236</v>
      </c>
      <c r="D2200" s="675" t="s">
        <v>21</v>
      </c>
      <c r="E2200" s="675" t="s">
        <v>514</v>
      </c>
      <c r="F2200" s="675" t="s">
        <v>515</v>
      </c>
      <c r="G2200" s="675"/>
      <c r="H2200" s="675"/>
      <c r="I2200" s="675"/>
      <c r="J2200" s="675"/>
      <c r="K2200" s="675"/>
      <c r="L2200" s="675"/>
      <c r="M2200" s="675"/>
    </row>
    <row r="2201" spans="1:13" x14ac:dyDescent="0.25">
      <c r="A2201" s="675" t="s">
        <v>2197</v>
      </c>
      <c r="B2201" s="675" t="s">
        <v>564</v>
      </c>
      <c r="C2201" s="675" t="s">
        <v>2237</v>
      </c>
      <c r="D2201" s="675" t="s">
        <v>21</v>
      </c>
      <c r="E2201" s="675" t="s">
        <v>514</v>
      </c>
      <c r="F2201" s="675" t="s">
        <v>515</v>
      </c>
      <c r="G2201" s="675"/>
      <c r="H2201" s="675"/>
      <c r="I2201" s="675"/>
      <c r="J2201" s="675"/>
      <c r="K2201" s="675"/>
      <c r="L2201" s="675"/>
      <c r="M2201" s="675"/>
    </row>
    <row r="2202" spans="1:13" x14ac:dyDescent="0.25">
      <c r="A2202" s="675" t="s">
        <v>2197</v>
      </c>
      <c r="B2202" s="675" t="s">
        <v>564</v>
      </c>
      <c r="C2202" s="675" t="s">
        <v>1552</v>
      </c>
      <c r="D2202" s="675" t="s">
        <v>21</v>
      </c>
      <c r="E2202" s="675" t="s">
        <v>514</v>
      </c>
      <c r="F2202" s="675" t="s">
        <v>515</v>
      </c>
      <c r="G2202" s="675"/>
      <c r="H2202" s="675"/>
      <c r="I2202" s="675"/>
      <c r="J2202" s="675"/>
      <c r="K2202" s="675"/>
      <c r="L2202" s="675"/>
      <c r="M2202" s="675"/>
    </row>
    <row r="2203" spans="1:13" x14ac:dyDescent="0.25">
      <c r="A2203" s="675" t="s">
        <v>2197</v>
      </c>
      <c r="B2203" s="675" t="s">
        <v>564</v>
      </c>
      <c r="C2203" s="675" t="s">
        <v>1552</v>
      </c>
      <c r="D2203" s="675" t="s">
        <v>21</v>
      </c>
      <c r="E2203" s="675" t="s">
        <v>514</v>
      </c>
      <c r="F2203" s="675" t="s">
        <v>515</v>
      </c>
      <c r="G2203" s="675"/>
      <c r="H2203" s="675"/>
      <c r="I2203" s="675"/>
      <c r="J2203" s="675"/>
      <c r="K2203" s="675"/>
      <c r="L2203" s="675"/>
      <c r="M2203" s="675"/>
    </row>
    <row r="2204" spans="1:13" x14ac:dyDescent="0.25">
      <c r="A2204" s="675" t="s">
        <v>2197</v>
      </c>
      <c r="B2204" s="675" t="s">
        <v>564</v>
      </c>
      <c r="C2204" s="675" t="s">
        <v>2238</v>
      </c>
      <c r="D2204" s="675" t="s">
        <v>21</v>
      </c>
      <c r="E2204" s="675" t="s">
        <v>514</v>
      </c>
      <c r="F2204" s="675" t="s">
        <v>515</v>
      </c>
      <c r="G2204" s="675"/>
      <c r="H2204" s="675"/>
      <c r="I2204" s="675"/>
      <c r="J2204" s="675"/>
      <c r="K2204" s="675"/>
      <c r="L2204" s="675"/>
      <c r="M2204" s="675"/>
    </row>
    <row r="2205" spans="1:13" x14ac:dyDescent="0.25">
      <c r="A2205" s="675" t="s">
        <v>2197</v>
      </c>
      <c r="B2205" s="675" t="s">
        <v>564</v>
      </c>
      <c r="C2205" s="675" t="s">
        <v>2238</v>
      </c>
      <c r="D2205" s="675" t="s">
        <v>21</v>
      </c>
      <c r="E2205" s="675" t="s">
        <v>514</v>
      </c>
      <c r="F2205" s="675" t="s">
        <v>515</v>
      </c>
      <c r="G2205" s="675"/>
      <c r="H2205" s="675"/>
      <c r="I2205" s="675"/>
      <c r="J2205" s="675"/>
      <c r="K2205" s="675"/>
      <c r="L2205" s="675"/>
      <c r="M2205" s="675"/>
    </row>
    <row r="2206" spans="1:13" x14ac:dyDescent="0.25">
      <c r="A2206" s="675" t="s">
        <v>2197</v>
      </c>
      <c r="B2206" s="675" t="s">
        <v>564</v>
      </c>
      <c r="C2206" s="675" t="s">
        <v>1653</v>
      </c>
      <c r="D2206" s="675" t="s">
        <v>21</v>
      </c>
      <c r="E2206" s="675" t="s">
        <v>514</v>
      </c>
      <c r="F2206" s="675" t="s">
        <v>515</v>
      </c>
      <c r="G2206" s="675"/>
      <c r="H2206" s="675"/>
      <c r="I2206" s="675"/>
      <c r="J2206" s="675"/>
      <c r="K2206" s="675"/>
      <c r="L2206" s="675"/>
      <c r="M2206" s="675"/>
    </row>
    <row r="2207" spans="1:13" x14ac:dyDescent="0.25">
      <c r="A2207" s="675" t="s">
        <v>2197</v>
      </c>
      <c r="B2207" s="675" t="s">
        <v>564</v>
      </c>
      <c r="C2207" s="675" t="s">
        <v>1653</v>
      </c>
      <c r="D2207" s="675" t="s">
        <v>21</v>
      </c>
      <c r="E2207" s="675" t="s">
        <v>514</v>
      </c>
      <c r="F2207" s="675" t="s">
        <v>515</v>
      </c>
      <c r="G2207" s="675"/>
      <c r="H2207" s="675"/>
      <c r="I2207" s="675"/>
      <c r="J2207" s="675"/>
      <c r="K2207" s="675"/>
      <c r="L2207" s="675"/>
      <c r="M2207" s="675"/>
    </row>
    <row r="2208" spans="1:13" x14ac:dyDescent="0.25">
      <c r="A2208" s="675" t="s">
        <v>2239</v>
      </c>
      <c r="B2208" s="675" t="s">
        <v>512</v>
      </c>
      <c r="C2208" s="675" t="s">
        <v>809</v>
      </c>
      <c r="D2208" s="675" t="s">
        <v>21</v>
      </c>
      <c r="E2208" s="675" t="s">
        <v>514</v>
      </c>
      <c r="F2208" s="675" t="s">
        <v>515</v>
      </c>
      <c r="G2208" s="675"/>
      <c r="H2208" s="675"/>
      <c r="I2208" s="675"/>
      <c r="J2208" s="675"/>
      <c r="K2208" s="675"/>
      <c r="L2208" s="675"/>
      <c r="M2208" s="675"/>
    </row>
    <row r="2209" spans="1:13" x14ac:dyDescent="0.25">
      <c r="A2209" s="675" t="s">
        <v>2239</v>
      </c>
      <c r="B2209" s="675" t="s">
        <v>512</v>
      </c>
      <c r="C2209" s="675" t="s">
        <v>811</v>
      </c>
      <c r="D2209" s="675" t="s">
        <v>21</v>
      </c>
      <c r="E2209" s="675" t="s">
        <v>514</v>
      </c>
      <c r="F2209" s="675" t="s">
        <v>515</v>
      </c>
      <c r="G2209" s="675"/>
      <c r="H2209" s="675"/>
      <c r="I2209" s="675"/>
      <c r="J2209" s="675"/>
      <c r="K2209" s="675"/>
      <c r="L2209" s="675"/>
      <c r="M2209" s="675"/>
    </row>
    <row r="2210" spans="1:13" x14ac:dyDescent="0.25">
      <c r="A2210" s="675" t="s">
        <v>2239</v>
      </c>
      <c r="B2210" s="675" t="s">
        <v>512</v>
      </c>
      <c r="C2210" s="675" t="s">
        <v>1064</v>
      </c>
      <c r="D2210" s="675" t="s">
        <v>21</v>
      </c>
      <c r="E2210" s="675" t="s">
        <v>514</v>
      </c>
      <c r="F2210" s="675" t="s">
        <v>515</v>
      </c>
      <c r="G2210" s="675"/>
      <c r="H2210" s="675"/>
      <c r="I2210" s="675"/>
      <c r="J2210" s="675"/>
      <c r="K2210" s="675"/>
      <c r="L2210" s="675"/>
      <c r="M2210" s="675"/>
    </row>
    <row r="2211" spans="1:13" x14ac:dyDescent="0.25">
      <c r="A2211" s="675" t="s">
        <v>2239</v>
      </c>
      <c r="B2211" s="675" t="s">
        <v>512</v>
      </c>
      <c r="C2211" s="675" t="s">
        <v>1505</v>
      </c>
      <c r="D2211" s="675" t="s">
        <v>21</v>
      </c>
      <c r="E2211" s="675" t="s">
        <v>514</v>
      </c>
      <c r="F2211" s="675" t="s">
        <v>515</v>
      </c>
      <c r="G2211" s="675"/>
      <c r="H2211" s="675"/>
      <c r="I2211" s="675"/>
      <c r="J2211" s="675"/>
      <c r="K2211" s="675"/>
      <c r="L2211" s="675"/>
      <c r="M2211" s="675"/>
    </row>
    <row r="2212" spans="1:13" x14ac:dyDescent="0.25">
      <c r="A2212" s="675" t="s">
        <v>2239</v>
      </c>
      <c r="B2212" s="675" t="s">
        <v>512</v>
      </c>
      <c r="C2212" s="675" t="s">
        <v>633</v>
      </c>
      <c r="D2212" s="675" t="s">
        <v>21</v>
      </c>
      <c r="E2212" s="675" t="s">
        <v>514</v>
      </c>
      <c r="F2212" s="675" t="s">
        <v>515</v>
      </c>
      <c r="G2212" s="675"/>
      <c r="H2212" s="675"/>
      <c r="I2212" s="675"/>
      <c r="J2212" s="675"/>
      <c r="K2212" s="675"/>
      <c r="L2212" s="675"/>
      <c r="M2212" s="675"/>
    </row>
    <row r="2213" spans="1:13" x14ac:dyDescent="0.25">
      <c r="A2213" s="675" t="s">
        <v>2239</v>
      </c>
      <c r="B2213" s="675" t="s">
        <v>512</v>
      </c>
      <c r="C2213" s="675" t="s">
        <v>1088</v>
      </c>
      <c r="D2213" s="675" t="s">
        <v>21</v>
      </c>
      <c r="E2213" s="675" t="s">
        <v>514</v>
      </c>
      <c r="F2213" s="675" t="s">
        <v>515</v>
      </c>
      <c r="G2213" s="675"/>
      <c r="H2213" s="675"/>
      <c r="I2213" s="675"/>
      <c r="J2213" s="675"/>
      <c r="K2213" s="675"/>
      <c r="L2213" s="675"/>
      <c r="M2213" s="675"/>
    </row>
    <row r="2214" spans="1:13" x14ac:dyDescent="0.25">
      <c r="A2214" s="675" t="s">
        <v>2239</v>
      </c>
      <c r="B2214" s="675" t="s">
        <v>512</v>
      </c>
      <c r="C2214" s="675" t="s">
        <v>1067</v>
      </c>
      <c r="D2214" s="675" t="s">
        <v>21</v>
      </c>
      <c r="E2214" s="675" t="s">
        <v>514</v>
      </c>
      <c r="F2214" s="675" t="s">
        <v>515</v>
      </c>
      <c r="G2214" s="675"/>
      <c r="H2214" s="675"/>
      <c r="I2214" s="675"/>
      <c r="J2214" s="675"/>
      <c r="K2214" s="675"/>
      <c r="L2214" s="675"/>
      <c r="M2214" s="675"/>
    </row>
    <row r="2215" spans="1:13" x14ac:dyDescent="0.25">
      <c r="A2215" s="675" t="s">
        <v>2239</v>
      </c>
      <c r="B2215" s="675" t="s">
        <v>545</v>
      </c>
      <c r="C2215" s="675" t="s">
        <v>1068</v>
      </c>
      <c r="D2215" s="675" t="s">
        <v>21</v>
      </c>
      <c r="E2215" s="675" t="s">
        <v>514</v>
      </c>
      <c r="F2215" s="675" t="s">
        <v>515</v>
      </c>
      <c r="G2215" s="675"/>
      <c r="H2215" s="675"/>
      <c r="I2215" s="675"/>
      <c r="J2215" s="675"/>
      <c r="K2215" s="675"/>
      <c r="L2215" s="675"/>
      <c r="M2215" s="675"/>
    </row>
    <row r="2216" spans="1:13" x14ac:dyDescent="0.25">
      <c r="A2216" s="675" t="s">
        <v>2239</v>
      </c>
      <c r="B2216" s="675" t="s">
        <v>545</v>
      </c>
      <c r="C2216" s="675" t="s">
        <v>819</v>
      </c>
      <c r="D2216" s="675" t="s">
        <v>21</v>
      </c>
      <c r="E2216" s="675" t="s">
        <v>514</v>
      </c>
      <c r="F2216" s="675" t="s">
        <v>515</v>
      </c>
      <c r="G2216" s="675"/>
      <c r="H2216" s="675"/>
      <c r="I2216" s="675"/>
      <c r="J2216" s="675"/>
      <c r="K2216" s="675"/>
      <c r="L2216" s="675"/>
      <c r="M2216" s="675"/>
    </row>
    <row r="2217" spans="1:13" x14ac:dyDescent="0.25">
      <c r="A2217" s="675" t="s">
        <v>2239</v>
      </c>
      <c r="B2217" s="675" t="s">
        <v>545</v>
      </c>
      <c r="C2217" s="675" t="s">
        <v>820</v>
      </c>
      <c r="D2217" s="675" t="s">
        <v>21</v>
      </c>
      <c r="E2217" s="675" t="s">
        <v>514</v>
      </c>
      <c r="F2217" s="675" t="s">
        <v>515</v>
      </c>
      <c r="G2217" s="675"/>
      <c r="H2217" s="675"/>
      <c r="I2217" s="675"/>
      <c r="J2217" s="675"/>
      <c r="K2217" s="675"/>
      <c r="L2217" s="675"/>
      <c r="M2217" s="675"/>
    </row>
    <row r="2218" spans="1:13" x14ac:dyDescent="0.25">
      <c r="A2218" s="675" t="s">
        <v>2239</v>
      </c>
      <c r="B2218" s="675" t="s">
        <v>564</v>
      </c>
      <c r="C2218" s="675" t="s">
        <v>1069</v>
      </c>
      <c r="D2218" s="675" t="s">
        <v>21</v>
      </c>
      <c r="E2218" s="675" t="s">
        <v>514</v>
      </c>
      <c r="F2218" s="675" t="s">
        <v>515</v>
      </c>
      <c r="G2218" s="675"/>
      <c r="H2218" s="675"/>
      <c r="I2218" s="675"/>
      <c r="J2218" s="675"/>
      <c r="K2218" s="675"/>
      <c r="L2218" s="675"/>
      <c r="M2218" s="675"/>
    </row>
    <row r="2219" spans="1:13" x14ac:dyDescent="0.25">
      <c r="A2219" s="675" t="s">
        <v>2239</v>
      </c>
      <c r="B2219" s="675" t="s">
        <v>564</v>
      </c>
      <c r="C2219" s="675" t="s">
        <v>1070</v>
      </c>
      <c r="D2219" s="675" t="s">
        <v>21</v>
      </c>
      <c r="E2219" s="675" t="s">
        <v>514</v>
      </c>
      <c r="F2219" s="675" t="s">
        <v>515</v>
      </c>
      <c r="G2219" s="675"/>
      <c r="H2219" s="675"/>
      <c r="I2219" s="675"/>
      <c r="J2219" s="675"/>
      <c r="K2219" s="675"/>
      <c r="L2219" s="675"/>
      <c r="M2219" s="675"/>
    </row>
    <row r="2220" spans="1:13" x14ac:dyDescent="0.25">
      <c r="A2220" s="675" t="s">
        <v>2240</v>
      </c>
      <c r="B2220" s="675" t="s">
        <v>512</v>
      </c>
      <c r="C2220" s="675" t="s">
        <v>2241</v>
      </c>
      <c r="D2220" s="675" t="s">
        <v>21</v>
      </c>
      <c r="E2220" s="675" t="s">
        <v>514</v>
      </c>
      <c r="F2220" s="675" t="s">
        <v>515</v>
      </c>
      <c r="G2220" s="675"/>
      <c r="H2220" s="675"/>
      <c r="I2220" s="675"/>
      <c r="J2220" s="675"/>
      <c r="K2220" s="675"/>
      <c r="L2220" s="675"/>
      <c r="M2220" s="675"/>
    </row>
    <row r="2221" spans="1:13" x14ac:dyDescent="0.25">
      <c r="A2221" s="675" t="s">
        <v>2240</v>
      </c>
      <c r="B2221" s="675" t="s">
        <v>512</v>
      </c>
      <c r="C2221" s="675" t="s">
        <v>2242</v>
      </c>
      <c r="D2221" s="675" t="s">
        <v>21</v>
      </c>
      <c r="E2221" s="675" t="s">
        <v>514</v>
      </c>
      <c r="F2221" s="675" t="s">
        <v>515</v>
      </c>
      <c r="G2221" s="675"/>
      <c r="H2221" s="675"/>
      <c r="I2221" s="675"/>
      <c r="J2221" s="675"/>
      <c r="K2221" s="675"/>
      <c r="L2221" s="675"/>
      <c r="M2221" s="675"/>
    </row>
    <row r="2222" spans="1:13" x14ac:dyDescent="0.25">
      <c r="A2222" s="675" t="s">
        <v>2240</v>
      </c>
      <c r="B2222" s="675" t="s">
        <v>512</v>
      </c>
      <c r="C2222" s="675" t="s">
        <v>1815</v>
      </c>
      <c r="D2222" s="675" t="s">
        <v>21</v>
      </c>
      <c r="E2222" s="675" t="s">
        <v>514</v>
      </c>
      <c r="F2222" s="675" t="s">
        <v>515</v>
      </c>
      <c r="G2222" s="675"/>
      <c r="H2222" s="675"/>
      <c r="I2222" s="675"/>
      <c r="J2222" s="675"/>
      <c r="K2222" s="675"/>
      <c r="L2222" s="675"/>
      <c r="M2222" s="675"/>
    </row>
    <row r="2223" spans="1:13" x14ac:dyDescent="0.25">
      <c r="A2223" s="675" t="s">
        <v>2240</v>
      </c>
      <c r="B2223" s="675" t="s">
        <v>512</v>
      </c>
      <c r="C2223" s="675" t="s">
        <v>2243</v>
      </c>
      <c r="D2223" s="675" t="s">
        <v>21</v>
      </c>
      <c r="E2223" s="702"/>
      <c r="F2223" s="702"/>
      <c r="G2223" s="675"/>
      <c r="H2223" s="675"/>
      <c r="I2223" s="675"/>
      <c r="J2223" s="675"/>
      <c r="K2223" s="675"/>
      <c r="L2223" s="675"/>
      <c r="M2223" s="675"/>
    </row>
    <row r="2224" spans="1:13" x14ac:dyDescent="0.25">
      <c r="A2224" s="675" t="s">
        <v>2240</v>
      </c>
      <c r="B2224" s="675" t="s">
        <v>512</v>
      </c>
      <c r="C2224" s="675" t="s">
        <v>2244</v>
      </c>
      <c r="D2224" s="675" t="s">
        <v>21</v>
      </c>
      <c r="E2224" s="675" t="s">
        <v>514</v>
      </c>
      <c r="F2224" s="675" t="s">
        <v>515</v>
      </c>
      <c r="G2224" s="675"/>
      <c r="H2224" s="675"/>
      <c r="I2224" s="675"/>
      <c r="J2224" s="675"/>
      <c r="K2224" s="675"/>
      <c r="L2224" s="675"/>
      <c r="M2224" s="675"/>
    </row>
    <row r="2225" spans="1:13" x14ac:dyDescent="0.25">
      <c r="A2225" s="675" t="s">
        <v>2245</v>
      </c>
      <c r="B2225" s="675" t="s">
        <v>512</v>
      </c>
      <c r="C2225" s="675" t="s">
        <v>2246</v>
      </c>
      <c r="D2225" s="675" t="s">
        <v>21</v>
      </c>
      <c r="E2225" s="675" t="s">
        <v>514</v>
      </c>
      <c r="F2225" s="675" t="s">
        <v>515</v>
      </c>
      <c r="G2225" s="675"/>
      <c r="H2225" s="675"/>
      <c r="I2225" s="675"/>
      <c r="J2225" s="675"/>
      <c r="K2225" s="675"/>
      <c r="L2225" s="675"/>
      <c r="M2225" s="675"/>
    </row>
    <row r="2226" spans="1:13" x14ac:dyDescent="0.25">
      <c r="A2226" s="675" t="s">
        <v>2245</v>
      </c>
      <c r="B2226" s="675" t="s">
        <v>512</v>
      </c>
      <c r="C2226" s="675" t="s">
        <v>1724</v>
      </c>
      <c r="D2226" s="675" t="s">
        <v>21</v>
      </c>
      <c r="E2226" s="675" t="s">
        <v>514</v>
      </c>
      <c r="F2226" s="675" t="s">
        <v>515</v>
      </c>
      <c r="G2226" s="675"/>
      <c r="H2226" s="675"/>
      <c r="I2226" s="675"/>
      <c r="J2226" s="675"/>
      <c r="K2226" s="675"/>
      <c r="L2226" s="675"/>
      <c r="M2226" s="675"/>
    </row>
    <row r="2227" spans="1:13" x14ac:dyDescent="0.25">
      <c r="A2227" s="675" t="s">
        <v>2245</v>
      </c>
      <c r="B2227" s="675" t="s">
        <v>512</v>
      </c>
      <c r="C2227" s="675" t="s">
        <v>809</v>
      </c>
      <c r="D2227" s="675" t="s">
        <v>21</v>
      </c>
      <c r="E2227" s="675" t="s">
        <v>514</v>
      </c>
      <c r="F2227" s="675" t="s">
        <v>515</v>
      </c>
      <c r="G2227" s="675"/>
      <c r="H2227" s="675"/>
      <c r="I2227" s="675"/>
      <c r="J2227" s="675"/>
      <c r="K2227" s="675"/>
      <c r="L2227" s="675"/>
      <c r="M2227" s="675"/>
    </row>
    <row r="2228" spans="1:13" x14ac:dyDescent="0.25">
      <c r="A2228" s="675" t="s">
        <v>2245</v>
      </c>
      <c r="B2228" s="675" t="s">
        <v>512</v>
      </c>
      <c r="C2228" s="675" t="s">
        <v>2247</v>
      </c>
      <c r="D2228" s="675" t="s">
        <v>21</v>
      </c>
      <c r="E2228" s="675" t="s">
        <v>514</v>
      </c>
      <c r="F2228" s="675" t="s">
        <v>515</v>
      </c>
      <c r="G2228" s="675"/>
      <c r="H2228" s="675"/>
      <c r="I2228" s="675"/>
      <c r="J2228" s="675"/>
      <c r="K2228" s="675"/>
      <c r="L2228" s="675"/>
      <c r="M2228" s="675"/>
    </row>
    <row r="2229" spans="1:13" x14ac:dyDescent="0.25">
      <c r="A2229" s="675" t="s">
        <v>2245</v>
      </c>
      <c r="B2229" s="675" t="s">
        <v>512</v>
      </c>
      <c r="C2229" s="675" t="s">
        <v>2248</v>
      </c>
      <c r="D2229" s="675" t="s">
        <v>21</v>
      </c>
      <c r="E2229" s="675" t="s">
        <v>514</v>
      </c>
      <c r="F2229" s="675" t="s">
        <v>515</v>
      </c>
      <c r="G2229" s="675"/>
      <c r="H2229" s="675"/>
      <c r="I2229" s="675"/>
      <c r="J2229" s="675"/>
      <c r="K2229" s="675"/>
      <c r="L2229" s="675"/>
      <c r="M2229" s="675"/>
    </row>
    <row r="2230" spans="1:13" x14ac:dyDescent="0.25">
      <c r="A2230" s="675" t="s">
        <v>2245</v>
      </c>
      <c r="B2230" s="675" t="s">
        <v>512</v>
      </c>
      <c r="C2230" s="675" t="s">
        <v>823</v>
      </c>
      <c r="D2230" s="675" t="s">
        <v>21</v>
      </c>
      <c r="E2230" s="675" t="s">
        <v>514</v>
      </c>
      <c r="F2230" s="675" t="s">
        <v>515</v>
      </c>
      <c r="G2230" s="675"/>
      <c r="H2230" s="675"/>
      <c r="I2230" s="675"/>
      <c r="J2230" s="675"/>
      <c r="K2230" s="675"/>
      <c r="L2230" s="675"/>
      <c r="M2230" s="675"/>
    </row>
    <row r="2231" spans="1:13" x14ac:dyDescent="0.25">
      <c r="A2231" s="675" t="s">
        <v>2245</v>
      </c>
      <c r="B2231" s="675" t="s">
        <v>512</v>
      </c>
      <c r="C2231" s="675" t="s">
        <v>2249</v>
      </c>
      <c r="D2231" s="675" t="s">
        <v>21</v>
      </c>
      <c r="E2231" s="675" t="s">
        <v>514</v>
      </c>
      <c r="F2231" s="675" t="s">
        <v>515</v>
      </c>
      <c r="G2231" s="675"/>
      <c r="H2231" s="675"/>
      <c r="I2231" s="675"/>
      <c r="J2231" s="675"/>
      <c r="K2231" s="675"/>
      <c r="L2231" s="675"/>
      <c r="M2231" s="675"/>
    </row>
    <row r="2232" spans="1:13" x14ac:dyDescent="0.25">
      <c r="A2232" s="675" t="s">
        <v>2245</v>
      </c>
      <c r="B2232" s="675" t="s">
        <v>512</v>
      </c>
      <c r="C2232" s="675" t="s">
        <v>1726</v>
      </c>
      <c r="D2232" s="675" t="s">
        <v>21</v>
      </c>
      <c r="E2232" s="675" t="s">
        <v>514</v>
      </c>
      <c r="F2232" s="675" t="s">
        <v>515</v>
      </c>
      <c r="G2232" s="675"/>
      <c r="H2232" s="675"/>
      <c r="I2232" s="675"/>
      <c r="J2232" s="675"/>
      <c r="K2232" s="675"/>
      <c r="L2232" s="675"/>
      <c r="M2232" s="675"/>
    </row>
    <row r="2233" spans="1:13" x14ac:dyDescent="0.25">
      <c r="A2233" s="675" t="s">
        <v>2245</v>
      </c>
      <c r="B2233" s="675" t="s">
        <v>512</v>
      </c>
      <c r="C2233" s="675" t="s">
        <v>1505</v>
      </c>
      <c r="D2233" s="675" t="s">
        <v>21</v>
      </c>
      <c r="E2233" s="675" t="s">
        <v>514</v>
      </c>
      <c r="F2233" s="675" t="s">
        <v>515</v>
      </c>
      <c r="G2233" s="675"/>
      <c r="H2233" s="675"/>
      <c r="I2233" s="675"/>
      <c r="J2233" s="675"/>
      <c r="K2233" s="675"/>
      <c r="L2233" s="675"/>
      <c r="M2233" s="675"/>
    </row>
    <row r="2234" spans="1:13" x14ac:dyDescent="0.25">
      <c r="A2234" s="675" t="s">
        <v>2245</v>
      </c>
      <c r="B2234" s="675" t="s">
        <v>512</v>
      </c>
      <c r="C2234" s="675" t="s">
        <v>1074</v>
      </c>
      <c r="D2234" s="675" t="s">
        <v>21</v>
      </c>
      <c r="E2234" s="675" t="s">
        <v>514</v>
      </c>
      <c r="F2234" s="675" t="s">
        <v>515</v>
      </c>
      <c r="G2234" s="675"/>
      <c r="H2234" s="675"/>
      <c r="I2234" s="675"/>
      <c r="J2234" s="675"/>
      <c r="K2234" s="675"/>
      <c r="L2234" s="675"/>
      <c r="M2234" s="675"/>
    </row>
    <row r="2235" spans="1:13" x14ac:dyDescent="0.25">
      <c r="A2235" s="675" t="s">
        <v>2245</v>
      </c>
      <c r="B2235" s="675" t="s">
        <v>512</v>
      </c>
      <c r="C2235" s="675" t="s">
        <v>2250</v>
      </c>
      <c r="D2235" s="675" t="s">
        <v>21</v>
      </c>
      <c r="E2235" s="675" t="s">
        <v>514</v>
      </c>
      <c r="F2235" s="675" t="s">
        <v>515</v>
      </c>
      <c r="G2235" s="675"/>
      <c r="H2235" s="675"/>
      <c r="I2235" s="675"/>
      <c r="J2235" s="675"/>
      <c r="K2235" s="675"/>
      <c r="L2235" s="675"/>
      <c r="M2235" s="675"/>
    </row>
    <row r="2236" spans="1:13" x14ac:dyDescent="0.25">
      <c r="A2236" s="675" t="s">
        <v>2245</v>
      </c>
      <c r="B2236" s="675" t="s">
        <v>512</v>
      </c>
      <c r="C2236" s="675" t="s">
        <v>2251</v>
      </c>
      <c r="D2236" s="675" t="s">
        <v>21</v>
      </c>
      <c r="E2236" s="675" t="s">
        <v>514</v>
      </c>
      <c r="F2236" s="675" t="s">
        <v>515</v>
      </c>
      <c r="G2236" s="675"/>
      <c r="H2236" s="675"/>
      <c r="I2236" s="675"/>
      <c r="J2236" s="675"/>
      <c r="K2236" s="675"/>
      <c r="L2236" s="675"/>
      <c r="M2236" s="675"/>
    </row>
    <row r="2237" spans="1:13" x14ac:dyDescent="0.25">
      <c r="A2237" s="675" t="s">
        <v>2245</v>
      </c>
      <c r="B2237" s="675" t="s">
        <v>512</v>
      </c>
      <c r="C2237" s="675" t="s">
        <v>1871</v>
      </c>
      <c r="D2237" s="675" t="s">
        <v>21</v>
      </c>
      <c r="E2237" s="675" t="s">
        <v>514</v>
      </c>
      <c r="F2237" s="675" t="s">
        <v>515</v>
      </c>
      <c r="G2237" s="675"/>
      <c r="H2237" s="675"/>
      <c r="I2237" s="675"/>
      <c r="J2237" s="675"/>
      <c r="K2237" s="675"/>
      <c r="L2237" s="675"/>
      <c r="M2237" s="675"/>
    </row>
    <row r="2238" spans="1:13" x14ac:dyDescent="0.25">
      <c r="A2238" s="675" t="s">
        <v>2245</v>
      </c>
      <c r="B2238" s="675" t="s">
        <v>512</v>
      </c>
      <c r="C2238" s="675" t="s">
        <v>2252</v>
      </c>
      <c r="D2238" s="675" t="s">
        <v>21</v>
      </c>
      <c r="E2238" s="675" t="s">
        <v>514</v>
      </c>
      <c r="F2238" s="675" t="s">
        <v>515</v>
      </c>
      <c r="G2238" s="675"/>
      <c r="H2238" s="675"/>
      <c r="I2238" s="675"/>
      <c r="J2238" s="675"/>
      <c r="K2238" s="675"/>
      <c r="L2238" s="675"/>
      <c r="M2238" s="675"/>
    </row>
    <row r="2239" spans="1:13" x14ac:dyDescent="0.25">
      <c r="A2239" s="675" t="s">
        <v>2245</v>
      </c>
      <c r="B2239" s="675" t="s">
        <v>512</v>
      </c>
      <c r="C2239" s="675" t="s">
        <v>1091</v>
      </c>
      <c r="D2239" s="675" t="s">
        <v>21</v>
      </c>
      <c r="E2239" s="675" t="s">
        <v>514</v>
      </c>
      <c r="F2239" s="675" t="s">
        <v>515</v>
      </c>
      <c r="G2239" s="675"/>
      <c r="H2239" s="675"/>
      <c r="I2239" s="675"/>
      <c r="J2239" s="675"/>
      <c r="K2239" s="675"/>
      <c r="L2239" s="675"/>
      <c r="M2239" s="675"/>
    </row>
    <row r="2240" spans="1:13" x14ac:dyDescent="0.25">
      <c r="A2240" s="675" t="s">
        <v>2245</v>
      </c>
      <c r="B2240" s="675" t="s">
        <v>512</v>
      </c>
      <c r="C2240" s="675" t="s">
        <v>2253</v>
      </c>
      <c r="D2240" s="675" t="s">
        <v>21</v>
      </c>
      <c r="E2240" s="675" t="s">
        <v>514</v>
      </c>
      <c r="F2240" s="675" t="s">
        <v>515</v>
      </c>
      <c r="G2240" s="675"/>
      <c r="H2240" s="675"/>
      <c r="I2240" s="675"/>
      <c r="J2240" s="675"/>
      <c r="K2240" s="675"/>
      <c r="L2240" s="675"/>
      <c r="M2240" s="675"/>
    </row>
    <row r="2241" spans="1:13" x14ac:dyDescent="0.25">
      <c r="A2241" s="675" t="s">
        <v>2245</v>
      </c>
      <c r="B2241" s="675" t="s">
        <v>512</v>
      </c>
      <c r="C2241" s="675" t="s">
        <v>1728</v>
      </c>
      <c r="D2241" s="675" t="s">
        <v>21</v>
      </c>
      <c r="E2241" s="675" t="s">
        <v>514</v>
      </c>
      <c r="F2241" s="675" t="s">
        <v>515</v>
      </c>
      <c r="G2241" s="675"/>
      <c r="H2241" s="675"/>
      <c r="I2241" s="675"/>
      <c r="J2241" s="675"/>
      <c r="K2241" s="675"/>
      <c r="L2241" s="675"/>
      <c r="M2241" s="675"/>
    </row>
    <row r="2242" spans="1:13" x14ac:dyDescent="0.25">
      <c r="A2242" s="675" t="s">
        <v>2245</v>
      </c>
      <c r="B2242" s="675" t="s">
        <v>512</v>
      </c>
      <c r="C2242" s="675" t="s">
        <v>2254</v>
      </c>
      <c r="D2242" s="675" t="s">
        <v>21</v>
      </c>
      <c r="E2242" s="675" t="s">
        <v>514</v>
      </c>
      <c r="F2242" s="675" t="s">
        <v>515</v>
      </c>
      <c r="G2242" s="675"/>
      <c r="H2242" s="675"/>
      <c r="I2242" s="675"/>
      <c r="J2242" s="675"/>
      <c r="K2242" s="675"/>
      <c r="L2242" s="675"/>
      <c r="M2242" s="675"/>
    </row>
    <row r="2243" spans="1:13" x14ac:dyDescent="0.25">
      <c r="A2243" s="675" t="s">
        <v>2245</v>
      </c>
      <c r="B2243" s="675" t="s">
        <v>512</v>
      </c>
      <c r="C2243" s="675" t="s">
        <v>2255</v>
      </c>
      <c r="D2243" s="675" t="s">
        <v>21</v>
      </c>
      <c r="E2243" s="675" t="s">
        <v>514</v>
      </c>
      <c r="F2243" s="675" t="s">
        <v>515</v>
      </c>
      <c r="G2243" s="675"/>
      <c r="H2243" s="675"/>
      <c r="I2243" s="675"/>
      <c r="J2243" s="675"/>
      <c r="K2243" s="675"/>
      <c r="L2243" s="675"/>
      <c r="M2243" s="675"/>
    </row>
    <row r="2244" spans="1:13" x14ac:dyDescent="0.25">
      <c r="A2244" s="675" t="s">
        <v>2245</v>
      </c>
      <c r="B2244" s="675" t="s">
        <v>512</v>
      </c>
      <c r="C2244" s="675" t="s">
        <v>1815</v>
      </c>
      <c r="D2244" s="675" t="s">
        <v>21</v>
      </c>
      <c r="E2244" s="675" t="s">
        <v>514</v>
      </c>
      <c r="F2244" s="675" t="s">
        <v>515</v>
      </c>
      <c r="G2244" s="675"/>
      <c r="H2244" s="675"/>
      <c r="I2244" s="675"/>
      <c r="J2244" s="675"/>
      <c r="K2244" s="675"/>
      <c r="L2244" s="675"/>
      <c r="M2244" s="675"/>
    </row>
    <row r="2245" spans="1:13" x14ac:dyDescent="0.25">
      <c r="A2245" s="675" t="s">
        <v>2245</v>
      </c>
      <c r="B2245" s="675" t="s">
        <v>512</v>
      </c>
      <c r="C2245" s="675" t="s">
        <v>2256</v>
      </c>
      <c r="D2245" s="675" t="s">
        <v>21</v>
      </c>
      <c r="E2245" s="675" t="s">
        <v>514</v>
      </c>
      <c r="F2245" s="675" t="s">
        <v>515</v>
      </c>
      <c r="G2245" s="675"/>
      <c r="H2245" s="675"/>
      <c r="I2245" s="675"/>
      <c r="J2245" s="675"/>
      <c r="K2245" s="675"/>
      <c r="L2245" s="675"/>
      <c r="M2245" s="675"/>
    </row>
    <row r="2246" spans="1:13" x14ac:dyDescent="0.25">
      <c r="A2246" s="675" t="s">
        <v>2245</v>
      </c>
      <c r="B2246" s="675" t="s">
        <v>512</v>
      </c>
      <c r="C2246" s="675" t="s">
        <v>1731</v>
      </c>
      <c r="D2246" s="675" t="s">
        <v>21</v>
      </c>
      <c r="E2246" s="675" t="s">
        <v>514</v>
      </c>
      <c r="F2246" s="675" t="s">
        <v>515</v>
      </c>
      <c r="G2246" s="675"/>
      <c r="H2246" s="675"/>
      <c r="I2246" s="675"/>
      <c r="J2246" s="675"/>
      <c r="K2246" s="675"/>
      <c r="L2246" s="675"/>
      <c r="M2246" s="675"/>
    </row>
    <row r="2247" spans="1:13" x14ac:dyDescent="0.25">
      <c r="A2247" s="675" t="s">
        <v>2245</v>
      </c>
      <c r="B2247" s="675" t="s">
        <v>512</v>
      </c>
      <c r="C2247" s="675" t="s">
        <v>1120</v>
      </c>
      <c r="D2247" s="675" t="s">
        <v>21</v>
      </c>
      <c r="E2247" s="675" t="s">
        <v>514</v>
      </c>
      <c r="F2247" s="675" t="s">
        <v>515</v>
      </c>
      <c r="G2247" s="675"/>
      <c r="H2247" s="675"/>
      <c r="I2247" s="675"/>
      <c r="J2247" s="675"/>
      <c r="K2247" s="675"/>
      <c r="L2247" s="675"/>
      <c r="M2247" s="675"/>
    </row>
    <row r="2248" spans="1:13" x14ac:dyDescent="0.25">
      <c r="A2248" s="675" t="s">
        <v>2245</v>
      </c>
      <c r="B2248" s="675" t="s">
        <v>512</v>
      </c>
      <c r="C2248" s="675" t="s">
        <v>2257</v>
      </c>
      <c r="D2248" s="675" t="s">
        <v>21</v>
      </c>
      <c r="E2248" s="675" t="s">
        <v>514</v>
      </c>
      <c r="F2248" s="675" t="s">
        <v>515</v>
      </c>
      <c r="G2248" s="675"/>
      <c r="H2248" s="675"/>
      <c r="I2248" s="675"/>
      <c r="J2248" s="675"/>
      <c r="K2248" s="675"/>
      <c r="L2248" s="675"/>
      <c r="M2248" s="675"/>
    </row>
    <row r="2249" spans="1:13" x14ac:dyDescent="0.25">
      <c r="A2249" s="675" t="s">
        <v>2245</v>
      </c>
      <c r="B2249" s="675" t="s">
        <v>545</v>
      </c>
      <c r="C2249" s="675" t="s">
        <v>2258</v>
      </c>
      <c r="D2249" s="675" t="s">
        <v>21</v>
      </c>
      <c r="E2249" s="675" t="s">
        <v>514</v>
      </c>
      <c r="F2249" s="675" t="s">
        <v>515</v>
      </c>
      <c r="G2249" s="675"/>
      <c r="H2249" s="675"/>
      <c r="I2249" s="675"/>
      <c r="J2249" s="675"/>
      <c r="K2249" s="675"/>
      <c r="L2249" s="675"/>
      <c r="M2249" s="675"/>
    </row>
    <row r="2250" spans="1:13" x14ac:dyDescent="0.25">
      <c r="A2250" s="675" t="s">
        <v>2245</v>
      </c>
      <c r="B2250" s="675" t="s">
        <v>545</v>
      </c>
      <c r="C2250" s="675" t="s">
        <v>2259</v>
      </c>
      <c r="D2250" s="675" t="s">
        <v>21</v>
      </c>
      <c r="E2250" s="675" t="s">
        <v>514</v>
      </c>
      <c r="F2250" s="675" t="s">
        <v>515</v>
      </c>
      <c r="G2250" s="675"/>
      <c r="H2250" s="675"/>
      <c r="I2250" s="675"/>
      <c r="J2250" s="675"/>
      <c r="K2250" s="675"/>
      <c r="L2250" s="675"/>
      <c r="M2250" s="675"/>
    </row>
    <row r="2251" spans="1:13" x14ac:dyDescent="0.25">
      <c r="A2251" s="675" t="s">
        <v>2245</v>
      </c>
      <c r="B2251" s="675" t="s">
        <v>545</v>
      </c>
      <c r="C2251" s="675" t="s">
        <v>2260</v>
      </c>
      <c r="D2251" s="675" t="s">
        <v>21</v>
      </c>
      <c r="E2251" s="675" t="s">
        <v>514</v>
      </c>
      <c r="F2251" s="675" t="s">
        <v>515</v>
      </c>
      <c r="G2251" s="675"/>
      <c r="H2251" s="675"/>
      <c r="I2251" s="675"/>
      <c r="J2251" s="675"/>
      <c r="K2251" s="675"/>
      <c r="L2251" s="675"/>
      <c r="M2251" s="675"/>
    </row>
    <row r="2252" spans="1:13" x14ac:dyDescent="0.25">
      <c r="A2252" s="675" t="s">
        <v>2245</v>
      </c>
      <c r="B2252" s="675" t="s">
        <v>545</v>
      </c>
      <c r="C2252" s="675" t="s">
        <v>1112</v>
      </c>
      <c r="D2252" s="675" t="s">
        <v>21</v>
      </c>
      <c r="E2252" s="675" t="s">
        <v>514</v>
      </c>
      <c r="F2252" s="675" t="s">
        <v>515</v>
      </c>
      <c r="G2252" s="675"/>
      <c r="H2252" s="675"/>
      <c r="I2252" s="675"/>
      <c r="J2252" s="675"/>
      <c r="K2252" s="675"/>
      <c r="L2252" s="675"/>
      <c r="M2252" s="675"/>
    </row>
    <row r="2253" spans="1:13" x14ac:dyDescent="0.25">
      <c r="A2253" s="675" t="s">
        <v>2245</v>
      </c>
      <c r="B2253" s="675" t="s">
        <v>545</v>
      </c>
      <c r="C2253" s="675" t="s">
        <v>2261</v>
      </c>
      <c r="D2253" s="675" t="s">
        <v>21</v>
      </c>
      <c r="E2253" s="675" t="s">
        <v>514</v>
      </c>
      <c r="F2253" s="675" t="s">
        <v>515</v>
      </c>
      <c r="G2253" s="675"/>
      <c r="H2253" s="675"/>
      <c r="I2253" s="675"/>
      <c r="J2253" s="675"/>
      <c r="K2253" s="675"/>
      <c r="L2253" s="675"/>
      <c r="M2253" s="675"/>
    </row>
    <row r="2254" spans="1:13" x14ac:dyDescent="0.25">
      <c r="A2254" s="675" t="s">
        <v>2245</v>
      </c>
      <c r="B2254" s="675" t="s">
        <v>545</v>
      </c>
      <c r="C2254" s="675" t="s">
        <v>2262</v>
      </c>
      <c r="D2254" s="675" t="s">
        <v>21</v>
      </c>
      <c r="E2254" s="675" t="s">
        <v>514</v>
      </c>
      <c r="F2254" s="675" t="s">
        <v>515</v>
      </c>
      <c r="G2254" s="675"/>
      <c r="H2254" s="675"/>
      <c r="I2254" s="675"/>
      <c r="J2254" s="675"/>
      <c r="K2254" s="675"/>
      <c r="L2254" s="675"/>
      <c r="M2254" s="675"/>
    </row>
    <row r="2255" spans="1:13" x14ac:dyDescent="0.25">
      <c r="A2255" s="675" t="s">
        <v>2245</v>
      </c>
      <c r="B2255" s="675" t="s">
        <v>564</v>
      </c>
      <c r="C2255" s="675" t="s">
        <v>2263</v>
      </c>
      <c r="D2255" s="675" t="s">
        <v>21</v>
      </c>
      <c r="E2255" s="675" t="s">
        <v>514</v>
      </c>
      <c r="F2255" s="675" t="s">
        <v>515</v>
      </c>
      <c r="G2255" s="675"/>
      <c r="H2255" s="675"/>
      <c r="I2255" s="675"/>
      <c r="J2255" s="675"/>
      <c r="K2255" s="675"/>
      <c r="L2255" s="675"/>
      <c r="M2255" s="675"/>
    </row>
    <row r="2256" spans="1:13" x14ac:dyDescent="0.25">
      <c r="A2256" s="675" t="s">
        <v>2245</v>
      </c>
      <c r="B2256" s="675" t="s">
        <v>564</v>
      </c>
      <c r="C2256" s="675" t="s">
        <v>1736</v>
      </c>
      <c r="D2256" s="675" t="s">
        <v>21</v>
      </c>
      <c r="E2256" s="675" t="s">
        <v>514</v>
      </c>
      <c r="F2256" s="675" t="s">
        <v>515</v>
      </c>
      <c r="G2256" s="675"/>
      <c r="H2256" s="675"/>
      <c r="I2256" s="675"/>
      <c r="J2256" s="675"/>
      <c r="K2256" s="675"/>
      <c r="L2256" s="675"/>
      <c r="M2256" s="675"/>
    </row>
    <row r="2257" spans="1:13" x14ac:dyDescent="0.25">
      <c r="A2257" s="675" t="s">
        <v>2245</v>
      </c>
      <c r="B2257" s="675" t="s">
        <v>564</v>
      </c>
      <c r="C2257" s="675" t="s">
        <v>645</v>
      </c>
      <c r="D2257" s="675" t="s">
        <v>21</v>
      </c>
      <c r="E2257" s="675" t="s">
        <v>514</v>
      </c>
      <c r="F2257" s="675" t="s">
        <v>515</v>
      </c>
      <c r="G2257" s="675"/>
      <c r="H2257" s="675"/>
      <c r="I2257" s="675"/>
      <c r="J2257" s="675"/>
      <c r="K2257" s="675"/>
      <c r="L2257" s="675"/>
      <c r="M2257" s="675"/>
    </row>
    <row r="2258" spans="1:13" x14ac:dyDescent="0.25">
      <c r="A2258" s="675" t="s">
        <v>2245</v>
      </c>
      <c r="B2258" s="675" t="s">
        <v>564</v>
      </c>
      <c r="C2258" s="675" t="s">
        <v>1737</v>
      </c>
      <c r="D2258" s="675" t="s">
        <v>21</v>
      </c>
      <c r="E2258" s="675" t="s">
        <v>514</v>
      </c>
      <c r="F2258" s="675" t="s">
        <v>515</v>
      </c>
      <c r="G2258" s="675"/>
      <c r="H2258" s="675"/>
      <c r="I2258" s="675"/>
      <c r="J2258" s="675"/>
      <c r="K2258" s="675"/>
      <c r="L2258" s="675"/>
      <c r="M2258" s="675"/>
    </row>
    <row r="2259" spans="1:13" x14ac:dyDescent="0.25">
      <c r="A2259" s="675" t="s">
        <v>2264</v>
      </c>
      <c r="B2259" s="675" t="s">
        <v>512</v>
      </c>
      <c r="C2259" s="675" t="s">
        <v>2265</v>
      </c>
      <c r="D2259" s="675" t="s">
        <v>21</v>
      </c>
      <c r="E2259" s="702"/>
      <c r="F2259" s="702"/>
      <c r="G2259" s="675"/>
      <c r="H2259" s="675"/>
      <c r="I2259" s="675"/>
      <c r="J2259" s="675"/>
      <c r="K2259" s="675"/>
      <c r="L2259" s="675"/>
      <c r="M2259" s="675"/>
    </row>
    <row r="2260" spans="1:13" x14ac:dyDescent="0.25">
      <c r="A2260" s="675" t="s">
        <v>2264</v>
      </c>
      <c r="B2260" s="675" t="s">
        <v>512</v>
      </c>
      <c r="C2260" s="675" t="s">
        <v>2266</v>
      </c>
      <c r="D2260" s="675" t="s">
        <v>21</v>
      </c>
      <c r="E2260" s="702"/>
      <c r="F2260" s="702"/>
      <c r="G2260" s="675"/>
      <c r="H2260" s="675"/>
      <c r="I2260" s="675"/>
      <c r="J2260" s="675"/>
      <c r="K2260" s="675"/>
      <c r="L2260" s="675"/>
      <c r="M2260" s="675"/>
    </row>
    <row r="2261" spans="1:13" x14ac:dyDescent="0.25">
      <c r="A2261" s="675" t="s">
        <v>2264</v>
      </c>
      <c r="B2261" s="675" t="s">
        <v>512</v>
      </c>
      <c r="C2261" s="675" t="s">
        <v>2267</v>
      </c>
      <c r="D2261" s="675" t="s">
        <v>21</v>
      </c>
      <c r="E2261" s="702"/>
      <c r="F2261" s="702"/>
      <c r="G2261" s="675"/>
      <c r="H2261" s="675"/>
      <c r="I2261" s="675"/>
      <c r="J2261" s="675"/>
      <c r="K2261" s="675"/>
      <c r="L2261" s="675"/>
      <c r="M2261" s="675"/>
    </row>
    <row r="2262" spans="1:13" x14ac:dyDescent="0.25">
      <c r="A2262" s="675" t="s">
        <v>2264</v>
      </c>
      <c r="B2262" s="675" t="s">
        <v>512</v>
      </c>
      <c r="C2262" s="675" t="s">
        <v>2268</v>
      </c>
      <c r="D2262" s="675" t="s">
        <v>21</v>
      </c>
      <c r="E2262" s="702"/>
      <c r="F2262" s="702"/>
      <c r="G2262" s="675"/>
      <c r="H2262" s="675"/>
      <c r="I2262" s="675"/>
      <c r="J2262" s="675"/>
      <c r="K2262" s="675"/>
      <c r="L2262" s="675"/>
      <c r="M2262" s="675"/>
    </row>
    <row r="2263" spans="1:13" x14ac:dyDescent="0.25">
      <c r="A2263" s="675" t="s">
        <v>2264</v>
      </c>
      <c r="B2263" s="675" t="s">
        <v>512</v>
      </c>
      <c r="C2263" s="675" t="s">
        <v>2269</v>
      </c>
      <c r="D2263" s="675" t="s">
        <v>21</v>
      </c>
      <c r="E2263" s="702"/>
      <c r="F2263" s="702"/>
      <c r="G2263" s="675"/>
      <c r="H2263" s="675"/>
      <c r="I2263" s="675"/>
      <c r="J2263" s="675"/>
      <c r="K2263" s="675"/>
      <c r="L2263" s="675"/>
      <c r="M2263" s="675"/>
    </row>
    <row r="2264" spans="1:13" x14ac:dyDescent="0.25">
      <c r="A2264" s="675" t="s">
        <v>2264</v>
      </c>
      <c r="B2264" s="675" t="s">
        <v>545</v>
      </c>
      <c r="C2264" s="675" t="s">
        <v>2270</v>
      </c>
      <c r="D2264" s="675" t="s">
        <v>21</v>
      </c>
      <c r="E2264" s="702"/>
      <c r="F2264" s="702"/>
      <c r="G2264" s="675"/>
      <c r="H2264" s="675"/>
      <c r="I2264" s="675"/>
      <c r="J2264" s="675"/>
      <c r="K2264" s="675"/>
      <c r="L2264" s="675"/>
      <c r="M2264" s="675"/>
    </row>
    <row r="2265" spans="1:13" x14ac:dyDescent="0.25">
      <c r="A2265" s="675" t="s">
        <v>2264</v>
      </c>
      <c r="B2265" s="675" t="s">
        <v>545</v>
      </c>
      <c r="C2265" s="675" t="s">
        <v>2271</v>
      </c>
      <c r="D2265" s="675" t="s">
        <v>21</v>
      </c>
      <c r="E2265" s="702"/>
      <c r="F2265" s="702"/>
      <c r="G2265" s="675"/>
      <c r="H2265" s="675"/>
      <c r="I2265" s="675"/>
      <c r="J2265" s="675"/>
      <c r="K2265" s="675"/>
      <c r="L2265" s="675"/>
      <c r="M2265" s="675"/>
    </row>
    <row r="2266" spans="1:13" x14ac:dyDescent="0.25">
      <c r="A2266" s="675" t="s">
        <v>2264</v>
      </c>
      <c r="B2266" s="675" t="s">
        <v>545</v>
      </c>
      <c r="C2266" s="675" t="s">
        <v>2272</v>
      </c>
      <c r="D2266" s="675" t="s">
        <v>21</v>
      </c>
      <c r="E2266" s="702"/>
      <c r="F2266" s="702"/>
      <c r="G2266" s="675"/>
      <c r="H2266" s="675"/>
      <c r="I2266" s="675"/>
      <c r="J2266" s="675"/>
      <c r="K2266" s="675"/>
      <c r="L2266" s="675"/>
      <c r="M2266" s="675"/>
    </row>
    <row r="2267" spans="1:13" x14ac:dyDescent="0.25">
      <c r="A2267" s="675" t="s">
        <v>2264</v>
      </c>
      <c r="B2267" s="675" t="s">
        <v>545</v>
      </c>
      <c r="C2267" s="675" t="s">
        <v>2273</v>
      </c>
      <c r="D2267" s="675" t="s">
        <v>21</v>
      </c>
      <c r="E2267" s="702"/>
      <c r="F2267" s="702"/>
      <c r="G2267" s="675"/>
      <c r="H2267" s="675"/>
      <c r="I2267" s="675"/>
      <c r="J2267" s="675"/>
      <c r="K2267" s="675"/>
      <c r="L2267" s="675"/>
      <c r="M2267" s="675"/>
    </row>
    <row r="2268" spans="1:13" x14ac:dyDescent="0.25">
      <c r="A2268" s="675" t="s">
        <v>2264</v>
      </c>
      <c r="B2268" s="675" t="s">
        <v>545</v>
      </c>
      <c r="C2268" s="675" t="s">
        <v>2274</v>
      </c>
      <c r="D2268" s="675" t="s">
        <v>21</v>
      </c>
      <c r="E2268" s="702"/>
      <c r="F2268" s="702"/>
      <c r="G2268" s="675"/>
      <c r="H2268" s="675"/>
      <c r="I2268" s="675"/>
      <c r="J2268" s="675"/>
      <c r="K2268" s="675"/>
      <c r="L2268" s="675"/>
      <c r="M2268" s="675"/>
    </row>
    <row r="2269" spans="1:13" x14ac:dyDescent="0.25">
      <c r="A2269" s="675" t="s">
        <v>2264</v>
      </c>
      <c r="B2269" s="675" t="s">
        <v>564</v>
      </c>
      <c r="C2269" s="675" t="s">
        <v>2275</v>
      </c>
      <c r="D2269" s="675" t="s">
        <v>21</v>
      </c>
      <c r="E2269" s="702"/>
      <c r="F2269" s="702"/>
      <c r="G2269" s="675"/>
      <c r="H2269" s="675"/>
      <c r="I2269" s="675"/>
      <c r="J2269" s="675"/>
      <c r="K2269" s="675"/>
      <c r="L2269" s="675"/>
      <c r="M2269" s="675"/>
    </row>
    <row r="2270" spans="1:13" x14ac:dyDescent="0.25">
      <c r="A2270" s="675" t="s">
        <v>2264</v>
      </c>
      <c r="B2270" s="675" t="s">
        <v>564</v>
      </c>
      <c r="C2270" s="675" t="s">
        <v>2276</v>
      </c>
      <c r="D2270" s="675" t="s">
        <v>21</v>
      </c>
      <c r="E2270" s="702"/>
      <c r="F2270" s="702"/>
      <c r="G2270" s="675"/>
      <c r="H2270" s="675"/>
      <c r="I2270" s="675"/>
      <c r="J2270" s="675"/>
      <c r="K2270" s="675"/>
      <c r="L2270" s="675"/>
      <c r="M2270" s="675"/>
    </row>
    <row r="2271" spans="1:13" x14ac:dyDescent="0.25">
      <c r="A2271" s="675" t="s">
        <v>2264</v>
      </c>
      <c r="B2271" s="675" t="s">
        <v>564</v>
      </c>
      <c r="C2271" s="675" t="s">
        <v>2277</v>
      </c>
      <c r="D2271" s="675" t="s">
        <v>21</v>
      </c>
      <c r="E2271" s="702"/>
      <c r="F2271" s="702"/>
      <c r="G2271" s="675"/>
      <c r="H2271" s="675"/>
      <c r="I2271" s="675"/>
      <c r="J2271" s="675"/>
      <c r="K2271" s="675"/>
      <c r="L2271" s="675"/>
      <c r="M2271" s="675"/>
    </row>
    <row r="2272" spans="1:13" x14ac:dyDescent="0.25">
      <c r="A2272" s="675" t="s">
        <v>2264</v>
      </c>
      <c r="B2272" s="675" t="s">
        <v>564</v>
      </c>
      <c r="C2272" s="675" t="s">
        <v>2278</v>
      </c>
      <c r="D2272" s="675" t="s">
        <v>21</v>
      </c>
      <c r="E2272" s="702"/>
      <c r="F2272" s="702"/>
      <c r="G2272" s="675"/>
      <c r="H2272" s="675"/>
      <c r="I2272" s="675"/>
      <c r="J2272" s="675"/>
      <c r="K2272" s="675"/>
      <c r="L2272" s="675"/>
      <c r="M2272" s="675"/>
    </row>
    <row r="2273" spans="1:13" x14ac:dyDescent="0.25">
      <c r="A2273" s="675" t="s">
        <v>2264</v>
      </c>
      <c r="B2273" s="675" t="s">
        <v>564</v>
      </c>
      <c r="C2273" s="675" t="s">
        <v>2279</v>
      </c>
      <c r="D2273" s="675" t="s">
        <v>21</v>
      </c>
      <c r="E2273" s="702"/>
      <c r="F2273" s="702"/>
      <c r="G2273" s="675"/>
      <c r="H2273" s="675"/>
      <c r="I2273" s="675"/>
      <c r="J2273" s="675"/>
      <c r="K2273" s="675"/>
      <c r="L2273" s="675"/>
      <c r="M2273" s="675"/>
    </row>
    <row r="2274" spans="1:13" x14ac:dyDescent="0.25">
      <c r="A2274" s="675" t="s">
        <v>2280</v>
      </c>
      <c r="B2274" s="675" t="s">
        <v>512</v>
      </c>
      <c r="C2274" s="675" t="s">
        <v>2281</v>
      </c>
      <c r="D2274" s="675" t="s">
        <v>21</v>
      </c>
      <c r="E2274" s="675" t="s">
        <v>514</v>
      </c>
      <c r="F2274" s="675" t="s">
        <v>515</v>
      </c>
      <c r="G2274" s="675"/>
      <c r="H2274" s="675"/>
      <c r="I2274" s="675"/>
      <c r="J2274" s="675"/>
      <c r="K2274" s="675"/>
      <c r="L2274" s="675"/>
      <c r="M2274" s="675"/>
    </row>
    <row r="2275" spans="1:13" x14ac:dyDescent="0.25">
      <c r="A2275" s="675" t="s">
        <v>2280</v>
      </c>
      <c r="B2275" s="675" t="s">
        <v>512</v>
      </c>
      <c r="C2275" s="675" t="s">
        <v>2282</v>
      </c>
      <c r="D2275" s="675" t="s">
        <v>21</v>
      </c>
      <c r="E2275" s="675" t="s">
        <v>514</v>
      </c>
      <c r="F2275" s="675" t="s">
        <v>515</v>
      </c>
      <c r="G2275" s="675"/>
      <c r="H2275" s="675"/>
      <c r="I2275" s="675"/>
      <c r="J2275" s="675"/>
      <c r="K2275" s="675"/>
      <c r="L2275" s="675"/>
      <c r="M2275" s="675"/>
    </row>
    <row r="2276" spans="1:13" x14ac:dyDescent="0.25">
      <c r="A2276" s="675" t="s">
        <v>2280</v>
      </c>
      <c r="B2276" s="675" t="s">
        <v>512</v>
      </c>
      <c r="C2276" s="675" t="s">
        <v>2283</v>
      </c>
      <c r="D2276" s="675" t="s">
        <v>21</v>
      </c>
      <c r="E2276" s="675" t="s">
        <v>514</v>
      </c>
      <c r="F2276" s="675" t="s">
        <v>515</v>
      </c>
      <c r="G2276" s="675"/>
      <c r="H2276" s="675"/>
      <c r="I2276" s="675"/>
      <c r="J2276" s="675"/>
      <c r="K2276" s="675"/>
      <c r="L2276" s="675"/>
      <c r="M2276" s="675"/>
    </row>
    <row r="2277" spans="1:13" x14ac:dyDescent="0.25">
      <c r="A2277" s="675" t="s">
        <v>2280</v>
      </c>
      <c r="B2277" s="675" t="s">
        <v>512</v>
      </c>
      <c r="C2277" s="675" t="s">
        <v>2284</v>
      </c>
      <c r="D2277" s="675" t="s">
        <v>21</v>
      </c>
      <c r="E2277" s="675" t="s">
        <v>514</v>
      </c>
      <c r="F2277" s="675" t="s">
        <v>515</v>
      </c>
      <c r="G2277" s="675"/>
      <c r="H2277" s="675"/>
      <c r="I2277" s="675"/>
      <c r="J2277" s="675"/>
      <c r="K2277" s="675"/>
      <c r="L2277" s="675"/>
      <c r="M2277" s="675"/>
    </row>
    <row r="2278" spans="1:13" x14ac:dyDescent="0.25">
      <c r="A2278" s="675" t="s">
        <v>2280</v>
      </c>
      <c r="B2278" s="675" t="s">
        <v>512</v>
      </c>
      <c r="C2278" s="675" t="s">
        <v>2285</v>
      </c>
      <c r="D2278" s="675" t="s">
        <v>21</v>
      </c>
      <c r="E2278" s="675" t="s">
        <v>514</v>
      </c>
      <c r="F2278" s="675" t="s">
        <v>515</v>
      </c>
      <c r="G2278" s="675"/>
      <c r="H2278" s="675"/>
      <c r="I2278" s="675"/>
      <c r="J2278" s="675"/>
      <c r="K2278" s="675"/>
      <c r="L2278" s="675"/>
      <c r="M2278" s="675"/>
    </row>
    <row r="2279" spans="1:13" x14ac:dyDescent="0.25">
      <c r="A2279" s="675" t="s">
        <v>2280</v>
      </c>
      <c r="B2279" s="675" t="s">
        <v>512</v>
      </c>
      <c r="C2279" s="675" t="s">
        <v>2286</v>
      </c>
      <c r="D2279" s="675" t="s">
        <v>21</v>
      </c>
      <c r="E2279" s="675" t="s">
        <v>514</v>
      </c>
      <c r="F2279" s="675" t="s">
        <v>515</v>
      </c>
      <c r="G2279" s="675"/>
      <c r="H2279" s="675"/>
      <c r="I2279" s="675"/>
      <c r="J2279" s="675"/>
      <c r="K2279" s="675"/>
      <c r="L2279" s="675"/>
      <c r="M2279" s="675"/>
    </row>
    <row r="2280" spans="1:13" x14ac:dyDescent="0.25">
      <c r="A2280" s="675" t="s">
        <v>2280</v>
      </c>
      <c r="B2280" s="675" t="s">
        <v>512</v>
      </c>
      <c r="C2280" s="675" t="s">
        <v>2287</v>
      </c>
      <c r="D2280" s="675" t="s">
        <v>21</v>
      </c>
      <c r="E2280" s="675" t="s">
        <v>514</v>
      </c>
      <c r="F2280" s="675" t="s">
        <v>515</v>
      </c>
      <c r="G2280" s="675"/>
      <c r="H2280" s="675"/>
      <c r="I2280" s="675"/>
      <c r="J2280" s="675"/>
      <c r="K2280" s="675"/>
      <c r="L2280" s="675"/>
      <c r="M2280" s="675"/>
    </row>
    <row r="2281" spans="1:13" x14ac:dyDescent="0.25">
      <c r="A2281" s="675" t="s">
        <v>2280</v>
      </c>
      <c r="B2281" s="675" t="s">
        <v>512</v>
      </c>
      <c r="C2281" s="675" t="s">
        <v>2288</v>
      </c>
      <c r="D2281" s="675" t="s">
        <v>21</v>
      </c>
      <c r="E2281" s="675" t="s">
        <v>514</v>
      </c>
      <c r="F2281" s="675" t="s">
        <v>515</v>
      </c>
      <c r="G2281" s="675"/>
      <c r="H2281" s="675"/>
      <c r="I2281" s="675"/>
      <c r="J2281" s="675"/>
      <c r="K2281" s="675"/>
      <c r="L2281" s="675"/>
      <c r="M2281" s="675"/>
    </row>
    <row r="2282" spans="1:13" x14ac:dyDescent="0.25">
      <c r="A2282" s="675" t="s">
        <v>2280</v>
      </c>
      <c r="B2282" s="675" t="s">
        <v>512</v>
      </c>
      <c r="C2282" s="675" t="s">
        <v>2289</v>
      </c>
      <c r="D2282" s="675" t="s">
        <v>21</v>
      </c>
      <c r="E2282" s="675" t="s">
        <v>514</v>
      </c>
      <c r="F2282" s="675" t="s">
        <v>515</v>
      </c>
      <c r="G2282" s="675"/>
      <c r="H2282" s="675"/>
      <c r="I2282" s="675"/>
      <c r="J2282" s="675"/>
      <c r="K2282" s="675"/>
      <c r="L2282" s="675"/>
      <c r="M2282" s="675"/>
    </row>
    <row r="2283" spans="1:13" x14ac:dyDescent="0.25">
      <c r="A2283" s="675" t="s">
        <v>2280</v>
      </c>
      <c r="B2283" s="675" t="s">
        <v>512</v>
      </c>
      <c r="C2283" s="675" t="s">
        <v>2290</v>
      </c>
      <c r="D2283" s="675" t="s">
        <v>21</v>
      </c>
      <c r="E2283" s="675" t="s">
        <v>514</v>
      </c>
      <c r="F2283" s="675" t="s">
        <v>515</v>
      </c>
      <c r="G2283" s="675"/>
      <c r="H2283" s="675"/>
      <c r="I2283" s="675"/>
      <c r="J2283" s="675"/>
      <c r="K2283" s="675"/>
      <c r="L2283" s="675"/>
      <c r="M2283" s="675"/>
    </row>
    <row r="2284" spans="1:13" ht="17.25" x14ac:dyDescent="0.3">
      <c r="A2284" s="675" t="s">
        <v>2280</v>
      </c>
      <c r="B2284" s="675" t="s">
        <v>512</v>
      </c>
      <c r="C2284" s="679" t="s">
        <v>2291</v>
      </c>
      <c r="D2284" s="675" t="s">
        <v>21</v>
      </c>
      <c r="E2284" s="675" t="s">
        <v>514</v>
      </c>
      <c r="F2284" s="675" t="s">
        <v>515</v>
      </c>
      <c r="G2284" s="675"/>
      <c r="H2284" s="675"/>
      <c r="I2284" s="675"/>
      <c r="J2284" s="675"/>
      <c r="K2284" s="675"/>
      <c r="L2284" s="675"/>
      <c r="M2284" s="675"/>
    </row>
    <row r="2285" spans="1:13" x14ac:dyDescent="0.25">
      <c r="A2285" s="675" t="s">
        <v>2280</v>
      </c>
      <c r="B2285" s="675" t="s">
        <v>512</v>
      </c>
      <c r="C2285" s="675" t="s">
        <v>2292</v>
      </c>
      <c r="D2285" s="675" t="s">
        <v>21</v>
      </c>
      <c r="E2285" s="675" t="s">
        <v>514</v>
      </c>
      <c r="F2285" s="675" t="s">
        <v>515</v>
      </c>
      <c r="G2285" s="675"/>
      <c r="H2285" s="675"/>
      <c r="I2285" s="675"/>
      <c r="J2285" s="675"/>
      <c r="K2285" s="675"/>
      <c r="L2285" s="675"/>
      <c r="M2285" s="675"/>
    </row>
    <row r="2286" spans="1:13" x14ac:dyDescent="0.25">
      <c r="A2286" s="675" t="s">
        <v>2280</v>
      </c>
      <c r="B2286" s="675" t="s">
        <v>512</v>
      </c>
      <c r="C2286" s="675" t="s">
        <v>2293</v>
      </c>
      <c r="D2286" s="675" t="s">
        <v>21</v>
      </c>
      <c r="E2286" s="675" t="s">
        <v>514</v>
      </c>
      <c r="F2286" s="675" t="s">
        <v>515</v>
      </c>
      <c r="G2286" s="675"/>
      <c r="H2286" s="675"/>
      <c r="I2286" s="675"/>
      <c r="J2286" s="675"/>
      <c r="K2286" s="675"/>
      <c r="L2286" s="675"/>
      <c r="M2286" s="675"/>
    </row>
    <row r="2287" spans="1:13" x14ac:dyDescent="0.25">
      <c r="A2287" s="675" t="s">
        <v>2280</v>
      </c>
      <c r="B2287" s="675" t="s">
        <v>512</v>
      </c>
      <c r="C2287" s="675" t="s">
        <v>2294</v>
      </c>
      <c r="D2287" s="675" t="s">
        <v>21</v>
      </c>
      <c r="E2287" s="675" t="s">
        <v>514</v>
      </c>
      <c r="F2287" s="675" t="s">
        <v>515</v>
      </c>
      <c r="G2287" s="675"/>
      <c r="H2287" s="675"/>
      <c r="I2287" s="675"/>
      <c r="J2287" s="675"/>
      <c r="K2287" s="675"/>
      <c r="L2287" s="675"/>
      <c r="M2287" s="675"/>
    </row>
    <row r="2288" spans="1:13" x14ac:dyDescent="0.25">
      <c r="A2288" s="675" t="s">
        <v>2280</v>
      </c>
      <c r="B2288" s="675" t="s">
        <v>512</v>
      </c>
      <c r="C2288" s="675" t="s">
        <v>2295</v>
      </c>
      <c r="D2288" s="675" t="s">
        <v>21</v>
      </c>
      <c r="E2288" s="675" t="s">
        <v>514</v>
      </c>
      <c r="F2288" s="675" t="s">
        <v>515</v>
      </c>
      <c r="G2288" s="675"/>
      <c r="H2288" s="675"/>
      <c r="I2288" s="675"/>
      <c r="J2288" s="675"/>
      <c r="K2288" s="675"/>
      <c r="L2288" s="675"/>
      <c r="M2288" s="675"/>
    </row>
    <row r="2289" spans="1:13" x14ac:dyDescent="0.25">
      <c r="A2289" s="675" t="s">
        <v>2280</v>
      </c>
      <c r="B2289" s="675" t="s">
        <v>512</v>
      </c>
      <c r="C2289" s="675" t="s">
        <v>2296</v>
      </c>
      <c r="D2289" s="675" t="s">
        <v>21</v>
      </c>
      <c r="E2289" s="675" t="s">
        <v>514</v>
      </c>
      <c r="F2289" s="675" t="s">
        <v>515</v>
      </c>
      <c r="G2289" s="675"/>
      <c r="H2289" s="675"/>
      <c r="I2289" s="675"/>
      <c r="J2289" s="675"/>
      <c r="K2289" s="675"/>
      <c r="L2289" s="675"/>
      <c r="M2289" s="675"/>
    </row>
    <row r="2290" spans="1:13" x14ac:dyDescent="0.25">
      <c r="A2290" s="675" t="s">
        <v>2280</v>
      </c>
      <c r="B2290" s="675" t="s">
        <v>512</v>
      </c>
      <c r="C2290" s="675" t="s">
        <v>2297</v>
      </c>
      <c r="D2290" s="675" t="s">
        <v>21</v>
      </c>
      <c r="E2290" s="675" t="s">
        <v>514</v>
      </c>
      <c r="F2290" s="675" t="s">
        <v>515</v>
      </c>
      <c r="G2290" s="675"/>
      <c r="H2290" s="675"/>
      <c r="I2290" s="675"/>
      <c r="J2290" s="675"/>
      <c r="K2290" s="675"/>
      <c r="L2290" s="675"/>
      <c r="M2290" s="675"/>
    </row>
    <row r="2291" spans="1:13" x14ac:dyDescent="0.25">
      <c r="A2291" s="675" t="s">
        <v>2280</v>
      </c>
      <c r="B2291" s="675" t="s">
        <v>512</v>
      </c>
      <c r="C2291" s="675" t="s">
        <v>2298</v>
      </c>
      <c r="D2291" s="675" t="s">
        <v>21</v>
      </c>
      <c r="E2291" s="675" t="s">
        <v>514</v>
      </c>
      <c r="F2291" s="675" t="s">
        <v>515</v>
      </c>
      <c r="G2291" s="675"/>
      <c r="H2291" s="675"/>
      <c r="I2291" s="675"/>
      <c r="J2291" s="675"/>
      <c r="K2291" s="675"/>
      <c r="L2291" s="675"/>
      <c r="M2291" s="675"/>
    </row>
    <row r="2292" spans="1:13" x14ac:dyDescent="0.25">
      <c r="A2292" s="675" t="s">
        <v>2280</v>
      </c>
      <c r="B2292" s="675" t="s">
        <v>512</v>
      </c>
      <c r="C2292" s="675" t="s">
        <v>2299</v>
      </c>
      <c r="D2292" s="675" t="s">
        <v>21</v>
      </c>
      <c r="E2292" s="675" t="s">
        <v>514</v>
      </c>
      <c r="F2292" s="675" t="s">
        <v>515</v>
      </c>
      <c r="G2292" s="675"/>
      <c r="H2292" s="675"/>
      <c r="I2292" s="675"/>
      <c r="J2292" s="675"/>
      <c r="K2292" s="675"/>
      <c r="L2292" s="675"/>
      <c r="M2292" s="675"/>
    </row>
    <row r="2293" spans="1:13" x14ac:dyDescent="0.25">
      <c r="A2293" s="678" t="s">
        <v>2280</v>
      </c>
      <c r="B2293" s="678" t="s">
        <v>512</v>
      </c>
      <c r="C2293" s="678" t="s">
        <v>2300</v>
      </c>
      <c r="D2293" s="675" t="s">
        <v>21</v>
      </c>
      <c r="E2293" s="678" t="s">
        <v>514</v>
      </c>
      <c r="F2293" s="678" t="s">
        <v>596</v>
      </c>
      <c r="G2293" s="675"/>
      <c r="H2293" s="675"/>
      <c r="I2293" s="675"/>
      <c r="J2293" s="675"/>
      <c r="K2293" s="675"/>
      <c r="L2293" s="675"/>
      <c r="M2293" s="675"/>
    </row>
    <row r="2294" spans="1:13" x14ac:dyDescent="0.25">
      <c r="A2294" s="675" t="s">
        <v>2280</v>
      </c>
      <c r="B2294" s="675" t="s">
        <v>512</v>
      </c>
      <c r="C2294" s="675" t="s">
        <v>2301</v>
      </c>
      <c r="D2294" s="675" t="s">
        <v>21</v>
      </c>
      <c r="E2294" s="675" t="s">
        <v>514</v>
      </c>
      <c r="F2294" s="675" t="s">
        <v>515</v>
      </c>
      <c r="G2294" s="675"/>
      <c r="H2294" s="675"/>
      <c r="I2294" s="675"/>
      <c r="J2294" s="675"/>
      <c r="K2294" s="675"/>
      <c r="L2294" s="675"/>
      <c r="M2294" s="675"/>
    </row>
    <row r="2295" spans="1:13" x14ac:dyDescent="0.25">
      <c r="A2295" s="675" t="s">
        <v>2280</v>
      </c>
      <c r="B2295" s="675" t="s">
        <v>512</v>
      </c>
      <c r="C2295" s="675" t="s">
        <v>2302</v>
      </c>
      <c r="D2295" s="675" t="s">
        <v>21</v>
      </c>
      <c r="E2295" s="675" t="s">
        <v>514</v>
      </c>
      <c r="F2295" s="675" t="s">
        <v>515</v>
      </c>
      <c r="G2295" s="675"/>
      <c r="H2295" s="675"/>
      <c r="I2295" s="675"/>
      <c r="J2295" s="675"/>
      <c r="K2295" s="675"/>
      <c r="L2295" s="675"/>
      <c r="M2295" s="675"/>
    </row>
    <row r="2296" spans="1:13" x14ac:dyDescent="0.25">
      <c r="A2296" s="675" t="s">
        <v>2280</v>
      </c>
      <c r="B2296" s="675" t="s">
        <v>512</v>
      </c>
      <c r="C2296" s="675" t="s">
        <v>2303</v>
      </c>
      <c r="D2296" s="675" t="s">
        <v>21</v>
      </c>
      <c r="E2296" s="675" t="s">
        <v>514</v>
      </c>
      <c r="F2296" s="675" t="s">
        <v>515</v>
      </c>
      <c r="G2296" s="675"/>
      <c r="H2296" s="675"/>
      <c r="I2296" s="675"/>
      <c r="J2296" s="675"/>
      <c r="K2296" s="675"/>
      <c r="L2296" s="675"/>
      <c r="M2296" s="675"/>
    </row>
    <row r="2297" spans="1:13" x14ac:dyDescent="0.25">
      <c r="A2297" s="675" t="s">
        <v>2280</v>
      </c>
      <c r="B2297" s="675" t="s">
        <v>512</v>
      </c>
      <c r="C2297" s="675" t="s">
        <v>2304</v>
      </c>
      <c r="D2297" s="675" t="s">
        <v>21</v>
      </c>
      <c r="E2297" s="675" t="s">
        <v>514</v>
      </c>
      <c r="F2297" s="675" t="s">
        <v>515</v>
      </c>
      <c r="G2297" s="675"/>
      <c r="H2297" s="675"/>
      <c r="I2297" s="675"/>
      <c r="J2297" s="675"/>
      <c r="K2297" s="675"/>
      <c r="L2297" s="675"/>
      <c r="M2297" s="675"/>
    </row>
    <row r="2298" spans="1:13" x14ac:dyDescent="0.25">
      <c r="A2298" s="675" t="s">
        <v>2280</v>
      </c>
      <c r="B2298" s="675" t="s">
        <v>512</v>
      </c>
      <c r="C2298" s="675" t="s">
        <v>2305</v>
      </c>
      <c r="D2298" s="675" t="s">
        <v>21</v>
      </c>
      <c r="E2298" s="675" t="s">
        <v>514</v>
      </c>
      <c r="F2298" s="675" t="s">
        <v>515</v>
      </c>
      <c r="G2298" s="675"/>
      <c r="H2298" s="675"/>
      <c r="I2298" s="675"/>
      <c r="J2298" s="675"/>
      <c r="K2298" s="675"/>
      <c r="L2298" s="675"/>
      <c r="M2298" s="675"/>
    </row>
    <row r="2299" spans="1:13" x14ac:dyDescent="0.25">
      <c r="A2299" s="675" t="s">
        <v>2280</v>
      </c>
      <c r="B2299" s="675" t="s">
        <v>512</v>
      </c>
      <c r="C2299" s="675" t="s">
        <v>2306</v>
      </c>
      <c r="D2299" s="675" t="s">
        <v>21</v>
      </c>
      <c r="E2299" s="675" t="s">
        <v>514</v>
      </c>
      <c r="F2299" s="675" t="s">
        <v>515</v>
      </c>
      <c r="G2299" s="675"/>
      <c r="H2299" s="675"/>
      <c r="I2299" s="675"/>
      <c r="J2299" s="675"/>
      <c r="K2299" s="675"/>
      <c r="L2299" s="675"/>
      <c r="M2299" s="675"/>
    </row>
    <row r="2300" spans="1:13" x14ac:dyDescent="0.25">
      <c r="A2300" s="675" t="s">
        <v>2280</v>
      </c>
      <c r="B2300" s="675" t="s">
        <v>512</v>
      </c>
      <c r="C2300" s="675" t="s">
        <v>1224</v>
      </c>
      <c r="D2300" s="675" t="s">
        <v>21</v>
      </c>
      <c r="E2300" s="675" t="s">
        <v>514</v>
      </c>
      <c r="F2300" s="675" t="s">
        <v>515</v>
      </c>
      <c r="G2300" s="675"/>
      <c r="H2300" s="675"/>
      <c r="I2300" s="675"/>
      <c r="J2300" s="675"/>
      <c r="K2300" s="675"/>
      <c r="L2300" s="675"/>
      <c r="M2300" s="675"/>
    </row>
    <row r="2301" spans="1:13" x14ac:dyDescent="0.25">
      <c r="A2301" s="675" t="s">
        <v>2280</v>
      </c>
      <c r="B2301" s="675" t="s">
        <v>512</v>
      </c>
      <c r="C2301" s="675" t="s">
        <v>2307</v>
      </c>
      <c r="D2301" s="675" t="s">
        <v>21</v>
      </c>
      <c r="E2301" s="675" t="s">
        <v>514</v>
      </c>
      <c r="F2301" s="675" t="s">
        <v>515</v>
      </c>
      <c r="G2301" s="675"/>
      <c r="H2301" s="675"/>
      <c r="I2301" s="675"/>
      <c r="J2301" s="675"/>
      <c r="K2301" s="675"/>
      <c r="L2301" s="675"/>
      <c r="M2301" s="675"/>
    </row>
    <row r="2302" spans="1:13" x14ac:dyDescent="0.25">
      <c r="A2302" s="675" t="s">
        <v>2280</v>
      </c>
      <c r="B2302" s="675" t="s">
        <v>512</v>
      </c>
      <c r="C2302" s="675" t="s">
        <v>1227</v>
      </c>
      <c r="D2302" s="675" t="s">
        <v>21</v>
      </c>
      <c r="E2302" s="675" t="s">
        <v>514</v>
      </c>
      <c r="F2302" s="675" t="s">
        <v>515</v>
      </c>
      <c r="G2302" s="675"/>
      <c r="H2302" s="675"/>
      <c r="I2302" s="675"/>
      <c r="J2302" s="675"/>
      <c r="K2302" s="675"/>
      <c r="L2302" s="675"/>
      <c r="M2302" s="675"/>
    </row>
    <row r="2303" spans="1:13" x14ac:dyDescent="0.25">
      <c r="A2303" s="675" t="s">
        <v>2280</v>
      </c>
      <c r="B2303" s="675" t="s">
        <v>512</v>
      </c>
      <c r="C2303" s="675" t="s">
        <v>2308</v>
      </c>
      <c r="D2303" s="675" t="s">
        <v>21</v>
      </c>
      <c r="E2303" s="675" t="s">
        <v>514</v>
      </c>
      <c r="F2303" s="675" t="s">
        <v>515</v>
      </c>
      <c r="G2303" s="675"/>
      <c r="H2303" s="675"/>
      <c r="I2303" s="675"/>
      <c r="J2303" s="675"/>
      <c r="K2303" s="675"/>
      <c r="L2303" s="675"/>
      <c r="M2303" s="675"/>
    </row>
    <row r="2304" spans="1:13" x14ac:dyDescent="0.25">
      <c r="A2304" s="675" t="s">
        <v>2280</v>
      </c>
      <c r="B2304" s="675" t="s">
        <v>512</v>
      </c>
      <c r="C2304" s="675" t="s">
        <v>2309</v>
      </c>
      <c r="D2304" s="675" t="s">
        <v>21</v>
      </c>
      <c r="E2304" s="675" t="s">
        <v>514</v>
      </c>
      <c r="F2304" s="675" t="s">
        <v>515</v>
      </c>
      <c r="G2304" s="675"/>
      <c r="H2304" s="675"/>
      <c r="I2304" s="675"/>
      <c r="J2304" s="675"/>
      <c r="K2304" s="675"/>
      <c r="L2304" s="675"/>
      <c r="M2304" s="675"/>
    </row>
    <row r="2305" spans="1:13" x14ac:dyDescent="0.25">
      <c r="A2305" s="678" t="s">
        <v>2280</v>
      </c>
      <c r="B2305" s="678" t="s">
        <v>545</v>
      </c>
      <c r="C2305" s="675" t="s">
        <v>2310</v>
      </c>
      <c r="D2305" s="678" t="s">
        <v>21</v>
      </c>
      <c r="E2305" s="678" t="s">
        <v>514</v>
      </c>
      <c r="F2305" s="678" t="s">
        <v>636</v>
      </c>
      <c r="G2305" s="675"/>
      <c r="H2305" s="675"/>
      <c r="I2305" s="675"/>
      <c r="J2305" s="675"/>
      <c r="K2305" s="675"/>
      <c r="L2305" s="675"/>
      <c r="M2305" s="675"/>
    </row>
    <row r="2306" spans="1:13" x14ac:dyDescent="0.25">
      <c r="A2306" s="675" t="s">
        <v>2280</v>
      </c>
      <c r="B2306" s="675" t="s">
        <v>545</v>
      </c>
      <c r="C2306" s="675" t="s">
        <v>2311</v>
      </c>
      <c r="D2306" s="675" t="s">
        <v>21</v>
      </c>
      <c r="E2306" s="675" t="s">
        <v>514</v>
      </c>
      <c r="F2306" s="675" t="s">
        <v>515</v>
      </c>
      <c r="G2306" s="675"/>
      <c r="H2306" s="675"/>
      <c r="I2306" s="675"/>
      <c r="J2306" s="675"/>
      <c r="K2306" s="675"/>
      <c r="L2306" s="675"/>
      <c r="M2306" s="675"/>
    </row>
    <row r="2307" spans="1:13" x14ac:dyDescent="0.25">
      <c r="A2307" s="675" t="s">
        <v>2280</v>
      </c>
      <c r="B2307" s="675" t="s">
        <v>545</v>
      </c>
      <c r="C2307" s="675" t="s">
        <v>2312</v>
      </c>
      <c r="D2307" s="675" t="s">
        <v>21</v>
      </c>
      <c r="E2307" s="675" t="s">
        <v>514</v>
      </c>
      <c r="F2307" s="675" t="s">
        <v>515</v>
      </c>
      <c r="G2307" s="675"/>
      <c r="H2307" s="675"/>
      <c r="I2307" s="675"/>
      <c r="J2307" s="675"/>
      <c r="K2307" s="675"/>
      <c r="L2307" s="675"/>
      <c r="M2307" s="675"/>
    </row>
    <row r="2308" spans="1:13" x14ac:dyDescent="0.25">
      <c r="A2308" s="675" t="s">
        <v>2280</v>
      </c>
      <c r="B2308" s="675" t="s">
        <v>545</v>
      </c>
      <c r="C2308" s="675" t="s">
        <v>2313</v>
      </c>
      <c r="D2308" s="675" t="s">
        <v>21</v>
      </c>
      <c r="E2308" s="675" t="s">
        <v>514</v>
      </c>
      <c r="F2308" s="675" t="s">
        <v>515</v>
      </c>
      <c r="G2308" s="675"/>
      <c r="H2308" s="675"/>
      <c r="I2308" s="675"/>
      <c r="J2308" s="675"/>
      <c r="K2308" s="675"/>
      <c r="L2308" s="675"/>
      <c r="M2308" s="675"/>
    </row>
    <row r="2309" spans="1:13" x14ac:dyDescent="0.25">
      <c r="A2309" s="675" t="s">
        <v>2280</v>
      </c>
      <c r="B2309" s="675" t="s">
        <v>545</v>
      </c>
      <c r="C2309" s="675" t="s">
        <v>2314</v>
      </c>
      <c r="D2309" s="675" t="s">
        <v>21</v>
      </c>
      <c r="E2309" s="675" t="s">
        <v>514</v>
      </c>
      <c r="F2309" s="675" t="s">
        <v>515</v>
      </c>
      <c r="G2309" s="675"/>
      <c r="H2309" s="675"/>
      <c r="I2309" s="675"/>
      <c r="J2309" s="675"/>
      <c r="K2309" s="675"/>
      <c r="L2309" s="675"/>
      <c r="M2309" s="675"/>
    </row>
    <row r="2310" spans="1:13" x14ac:dyDescent="0.25">
      <c r="A2310" s="675" t="s">
        <v>2280</v>
      </c>
      <c r="B2310" s="675" t="s">
        <v>545</v>
      </c>
      <c r="C2310" s="675" t="s">
        <v>2315</v>
      </c>
      <c r="D2310" s="675" t="s">
        <v>21</v>
      </c>
      <c r="E2310" s="675" t="s">
        <v>514</v>
      </c>
      <c r="F2310" s="675" t="s">
        <v>515</v>
      </c>
      <c r="G2310" s="675"/>
      <c r="H2310" s="675"/>
      <c r="I2310" s="675"/>
      <c r="J2310" s="675"/>
      <c r="K2310" s="675"/>
      <c r="L2310" s="675"/>
      <c r="M2310" s="675"/>
    </row>
    <row r="2311" spans="1:13" x14ac:dyDescent="0.25">
      <c r="A2311" s="675" t="s">
        <v>2280</v>
      </c>
      <c r="B2311" s="675" t="s">
        <v>545</v>
      </c>
      <c r="C2311" s="675" t="s">
        <v>2316</v>
      </c>
      <c r="D2311" s="675" t="s">
        <v>21</v>
      </c>
      <c r="E2311" s="675" t="s">
        <v>514</v>
      </c>
      <c r="F2311" s="675" t="s">
        <v>515</v>
      </c>
      <c r="G2311" s="675"/>
      <c r="H2311" s="675"/>
      <c r="I2311" s="675"/>
      <c r="J2311" s="675"/>
      <c r="K2311" s="675"/>
      <c r="L2311" s="675"/>
      <c r="M2311" s="675"/>
    </row>
    <row r="2312" spans="1:13" x14ac:dyDescent="0.25">
      <c r="A2312" s="678" t="s">
        <v>2280</v>
      </c>
      <c r="B2312" s="678" t="s">
        <v>545</v>
      </c>
      <c r="C2312" s="675" t="s">
        <v>2317</v>
      </c>
      <c r="D2312" s="678" t="s">
        <v>21</v>
      </c>
      <c r="E2312" s="678" t="s">
        <v>514</v>
      </c>
      <c r="F2312" s="678" t="s">
        <v>636</v>
      </c>
      <c r="G2312" s="675"/>
      <c r="H2312" s="675"/>
      <c r="I2312" s="675"/>
      <c r="J2312" s="675"/>
      <c r="K2312" s="675"/>
      <c r="L2312" s="675"/>
      <c r="M2312" s="675"/>
    </row>
    <row r="2313" spans="1:13" x14ac:dyDescent="0.25">
      <c r="A2313" s="675" t="s">
        <v>2280</v>
      </c>
      <c r="B2313" s="675" t="s">
        <v>545</v>
      </c>
      <c r="C2313" s="675" t="s">
        <v>2318</v>
      </c>
      <c r="D2313" s="675" t="s">
        <v>21</v>
      </c>
      <c r="E2313" s="675" t="s">
        <v>514</v>
      </c>
      <c r="F2313" s="675" t="s">
        <v>515</v>
      </c>
      <c r="G2313" s="675"/>
      <c r="H2313" s="675"/>
      <c r="I2313" s="675"/>
      <c r="J2313" s="675"/>
      <c r="K2313" s="675"/>
      <c r="L2313" s="675"/>
      <c r="M2313" s="675"/>
    </row>
    <row r="2314" spans="1:13" x14ac:dyDescent="0.25">
      <c r="A2314" s="675" t="s">
        <v>2280</v>
      </c>
      <c r="B2314" s="675" t="s">
        <v>545</v>
      </c>
      <c r="C2314" s="675" t="s">
        <v>2319</v>
      </c>
      <c r="D2314" s="675" t="s">
        <v>21</v>
      </c>
      <c r="E2314" s="675" t="s">
        <v>514</v>
      </c>
      <c r="F2314" s="675" t="s">
        <v>515</v>
      </c>
      <c r="G2314" s="675"/>
      <c r="H2314" s="675"/>
      <c r="I2314" s="675"/>
      <c r="J2314" s="675"/>
      <c r="K2314" s="675"/>
      <c r="L2314" s="675"/>
      <c r="M2314" s="675"/>
    </row>
    <row r="2315" spans="1:13" x14ac:dyDescent="0.25">
      <c r="A2315" s="678" t="s">
        <v>2280</v>
      </c>
      <c r="B2315" s="678" t="s">
        <v>545</v>
      </c>
      <c r="C2315" s="678" t="s">
        <v>2320</v>
      </c>
      <c r="D2315" s="678" t="s">
        <v>21</v>
      </c>
      <c r="E2315" s="678" t="s">
        <v>514</v>
      </c>
      <c r="F2315" s="678" t="s">
        <v>636</v>
      </c>
      <c r="G2315" s="675"/>
      <c r="H2315" s="675"/>
      <c r="I2315" s="675"/>
      <c r="J2315" s="675"/>
      <c r="K2315" s="675"/>
      <c r="L2315" s="675"/>
      <c r="M2315" s="675"/>
    </row>
    <row r="2316" spans="1:13" x14ac:dyDescent="0.25">
      <c r="A2316" s="675" t="s">
        <v>2280</v>
      </c>
      <c r="B2316" s="675" t="s">
        <v>545</v>
      </c>
      <c r="C2316" s="675" t="s">
        <v>2321</v>
      </c>
      <c r="D2316" s="675" t="s">
        <v>21</v>
      </c>
      <c r="E2316" s="675" t="s">
        <v>514</v>
      </c>
      <c r="F2316" s="675" t="s">
        <v>515</v>
      </c>
      <c r="G2316" s="675"/>
      <c r="H2316" s="675"/>
      <c r="I2316" s="675"/>
      <c r="J2316" s="675"/>
      <c r="K2316" s="675"/>
      <c r="L2316" s="675"/>
      <c r="M2316" s="675"/>
    </row>
    <row r="2317" spans="1:13" x14ac:dyDescent="0.25">
      <c r="A2317" s="675" t="s">
        <v>2280</v>
      </c>
      <c r="B2317" s="675" t="s">
        <v>545</v>
      </c>
      <c r="C2317" s="675" t="s">
        <v>2322</v>
      </c>
      <c r="D2317" s="675" t="s">
        <v>21</v>
      </c>
      <c r="E2317" s="675" t="s">
        <v>514</v>
      </c>
      <c r="F2317" s="675" t="s">
        <v>515</v>
      </c>
      <c r="G2317" s="675"/>
      <c r="H2317" s="675"/>
      <c r="I2317" s="675"/>
      <c r="J2317" s="675"/>
      <c r="K2317" s="675"/>
      <c r="L2317" s="675"/>
      <c r="M2317" s="675"/>
    </row>
    <row r="2318" spans="1:13" x14ac:dyDescent="0.25">
      <c r="A2318" s="678" t="s">
        <v>2280</v>
      </c>
      <c r="B2318" s="678" t="s">
        <v>545</v>
      </c>
      <c r="C2318" s="678" t="s">
        <v>726</v>
      </c>
      <c r="D2318" s="678" t="s">
        <v>21</v>
      </c>
      <c r="E2318" s="678" t="s">
        <v>514</v>
      </c>
      <c r="F2318" s="678" t="s">
        <v>636</v>
      </c>
      <c r="G2318" s="675"/>
      <c r="H2318" s="675"/>
      <c r="I2318" s="675"/>
      <c r="J2318" s="675"/>
      <c r="K2318" s="675"/>
      <c r="L2318" s="675"/>
      <c r="M2318" s="675"/>
    </row>
    <row r="2319" spans="1:13" x14ac:dyDescent="0.25">
      <c r="A2319" s="675" t="s">
        <v>2280</v>
      </c>
      <c r="B2319" s="675" t="s">
        <v>545</v>
      </c>
      <c r="C2319" s="675" t="s">
        <v>2323</v>
      </c>
      <c r="D2319" s="675" t="s">
        <v>21</v>
      </c>
      <c r="E2319" s="675" t="s">
        <v>514</v>
      </c>
      <c r="F2319" s="675" t="s">
        <v>515</v>
      </c>
      <c r="G2319" s="675"/>
      <c r="H2319" s="675"/>
      <c r="I2319" s="675"/>
      <c r="J2319" s="675"/>
      <c r="K2319" s="675"/>
      <c r="L2319" s="675"/>
      <c r="M2319" s="675"/>
    </row>
    <row r="2320" spans="1:13" x14ac:dyDescent="0.25">
      <c r="A2320" s="675" t="s">
        <v>2280</v>
      </c>
      <c r="B2320" s="675" t="s">
        <v>545</v>
      </c>
      <c r="C2320" s="675" t="s">
        <v>2324</v>
      </c>
      <c r="D2320" s="675" t="s">
        <v>21</v>
      </c>
      <c r="E2320" s="675" t="s">
        <v>514</v>
      </c>
      <c r="F2320" s="675" t="s">
        <v>515</v>
      </c>
      <c r="G2320" s="675"/>
      <c r="H2320" s="675"/>
      <c r="I2320" s="675"/>
      <c r="J2320" s="675"/>
      <c r="K2320" s="675"/>
      <c r="L2320" s="675"/>
      <c r="M2320" s="675"/>
    </row>
    <row r="2321" spans="1:13" x14ac:dyDescent="0.25">
      <c r="A2321" s="675" t="s">
        <v>2280</v>
      </c>
      <c r="B2321" s="675" t="s">
        <v>564</v>
      </c>
      <c r="C2321" s="675" t="s">
        <v>2325</v>
      </c>
      <c r="D2321" s="675" t="s">
        <v>21</v>
      </c>
      <c r="E2321" s="675" t="s">
        <v>514</v>
      </c>
      <c r="F2321" s="675" t="s">
        <v>515</v>
      </c>
      <c r="G2321" s="675"/>
      <c r="H2321" s="675"/>
      <c r="I2321" s="675"/>
      <c r="J2321" s="675"/>
      <c r="K2321" s="675"/>
      <c r="L2321" s="675"/>
      <c r="M2321" s="675"/>
    </row>
    <row r="2322" spans="1:13" x14ac:dyDescent="0.25">
      <c r="A2322" s="675" t="s">
        <v>2280</v>
      </c>
      <c r="B2322" s="675" t="s">
        <v>564</v>
      </c>
      <c r="C2322" s="675" t="s">
        <v>2326</v>
      </c>
      <c r="D2322" s="675" t="s">
        <v>21</v>
      </c>
      <c r="E2322" s="675" t="s">
        <v>514</v>
      </c>
      <c r="F2322" s="675" t="s">
        <v>515</v>
      </c>
      <c r="G2322" s="675"/>
      <c r="H2322" s="675"/>
      <c r="I2322" s="675"/>
      <c r="J2322" s="675"/>
      <c r="K2322" s="675"/>
      <c r="L2322" s="675"/>
      <c r="M2322" s="675"/>
    </row>
    <row r="2323" spans="1:13" x14ac:dyDescent="0.25">
      <c r="A2323" s="675" t="s">
        <v>2280</v>
      </c>
      <c r="B2323" s="675" t="s">
        <v>564</v>
      </c>
      <c r="C2323" s="675" t="s">
        <v>2327</v>
      </c>
      <c r="D2323" s="675" t="s">
        <v>21</v>
      </c>
      <c r="E2323" s="675" t="s">
        <v>514</v>
      </c>
      <c r="F2323" s="675" t="s">
        <v>515</v>
      </c>
      <c r="G2323" s="675"/>
      <c r="H2323" s="675"/>
      <c r="I2323" s="675"/>
      <c r="J2323" s="675"/>
      <c r="K2323" s="675"/>
      <c r="L2323" s="675"/>
      <c r="M2323" s="675"/>
    </row>
    <row r="2324" spans="1:13" x14ac:dyDescent="0.25">
      <c r="A2324" s="675" t="s">
        <v>2280</v>
      </c>
      <c r="B2324" s="675" t="s">
        <v>564</v>
      </c>
      <c r="C2324" s="675" t="s">
        <v>2328</v>
      </c>
      <c r="D2324" s="675" t="s">
        <v>21</v>
      </c>
      <c r="E2324" s="675" t="s">
        <v>514</v>
      </c>
      <c r="F2324" s="675" t="s">
        <v>515</v>
      </c>
      <c r="G2324" s="675"/>
      <c r="H2324" s="675"/>
      <c r="I2324" s="675"/>
      <c r="J2324" s="675"/>
      <c r="K2324" s="675"/>
      <c r="L2324" s="675"/>
      <c r="M2324" s="675"/>
    </row>
    <row r="2325" spans="1:13" x14ac:dyDescent="0.25">
      <c r="A2325" s="675" t="s">
        <v>2280</v>
      </c>
      <c r="B2325" s="675" t="s">
        <v>564</v>
      </c>
      <c r="C2325" s="675" t="s">
        <v>2329</v>
      </c>
      <c r="D2325" s="675" t="s">
        <v>21</v>
      </c>
      <c r="E2325" s="675" t="s">
        <v>514</v>
      </c>
      <c r="F2325" s="675" t="s">
        <v>515</v>
      </c>
      <c r="G2325" s="675"/>
      <c r="H2325" s="675"/>
      <c r="I2325" s="675"/>
      <c r="J2325" s="675"/>
      <c r="K2325" s="675"/>
      <c r="L2325" s="675"/>
      <c r="M2325" s="675"/>
    </row>
    <row r="2326" spans="1:13" x14ac:dyDescent="0.25">
      <c r="A2326" s="675" t="s">
        <v>2280</v>
      </c>
      <c r="B2326" s="675" t="s">
        <v>564</v>
      </c>
      <c r="C2326" s="675" t="s">
        <v>2330</v>
      </c>
      <c r="D2326" s="675" t="s">
        <v>21</v>
      </c>
      <c r="E2326" s="675" t="s">
        <v>514</v>
      </c>
      <c r="F2326" s="675" t="s">
        <v>515</v>
      </c>
      <c r="G2326" s="675"/>
      <c r="H2326" s="675"/>
      <c r="I2326" s="675"/>
      <c r="J2326" s="675"/>
      <c r="K2326" s="675"/>
      <c r="L2326" s="675"/>
      <c r="M2326" s="675"/>
    </row>
    <row r="2327" spans="1:13" x14ac:dyDescent="0.25">
      <c r="A2327" s="675" t="s">
        <v>2280</v>
      </c>
      <c r="B2327" s="675" t="s">
        <v>564</v>
      </c>
      <c r="C2327" s="675" t="s">
        <v>2331</v>
      </c>
      <c r="D2327" s="675" t="s">
        <v>21</v>
      </c>
      <c r="E2327" s="675" t="s">
        <v>514</v>
      </c>
      <c r="F2327" s="675" t="s">
        <v>515</v>
      </c>
      <c r="G2327" s="675"/>
      <c r="H2327" s="675"/>
      <c r="I2327" s="675"/>
      <c r="J2327" s="675"/>
      <c r="K2327" s="675"/>
      <c r="L2327" s="675"/>
      <c r="M2327" s="675"/>
    </row>
    <row r="2328" spans="1:13" x14ac:dyDescent="0.25">
      <c r="A2328" s="675" t="s">
        <v>2280</v>
      </c>
      <c r="B2328" s="675" t="s">
        <v>564</v>
      </c>
      <c r="C2328" s="675" t="s">
        <v>2332</v>
      </c>
      <c r="D2328" s="675" t="s">
        <v>21</v>
      </c>
      <c r="E2328" s="675" t="s">
        <v>514</v>
      </c>
      <c r="F2328" s="675" t="s">
        <v>515</v>
      </c>
      <c r="G2328" s="675"/>
      <c r="H2328" s="675"/>
      <c r="I2328" s="675"/>
      <c r="J2328" s="675"/>
      <c r="K2328" s="675"/>
      <c r="L2328" s="675"/>
      <c r="M2328" s="675"/>
    </row>
    <row r="2329" spans="1:13" x14ac:dyDescent="0.25">
      <c r="A2329" s="675" t="s">
        <v>2280</v>
      </c>
      <c r="B2329" s="675" t="s">
        <v>564</v>
      </c>
      <c r="C2329" s="675" t="s">
        <v>2333</v>
      </c>
      <c r="D2329" s="675" t="s">
        <v>21</v>
      </c>
      <c r="E2329" s="675" t="s">
        <v>514</v>
      </c>
      <c r="F2329" s="675" t="s">
        <v>515</v>
      </c>
      <c r="G2329" s="675"/>
      <c r="H2329" s="675"/>
      <c r="I2329" s="675"/>
      <c r="J2329" s="675"/>
      <c r="K2329" s="675"/>
      <c r="L2329" s="675"/>
      <c r="M2329" s="675"/>
    </row>
    <row r="2330" spans="1:13" x14ac:dyDescent="0.25">
      <c r="A2330" s="675" t="s">
        <v>2280</v>
      </c>
      <c r="B2330" s="675" t="s">
        <v>564</v>
      </c>
      <c r="C2330" s="675" t="s">
        <v>2334</v>
      </c>
      <c r="D2330" s="675" t="s">
        <v>21</v>
      </c>
      <c r="E2330" s="675" t="s">
        <v>514</v>
      </c>
      <c r="F2330" s="675" t="s">
        <v>515</v>
      </c>
      <c r="G2330" s="675"/>
      <c r="H2330" s="675"/>
      <c r="I2330" s="675"/>
      <c r="J2330" s="675"/>
      <c r="K2330" s="675"/>
      <c r="L2330" s="675"/>
      <c r="M2330" s="675"/>
    </row>
    <row r="2331" spans="1:13" x14ac:dyDescent="0.25">
      <c r="A2331" s="675" t="s">
        <v>2335</v>
      </c>
      <c r="B2331" s="675" t="s">
        <v>512</v>
      </c>
      <c r="C2331" s="675" t="s">
        <v>1032</v>
      </c>
      <c r="D2331" s="675" t="s">
        <v>21</v>
      </c>
      <c r="E2331" s="675" t="s">
        <v>514</v>
      </c>
      <c r="F2331" s="675" t="s">
        <v>515</v>
      </c>
      <c r="G2331" s="675"/>
      <c r="H2331" s="675"/>
      <c r="I2331" s="675"/>
      <c r="J2331" s="675"/>
      <c r="K2331" s="675"/>
      <c r="L2331" s="675"/>
      <c r="M2331" s="675"/>
    </row>
    <row r="2332" spans="1:13" x14ac:dyDescent="0.25">
      <c r="A2332" s="678" t="s">
        <v>2335</v>
      </c>
      <c r="B2332" s="678" t="s">
        <v>545</v>
      </c>
      <c r="C2332" s="678" t="s">
        <v>2336</v>
      </c>
      <c r="D2332" s="678" t="s">
        <v>21</v>
      </c>
      <c r="E2332" s="678" t="s">
        <v>514</v>
      </c>
      <c r="F2332" s="678" t="s">
        <v>636</v>
      </c>
      <c r="G2332" s="675"/>
      <c r="H2332" s="675"/>
      <c r="I2332" s="675"/>
      <c r="J2332" s="675"/>
      <c r="K2332" s="675"/>
      <c r="L2332" s="675"/>
      <c r="M2332" s="675"/>
    </row>
    <row r="2333" spans="1:13" x14ac:dyDescent="0.25">
      <c r="A2333" s="675" t="s">
        <v>2335</v>
      </c>
      <c r="B2333" s="675" t="s">
        <v>564</v>
      </c>
      <c r="C2333" s="675" t="s">
        <v>1263</v>
      </c>
      <c r="D2333" s="675" t="s">
        <v>21</v>
      </c>
      <c r="E2333" s="675" t="s">
        <v>514</v>
      </c>
      <c r="F2333" s="675" t="s">
        <v>515</v>
      </c>
      <c r="G2333" s="675"/>
      <c r="H2333" s="675"/>
      <c r="I2333" s="675"/>
      <c r="J2333" s="675"/>
      <c r="K2333" s="675"/>
      <c r="L2333" s="675"/>
      <c r="M2333" s="675"/>
    </row>
    <row r="2334" spans="1:13" x14ac:dyDescent="0.25">
      <c r="A2334" s="675" t="s">
        <v>2337</v>
      </c>
      <c r="B2334" s="675" t="s">
        <v>512</v>
      </c>
      <c r="C2334" s="675" t="s">
        <v>831</v>
      </c>
      <c r="D2334" s="675" t="s">
        <v>21</v>
      </c>
      <c r="E2334" s="675" t="s">
        <v>514</v>
      </c>
      <c r="F2334" s="675" t="s">
        <v>515</v>
      </c>
      <c r="G2334" s="675"/>
      <c r="H2334" s="675"/>
      <c r="I2334" s="675"/>
      <c r="J2334" s="675"/>
      <c r="K2334" s="675"/>
      <c r="L2334" s="675"/>
      <c r="M2334" s="675"/>
    </row>
    <row r="2335" spans="1:13" x14ac:dyDescent="0.25">
      <c r="A2335" s="675" t="s">
        <v>2337</v>
      </c>
      <c r="B2335" s="675" t="s">
        <v>512</v>
      </c>
      <c r="C2335" s="675" t="s">
        <v>1885</v>
      </c>
      <c r="D2335" s="675" t="s">
        <v>21</v>
      </c>
      <c r="E2335" s="675" t="s">
        <v>514</v>
      </c>
      <c r="F2335" s="675" t="s">
        <v>515</v>
      </c>
      <c r="G2335" s="675"/>
      <c r="H2335" s="675"/>
      <c r="I2335" s="675"/>
      <c r="J2335" s="675"/>
      <c r="K2335" s="675"/>
      <c r="L2335" s="675"/>
      <c r="M2335" s="675"/>
    </row>
    <row r="2336" spans="1:13" x14ac:dyDescent="0.25">
      <c r="A2336" s="678" t="s">
        <v>2337</v>
      </c>
      <c r="B2336" s="678" t="s">
        <v>512</v>
      </c>
      <c r="C2336" s="678" t="s">
        <v>875</v>
      </c>
      <c r="D2336" s="678" t="s">
        <v>21</v>
      </c>
      <c r="E2336" s="678" t="s">
        <v>514</v>
      </c>
      <c r="F2336" s="678" t="s">
        <v>596</v>
      </c>
      <c r="G2336" s="675"/>
      <c r="H2336" s="675"/>
      <c r="I2336" s="675"/>
      <c r="J2336" s="675"/>
      <c r="K2336" s="675"/>
      <c r="L2336" s="675"/>
      <c r="M2336" s="675"/>
    </row>
    <row r="2337" spans="1:13" x14ac:dyDescent="0.25">
      <c r="A2337" s="678" t="s">
        <v>2337</v>
      </c>
      <c r="B2337" s="678" t="s">
        <v>512</v>
      </c>
      <c r="C2337" s="678" t="s">
        <v>2338</v>
      </c>
      <c r="D2337" s="678" t="s">
        <v>21</v>
      </c>
      <c r="E2337" s="678" t="s">
        <v>514</v>
      </c>
      <c r="F2337" s="678" t="s">
        <v>596</v>
      </c>
      <c r="G2337" s="675"/>
      <c r="H2337" s="675"/>
      <c r="I2337" s="675"/>
      <c r="J2337" s="675"/>
      <c r="K2337" s="675"/>
      <c r="L2337" s="675"/>
      <c r="M2337" s="675"/>
    </row>
    <row r="2338" spans="1:13" x14ac:dyDescent="0.25">
      <c r="A2338" s="678" t="s">
        <v>2337</v>
      </c>
      <c r="B2338" s="678" t="s">
        <v>512</v>
      </c>
      <c r="C2338" s="678" t="s">
        <v>2339</v>
      </c>
      <c r="D2338" s="678" t="s">
        <v>21</v>
      </c>
      <c r="E2338" s="678" t="s">
        <v>514</v>
      </c>
      <c r="F2338" s="678" t="s">
        <v>596</v>
      </c>
      <c r="G2338" s="675"/>
      <c r="H2338" s="675"/>
      <c r="I2338" s="675"/>
      <c r="J2338" s="675"/>
      <c r="K2338" s="675"/>
      <c r="L2338" s="675"/>
      <c r="M2338" s="675"/>
    </row>
    <row r="2339" spans="1:13" x14ac:dyDescent="0.25">
      <c r="A2339" s="675" t="s">
        <v>2337</v>
      </c>
      <c r="B2339" s="675" t="s">
        <v>512</v>
      </c>
      <c r="C2339" s="675" t="s">
        <v>1887</v>
      </c>
      <c r="D2339" s="675" t="s">
        <v>21</v>
      </c>
      <c r="E2339" s="675" t="s">
        <v>514</v>
      </c>
      <c r="F2339" s="675" t="s">
        <v>515</v>
      </c>
      <c r="G2339" s="675"/>
      <c r="H2339" s="675"/>
      <c r="I2339" s="675"/>
      <c r="J2339" s="675"/>
      <c r="K2339" s="675"/>
      <c r="L2339" s="675"/>
      <c r="M2339" s="675"/>
    </row>
    <row r="2340" spans="1:13" x14ac:dyDescent="0.25">
      <c r="A2340" s="675" t="s">
        <v>2337</v>
      </c>
      <c r="B2340" s="675" t="s">
        <v>512</v>
      </c>
      <c r="C2340" s="675" t="s">
        <v>1888</v>
      </c>
      <c r="D2340" s="675" t="s">
        <v>21</v>
      </c>
      <c r="E2340" s="675" t="s">
        <v>514</v>
      </c>
      <c r="F2340" s="675" t="s">
        <v>515</v>
      </c>
      <c r="G2340" s="675"/>
      <c r="H2340" s="675"/>
      <c r="I2340" s="675"/>
      <c r="J2340" s="675"/>
      <c r="K2340" s="675"/>
      <c r="L2340" s="675"/>
      <c r="M2340" s="675"/>
    </row>
    <row r="2341" spans="1:13" x14ac:dyDescent="0.25">
      <c r="A2341" s="675" t="s">
        <v>2337</v>
      </c>
      <c r="B2341" s="675" t="s">
        <v>545</v>
      </c>
      <c r="C2341" s="675" t="s">
        <v>2340</v>
      </c>
      <c r="D2341" s="675" t="s">
        <v>21</v>
      </c>
      <c r="E2341" s="675" t="s">
        <v>514</v>
      </c>
      <c r="F2341" s="675" t="s">
        <v>515</v>
      </c>
      <c r="G2341" s="675"/>
      <c r="H2341" s="675"/>
      <c r="I2341" s="675"/>
      <c r="J2341" s="675"/>
      <c r="K2341" s="675"/>
      <c r="L2341" s="675"/>
      <c r="M2341" s="675"/>
    </row>
    <row r="2342" spans="1:13" x14ac:dyDescent="0.25">
      <c r="A2342" s="675" t="s">
        <v>2337</v>
      </c>
      <c r="B2342" s="675" t="s">
        <v>545</v>
      </c>
      <c r="C2342" s="675" t="s">
        <v>2341</v>
      </c>
      <c r="D2342" s="675" t="s">
        <v>21</v>
      </c>
      <c r="E2342" s="675" t="s">
        <v>514</v>
      </c>
      <c r="F2342" s="675" t="s">
        <v>515</v>
      </c>
      <c r="G2342" s="675"/>
      <c r="H2342" s="675"/>
      <c r="I2342" s="675"/>
      <c r="J2342" s="675"/>
      <c r="K2342" s="675"/>
      <c r="L2342" s="675"/>
      <c r="M2342" s="675"/>
    </row>
    <row r="2343" spans="1:13" x14ac:dyDescent="0.25">
      <c r="A2343" s="678" t="s">
        <v>2337</v>
      </c>
      <c r="B2343" s="678" t="s">
        <v>545</v>
      </c>
      <c r="C2343" s="678" t="s">
        <v>2342</v>
      </c>
      <c r="D2343" s="678" t="s">
        <v>21</v>
      </c>
      <c r="E2343" s="678" t="s">
        <v>514</v>
      </c>
      <c r="F2343" s="678" t="s">
        <v>636</v>
      </c>
      <c r="G2343" s="675"/>
      <c r="H2343" s="675"/>
      <c r="I2343" s="675"/>
      <c r="J2343" s="675"/>
      <c r="K2343" s="675"/>
      <c r="L2343" s="675"/>
      <c r="M2343" s="675"/>
    </row>
    <row r="2344" spans="1:13" x14ac:dyDescent="0.25">
      <c r="A2344" s="675" t="s">
        <v>2337</v>
      </c>
      <c r="B2344" s="675" t="s">
        <v>564</v>
      </c>
      <c r="C2344" s="675" t="s">
        <v>2343</v>
      </c>
      <c r="D2344" s="675" t="s">
        <v>21</v>
      </c>
      <c r="E2344" s="675" t="s">
        <v>514</v>
      </c>
      <c r="F2344" s="675" t="s">
        <v>515</v>
      </c>
      <c r="G2344" s="675"/>
      <c r="H2344" s="675"/>
      <c r="I2344" s="675"/>
      <c r="J2344" s="675"/>
      <c r="K2344" s="675"/>
      <c r="L2344" s="675"/>
      <c r="M2344" s="675"/>
    </row>
    <row r="2345" spans="1:13" x14ac:dyDescent="0.25">
      <c r="A2345" s="675" t="s">
        <v>2337</v>
      </c>
      <c r="B2345" s="675" t="s">
        <v>564</v>
      </c>
      <c r="C2345" s="675" t="s">
        <v>2344</v>
      </c>
      <c r="D2345" s="675" t="s">
        <v>21</v>
      </c>
      <c r="E2345" s="675" t="s">
        <v>514</v>
      </c>
      <c r="F2345" s="675" t="s">
        <v>515</v>
      </c>
      <c r="G2345" s="675"/>
      <c r="H2345" s="675"/>
      <c r="I2345" s="675"/>
      <c r="J2345" s="675"/>
      <c r="K2345" s="675"/>
      <c r="L2345" s="675"/>
      <c r="M2345" s="675"/>
    </row>
    <row r="2346" spans="1:13" x14ac:dyDescent="0.25">
      <c r="A2346" s="675" t="s">
        <v>2337</v>
      </c>
      <c r="B2346" s="675" t="s">
        <v>564</v>
      </c>
      <c r="C2346" s="675" t="s">
        <v>2345</v>
      </c>
      <c r="D2346" s="675" t="s">
        <v>21</v>
      </c>
      <c r="E2346" s="675" t="s">
        <v>514</v>
      </c>
      <c r="F2346" s="675" t="s">
        <v>515</v>
      </c>
      <c r="G2346" s="675"/>
      <c r="H2346" s="675"/>
      <c r="I2346" s="675"/>
      <c r="J2346" s="675"/>
      <c r="K2346" s="675"/>
      <c r="L2346" s="675"/>
      <c r="M2346" s="675"/>
    </row>
    <row r="2347" spans="1:13" x14ac:dyDescent="0.25">
      <c r="A2347" s="675" t="s">
        <v>2346</v>
      </c>
      <c r="B2347" s="675" t="s">
        <v>512</v>
      </c>
      <c r="C2347" s="675" t="s">
        <v>2347</v>
      </c>
      <c r="D2347" s="675" t="s">
        <v>21</v>
      </c>
      <c r="E2347" s="675" t="s">
        <v>514</v>
      </c>
      <c r="F2347" s="675" t="s">
        <v>515</v>
      </c>
      <c r="G2347" s="675"/>
      <c r="H2347" s="675"/>
      <c r="I2347" s="675"/>
      <c r="J2347" s="675"/>
      <c r="K2347" s="675"/>
      <c r="L2347" s="675"/>
      <c r="M2347" s="675"/>
    </row>
    <row r="2348" spans="1:13" x14ac:dyDescent="0.25">
      <c r="A2348" s="675" t="s">
        <v>2346</v>
      </c>
      <c r="B2348" s="675" t="s">
        <v>545</v>
      </c>
      <c r="C2348" s="675" t="s">
        <v>819</v>
      </c>
      <c r="D2348" s="675" t="s">
        <v>21</v>
      </c>
      <c r="E2348" s="675" t="s">
        <v>514</v>
      </c>
      <c r="F2348" s="675" t="s">
        <v>515</v>
      </c>
      <c r="G2348" s="675"/>
      <c r="H2348" s="675"/>
      <c r="I2348" s="675"/>
      <c r="J2348" s="675"/>
      <c r="K2348" s="675"/>
      <c r="L2348" s="675"/>
      <c r="M2348" s="675"/>
    </row>
    <row r="2349" spans="1:13" x14ac:dyDescent="0.25">
      <c r="A2349" s="675" t="s">
        <v>2346</v>
      </c>
      <c r="B2349" s="675" t="s">
        <v>545</v>
      </c>
      <c r="C2349" s="675" t="s">
        <v>2348</v>
      </c>
      <c r="D2349" s="675" t="s">
        <v>21</v>
      </c>
      <c r="E2349" s="675" t="s">
        <v>514</v>
      </c>
      <c r="F2349" s="675" t="s">
        <v>515</v>
      </c>
      <c r="G2349" s="675"/>
      <c r="H2349" s="675"/>
      <c r="I2349" s="675"/>
      <c r="J2349" s="675"/>
      <c r="K2349" s="675"/>
      <c r="L2349" s="675"/>
      <c r="M2349" s="675"/>
    </row>
    <row r="2350" spans="1:13" x14ac:dyDescent="0.25">
      <c r="A2350" s="675" t="s">
        <v>2346</v>
      </c>
      <c r="B2350" s="675" t="s">
        <v>564</v>
      </c>
      <c r="C2350" s="675" t="s">
        <v>2349</v>
      </c>
      <c r="D2350" s="675" t="s">
        <v>21</v>
      </c>
      <c r="E2350" s="675" t="s">
        <v>514</v>
      </c>
      <c r="F2350" s="675" t="s">
        <v>515</v>
      </c>
      <c r="G2350" s="675"/>
      <c r="H2350" s="675"/>
      <c r="I2350" s="675"/>
      <c r="J2350" s="675"/>
      <c r="K2350" s="675"/>
      <c r="L2350" s="675"/>
      <c r="M2350" s="675"/>
    </row>
    <row r="2351" spans="1:13" x14ac:dyDescent="0.25">
      <c r="A2351" s="675" t="s">
        <v>2350</v>
      </c>
      <c r="B2351" s="675" t="s">
        <v>512</v>
      </c>
      <c r="C2351" s="675" t="s">
        <v>2351</v>
      </c>
      <c r="D2351" s="675" t="s">
        <v>21</v>
      </c>
      <c r="E2351" s="702"/>
      <c r="F2351" s="702"/>
      <c r="G2351" s="675"/>
      <c r="H2351" s="675"/>
      <c r="I2351" s="675"/>
      <c r="J2351" s="675"/>
      <c r="K2351" s="675"/>
      <c r="L2351" s="675"/>
      <c r="M2351" s="675"/>
    </row>
    <row r="2352" spans="1:13" x14ac:dyDescent="0.25">
      <c r="A2352" s="675" t="s">
        <v>2350</v>
      </c>
      <c r="B2352" s="675" t="s">
        <v>512</v>
      </c>
      <c r="C2352" s="675" t="s">
        <v>2352</v>
      </c>
      <c r="D2352" s="675" t="s">
        <v>21</v>
      </c>
      <c r="E2352" s="702"/>
      <c r="F2352" s="702"/>
      <c r="G2352" s="675"/>
      <c r="H2352" s="675"/>
      <c r="I2352" s="675"/>
      <c r="J2352" s="675"/>
      <c r="K2352" s="675"/>
      <c r="L2352" s="675"/>
      <c r="M2352" s="675"/>
    </row>
    <row r="2353" spans="1:13" x14ac:dyDescent="0.25">
      <c r="A2353" s="675" t="s">
        <v>2350</v>
      </c>
      <c r="B2353" s="675" t="s">
        <v>512</v>
      </c>
      <c r="C2353" s="675" t="s">
        <v>2353</v>
      </c>
      <c r="D2353" s="675" t="s">
        <v>21</v>
      </c>
      <c r="E2353" s="702"/>
      <c r="F2353" s="702"/>
      <c r="G2353" s="675"/>
      <c r="H2353" s="675"/>
      <c r="I2353" s="675"/>
      <c r="J2353" s="675"/>
      <c r="K2353" s="675"/>
      <c r="L2353" s="675"/>
      <c r="M2353" s="675"/>
    </row>
    <row r="2354" spans="1:13" x14ac:dyDescent="0.25">
      <c r="A2354" s="675" t="s">
        <v>2350</v>
      </c>
      <c r="B2354" s="675" t="s">
        <v>512</v>
      </c>
      <c r="C2354" s="675" t="s">
        <v>2354</v>
      </c>
      <c r="D2354" s="675" t="s">
        <v>21</v>
      </c>
      <c r="E2354" s="702"/>
      <c r="F2354" s="702"/>
      <c r="G2354" s="675"/>
      <c r="H2354" s="675"/>
      <c r="I2354" s="675"/>
      <c r="J2354" s="675"/>
      <c r="K2354" s="675"/>
      <c r="L2354" s="675"/>
      <c r="M2354" s="675"/>
    </row>
    <row r="2355" spans="1:13" x14ac:dyDescent="0.25">
      <c r="A2355" s="675" t="s">
        <v>2350</v>
      </c>
      <c r="B2355" s="675" t="s">
        <v>512</v>
      </c>
      <c r="C2355" s="675" t="s">
        <v>2355</v>
      </c>
      <c r="D2355" s="675" t="s">
        <v>21</v>
      </c>
      <c r="E2355" s="702"/>
      <c r="F2355" s="702"/>
      <c r="G2355" s="675"/>
      <c r="H2355" s="675"/>
      <c r="I2355" s="675"/>
      <c r="J2355" s="675"/>
      <c r="K2355" s="675"/>
      <c r="L2355" s="675"/>
      <c r="M2355" s="675"/>
    </row>
    <row r="2356" spans="1:13" x14ac:dyDescent="0.25">
      <c r="A2356" s="675" t="s">
        <v>2350</v>
      </c>
      <c r="B2356" s="675" t="s">
        <v>545</v>
      </c>
      <c r="C2356" s="675" t="s">
        <v>2356</v>
      </c>
      <c r="D2356" s="675" t="s">
        <v>21</v>
      </c>
      <c r="E2356" s="702"/>
      <c r="F2356" s="702"/>
      <c r="G2356" s="675"/>
      <c r="H2356" s="675"/>
      <c r="I2356" s="675"/>
      <c r="J2356" s="675"/>
      <c r="K2356" s="675"/>
      <c r="L2356" s="675"/>
      <c r="M2356" s="675"/>
    </row>
    <row r="2357" spans="1:13" x14ac:dyDescent="0.25">
      <c r="A2357" s="675" t="s">
        <v>2350</v>
      </c>
      <c r="B2357" s="675" t="s">
        <v>545</v>
      </c>
      <c r="C2357" s="675" t="s">
        <v>2357</v>
      </c>
      <c r="D2357" s="675" t="s">
        <v>21</v>
      </c>
      <c r="E2357" s="702"/>
      <c r="F2357" s="702"/>
      <c r="G2357" s="675"/>
      <c r="H2357" s="675"/>
      <c r="I2357" s="675"/>
      <c r="J2357" s="675"/>
      <c r="K2357" s="675"/>
      <c r="L2357" s="675"/>
      <c r="M2357" s="675"/>
    </row>
    <row r="2358" spans="1:13" x14ac:dyDescent="0.25">
      <c r="A2358" s="675" t="s">
        <v>2350</v>
      </c>
      <c r="B2358" s="675" t="s">
        <v>545</v>
      </c>
      <c r="C2358" s="675" t="s">
        <v>2358</v>
      </c>
      <c r="D2358" s="675" t="s">
        <v>21</v>
      </c>
      <c r="E2358" s="702"/>
      <c r="F2358" s="702"/>
      <c r="G2358" s="675"/>
      <c r="H2358" s="675"/>
      <c r="I2358" s="675"/>
      <c r="J2358" s="675"/>
      <c r="K2358" s="675"/>
      <c r="L2358" s="675"/>
      <c r="M2358" s="675"/>
    </row>
    <row r="2359" spans="1:13" x14ac:dyDescent="0.25">
      <c r="A2359" s="675" t="s">
        <v>2350</v>
      </c>
      <c r="B2359" s="675" t="s">
        <v>545</v>
      </c>
      <c r="C2359" s="675" t="s">
        <v>2359</v>
      </c>
      <c r="D2359" s="675" t="s">
        <v>21</v>
      </c>
      <c r="E2359" s="702"/>
      <c r="F2359" s="702"/>
      <c r="G2359" s="675"/>
      <c r="H2359" s="675"/>
      <c r="I2359" s="675"/>
      <c r="J2359" s="675"/>
      <c r="K2359" s="675"/>
      <c r="L2359" s="675"/>
      <c r="M2359" s="675"/>
    </row>
    <row r="2360" spans="1:13" x14ac:dyDescent="0.25">
      <c r="A2360" s="675" t="s">
        <v>2350</v>
      </c>
      <c r="B2360" s="675" t="s">
        <v>545</v>
      </c>
      <c r="C2360" s="675" t="s">
        <v>2360</v>
      </c>
      <c r="D2360" s="675" t="s">
        <v>21</v>
      </c>
      <c r="E2360" s="702"/>
      <c r="F2360" s="702"/>
      <c r="G2360" s="675"/>
      <c r="H2360" s="675"/>
      <c r="I2360" s="675"/>
      <c r="J2360" s="675"/>
      <c r="K2360" s="675"/>
      <c r="L2360" s="675"/>
      <c r="M2360" s="675"/>
    </row>
    <row r="2361" spans="1:13" x14ac:dyDescent="0.25">
      <c r="A2361" s="675" t="s">
        <v>2350</v>
      </c>
      <c r="B2361" s="675" t="s">
        <v>564</v>
      </c>
      <c r="C2361" s="675" t="s">
        <v>2361</v>
      </c>
      <c r="D2361" s="675" t="s">
        <v>21</v>
      </c>
      <c r="E2361" s="702"/>
      <c r="F2361" s="702"/>
      <c r="G2361" s="675"/>
      <c r="H2361" s="675"/>
      <c r="I2361" s="675"/>
      <c r="J2361" s="675"/>
      <c r="K2361" s="675"/>
      <c r="L2361" s="675"/>
      <c r="M2361" s="675"/>
    </row>
    <row r="2362" spans="1:13" x14ac:dyDescent="0.25">
      <c r="A2362" s="675" t="s">
        <v>2350</v>
      </c>
      <c r="B2362" s="675" t="s">
        <v>564</v>
      </c>
      <c r="C2362" s="675" t="s">
        <v>2362</v>
      </c>
      <c r="D2362" s="675" t="s">
        <v>21</v>
      </c>
      <c r="E2362" s="702"/>
      <c r="F2362" s="702"/>
      <c r="G2362" s="675"/>
      <c r="H2362" s="675"/>
      <c r="I2362" s="675"/>
      <c r="J2362" s="675"/>
      <c r="K2362" s="675"/>
      <c r="L2362" s="675"/>
      <c r="M2362" s="675"/>
    </row>
    <row r="2363" spans="1:13" x14ac:dyDescent="0.25">
      <c r="A2363" s="675" t="s">
        <v>2350</v>
      </c>
      <c r="B2363" s="675" t="s">
        <v>564</v>
      </c>
      <c r="C2363" s="675" t="s">
        <v>2363</v>
      </c>
      <c r="D2363" s="675" t="s">
        <v>21</v>
      </c>
      <c r="E2363" s="702"/>
      <c r="F2363" s="702"/>
      <c r="G2363" s="675"/>
      <c r="H2363" s="675"/>
      <c r="I2363" s="675"/>
      <c r="J2363" s="675"/>
      <c r="K2363" s="675"/>
      <c r="L2363" s="675"/>
      <c r="M2363" s="675"/>
    </row>
    <row r="2364" spans="1:13" x14ac:dyDescent="0.25">
      <c r="A2364" s="675" t="s">
        <v>2350</v>
      </c>
      <c r="B2364" s="675" t="s">
        <v>564</v>
      </c>
      <c r="C2364" s="675" t="s">
        <v>2364</v>
      </c>
      <c r="D2364" s="675" t="s">
        <v>21</v>
      </c>
      <c r="E2364" s="702"/>
      <c r="F2364" s="702"/>
      <c r="G2364" s="675"/>
      <c r="H2364" s="675"/>
      <c r="I2364" s="675"/>
      <c r="J2364" s="675"/>
      <c r="K2364" s="675"/>
      <c r="L2364" s="675"/>
      <c r="M2364" s="675"/>
    </row>
    <row r="2365" spans="1:13" x14ac:dyDescent="0.25">
      <c r="A2365" s="675" t="s">
        <v>2350</v>
      </c>
      <c r="B2365" s="675" t="s">
        <v>564</v>
      </c>
      <c r="C2365" s="675" t="s">
        <v>2365</v>
      </c>
      <c r="D2365" s="675" t="s">
        <v>21</v>
      </c>
      <c r="E2365" s="702"/>
      <c r="F2365" s="702"/>
      <c r="G2365" s="675"/>
      <c r="H2365" s="675"/>
      <c r="I2365" s="675"/>
      <c r="J2365" s="675"/>
      <c r="K2365" s="675"/>
      <c r="L2365" s="675"/>
      <c r="M2365" s="675"/>
    </row>
    <row r="2366" spans="1:13" x14ac:dyDescent="0.25">
      <c r="A2366" s="675" t="s">
        <v>2366</v>
      </c>
      <c r="B2366" s="675" t="s">
        <v>512</v>
      </c>
      <c r="C2366" s="675" t="s">
        <v>1955</v>
      </c>
      <c r="D2366" s="675" t="s">
        <v>21</v>
      </c>
      <c r="E2366" s="675" t="s">
        <v>514</v>
      </c>
      <c r="F2366" s="675" t="s">
        <v>515</v>
      </c>
      <c r="G2366" s="675"/>
      <c r="H2366" s="675"/>
      <c r="I2366" s="675"/>
      <c r="J2366" s="675"/>
      <c r="K2366" s="675"/>
      <c r="L2366" s="675"/>
      <c r="M2366" s="675"/>
    </row>
    <row r="2367" spans="1:13" x14ac:dyDescent="0.25">
      <c r="A2367" s="675" t="s">
        <v>2366</v>
      </c>
      <c r="B2367" s="675" t="s">
        <v>512</v>
      </c>
      <c r="C2367" s="675" t="s">
        <v>1957</v>
      </c>
      <c r="D2367" s="675" t="s">
        <v>21</v>
      </c>
      <c r="E2367" s="675" t="s">
        <v>514</v>
      </c>
      <c r="F2367" s="675" t="s">
        <v>515</v>
      </c>
      <c r="G2367" s="675"/>
      <c r="H2367" s="675"/>
      <c r="I2367" s="675"/>
      <c r="J2367" s="675"/>
      <c r="K2367" s="675"/>
      <c r="L2367" s="675"/>
      <c r="M2367" s="675"/>
    </row>
    <row r="2368" spans="1:13" x14ac:dyDescent="0.25">
      <c r="A2368" s="678" t="s">
        <v>2366</v>
      </c>
      <c r="B2368" s="678" t="s">
        <v>545</v>
      </c>
      <c r="C2368" s="678" t="s">
        <v>2367</v>
      </c>
      <c r="D2368" s="678" t="s">
        <v>21</v>
      </c>
      <c r="E2368" s="678" t="s">
        <v>514</v>
      </c>
      <c r="F2368" s="678" t="s">
        <v>636</v>
      </c>
      <c r="G2368" s="675"/>
      <c r="H2368" s="675"/>
      <c r="I2368" s="675"/>
      <c r="J2368" s="675"/>
      <c r="K2368" s="675"/>
      <c r="L2368" s="675"/>
      <c r="M2368" s="675"/>
    </row>
    <row r="2369" spans="1:13" x14ac:dyDescent="0.25">
      <c r="A2369" s="675" t="s">
        <v>2368</v>
      </c>
      <c r="B2369" s="675" t="s">
        <v>512</v>
      </c>
      <c r="C2369" s="675" t="s">
        <v>2369</v>
      </c>
      <c r="D2369" s="675" t="s">
        <v>21</v>
      </c>
      <c r="E2369" s="675" t="s">
        <v>514</v>
      </c>
      <c r="F2369" s="675" t="s">
        <v>515</v>
      </c>
      <c r="G2369" s="675"/>
      <c r="H2369" s="675"/>
      <c r="I2369" s="675"/>
      <c r="J2369" s="675"/>
      <c r="K2369" s="675"/>
      <c r="L2369" s="675"/>
      <c r="M2369" s="675"/>
    </row>
    <row r="2370" spans="1:13" x14ac:dyDescent="0.25">
      <c r="A2370" s="675" t="s">
        <v>2368</v>
      </c>
      <c r="B2370" s="675" t="s">
        <v>512</v>
      </c>
      <c r="C2370" s="675" t="s">
        <v>809</v>
      </c>
      <c r="D2370" s="675" t="s">
        <v>21</v>
      </c>
      <c r="E2370" s="675" t="s">
        <v>514</v>
      </c>
      <c r="F2370" s="675" t="s">
        <v>515</v>
      </c>
      <c r="G2370" s="675"/>
      <c r="H2370" s="675"/>
      <c r="I2370" s="675"/>
      <c r="J2370" s="675"/>
      <c r="K2370" s="675"/>
      <c r="L2370" s="675"/>
      <c r="M2370" s="675"/>
    </row>
    <row r="2371" spans="1:13" x14ac:dyDescent="0.25">
      <c r="A2371" s="675" t="s">
        <v>2368</v>
      </c>
      <c r="B2371" s="675" t="s">
        <v>512</v>
      </c>
      <c r="C2371" s="675" t="s">
        <v>2370</v>
      </c>
      <c r="D2371" s="675" t="s">
        <v>21</v>
      </c>
      <c r="E2371" s="675" t="s">
        <v>514</v>
      </c>
      <c r="F2371" s="675" t="s">
        <v>515</v>
      </c>
      <c r="G2371" s="675"/>
      <c r="H2371" s="675"/>
      <c r="I2371" s="675"/>
      <c r="J2371" s="675"/>
      <c r="K2371" s="675"/>
      <c r="L2371" s="675"/>
      <c r="M2371" s="675"/>
    </row>
    <row r="2372" spans="1:13" x14ac:dyDescent="0.25">
      <c r="A2372" s="675" t="s">
        <v>2368</v>
      </c>
      <c r="B2372" s="675" t="s">
        <v>512</v>
      </c>
      <c r="C2372" s="675" t="s">
        <v>1505</v>
      </c>
      <c r="D2372" s="675" t="s">
        <v>21</v>
      </c>
      <c r="E2372" s="675" t="s">
        <v>514</v>
      </c>
      <c r="F2372" s="675" t="s">
        <v>515</v>
      </c>
      <c r="G2372" s="675"/>
      <c r="H2372" s="675"/>
      <c r="I2372" s="675"/>
      <c r="J2372" s="675"/>
      <c r="K2372" s="675"/>
      <c r="L2372" s="675"/>
      <c r="M2372" s="675"/>
    </row>
    <row r="2373" spans="1:13" x14ac:dyDescent="0.25">
      <c r="A2373" s="675" t="s">
        <v>2368</v>
      </c>
      <c r="B2373" s="675" t="s">
        <v>512</v>
      </c>
      <c r="C2373" s="675" t="s">
        <v>2371</v>
      </c>
      <c r="D2373" s="675" t="s">
        <v>21</v>
      </c>
      <c r="E2373" s="675" t="s">
        <v>514</v>
      </c>
      <c r="F2373" s="675" t="s">
        <v>515</v>
      </c>
      <c r="G2373" s="675"/>
      <c r="H2373" s="675"/>
      <c r="I2373" s="675"/>
      <c r="J2373" s="675"/>
      <c r="K2373" s="675"/>
      <c r="L2373" s="675"/>
      <c r="M2373" s="675"/>
    </row>
    <row r="2374" spans="1:13" x14ac:dyDescent="0.25">
      <c r="A2374" s="675" t="s">
        <v>2368</v>
      </c>
      <c r="B2374" s="675" t="s">
        <v>512</v>
      </c>
      <c r="C2374" s="675" t="s">
        <v>2372</v>
      </c>
      <c r="D2374" s="675" t="s">
        <v>21</v>
      </c>
      <c r="E2374" s="675" t="s">
        <v>514</v>
      </c>
      <c r="F2374" s="675" t="s">
        <v>515</v>
      </c>
      <c r="G2374" s="675"/>
      <c r="H2374" s="675"/>
      <c r="I2374" s="675"/>
      <c r="J2374" s="675"/>
      <c r="K2374" s="675"/>
      <c r="L2374" s="675"/>
      <c r="M2374" s="675"/>
    </row>
    <row r="2375" spans="1:13" x14ac:dyDescent="0.25">
      <c r="A2375" s="675" t="s">
        <v>2368</v>
      </c>
      <c r="B2375" s="675" t="s">
        <v>512</v>
      </c>
      <c r="C2375" s="675" t="s">
        <v>2373</v>
      </c>
      <c r="D2375" s="675" t="s">
        <v>21</v>
      </c>
      <c r="E2375" s="675" t="s">
        <v>514</v>
      </c>
      <c r="F2375" s="675" t="s">
        <v>515</v>
      </c>
      <c r="G2375" s="675"/>
      <c r="H2375" s="675"/>
      <c r="I2375" s="675"/>
      <c r="J2375" s="675"/>
      <c r="K2375" s="675"/>
      <c r="L2375" s="675"/>
      <c r="M2375" s="675"/>
    </row>
    <row r="2376" spans="1:13" x14ac:dyDescent="0.25">
      <c r="A2376" s="675" t="s">
        <v>2368</v>
      </c>
      <c r="B2376" s="675" t="s">
        <v>512</v>
      </c>
      <c r="C2376" s="675" t="s">
        <v>2162</v>
      </c>
      <c r="D2376" s="675" t="s">
        <v>21</v>
      </c>
      <c r="E2376" s="675" t="s">
        <v>514</v>
      </c>
      <c r="F2376" s="675" t="s">
        <v>515</v>
      </c>
      <c r="G2376" s="675"/>
      <c r="H2376" s="675"/>
      <c r="I2376" s="675"/>
      <c r="J2376" s="675"/>
      <c r="K2376" s="675"/>
      <c r="L2376" s="675"/>
      <c r="M2376" s="675"/>
    </row>
    <row r="2377" spans="1:13" x14ac:dyDescent="0.25">
      <c r="A2377" s="675" t="s">
        <v>2368</v>
      </c>
      <c r="B2377" s="675" t="s">
        <v>545</v>
      </c>
      <c r="C2377" s="675" t="s">
        <v>2374</v>
      </c>
      <c r="D2377" s="675" t="s">
        <v>21</v>
      </c>
      <c r="E2377" s="675" t="s">
        <v>514</v>
      </c>
      <c r="F2377" s="675" t="s">
        <v>515</v>
      </c>
      <c r="G2377" s="675"/>
      <c r="H2377" s="675"/>
      <c r="I2377" s="675"/>
      <c r="J2377" s="675"/>
      <c r="K2377" s="675"/>
      <c r="L2377" s="675"/>
      <c r="M2377" s="675"/>
    </row>
    <row r="2378" spans="1:13" x14ac:dyDescent="0.25">
      <c r="A2378" s="678" t="s">
        <v>2368</v>
      </c>
      <c r="B2378" s="678" t="s">
        <v>545</v>
      </c>
      <c r="C2378" s="678" t="s">
        <v>2375</v>
      </c>
      <c r="D2378" s="678" t="s">
        <v>21</v>
      </c>
      <c r="E2378" s="678" t="s">
        <v>514</v>
      </c>
      <c r="F2378" s="678" t="s">
        <v>596</v>
      </c>
      <c r="G2378" s="675"/>
      <c r="H2378" s="675"/>
      <c r="I2378" s="675"/>
      <c r="J2378" s="675"/>
      <c r="K2378" s="675"/>
      <c r="L2378" s="675"/>
      <c r="M2378" s="675"/>
    </row>
    <row r="2379" spans="1:13" x14ac:dyDescent="0.25">
      <c r="A2379" s="675" t="s">
        <v>2368</v>
      </c>
      <c r="B2379" s="675" t="s">
        <v>545</v>
      </c>
      <c r="C2379" s="675" t="s">
        <v>2376</v>
      </c>
      <c r="D2379" s="675" t="s">
        <v>21</v>
      </c>
      <c r="E2379" s="675" t="s">
        <v>514</v>
      </c>
      <c r="F2379" s="675" t="s">
        <v>515</v>
      </c>
      <c r="G2379" s="675"/>
      <c r="H2379" s="675"/>
      <c r="I2379" s="675"/>
      <c r="J2379" s="675"/>
      <c r="K2379" s="675"/>
      <c r="L2379" s="675"/>
      <c r="M2379" s="675"/>
    </row>
    <row r="2380" spans="1:13" x14ac:dyDescent="0.25">
      <c r="A2380" s="675" t="s">
        <v>2368</v>
      </c>
      <c r="B2380" s="675" t="s">
        <v>545</v>
      </c>
      <c r="C2380" s="675" t="s">
        <v>2377</v>
      </c>
      <c r="D2380" s="675" t="s">
        <v>21</v>
      </c>
      <c r="E2380" s="675" t="s">
        <v>514</v>
      </c>
      <c r="F2380" s="675" t="s">
        <v>515</v>
      </c>
      <c r="G2380" s="675"/>
      <c r="H2380" s="675"/>
      <c r="I2380" s="675"/>
      <c r="J2380" s="675"/>
      <c r="K2380" s="675"/>
      <c r="L2380" s="675"/>
      <c r="M2380" s="675"/>
    </row>
    <row r="2381" spans="1:13" x14ac:dyDescent="0.25">
      <c r="A2381" s="675" t="s">
        <v>2368</v>
      </c>
      <c r="B2381" s="675" t="s">
        <v>545</v>
      </c>
      <c r="C2381" s="675" t="s">
        <v>2378</v>
      </c>
      <c r="D2381" s="675" t="s">
        <v>21</v>
      </c>
      <c r="E2381" s="675" t="s">
        <v>514</v>
      </c>
      <c r="F2381" s="675" t="s">
        <v>515</v>
      </c>
      <c r="G2381" s="675"/>
      <c r="H2381" s="675"/>
      <c r="I2381" s="675"/>
      <c r="J2381" s="675"/>
      <c r="K2381" s="675"/>
      <c r="L2381" s="675"/>
      <c r="M2381" s="675"/>
    </row>
    <row r="2382" spans="1:13" x14ac:dyDescent="0.25">
      <c r="A2382" s="675" t="s">
        <v>2379</v>
      </c>
      <c r="B2382" s="675" t="s">
        <v>512</v>
      </c>
      <c r="C2382" s="675" t="s">
        <v>2380</v>
      </c>
      <c r="D2382" s="675" t="s">
        <v>21</v>
      </c>
      <c r="E2382" s="675" t="s">
        <v>514</v>
      </c>
      <c r="F2382" s="675" t="s">
        <v>515</v>
      </c>
      <c r="G2382" s="675"/>
      <c r="H2382" s="675"/>
      <c r="I2382" s="675"/>
      <c r="J2382" s="675"/>
      <c r="K2382" s="675"/>
      <c r="L2382" s="675"/>
      <c r="M2382" s="675"/>
    </row>
    <row r="2383" spans="1:13" x14ac:dyDescent="0.25">
      <c r="A2383" s="675" t="s">
        <v>2379</v>
      </c>
      <c r="B2383" s="675" t="s">
        <v>512</v>
      </c>
      <c r="C2383" s="675" t="s">
        <v>2381</v>
      </c>
      <c r="D2383" s="675" t="s">
        <v>21</v>
      </c>
      <c r="E2383" s="675" t="s">
        <v>514</v>
      </c>
      <c r="F2383" s="675" t="s">
        <v>515</v>
      </c>
      <c r="G2383" s="675"/>
      <c r="H2383" s="675"/>
      <c r="I2383" s="675"/>
      <c r="J2383" s="675"/>
      <c r="K2383" s="675"/>
      <c r="L2383" s="675"/>
      <c r="M2383" s="675"/>
    </row>
    <row r="2384" spans="1:13" x14ac:dyDescent="0.25">
      <c r="A2384" s="675" t="s">
        <v>2379</v>
      </c>
      <c r="B2384" s="675" t="s">
        <v>512</v>
      </c>
      <c r="C2384" s="675" t="s">
        <v>831</v>
      </c>
      <c r="D2384" s="675" t="s">
        <v>21</v>
      </c>
      <c r="E2384" s="675" t="s">
        <v>514</v>
      </c>
      <c r="F2384" s="675" t="s">
        <v>515</v>
      </c>
      <c r="G2384" s="675"/>
      <c r="H2384" s="675"/>
      <c r="I2384" s="675"/>
      <c r="J2384" s="675"/>
      <c r="K2384" s="675"/>
      <c r="L2384" s="675"/>
      <c r="M2384" s="675"/>
    </row>
    <row r="2385" spans="1:13" x14ac:dyDescent="0.25">
      <c r="A2385" s="678" t="s">
        <v>2379</v>
      </c>
      <c r="B2385" s="678" t="s">
        <v>512</v>
      </c>
      <c r="C2385" s="678" t="s">
        <v>2382</v>
      </c>
      <c r="D2385" s="675" t="s">
        <v>21</v>
      </c>
      <c r="E2385" s="678" t="s">
        <v>514</v>
      </c>
      <c r="F2385" s="678" t="s">
        <v>596</v>
      </c>
      <c r="G2385" s="675"/>
      <c r="H2385" s="675"/>
      <c r="I2385" s="675"/>
      <c r="J2385" s="675"/>
      <c r="K2385" s="675"/>
      <c r="L2385" s="675"/>
      <c r="M2385" s="675"/>
    </row>
    <row r="2386" spans="1:13" x14ac:dyDescent="0.25">
      <c r="A2386" s="675" t="s">
        <v>2379</v>
      </c>
      <c r="B2386" s="675" t="s">
        <v>512</v>
      </c>
      <c r="C2386" s="675" t="s">
        <v>2383</v>
      </c>
      <c r="D2386" s="675" t="s">
        <v>21</v>
      </c>
      <c r="E2386" s="675" t="s">
        <v>514</v>
      </c>
      <c r="F2386" s="675" t="s">
        <v>515</v>
      </c>
      <c r="G2386" s="675"/>
      <c r="H2386" s="675"/>
      <c r="I2386" s="675"/>
      <c r="J2386" s="675"/>
      <c r="K2386" s="675"/>
      <c r="L2386" s="675"/>
      <c r="M2386" s="675"/>
    </row>
    <row r="2387" spans="1:13" x14ac:dyDescent="0.25">
      <c r="A2387" s="675" t="s">
        <v>2379</v>
      </c>
      <c r="B2387" s="675" t="s">
        <v>512</v>
      </c>
      <c r="C2387" s="675" t="s">
        <v>809</v>
      </c>
      <c r="D2387" s="675" t="s">
        <v>21</v>
      </c>
      <c r="E2387" s="675" t="s">
        <v>514</v>
      </c>
      <c r="F2387" s="675" t="s">
        <v>515</v>
      </c>
      <c r="G2387" s="675"/>
      <c r="H2387" s="675"/>
      <c r="I2387" s="675"/>
      <c r="J2387" s="675"/>
      <c r="K2387" s="675"/>
      <c r="L2387" s="675"/>
      <c r="M2387" s="675"/>
    </row>
    <row r="2388" spans="1:13" x14ac:dyDescent="0.25">
      <c r="A2388" s="675" t="s">
        <v>2379</v>
      </c>
      <c r="B2388" s="675" t="s">
        <v>512</v>
      </c>
      <c r="C2388" s="675" t="s">
        <v>2384</v>
      </c>
      <c r="D2388" s="675" t="s">
        <v>21</v>
      </c>
      <c r="E2388" s="675" t="s">
        <v>514</v>
      </c>
      <c r="F2388" s="675" t="s">
        <v>515</v>
      </c>
      <c r="G2388" s="675"/>
      <c r="H2388" s="675"/>
      <c r="I2388" s="675"/>
      <c r="J2388" s="675"/>
      <c r="K2388" s="675"/>
      <c r="L2388" s="675"/>
      <c r="M2388" s="675"/>
    </row>
    <row r="2389" spans="1:13" x14ac:dyDescent="0.25">
      <c r="A2389" s="675" t="s">
        <v>2379</v>
      </c>
      <c r="B2389" s="675" t="s">
        <v>512</v>
      </c>
      <c r="C2389" s="675" t="s">
        <v>2385</v>
      </c>
      <c r="D2389" s="675" t="s">
        <v>21</v>
      </c>
      <c r="E2389" s="675" t="s">
        <v>514</v>
      </c>
      <c r="F2389" s="675" t="s">
        <v>515</v>
      </c>
      <c r="G2389" s="675"/>
      <c r="H2389" s="675"/>
      <c r="I2389" s="675"/>
      <c r="J2389" s="675"/>
      <c r="K2389" s="675"/>
      <c r="L2389" s="675"/>
      <c r="M2389" s="675"/>
    </row>
    <row r="2390" spans="1:13" x14ac:dyDescent="0.25">
      <c r="A2390" s="675" t="s">
        <v>2379</v>
      </c>
      <c r="B2390" s="675" t="s">
        <v>512</v>
      </c>
      <c r="C2390" s="675" t="s">
        <v>2386</v>
      </c>
      <c r="D2390" s="675" t="s">
        <v>21</v>
      </c>
      <c r="E2390" s="675" t="s">
        <v>514</v>
      </c>
      <c r="F2390" s="675" t="s">
        <v>515</v>
      </c>
      <c r="G2390" s="675"/>
      <c r="H2390" s="675"/>
      <c r="I2390" s="675"/>
      <c r="J2390" s="675"/>
      <c r="K2390" s="675"/>
      <c r="L2390" s="675"/>
      <c r="M2390" s="675"/>
    </row>
    <row r="2391" spans="1:13" x14ac:dyDescent="0.25">
      <c r="A2391" s="675" t="s">
        <v>2379</v>
      </c>
      <c r="B2391" s="675" t="s">
        <v>512</v>
      </c>
      <c r="C2391" s="675" t="s">
        <v>2387</v>
      </c>
      <c r="D2391" s="675" t="s">
        <v>21</v>
      </c>
      <c r="E2391" s="675" t="s">
        <v>514</v>
      </c>
      <c r="F2391" s="675" t="s">
        <v>515</v>
      </c>
      <c r="G2391" s="675"/>
      <c r="H2391" s="675"/>
      <c r="I2391" s="675"/>
      <c r="J2391" s="675"/>
      <c r="K2391" s="675"/>
      <c r="L2391" s="675"/>
      <c r="M2391" s="675"/>
    </row>
    <row r="2392" spans="1:13" x14ac:dyDescent="0.25">
      <c r="A2392" s="675" t="s">
        <v>2379</v>
      </c>
      <c r="B2392" s="675" t="s">
        <v>512</v>
      </c>
      <c r="C2392" s="675" t="s">
        <v>878</v>
      </c>
      <c r="D2392" s="675" t="s">
        <v>21</v>
      </c>
      <c r="E2392" s="675" t="s">
        <v>514</v>
      </c>
      <c r="F2392" s="675" t="s">
        <v>515</v>
      </c>
      <c r="G2392" s="675"/>
      <c r="H2392" s="675"/>
      <c r="I2392" s="675"/>
      <c r="J2392" s="675"/>
      <c r="K2392" s="675"/>
      <c r="L2392" s="675"/>
      <c r="M2392" s="675"/>
    </row>
    <row r="2393" spans="1:13" x14ac:dyDescent="0.25">
      <c r="A2393" s="675" t="s">
        <v>2379</v>
      </c>
      <c r="B2393" s="675" t="s">
        <v>512</v>
      </c>
      <c r="C2393" s="675" t="s">
        <v>1040</v>
      </c>
      <c r="D2393" s="675" t="s">
        <v>21</v>
      </c>
      <c r="E2393" s="675" t="s">
        <v>514</v>
      </c>
      <c r="F2393" s="675" t="s">
        <v>515</v>
      </c>
      <c r="G2393" s="675"/>
      <c r="H2393" s="675"/>
      <c r="I2393" s="675"/>
      <c r="J2393" s="675"/>
      <c r="K2393" s="675"/>
      <c r="L2393" s="675"/>
      <c r="M2393" s="675"/>
    </row>
    <row r="2394" spans="1:13" x14ac:dyDescent="0.25">
      <c r="A2394" s="675" t="s">
        <v>2379</v>
      </c>
      <c r="B2394" s="675" t="s">
        <v>512</v>
      </c>
      <c r="C2394" s="675" t="s">
        <v>2388</v>
      </c>
      <c r="D2394" s="675" t="s">
        <v>21</v>
      </c>
      <c r="E2394" s="675" t="s">
        <v>514</v>
      </c>
      <c r="F2394" s="675" t="s">
        <v>515</v>
      </c>
      <c r="G2394" s="675"/>
      <c r="H2394" s="675"/>
      <c r="I2394" s="675"/>
      <c r="J2394" s="675"/>
      <c r="K2394" s="675"/>
      <c r="L2394" s="675"/>
      <c r="M2394" s="675"/>
    </row>
    <row r="2395" spans="1:13" x14ac:dyDescent="0.25">
      <c r="A2395" s="675" t="s">
        <v>2379</v>
      </c>
      <c r="B2395" s="675" t="s">
        <v>512</v>
      </c>
      <c r="C2395" s="675" t="s">
        <v>2389</v>
      </c>
      <c r="D2395" s="675" t="s">
        <v>21</v>
      </c>
      <c r="E2395" s="675" t="s">
        <v>514</v>
      </c>
      <c r="F2395" s="675" t="s">
        <v>515</v>
      </c>
      <c r="G2395" s="675"/>
      <c r="H2395" s="675"/>
      <c r="I2395" s="675"/>
      <c r="J2395" s="675"/>
      <c r="K2395" s="675"/>
      <c r="L2395" s="675"/>
      <c r="M2395" s="675"/>
    </row>
    <row r="2396" spans="1:13" x14ac:dyDescent="0.25">
      <c r="A2396" s="675" t="s">
        <v>2379</v>
      </c>
      <c r="B2396" s="675" t="s">
        <v>512</v>
      </c>
      <c r="C2396" s="675" t="s">
        <v>881</v>
      </c>
      <c r="D2396" s="675" t="s">
        <v>21</v>
      </c>
      <c r="E2396" s="675" t="s">
        <v>514</v>
      </c>
      <c r="F2396" s="675" t="s">
        <v>515</v>
      </c>
      <c r="G2396" s="675"/>
      <c r="H2396" s="675"/>
      <c r="I2396" s="675"/>
      <c r="J2396" s="675"/>
      <c r="K2396" s="675"/>
      <c r="L2396" s="675"/>
      <c r="M2396" s="675"/>
    </row>
    <row r="2397" spans="1:13" x14ac:dyDescent="0.25">
      <c r="A2397" s="675" t="s">
        <v>2379</v>
      </c>
      <c r="B2397" s="675" t="s">
        <v>512</v>
      </c>
      <c r="C2397" s="675" t="s">
        <v>2390</v>
      </c>
      <c r="D2397" s="675" t="s">
        <v>21</v>
      </c>
      <c r="E2397" s="675" t="s">
        <v>514</v>
      </c>
      <c r="F2397" s="675" t="s">
        <v>515</v>
      </c>
      <c r="G2397" s="675"/>
      <c r="H2397" s="675"/>
      <c r="I2397" s="675"/>
      <c r="J2397" s="675"/>
      <c r="K2397" s="675"/>
      <c r="L2397" s="675"/>
      <c r="M2397" s="675"/>
    </row>
    <row r="2398" spans="1:13" x14ac:dyDescent="0.25">
      <c r="A2398" s="675" t="s">
        <v>2379</v>
      </c>
      <c r="B2398" s="675" t="s">
        <v>512</v>
      </c>
      <c r="C2398" s="675" t="s">
        <v>2391</v>
      </c>
      <c r="D2398" s="675" t="s">
        <v>21</v>
      </c>
      <c r="E2398" s="675" t="s">
        <v>514</v>
      </c>
      <c r="F2398" s="675" t="s">
        <v>515</v>
      </c>
      <c r="G2398" s="675"/>
      <c r="H2398" s="675"/>
      <c r="I2398" s="675"/>
      <c r="J2398" s="675"/>
      <c r="K2398" s="675"/>
      <c r="L2398" s="675"/>
      <c r="M2398" s="675"/>
    </row>
    <row r="2399" spans="1:13" x14ac:dyDescent="0.25">
      <c r="A2399" s="675" t="s">
        <v>2379</v>
      </c>
      <c r="B2399" s="675" t="s">
        <v>512</v>
      </c>
      <c r="C2399" s="675" t="s">
        <v>2392</v>
      </c>
      <c r="D2399" s="675" t="s">
        <v>21</v>
      </c>
      <c r="E2399" s="675" t="s">
        <v>514</v>
      </c>
      <c r="F2399" s="675" t="s">
        <v>515</v>
      </c>
      <c r="G2399" s="675"/>
      <c r="H2399" s="675"/>
      <c r="I2399" s="675"/>
      <c r="J2399" s="675"/>
      <c r="K2399" s="675"/>
      <c r="L2399" s="675"/>
      <c r="M2399" s="675"/>
    </row>
    <row r="2400" spans="1:13" x14ac:dyDescent="0.25">
      <c r="A2400" s="675" t="s">
        <v>2379</v>
      </c>
      <c r="B2400" s="675" t="s">
        <v>512</v>
      </c>
      <c r="C2400" s="675" t="s">
        <v>2393</v>
      </c>
      <c r="D2400" s="675" t="s">
        <v>21</v>
      </c>
      <c r="E2400" s="675" t="s">
        <v>514</v>
      </c>
      <c r="F2400" s="675" t="s">
        <v>515</v>
      </c>
      <c r="G2400" s="675"/>
      <c r="H2400" s="675"/>
      <c r="I2400" s="675"/>
      <c r="J2400" s="675"/>
      <c r="K2400" s="675"/>
      <c r="L2400" s="675"/>
      <c r="M2400" s="675"/>
    </row>
    <row r="2401" spans="1:13" x14ac:dyDescent="0.25">
      <c r="A2401" s="675" t="s">
        <v>2379</v>
      </c>
      <c r="B2401" s="675" t="s">
        <v>512</v>
      </c>
      <c r="C2401" s="675" t="s">
        <v>2394</v>
      </c>
      <c r="D2401" s="675" t="s">
        <v>21</v>
      </c>
      <c r="E2401" s="675" t="s">
        <v>514</v>
      </c>
      <c r="F2401" s="675" t="s">
        <v>515</v>
      </c>
      <c r="G2401" s="675"/>
      <c r="H2401" s="675"/>
      <c r="I2401" s="675"/>
      <c r="J2401" s="675"/>
      <c r="K2401" s="675"/>
      <c r="L2401" s="675"/>
      <c r="M2401" s="675"/>
    </row>
    <row r="2402" spans="1:13" x14ac:dyDescent="0.25">
      <c r="A2402" s="675" t="s">
        <v>2379</v>
      </c>
      <c r="B2402" s="675" t="s">
        <v>512</v>
      </c>
      <c r="C2402" s="675" t="s">
        <v>2395</v>
      </c>
      <c r="D2402" s="675" t="s">
        <v>21</v>
      </c>
      <c r="E2402" s="675" t="s">
        <v>514</v>
      </c>
      <c r="F2402" s="675" t="s">
        <v>515</v>
      </c>
      <c r="G2402" s="675"/>
      <c r="H2402" s="675"/>
      <c r="I2402" s="675"/>
      <c r="J2402" s="675"/>
      <c r="K2402" s="675"/>
      <c r="L2402" s="675"/>
      <c r="M2402" s="675"/>
    </row>
    <row r="2403" spans="1:13" x14ac:dyDescent="0.25">
      <c r="A2403" s="675" t="s">
        <v>2379</v>
      </c>
      <c r="B2403" s="675" t="s">
        <v>512</v>
      </c>
      <c r="C2403" s="675" t="s">
        <v>2396</v>
      </c>
      <c r="D2403" s="675" t="s">
        <v>21</v>
      </c>
      <c r="E2403" s="675" t="s">
        <v>514</v>
      </c>
      <c r="F2403" s="675" t="s">
        <v>515</v>
      </c>
      <c r="G2403" s="675"/>
      <c r="H2403" s="675"/>
      <c r="I2403" s="675"/>
      <c r="J2403" s="675"/>
      <c r="K2403" s="675"/>
      <c r="L2403" s="675"/>
      <c r="M2403" s="675"/>
    </row>
    <row r="2404" spans="1:13" x14ac:dyDescent="0.25">
      <c r="A2404" s="675" t="s">
        <v>2379</v>
      </c>
      <c r="B2404" s="675" t="s">
        <v>512</v>
      </c>
      <c r="C2404" s="675" t="s">
        <v>2397</v>
      </c>
      <c r="D2404" s="675" t="s">
        <v>21</v>
      </c>
      <c r="E2404" s="675" t="s">
        <v>514</v>
      </c>
      <c r="F2404" s="675" t="s">
        <v>515</v>
      </c>
      <c r="G2404" s="675"/>
      <c r="H2404" s="675"/>
      <c r="I2404" s="675"/>
      <c r="J2404" s="675"/>
      <c r="K2404" s="675"/>
      <c r="L2404" s="675"/>
      <c r="M2404" s="675"/>
    </row>
    <row r="2405" spans="1:13" x14ac:dyDescent="0.25">
      <c r="A2405" s="675" t="s">
        <v>2379</v>
      </c>
      <c r="B2405" s="675" t="s">
        <v>512</v>
      </c>
      <c r="C2405" s="675" t="s">
        <v>2398</v>
      </c>
      <c r="D2405" s="675" t="s">
        <v>21</v>
      </c>
      <c r="E2405" s="675" t="s">
        <v>514</v>
      </c>
      <c r="F2405" s="675" t="s">
        <v>515</v>
      </c>
      <c r="G2405" s="675"/>
      <c r="H2405" s="675"/>
      <c r="I2405" s="675"/>
      <c r="J2405" s="675"/>
      <c r="K2405" s="675"/>
      <c r="L2405" s="675"/>
      <c r="M2405" s="675"/>
    </row>
    <row r="2406" spans="1:13" x14ac:dyDescent="0.25">
      <c r="A2406" s="675" t="s">
        <v>2379</v>
      </c>
      <c r="B2406" s="675" t="s">
        <v>512</v>
      </c>
      <c r="C2406" s="675" t="s">
        <v>2399</v>
      </c>
      <c r="D2406" s="675" t="s">
        <v>21</v>
      </c>
      <c r="E2406" s="675" t="s">
        <v>514</v>
      </c>
      <c r="F2406" s="675" t="s">
        <v>515</v>
      </c>
      <c r="G2406" s="675"/>
      <c r="H2406" s="675"/>
      <c r="I2406" s="675"/>
      <c r="J2406" s="675"/>
      <c r="K2406" s="675"/>
      <c r="L2406" s="675"/>
      <c r="M2406" s="675"/>
    </row>
    <row r="2407" spans="1:13" x14ac:dyDescent="0.25">
      <c r="A2407" s="675" t="s">
        <v>2379</v>
      </c>
      <c r="B2407" s="675" t="s">
        <v>512</v>
      </c>
      <c r="C2407" s="675" t="s">
        <v>2400</v>
      </c>
      <c r="D2407" s="675" t="s">
        <v>21</v>
      </c>
      <c r="E2407" s="675" t="s">
        <v>514</v>
      </c>
      <c r="F2407" s="675" t="s">
        <v>515</v>
      </c>
      <c r="G2407" s="675"/>
      <c r="H2407" s="675"/>
      <c r="I2407" s="675"/>
      <c r="J2407" s="675"/>
      <c r="K2407" s="675"/>
      <c r="L2407" s="675"/>
      <c r="M2407" s="675"/>
    </row>
    <row r="2408" spans="1:13" x14ac:dyDescent="0.25">
      <c r="A2408" s="675" t="s">
        <v>2379</v>
      </c>
      <c r="B2408" s="675" t="s">
        <v>512</v>
      </c>
      <c r="C2408" s="675" t="s">
        <v>2401</v>
      </c>
      <c r="D2408" s="675" t="s">
        <v>21</v>
      </c>
      <c r="E2408" s="675" t="s">
        <v>514</v>
      </c>
      <c r="F2408" s="675" t="s">
        <v>515</v>
      </c>
      <c r="G2408" s="675"/>
      <c r="H2408" s="675"/>
      <c r="I2408" s="675"/>
      <c r="J2408" s="675"/>
      <c r="K2408" s="675"/>
      <c r="L2408" s="675"/>
      <c r="M2408" s="675"/>
    </row>
    <row r="2409" spans="1:13" x14ac:dyDescent="0.25">
      <c r="A2409" s="678" t="s">
        <v>2379</v>
      </c>
      <c r="B2409" s="678" t="s">
        <v>512</v>
      </c>
      <c r="C2409" s="675" t="s">
        <v>2402</v>
      </c>
      <c r="D2409" s="675" t="s">
        <v>21</v>
      </c>
      <c r="E2409" s="678" t="s">
        <v>514</v>
      </c>
      <c r="F2409" s="678" t="s">
        <v>596</v>
      </c>
      <c r="G2409" s="675"/>
      <c r="H2409" s="675"/>
      <c r="I2409" s="675"/>
      <c r="J2409" s="675"/>
      <c r="K2409" s="675"/>
      <c r="L2409" s="675"/>
      <c r="M2409" s="675"/>
    </row>
    <row r="2410" spans="1:13" x14ac:dyDescent="0.25">
      <c r="A2410" s="678" t="s">
        <v>2379</v>
      </c>
      <c r="B2410" s="678" t="s">
        <v>512</v>
      </c>
      <c r="C2410" s="678" t="s">
        <v>2403</v>
      </c>
      <c r="D2410" s="675" t="s">
        <v>21</v>
      </c>
      <c r="E2410" s="678" t="s">
        <v>514</v>
      </c>
      <c r="F2410" s="678" t="s">
        <v>596</v>
      </c>
      <c r="G2410" s="675"/>
      <c r="H2410" s="675"/>
      <c r="I2410" s="675"/>
      <c r="J2410" s="675"/>
      <c r="K2410" s="675"/>
      <c r="L2410" s="675"/>
      <c r="M2410" s="675"/>
    </row>
    <row r="2411" spans="1:13" x14ac:dyDescent="0.25">
      <c r="A2411" s="675" t="s">
        <v>2379</v>
      </c>
      <c r="B2411" s="675" t="s">
        <v>512</v>
      </c>
      <c r="C2411" s="675" t="s">
        <v>2404</v>
      </c>
      <c r="D2411" s="675" t="s">
        <v>21</v>
      </c>
      <c r="E2411" s="675" t="s">
        <v>514</v>
      </c>
      <c r="F2411" s="675" t="s">
        <v>515</v>
      </c>
      <c r="G2411" s="675"/>
      <c r="H2411" s="675"/>
      <c r="I2411" s="675"/>
      <c r="J2411" s="675"/>
      <c r="K2411" s="675"/>
      <c r="L2411" s="675"/>
      <c r="M2411" s="675"/>
    </row>
    <row r="2412" spans="1:13" x14ac:dyDescent="0.25">
      <c r="A2412" s="675" t="s">
        <v>2379</v>
      </c>
      <c r="B2412" s="675" t="s">
        <v>512</v>
      </c>
      <c r="C2412" s="675" t="s">
        <v>2405</v>
      </c>
      <c r="D2412" s="675" t="s">
        <v>21</v>
      </c>
      <c r="E2412" s="675" t="s">
        <v>514</v>
      </c>
      <c r="F2412" s="675" t="s">
        <v>515</v>
      </c>
      <c r="G2412" s="675"/>
      <c r="H2412" s="675"/>
      <c r="I2412" s="675"/>
      <c r="J2412" s="675"/>
      <c r="K2412" s="675"/>
      <c r="L2412" s="675"/>
      <c r="M2412" s="675"/>
    </row>
    <row r="2413" spans="1:13" x14ac:dyDescent="0.25">
      <c r="A2413" s="675" t="s">
        <v>2379</v>
      </c>
      <c r="B2413" s="675" t="s">
        <v>512</v>
      </c>
      <c r="C2413" s="675" t="s">
        <v>2406</v>
      </c>
      <c r="D2413" s="675" t="s">
        <v>21</v>
      </c>
      <c r="E2413" s="675" t="s">
        <v>514</v>
      </c>
      <c r="F2413" s="675" t="s">
        <v>515</v>
      </c>
      <c r="G2413" s="675"/>
      <c r="H2413" s="675"/>
      <c r="I2413" s="675"/>
      <c r="J2413" s="675"/>
      <c r="K2413" s="675"/>
      <c r="L2413" s="675"/>
      <c r="M2413" s="675"/>
    </row>
    <row r="2414" spans="1:13" x14ac:dyDescent="0.25">
      <c r="A2414" s="675" t="s">
        <v>2379</v>
      </c>
      <c r="B2414" s="675" t="s">
        <v>512</v>
      </c>
      <c r="C2414" s="675" t="s">
        <v>2407</v>
      </c>
      <c r="D2414" s="675" t="s">
        <v>21</v>
      </c>
      <c r="E2414" s="675" t="s">
        <v>514</v>
      </c>
      <c r="F2414" s="675" t="s">
        <v>515</v>
      </c>
      <c r="G2414" s="675"/>
      <c r="H2414" s="675"/>
      <c r="I2414" s="675"/>
      <c r="J2414" s="675"/>
      <c r="K2414" s="675"/>
      <c r="L2414" s="675"/>
      <c r="M2414" s="675"/>
    </row>
    <row r="2415" spans="1:13" x14ac:dyDescent="0.25">
      <c r="A2415" s="675" t="s">
        <v>2379</v>
      </c>
      <c r="B2415" s="675" t="s">
        <v>512</v>
      </c>
      <c r="C2415" s="675" t="s">
        <v>2408</v>
      </c>
      <c r="D2415" s="675" t="s">
        <v>21</v>
      </c>
      <c r="E2415" s="675" t="s">
        <v>514</v>
      </c>
      <c r="F2415" s="675" t="s">
        <v>515</v>
      </c>
      <c r="G2415" s="675"/>
      <c r="H2415" s="675"/>
      <c r="I2415" s="675"/>
      <c r="J2415" s="675"/>
      <c r="K2415" s="675"/>
      <c r="L2415" s="675"/>
      <c r="M2415" s="675"/>
    </row>
    <row r="2416" spans="1:13" x14ac:dyDescent="0.25">
      <c r="A2416" s="675" t="s">
        <v>2379</v>
      </c>
      <c r="B2416" s="675" t="s">
        <v>512</v>
      </c>
      <c r="C2416" s="675" t="s">
        <v>2409</v>
      </c>
      <c r="D2416" s="675" t="s">
        <v>21</v>
      </c>
      <c r="E2416" s="675" t="s">
        <v>514</v>
      </c>
      <c r="F2416" s="675" t="s">
        <v>515</v>
      </c>
      <c r="G2416" s="675"/>
      <c r="H2416" s="675"/>
      <c r="I2416" s="675"/>
      <c r="J2416" s="675"/>
      <c r="K2416" s="675"/>
      <c r="L2416" s="675"/>
      <c r="M2416" s="675"/>
    </row>
    <row r="2417" spans="1:13" x14ac:dyDescent="0.25">
      <c r="A2417" s="675" t="s">
        <v>2379</v>
      </c>
      <c r="B2417" s="675" t="s">
        <v>512</v>
      </c>
      <c r="C2417" s="675" t="s">
        <v>2410</v>
      </c>
      <c r="D2417" s="675" t="s">
        <v>21</v>
      </c>
      <c r="E2417" s="675" t="s">
        <v>514</v>
      </c>
      <c r="F2417" s="675" t="s">
        <v>515</v>
      </c>
      <c r="G2417" s="675"/>
      <c r="H2417" s="675"/>
      <c r="I2417" s="675"/>
      <c r="J2417" s="675"/>
      <c r="K2417" s="675"/>
      <c r="L2417" s="675"/>
      <c r="M2417" s="675"/>
    </row>
    <row r="2418" spans="1:13" x14ac:dyDescent="0.25">
      <c r="A2418" s="675" t="s">
        <v>2379</v>
      </c>
      <c r="B2418" s="675" t="s">
        <v>512</v>
      </c>
      <c r="C2418" s="675" t="s">
        <v>2411</v>
      </c>
      <c r="D2418" s="675" t="s">
        <v>21</v>
      </c>
      <c r="E2418" s="675" t="s">
        <v>514</v>
      </c>
      <c r="F2418" s="675" t="s">
        <v>515</v>
      </c>
      <c r="G2418" s="675"/>
      <c r="H2418" s="675"/>
      <c r="I2418" s="675"/>
      <c r="J2418" s="675"/>
      <c r="K2418" s="675"/>
      <c r="L2418" s="675"/>
      <c r="M2418" s="675"/>
    </row>
    <row r="2419" spans="1:13" x14ac:dyDescent="0.25">
      <c r="A2419" s="675" t="s">
        <v>2379</v>
      </c>
      <c r="B2419" s="675" t="s">
        <v>512</v>
      </c>
      <c r="C2419" s="675" t="s">
        <v>2412</v>
      </c>
      <c r="D2419" s="675" t="s">
        <v>21</v>
      </c>
      <c r="E2419" s="675" t="s">
        <v>514</v>
      </c>
      <c r="F2419" s="675" t="s">
        <v>515</v>
      </c>
      <c r="G2419" s="675"/>
      <c r="H2419" s="675"/>
      <c r="I2419" s="675"/>
      <c r="J2419" s="675"/>
      <c r="K2419" s="675"/>
      <c r="L2419" s="675"/>
      <c r="M2419" s="675"/>
    </row>
    <row r="2420" spans="1:13" x14ac:dyDescent="0.25">
      <c r="A2420" s="675" t="s">
        <v>2379</v>
      </c>
      <c r="B2420" s="675" t="s">
        <v>512</v>
      </c>
      <c r="C2420" s="675" t="s">
        <v>2413</v>
      </c>
      <c r="D2420" s="675" t="s">
        <v>21</v>
      </c>
      <c r="E2420" s="675" t="s">
        <v>514</v>
      </c>
      <c r="F2420" s="675" t="s">
        <v>515</v>
      </c>
      <c r="G2420" s="675"/>
      <c r="H2420" s="675"/>
      <c r="I2420" s="675"/>
      <c r="J2420" s="675"/>
      <c r="K2420" s="675"/>
      <c r="L2420" s="675"/>
      <c r="M2420" s="675"/>
    </row>
    <row r="2421" spans="1:13" x14ac:dyDescent="0.25">
      <c r="A2421" s="675" t="s">
        <v>2379</v>
      </c>
      <c r="B2421" s="675" t="s">
        <v>512</v>
      </c>
      <c r="C2421" s="675" t="s">
        <v>884</v>
      </c>
      <c r="D2421" s="675" t="s">
        <v>21</v>
      </c>
      <c r="E2421" s="675" t="s">
        <v>514</v>
      </c>
      <c r="F2421" s="675" t="s">
        <v>515</v>
      </c>
      <c r="G2421" s="675"/>
      <c r="H2421" s="675"/>
      <c r="I2421" s="675"/>
      <c r="J2421" s="675"/>
      <c r="K2421" s="675"/>
      <c r="L2421" s="675"/>
      <c r="M2421" s="675"/>
    </row>
    <row r="2422" spans="1:13" x14ac:dyDescent="0.25">
      <c r="A2422" s="675" t="s">
        <v>2379</v>
      </c>
      <c r="B2422" s="675" t="s">
        <v>512</v>
      </c>
      <c r="C2422" s="675" t="s">
        <v>885</v>
      </c>
      <c r="D2422" s="675" t="s">
        <v>21</v>
      </c>
      <c r="E2422" s="675" t="s">
        <v>514</v>
      </c>
      <c r="F2422" s="675" t="s">
        <v>515</v>
      </c>
      <c r="G2422" s="675"/>
      <c r="H2422" s="675"/>
      <c r="I2422" s="675"/>
      <c r="J2422" s="675"/>
      <c r="K2422" s="675"/>
      <c r="L2422" s="675"/>
      <c r="M2422" s="675"/>
    </row>
    <row r="2423" spans="1:13" x14ac:dyDescent="0.25">
      <c r="A2423" s="675" t="s">
        <v>2379</v>
      </c>
      <c r="B2423" s="675" t="s">
        <v>512</v>
      </c>
      <c r="C2423" s="675" t="s">
        <v>2414</v>
      </c>
      <c r="D2423" s="675" t="s">
        <v>21</v>
      </c>
      <c r="E2423" s="675" t="s">
        <v>514</v>
      </c>
      <c r="F2423" s="675" t="s">
        <v>515</v>
      </c>
      <c r="G2423" s="675"/>
      <c r="H2423" s="675"/>
      <c r="I2423" s="675"/>
      <c r="J2423" s="675"/>
      <c r="K2423" s="675"/>
      <c r="L2423" s="675"/>
      <c r="M2423" s="675"/>
    </row>
    <row r="2424" spans="1:13" x14ac:dyDescent="0.25">
      <c r="A2424" s="675" t="s">
        <v>2379</v>
      </c>
      <c r="B2424" s="675" t="s">
        <v>512</v>
      </c>
      <c r="C2424" s="675" t="s">
        <v>2415</v>
      </c>
      <c r="D2424" s="675" t="s">
        <v>21</v>
      </c>
      <c r="E2424" s="675" t="s">
        <v>514</v>
      </c>
      <c r="F2424" s="675" t="s">
        <v>515</v>
      </c>
      <c r="G2424" s="675"/>
      <c r="H2424" s="675"/>
      <c r="I2424" s="675"/>
      <c r="J2424" s="675"/>
      <c r="K2424" s="675"/>
      <c r="L2424" s="675"/>
      <c r="M2424" s="675"/>
    </row>
    <row r="2425" spans="1:13" x14ac:dyDescent="0.25">
      <c r="A2425" s="675" t="s">
        <v>2379</v>
      </c>
      <c r="B2425" s="675" t="s">
        <v>512</v>
      </c>
      <c r="C2425" s="675" t="s">
        <v>2416</v>
      </c>
      <c r="D2425" s="675" t="s">
        <v>21</v>
      </c>
      <c r="E2425" s="675" t="s">
        <v>514</v>
      </c>
      <c r="F2425" s="675" t="s">
        <v>515</v>
      </c>
      <c r="G2425" s="675"/>
      <c r="H2425" s="675"/>
      <c r="I2425" s="675"/>
      <c r="J2425" s="675"/>
      <c r="K2425" s="675"/>
      <c r="L2425" s="675"/>
      <c r="M2425" s="675"/>
    </row>
    <row r="2426" spans="1:13" x14ac:dyDescent="0.25">
      <c r="A2426" s="675" t="s">
        <v>2379</v>
      </c>
      <c r="B2426" s="675" t="s">
        <v>512</v>
      </c>
      <c r="C2426" s="675" t="s">
        <v>887</v>
      </c>
      <c r="D2426" s="675" t="s">
        <v>21</v>
      </c>
      <c r="E2426" s="675" t="s">
        <v>514</v>
      </c>
      <c r="F2426" s="675" t="s">
        <v>515</v>
      </c>
      <c r="G2426" s="675"/>
      <c r="H2426" s="675"/>
      <c r="I2426" s="675"/>
      <c r="J2426" s="675"/>
      <c r="K2426" s="675"/>
      <c r="L2426" s="675"/>
      <c r="M2426" s="675"/>
    </row>
    <row r="2427" spans="1:13" x14ac:dyDescent="0.25">
      <c r="A2427" s="675" t="s">
        <v>2379</v>
      </c>
      <c r="B2427" s="675" t="s">
        <v>512</v>
      </c>
      <c r="C2427" s="675" t="s">
        <v>888</v>
      </c>
      <c r="D2427" s="675" t="s">
        <v>21</v>
      </c>
      <c r="E2427" s="675" t="s">
        <v>514</v>
      </c>
      <c r="F2427" s="675" t="s">
        <v>515</v>
      </c>
      <c r="G2427" s="675"/>
      <c r="H2427" s="675"/>
      <c r="I2427" s="675"/>
      <c r="J2427" s="675"/>
      <c r="K2427" s="675"/>
      <c r="L2427" s="675"/>
      <c r="M2427" s="675"/>
    </row>
    <row r="2428" spans="1:13" x14ac:dyDescent="0.25">
      <c r="A2428" s="675" t="s">
        <v>2379</v>
      </c>
      <c r="B2428" s="675" t="s">
        <v>512</v>
      </c>
      <c r="C2428" s="675" t="s">
        <v>890</v>
      </c>
      <c r="D2428" s="675" t="s">
        <v>21</v>
      </c>
      <c r="E2428" s="675" t="s">
        <v>514</v>
      </c>
      <c r="F2428" s="675" t="s">
        <v>515</v>
      </c>
      <c r="G2428" s="675"/>
      <c r="H2428" s="675"/>
      <c r="I2428" s="675"/>
      <c r="J2428" s="675"/>
      <c r="K2428" s="675"/>
      <c r="L2428" s="675"/>
      <c r="M2428" s="675"/>
    </row>
    <row r="2429" spans="1:13" x14ac:dyDescent="0.25">
      <c r="A2429" s="675" t="s">
        <v>2379</v>
      </c>
      <c r="B2429" s="675" t="s">
        <v>512</v>
      </c>
      <c r="C2429" s="675" t="s">
        <v>2209</v>
      </c>
      <c r="D2429" s="675" t="s">
        <v>21</v>
      </c>
      <c r="E2429" s="675" t="s">
        <v>514</v>
      </c>
      <c r="F2429" s="675" t="s">
        <v>515</v>
      </c>
      <c r="G2429" s="675"/>
      <c r="H2429" s="675"/>
      <c r="I2429" s="675"/>
      <c r="J2429" s="675"/>
      <c r="K2429" s="675"/>
      <c r="L2429" s="675"/>
      <c r="M2429" s="675"/>
    </row>
    <row r="2430" spans="1:13" x14ac:dyDescent="0.25">
      <c r="A2430" s="675" t="s">
        <v>2379</v>
      </c>
      <c r="B2430" s="675" t="s">
        <v>512</v>
      </c>
      <c r="C2430" s="675" t="s">
        <v>2417</v>
      </c>
      <c r="D2430" s="675" t="s">
        <v>21</v>
      </c>
      <c r="E2430" s="675" t="s">
        <v>514</v>
      </c>
      <c r="F2430" s="675" t="s">
        <v>515</v>
      </c>
      <c r="G2430" s="675"/>
      <c r="H2430" s="675"/>
      <c r="I2430" s="675"/>
      <c r="J2430" s="675"/>
      <c r="K2430" s="675"/>
      <c r="L2430" s="675"/>
      <c r="M2430" s="675"/>
    </row>
    <row r="2431" spans="1:13" x14ac:dyDescent="0.25">
      <c r="A2431" s="675" t="s">
        <v>2379</v>
      </c>
      <c r="B2431" s="675" t="s">
        <v>512</v>
      </c>
      <c r="C2431" s="675" t="s">
        <v>2210</v>
      </c>
      <c r="D2431" s="675" t="s">
        <v>21</v>
      </c>
      <c r="E2431" s="675" t="s">
        <v>514</v>
      </c>
      <c r="F2431" s="675" t="s">
        <v>515</v>
      </c>
      <c r="G2431" s="675"/>
      <c r="H2431" s="675"/>
      <c r="I2431" s="675"/>
      <c r="J2431" s="675"/>
      <c r="K2431" s="675"/>
      <c r="L2431" s="675"/>
      <c r="M2431" s="675"/>
    </row>
    <row r="2432" spans="1:13" x14ac:dyDescent="0.25">
      <c r="A2432" s="675" t="s">
        <v>2379</v>
      </c>
      <c r="B2432" s="675" t="s">
        <v>512</v>
      </c>
      <c r="C2432" s="675" t="s">
        <v>2211</v>
      </c>
      <c r="D2432" s="675" t="s">
        <v>21</v>
      </c>
      <c r="E2432" s="675" t="s">
        <v>514</v>
      </c>
      <c r="F2432" s="675" t="s">
        <v>515</v>
      </c>
      <c r="G2432" s="675"/>
      <c r="H2432" s="675"/>
      <c r="I2432" s="675"/>
      <c r="J2432" s="675"/>
      <c r="K2432" s="675"/>
      <c r="L2432" s="675"/>
      <c r="M2432" s="675"/>
    </row>
    <row r="2433" spans="1:13" x14ac:dyDescent="0.25">
      <c r="A2433" s="675" t="s">
        <v>2379</v>
      </c>
      <c r="B2433" s="675" t="s">
        <v>512</v>
      </c>
      <c r="C2433" s="675" t="s">
        <v>894</v>
      </c>
      <c r="D2433" s="675" t="s">
        <v>21</v>
      </c>
      <c r="E2433" s="675" t="s">
        <v>514</v>
      </c>
      <c r="F2433" s="675" t="s">
        <v>515</v>
      </c>
      <c r="G2433" s="675"/>
      <c r="H2433" s="675"/>
      <c r="I2433" s="675"/>
      <c r="J2433" s="675"/>
      <c r="K2433" s="675"/>
      <c r="L2433" s="675"/>
      <c r="M2433" s="675"/>
    </row>
    <row r="2434" spans="1:13" x14ac:dyDescent="0.25">
      <c r="A2434" s="675" t="s">
        <v>2379</v>
      </c>
      <c r="B2434" s="675" t="s">
        <v>512</v>
      </c>
      <c r="C2434" s="675" t="s">
        <v>2418</v>
      </c>
      <c r="D2434" s="675" t="s">
        <v>21</v>
      </c>
      <c r="E2434" s="675" t="s">
        <v>514</v>
      </c>
      <c r="F2434" s="675" t="s">
        <v>515</v>
      </c>
      <c r="G2434" s="675"/>
      <c r="H2434" s="675"/>
      <c r="I2434" s="675"/>
      <c r="J2434" s="675"/>
      <c r="K2434" s="675"/>
      <c r="L2434" s="675"/>
      <c r="M2434" s="675"/>
    </row>
    <row r="2435" spans="1:13" x14ac:dyDescent="0.25">
      <c r="A2435" s="675" t="s">
        <v>2379</v>
      </c>
      <c r="B2435" s="675" t="s">
        <v>512</v>
      </c>
      <c r="C2435" s="675" t="s">
        <v>2419</v>
      </c>
      <c r="D2435" s="675" t="s">
        <v>21</v>
      </c>
      <c r="E2435" s="675" t="s">
        <v>514</v>
      </c>
      <c r="F2435" s="675" t="s">
        <v>515</v>
      </c>
      <c r="G2435" s="675"/>
      <c r="H2435" s="675"/>
      <c r="I2435" s="675"/>
      <c r="J2435" s="675"/>
      <c r="K2435" s="675"/>
      <c r="L2435" s="675"/>
      <c r="M2435" s="675"/>
    </row>
    <row r="2436" spans="1:13" x14ac:dyDescent="0.25">
      <c r="A2436" s="675" t="s">
        <v>2379</v>
      </c>
      <c r="B2436" s="675" t="s">
        <v>512</v>
      </c>
      <c r="C2436" s="675" t="s">
        <v>2213</v>
      </c>
      <c r="D2436" s="675" t="s">
        <v>21</v>
      </c>
      <c r="E2436" s="675" t="s">
        <v>514</v>
      </c>
      <c r="F2436" s="675" t="s">
        <v>515</v>
      </c>
      <c r="G2436" s="675"/>
      <c r="H2436" s="675"/>
      <c r="I2436" s="675"/>
      <c r="J2436" s="675"/>
      <c r="K2436" s="675"/>
      <c r="L2436" s="675"/>
      <c r="M2436" s="675"/>
    </row>
    <row r="2437" spans="1:13" x14ac:dyDescent="0.25">
      <c r="A2437" s="675" t="s">
        <v>2379</v>
      </c>
      <c r="B2437" s="675" t="s">
        <v>512</v>
      </c>
      <c r="C2437" s="675" t="s">
        <v>1842</v>
      </c>
      <c r="D2437" s="675" t="s">
        <v>21</v>
      </c>
      <c r="E2437" s="675" t="s">
        <v>514</v>
      </c>
      <c r="F2437" s="675" t="s">
        <v>515</v>
      </c>
      <c r="G2437" s="675"/>
      <c r="H2437" s="675"/>
      <c r="I2437" s="675"/>
      <c r="J2437" s="675"/>
      <c r="K2437" s="675"/>
      <c r="L2437" s="675"/>
      <c r="M2437" s="675"/>
    </row>
    <row r="2438" spans="1:13" x14ac:dyDescent="0.25">
      <c r="A2438" s="678" t="s">
        <v>2379</v>
      </c>
      <c r="B2438" s="678" t="s">
        <v>512</v>
      </c>
      <c r="C2438" s="675" t="s">
        <v>2420</v>
      </c>
      <c r="D2438" s="675" t="s">
        <v>21</v>
      </c>
      <c r="E2438" s="678" t="s">
        <v>514</v>
      </c>
      <c r="F2438" s="678" t="s">
        <v>596</v>
      </c>
      <c r="G2438" s="675"/>
      <c r="H2438" s="675"/>
      <c r="I2438" s="675"/>
      <c r="J2438" s="675"/>
      <c r="K2438" s="675"/>
      <c r="L2438" s="675"/>
      <c r="M2438" s="675"/>
    </row>
    <row r="2439" spans="1:13" x14ac:dyDescent="0.25">
      <c r="A2439" s="675" t="s">
        <v>2379</v>
      </c>
      <c r="B2439" s="675" t="s">
        <v>512</v>
      </c>
      <c r="C2439" s="675" t="s">
        <v>2421</v>
      </c>
      <c r="D2439" s="675" t="s">
        <v>21</v>
      </c>
      <c r="E2439" s="675" t="s">
        <v>514</v>
      </c>
      <c r="F2439" s="675" t="s">
        <v>515</v>
      </c>
      <c r="G2439" s="675"/>
      <c r="H2439" s="675"/>
      <c r="I2439" s="675"/>
      <c r="J2439" s="675"/>
      <c r="K2439" s="675"/>
      <c r="L2439" s="675"/>
      <c r="M2439" s="675"/>
    </row>
    <row r="2440" spans="1:13" x14ac:dyDescent="0.25">
      <c r="A2440" s="675" t="s">
        <v>2379</v>
      </c>
      <c r="B2440" s="675" t="s">
        <v>512</v>
      </c>
      <c r="C2440" s="675" t="s">
        <v>1887</v>
      </c>
      <c r="D2440" s="675" t="s">
        <v>21</v>
      </c>
      <c r="E2440" s="675" t="s">
        <v>514</v>
      </c>
      <c r="F2440" s="675" t="s">
        <v>515</v>
      </c>
      <c r="G2440" s="675"/>
      <c r="H2440" s="675"/>
      <c r="I2440" s="675"/>
      <c r="J2440" s="675"/>
      <c r="K2440" s="675"/>
      <c r="L2440" s="675"/>
      <c r="M2440" s="675"/>
    </row>
    <row r="2441" spans="1:13" x14ac:dyDescent="0.25">
      <c r="A2441" s="675" t="s">
        <v>2379</v>
      </c>
      <c r="B2441" s="675" t="s">
        <v>512</v>
      </c>
      <c r="C2441" s="675" t="s">
        <v>2422</v>
      </c>
      <c r="D2441" s="675" t="s">
        <v>21</v>
      </c>
      <c r="E2441" s="675" t="s">
        <v>514</v>
      </c>
      <c r="F2441" s="675" t="s">
        <v>515</v>
      </c>
      <c r="G2441" s="675"/>
      <c r="H2441" s="675"/>
      <c r="I2441" s="675"/>
      <c r="J2441" s="675"/>
      <c r="K2441" s="675"/>
      <c r="L2441" s="675"/>
      <c r="M2441" s="675"/>
    </row>
    <row r="2442" spans="1:13" x14ac:dyDescent="0.25">
      <c r="A2442" s="675" t="s">
        <v>2379</v>
      </c>
      <c r="B2442" s="675" t="s">
        <v>512</v>
      </c>
      <c r="C2442" s="675" t="s">
        <v>2423</v>
      </c>
      <c r="D2442" s="675" t="s">
        <v>21</v>
      </c>
      <c r="E2442" s="675" t="s">
        <v>514</v>
      </c>
      <c r="F2442" s="675" t="s">
        <v>515</v>
      </c>
      <c r="G2442" s="675"/>
      <c r="H2442" s="675"/>
      <c r="I2442" s="675"/>
      <c r="J2442" s="675"/>
      <c r="K2442" s="675"/>
      <c r="L2442" s="675"/>
      <c r="M2442" s="675"/>
    </row>
    <row r="2443" spans="1:13" x14ac:dyDescent="0.25">
      <c r="A2443" s="675" t="s">
        <v>2379</v>
      </c>
      <c r="B2443" s="675" t="s">
        <v>512</v>
      </c>
      <c r="C2443" s="675" t="s">
        <v>2424</v>
      </c>
      <c r="D2443" s="675" t="s">
        <v>21</v>
      </c>
      <c r="E2443" s="675" t="s">
        <v>514</v>
      </c>
      <c r="F2443" s="675" t="s">
        <v>515</v>
      </c>
      <c r="G2443" s="675"/>
      <c r="H2443" s="675"/>
      <c r="I2443" s="675"/>
      <c r="J2443" s="675"/>
      <c r="K2443" s="675"/>
      <c r="L2443" s="675"/>
      <c r="M2443" s="675"/>
    </row>
    <row r="2444" spans="1:13" x14ac:dyDescent="0.25">
      <c r="A2444" s="675" t="s">
        <v>2379</v>
      </c>
      <c r="B2444" s="675" t="s">
        <v>512</v>
      </c>
      <c r="C2444" s="675" t="s">
        <v>2425</v>
      </c>
      <c r="D2444" s="675" t="s">
        <v>21</v>
      </c>
      <c r="E2444" s="675" t="s">
        <v>514</v>
      </c>
      <c r="F2444" s="675" t="s">
        <v>515</v>
      </c>
      <c r="G2444" s="675"/>
      <c r="H2444" s="675"/>
      <c r="I2444" s="675"/>
      <c r="J2444" s="675"/>
      <c r="K2444" s="675"/>
      <c r="L2444" s="675"/>
      <c r="M2444" s="675"/>
    </row>
    <row r="2445" spans="1:13" x14ac:dyDescent="0.25">
      <c r="A2445" s="675" t="s">
        <v>2379</v>
      </c>
      <c r="B2445" s="675" t="s">
        <v>512</v>
      </c>
      <c r="C2445" s="675" t="s">
        <v>900</v>
      </c>
      <c r="D2445" s="675" t="s">
        <v>21</v>
      </c>
      <c r="E2445" s="675" t="s">
        <v>514</v>
      </c>
      <c r="F2445" s="675" t="s">
        <v>515</v>
      </c>
      <c r="G2445" s="675"/>
      <c r="H2445" s="675"/>
      <c r="I2445" s="675"/>
      <c r="J2445" s="675"/>
      <c r="K2445" s="675"/>
      <c r="L2445" s="675"/>
      <c r="M2445" s="675"/>
    </row>
    <row r="2446" spans="1:13" x14ac:dyDescent="0.25">
      <c r="A2446" s="675" t="s">
        <v>2379</v>
      </c>
      <c r="B2446" s="675" t="s">
        <v>512</v>
      </c>
      <c r="C2446" s="675" t="s">
        <v>2426</v>
      </c>
      <c r="D2446" s="675" t="s">
        <v>21</v>
      </c>
      <c r="E2446" s="675" t="s">
        <v>514</v>
      </c>
      <c r="F2446" s="675" t="s">
        <v>515</v>
      </c>
      <c r="G2446" s="675"/>
      <c r="H2446" s="675"/>
      <c r="I2446" s="675"/>
      <c r="J2446" s="675"/>
      <c r="K2446" s="675"/>
      <c r="L2446" s="675"/>
      <c r="M2446" s="675"/>
    </row>
    <row r="2447" spans="1:13" x14ac:dyDescent="0.25">
      <c r="A2447" s="675" t="s">
        <v>2379</v>
      </c>
      <c r="B2447" s="675" t="s">
        <v>512</v>
      </c>
      <c r="C2447" s="675" t="s">
        <v>901</v>
      </c>
      <c r="D2447" s="675" t="s">
        <v>21</v>
      </c>
      <c r="E2447" s="675" t="s">
        <v>514</v>
      </c>
      <c r="F2447" s="675" t="s">
        <v>515</v>
      </c>
      <c r="G2447" s="675"/>
      <c r="H2447" s="675"/>
      <c r="I2447" s="675"/>
      <c r="J2447" s="675"/>
      <c r="K2447" s="675"/>
      <c r="L2447" s="675"/>
      <c r="M2447" s="675"/>
    </row>
    <row r="2448" spans="1:13" x14ac:dyDescent="0.25">
      <c r="A2448" s="675" t="s">
        <v>2379</v>
      </c>
      <c r="B2448" s="675" t="s">
        <v>512</v>
      </c>
      <c r="C2448" s="675" t="s">
        <v>902</v>
      </c>
      <c r="D2448" s="675" t="s">
        <v>21</v>
      </c>
      <c r="E2448" s="675" t="s">
        <v>514</v>
      </c>
      <c r="F2448" s="675" t="s">
        <v>515</v>
      </c>
      <c r="G2448" s="675"/>
      <c r="H2448" s="675"/>
      <c r="I2448" s="675"/>
      <c r="J2448" s="675"/>
      <c r="K2448" s="675"/>
      <c r="L2448" s="675"/>
      <c r="M2448" s="675"/>
    </row>
    <row r="2449" spans="1:13" x14ac:dyDescent="0.25">
      <c r="A2449" s="678" t="s">
        <v>2379</v>
      </c>
      <c r="B2449" s="678" t="s">
        <v>545</v>
      </c>
      <c r="C2449" s="678" t="s">
        <v>2427</v>
      </c>
      <c r="D2449" s="678" t="s">
        <v>21</v>
      </c>
      <c r="E2449" s="678" t="s">
        <v>514</v>
      </c>
      <c r="F2449" s="678" t="s">
        <v>636</v>
      </c>
      <c r="G2449" s="675"/>
      <c r="H2449" s="675"/>
      <c r="I2449" s="675"/>
      <c r="J2449" s="675"/>
      <c r="K2449" s="675"/>
      <c r="L2449" s="675"/>
      <c r="M2449" s="675"/>
    </row>
    <row r="2450" spans="1:13" x14ac:dyDescent="0.25">
      <c r="A2450" s="675" t="s">
        <v>2379</v>
      </c>
      <c r="B2450" s="675" t="s">
        <v>545</v>
      </c>
      <c r="C2450" s="675" t="s">
        <v>1580</v>
      </c>
      <c r="D2450" s="675" t="s">
        <v>21</v>
      </c>
      <c r="E2450" s="675" t="s">
        <v>514</v>
      </c>
      <c r="F2450" s="675" t="s">
        <v>515</v>
      </c>
      <c r="G2450" s="675"/>
      <c r="H2450" s="675"/>
      <c r="I2450" s="675"/>
      <c r="J2450" s="675"/>
      <c r="K2450" s="675"/>
      <c r="L2450" s="675"/>
      <c r="M2450" s="675"/>
    </row>
    <row r="2451" spans="1:13" x14ac:dyDescent="0.25">
      <c r="A2451" s="675" t="s">
        <v>2379</v>
      </c>
      <c r="B2451" s="675" t="s">
        <v>545</v>
      </c>
      <c r="C2451" s="675" t="s">
        <v>2428</v>
      </c>
      <c r="D2451" s="675" t="s">
        <v>21</v>
      </c>
      <c r="E2451" s="675" t="s">
        <v>514</v>
      </c>
      <c r="F2451" s="675" t="s">
        <v>515</v>
      </c>
      <c r="G2451" s="675"/>
      <c r="H2451" s="675"/>
      <c r="I2451" s="675"/>
      <c r="J2451" s="675"/>
      <c r="K2451" s="675"/>
      <c r="L2451" s="675"/>
      <c r="M2451" s="675"/>
    </row>
    <row r="2452" spans="1:13" x14ac:dyDescent="0.25">
      <c r="A2452" s="675" t="s">
        <v>2379</v>
      </c>
      <c r="B2452" s="675" t="s">
        <v>545</v>
      </c>
      <c r="C2452" s="675" t="s">
        <v>908</v>
      </c>
      <c r="D2452" s="675" t="s">
        <v>21</v>
      </c>
      <c r="E2452" s="675" t="s">
        <v>514</v>
      </c>
      <c r="F2452" s="675" t="s">
        <v>515</v>
      </c>
      <c r="G2452" s="675"/>
      <c r="H2452" s="675"/>
      <c r="I2452" s="675"/>
      <c r="J2452" s="675"/>
      <c r="K2452" s="675"/>
      <c r="L2452" s="675"/>
      <c r="M2452" s="675"/>
    </row>
    <row r="2453" spans="1:13" x14ac:dyDescent="0.25">
      <c r="A2453" s="678" t="s">
        <v>2379</v>
      </c>
      <c r="B2453" s="678" t="s">
        <v>545</v>
      </c>
      <c r="C2453" s="678" t="s">
        <v>2429</v>
      </c>
      <c r="D2453" s="678" t="s">
        <v>21</v>
      </c>
      <c r="E2453" s="678" t="s">
        <v>514</v>
      </c>
      <c r="F2453" s="678" t="s">
        <v>636</v>
      </c>
      <c r="G2453" s="675"/>
      <c r="H2453" s="675"/>
      <c r="I2453" s="675"/>
      <c r="J2453" s="675"/>
      <c r="K2453" s="675"/>
      <c r="L2453" s="675"/>
      <c r="M2453" s="675"/>
    </row>
    <row r="2454" spans="1:13" x14ac:dyDescent="0.25">
      <c r="A2454" s="675" t="s">
        <v>2379</v>
      </c>
      <c r="B2454" s="675" t="s">
        <v>545</v>
      </c>
      <c r="C2454" s="675" t="s">
        <v>909</v>
      </c>
      <c r="D2454" s="675" t="s">
        <v>21</v>
      </c>
      <c r="E2454" s="675" t="s">
        <v>514</v>
      </c>
      <c r="F2454" s="675" t="s">
        <v>515</v>
      </c>
      <c r="G2454" s="675"/>
      <c r="H2454" s="675"/>
      <c r="I2454" s="675"/>
      <c r="J2454" s="675"/>
      <c r="K2454" s="675"/>
      <c r="L2454" s="675"/>
      <c r="M2454" s="675"/>
    </row>
    <row r="2455" spans="1:13" x14ac:dyDescent="0.25">
      <c r="A2455" s="675" t="s">
        <v>2379</v>
      </c>
      <c r="B2455" s="675" t="s">
        <v>545</v>
      </c>
      <c r="C2455" s="675" t="s">
        <v>1849</v>
      </c>
      <c r="D2455" s="675" t="s">
        <v>21</v>
      </c>
      <c r="E2455" s="675" t="s">
        <v>514</v>
      </c>
      <c r="F2455" s="675" t="s">
        <v>515</v>
      </c>
      <c r="G2455" s="675"/>
      <c r="H2455" s="675"/>
      <c r="I2455" s="675"/>
      <c r="J2455" s="675"/>
      <c r="K2455" s="675"/>
      <c r="L2455" s="675"/>
      <c r="M2455" s="675"/>
    </row>
    <row r="2456" spans="1:13" x14ac:dyDescent="0.25">
      <c r="A2456" s="675" t="s">
        <v>2379</v>
      </c>
      <c r="B2456" s="675" t="s">
        <v>545</v>
      </c>
      <c r="C2456" s="675" t="s">
        <v>1850</v>
      </c>
      <c r="D2456" s="675" t="s">
        <v>21</v>
      </c>
      <c r="E2456" s="675" t="s">
        <v>514</v>
      </c>
      <c r="F2456" s="675" t="s">
        <v>515</v>
      </c>
      <c r="G2456" s="675"/>
      <c r="H2456" s="675"/>
      <c r="I2456" s="675"/>
      <c r="J2456" s="675"/>
      <c r="K2456" s="675"/>
      <c r="L2456" s="675"/>
      <c r="M2456" s="675"/>
    </row>
    <row r="2457" spans="1:13" x14ac:dyDescent="0.25">
      <c r="A2457" s="675" t="s">
        <v>2379</v>
      </c>
      <c r="B2457" s="675" t="s">
        <v>545</v>
      </c>
      <c r="C2457" s="675" t="s">
        <v>910</v>
      </c>
      <c r="D2457" s="675" t="s">
        <v>21</v>
      </c>
      <c r="E2457" s="675" t="s">
        <v>514</v>
      </c>
      <c r="F2457" s="675" t="s">
        <v>515</v>
      </c>
      <c r="G2457" s="675"/>
      <c r="H2457" s="675"/>
      <c r="I2457" s="675"/>
      <c r="J2457" s="675"/>
      <c r="K2457" s="675"/>
      <c r="L2457" s="675"/>
      <c r="M2457" s="675"/>
    </row>
    <row r="2458" spans="1:13" x14ac:dyDescent="0.25">
      <c r="A2458" s="675" t="s">
        <v>2379</v>
      </c>
      <c r="B2458" s="675" t="s">
        <v>545</v>
      </c>
      <c r="C2458" s="675" t="s">
        <v>2430</v>
      </c>
      <c r="D2458" s="675" t="s">
        <v>21</v>
      </c>
      <c r="E2458" s="675" t="s">
        <v>514</v>
      </c>
      <c r="F2458" s="675" t="s">
        <v>515</v>
      </c>
      <c r="G2458" s="675"/>
      <c r="H2458" s="675"/>
      <c r="I2458" s="675"/>
      <c r="J2458" s="675"/>
      <c r="K2458" s="675"/>
      <c r="L2458" s="675"/>
      <c r="M2458" s="675"/>
    </row>
    <row r="2459" spans="1:13" x14ac:dyDescent="0.25">
      <c r="A2459" s="675" t="s">
        <v>2379</v>
      </c>
      <c r="B2459" s="675" t="s">
        <v>545</v>
      </c>
      <c r="C2459" s="675" t="s">
        <v>2431</v>
      </c>
      <c r="D2459" s="675" t="s">
        <v>21</v>
      </c>
      <c r="E2459" s="675" t="s">
        <v>514</v>
      </c>
      <c r="F2459" s="675" t="s">
        <v>515</v>
      </c>
      <c r="G2459" s="675"/>
      <c r="H2459" s="675"/>
      <c r="I2459" s="675"/>
      <c r="J2459" s="675"/>
      <c r="K2459" s="675"/>
      <c r="L2459" s="675"/>
      <c r="M2459" s="675"/>
    </row>
    <row r="2460" spans="1:13" x14ac:dyDescent="0.25">
      <c r="A2460" s="675" t="s">
        <v>2379</v>
      </c>
      <c r="B2460" s="675" t="s">
        <v>545</v>
      </c>
      <c r="C2460" s="675" t="s">
        <v>1645</v>
      </c>
      <c r="D2460" s="675" t="s">
        <v>21</v>
      </c>
      <c r="E2460" s="675" t="s">
        <v>514</v>
      </c>
      <c r="F2460" s="675" t="s">
        <v>515</v>
      </c>
      <c r="G2460" s="675"/>
      <c r="H2460" s="675"/>
      <c r="I2460" s="675"/>
      <c r="J2460" s="675"/>
      <c r="K2460" s="675"/>
      <c r="L2460" s="675"/>
      <c r="M2460" s="675"/>
    </row>
    <row r="2461" spans="1:13" x14ac:dyDescent="0.25">
      <c r="A2461" s="675" t="s">
        <v>2379</v>
      </c>
      <c r="B2461" s="675" t="s">
        <v>545</v>
      </c>
      <c r="C2461" s="675" t="s">
        <v>2432</v>
      </c>
      <c r="D2461" s="675" t="s">
        <v>21</v>
      </c>
      <c r="E2461" s="675" t="s">
        <v>514</v>
      </c>
      <c r="F2461" s="675" t="s">
        <v>515</v>
      </c>
      <c r="G2461" s="675"/>
      <c r="H2461" s="675"/>
      <c r="I2461" s="675"/>
      <c r="J2461" s="675"/>
      <c r="K2461" s="675"/>
      <c r="L2461" s="675"/>
      <c r="M2461" s="675"/>
    </row>
    <row r="2462" spans="1:13" x14ac:dyDescent="0.25">
      <c r="A2462" s="675" t="s">
        <v>2379</v>
      </c>
      <c r="B2462" s="675" t="s">
        <v>545</v>
      </c>
      <c r="C2462" s="675" t="s">
        <v>2433</v>
      </c>
      <c r="D2462" s="675" t="s">
        <v>21</v>
      </c>
      <c r="E2462" s="675" t="s">
        <v>514</v>
      </c>
      <c r="F2462" s="675" t="s">
        <v>515</v>
      </c>
      <c r="G2462" s="675"/>
      <c r="H2462" s="675"/>
      <c r="I2462" s="675"/>
      <c r="J2462" s="675"/>
      <c r="K2462" s="675"/>
      <c r="L2462" s="675"/>
      <c r="M2462" s="675"/>
    </row>
    <row r="2463" spans="1:13" x14ac:dyDescent="0.25">
      <c r="A2463" s="675" t="s">
        <v>2379</v>
      </c>
      <c r="B2463" s="675" t="s">
        <v>545</v>
      </c>
      <c r="C2463" s="675" t="s">
        <v>1648</v>
      </c>
      <c r="D2463" s="675" t="s">
        <v>21</v>
      </c>
      <c r="E2463" s="675" t="s">
        <v>514</v>
      </c>
      <c r="F2463" s="675" t="s">
        <v>515</v>
      </c>
      <c r="G2463" s="675"/>
      <c r="H2463" s="675"/>
      <c r="I2463" s="675"/>
      <c r="J2463" s="675"/>
      <c r="K2463" s="675"/>
      <c r="L2463" s="675"/>
      <c r="M2463" s="675"/>
    </row>
    <row r="2464" spans="1:13" x14ac:dyDescent="0.25">
      <c r="A2464" s="675" t="s">
        <v>2379</v>
      </c>
      <c r="B2464" s="675" t="s">
        <v>545</v>
      </c>
      <c r="C2464" s="675" t="s">
        <v>913</v>
      </c>
      <c r="D2464" s="675" t="s">
        <v>21</v>
      </c>
      <c r="E2464" s="675" t="s">
        <v>514</v>
      </c>
      <c r="F2464" s="675" t="s">
        <v>515</v>
      </c>
      <c r="G2464" s="675"/>
      <c r="H2464" s="675"/>
      <c r="I2464" s="675"/>
      <c r="J2464" s="675"/>
      <c r="K2464" s="675"/>
      <c r="L2464" s="675"/>
      <c r="M2464" s="675"/>
    </row>
    <row r="2465" spans="1:13" x14ac:dyDescent="0.25">
      <c r="A2465" s="675" t="s">
        <v>2379</v>
      </c>
      <c r="B2465" s="675" t="s">
        <v>545</v>
      </c>
      <c r="C2465" s="675" t="s">
        <v>2434</v>
      </c>
      <c r="D2465" s="675" t="s">
        <v>21</v>
      </c>
      <c r="E2465" s="675" t="s">
        <v>514</v>
      </c>
      <c r="F2465" s="675" t="s">
        <v>515</v>
      </c>
      <c r="G2465" s="675"/>
      <c r="H2465" s="675"/>
      <c r="I2465" s="675"/>
      <c r="J2465" s="675"/>
      <c r="K2465" s="675"/>
      <c r="L2465" s="675"/>
      <c r="M2465" s="675"/>
    </row>
    <row r="2466" spans="1:13" x14ac:dyDescent="0.25">
      <c r="A2466" s="675" t="s">
        <v>2379</v>
      </c>
      <c r="B2466" s="675" t="s">
        <v>545</v>
      </c>
      <c r="C2466" s="675" t="s">
        <v>2435</v>
      </c>
      <c r="D2466" s="675" t="s">
        <v>21</v>
      </c>
      <c r="E2466" s="675" t="s">
        <v>514</v>
      </c>
      <c r="F2466" s="675" t="s">
        <v>515</v>
      </c>
      <c r="G2466" s="675"/>
      <c r="H2466" s="675"/>
      <c r="I2466" s="675"/>
      <c r="J2466" s="675"/>
      <c r="K2466" s="675"/>
      <c r="L2466" s="675"/>
      <c r="M2466" s="675"/>
    </row>
    <row r="2467" spans="1:13" x14ac:dyDescent="0.25">
      <c r="A2467" s="675" t="s">
        <v>2379</v>
      </c>
      <c r="B2467" s="675" t="s">
        <v>545</v>
      </c>
      <c r="C2467" s="675" t="s">
        <v>2436</v>
      </c>
      <c r="D2467" s="675" t="s">
        <v>21</v>
      </c>
      <c r="E2467" s="675" t="s">
        <v>514</v>
      </c>
      <c r="F2467" s="675" t="s">
        <v>515</v>
      </c>
      <c r="G2467" s="675"/>
      <c r="H2467" s="675"/>
      <c r="I2467" s="675"/>
      <c r="J2467" s="675"/>
      <c r="K2467" s="675"/>
      <c r="L2467" s="675"/>
      <c r="M2467" s="675"/>
    </row>
    <row r="2468" spans="1:13" x14ac:dyDescent="0.25">
      <c r="A2468" s="678" t="s">
        <v>2379</v>
      </c>
      <c r="B2468" s="678" t="s">
        <v>545</v>
      </c>
      <c r="C2468" s="675" t="s">
        <v>2437</v>
      </c>
      <c r="D2468" s="678" t="s">
        <v>21</v>
      </c>
      <c r="E2468" s="678" t="s">
        <v>514</v>
      </c>
      <c r="F2468" s="678" t="s">
        <v>636</v>
      </c>
      <c r="G2468" s="675"/>
      <c r="H2468" s="675"/>
      <c r="I2468" s="675"/>
      <c r="J2468" s="675"/>
      <c r="K2468" s="675"/>
      <c r="L2468" s="675"/>
      <c r="M2468" s="675"/>
    </row>
    <row r="2469" spans="1:13" x14ac:dyDescent="0.25">
      <c r="A2469" s="675" t="s">
        <v>2379</v>
      </c>
      <c r="B2469" s="675" t="s">
        <v>545</v>
      </c>
      <c r="C2469" s="675" t="s">
        <v>2438</v>
      </c>
      <c r="D2469" s="675" t="s">
        <v>21</v>
      </c>
      <c r="E2469" s="675" t="s">
        <v>514</v>
      </c>
      <c r="F2469" s="675" t="s">
        <v>515</v>
      </c>
      <c r="G2469" s="675"/>
      <c r="H2469" s="675"/>
      <c r="I2469" s="675"/>
      <c r="J2469" s="675"/>
      <c r="K2469" s="675"/>
      <c r="L2469" s="675"/>
      <c r="M2469" s="675"/>
    </row>
    <row r="2470" spans="1:13" x14ac:dyDescent="0.25">
      <c r="A2470" s="675" t="s">
        <v>2379</v>
      </c>
      <c r="B2470" s="675" t="s">
        <v>545</v>
      </c>
      <c r="C2470" s="675" t="s">
        <v>2439</v>
      </c>
      <c r="D2470" s="675" t="s">
        <v>21</v>
      </c>
      <c r="E2470" s="675" t="s">
        <v>514</v>
      </c>
      <c r="F2470" s="675" t="s">
        <v>515</v>
      </c>
      <c r="G2470" s="675"/>
      <c r="H2470" s="675"/>
      <c r="I2470" s="675"/>
      <c r="J2470" s="675"/>
      <c r="K2470" s="675"/>
      <c r="L2470" s="675"/>
      <c r="M2470" s="675"/>
    </row>
    <row r="2471" spans="1:13" x14ac:dyDescent="0.25">
      <c r="A2471" s="675" t="s">
        <v>2379</v>
      </c>
      <c r="B2471" s="675" t="s">
        <v>545</v>
      </c>
      <c r="C2471" s="675" t="s">
        <v>2440</v>
      </c>
      <c r="D2471" s="675" t="s">
        <v>21</v>
      </c>
      <c r="E2471" s="675" t="s">
        <v>514</v>
      </c>
      <c r="F2471" s="675" t="s">
        <v>515</v>
      </c>
      <c r="G2471" s="675"/>
      <c r="H2471" s="675"/>
      <c r="I2471" s="675"/>
      <c r="J2471" s="675"/>
      <c r="K2471" s="675"/>
      <c r="L2471" s="675"/>
      <c r="M2471" s="675"/>
    </row>
    <row r="2472" spans="1:13" x14ac:dyDescent="0.25">
      <c r="A2472" s="675" t="s">
        <v>2379</v>
      </c>
      <c r="B2472" s="675" t="s">
        <v>545</v>
      </c>
      <c r="C2472" s="675" t="s">
        <v>2441</v>
      </c>
      <c r="D2472" s="675" t="s">
        <v>21</v>
      </c>
      <c r="E2472" s="675" t="s">
        <v>514</v>
      </c>
      <c r="F2472" s="675" t="s">
        <v>515</v>
      </c>
      <c r="G2472" s="675"/>
      <c r="H2472" s="675"/>
      <c r="I2472" s="675"/>
      <c r="J2472" s="675"/>
      <c r="K2472" s="675"/>
      <c r="L2472" s="675"/>
      <c r="M2472" s="675"/>
    </row>
    <row r="2473" spans="1:13" x14ac:dyDescent="0.25">
      <c r="A2473" s="675" t="s">
        <v>2379</v>
      </c>
      <c r="B2473" s="675" t="s">
        <v>545</v>
      </c>
      <c r="C2473" s="675" t="s">
        <v>2442</v>
      </c>
      <c r="D2473" s="675" t="s">
        <v>21</v>
      </c>
      <c r="E2473" s="675" t="s">
        <v>514</v>
      </c>
      <c r="F2473" s="675" t="s">
        <v>515</v>
      </c>
      <c r="G2473" s="675"/>
      <c r="H2473" s="675"/>
      <c r="I2473" s="675"/>
      <c r="J2473" s="675"/>
      <c r="K2473" s="675"/>
      <c r="L2473" s="675"/>
      <c r="M2473" s="675"/>
    </row>
    <row r="2474" spans="1:13" x14ac:dyDescent="0.25">
      <c r="A2474" s="675" t="s">
        <v>2379</v>
      </c>
      <c r="B2474" s="675" t="s">
        <v>545</v>
      </c>
      <c r="C2474" s="675" t="s">
        <v>2443</v>
      </c>
      <c r="D2474" s="675" t="s">
        <v>21</v>
      </c>
      <c r="E2474" s="675" t="s">
        <v>514</v>
      </c>
      <c r="F2474" s="675" t="s">
        <v>515</v>
      </c>
      <c r="G2474" s="675"/>
      <c r="H2474" s="675"/>
      <c r="I2474" s="675"/>
      <c r="J2474" s="675"/>
      <c r="K2474" s="675"/>
      <c r="L2474" s="675"/>
      <c r="M2474" s="675"/>
    </row>
    <row r="2475" spans="1:13" x14ac:dyDescent="0.25">
      <c r="A2475" s="675" t="s">
        <v>2379</v>
      </c>
      <c r="B2475" s="675" t="s">
        <v>545</v>
      </c>
      <c r="C2475" s="675" t="s">
        <v>2444</v>
      </c>
      <c r="D2475" s="675" t="s">
        <v>21</v>
      </c>
      <c r="E2475" s="675" t="s">
        <v>514</v>
      </c>
      <c r="F2475" s="675" t="s">
        <v>515</v>
      </c>
      <c r="G2475" s="675"/>
      <c r="H2475" s="675"/>
      <c r="I2475" s="675"/>
      <c r="J2475" s="675"/>
      <c r="K2475" s="675"/>
      <c r="L2475" s="675"/>
      <c r="M2475" s="675"/>
    </row>
    <row r="2476" spans="1:13" x14ac:dyDescent="0.25">
      <c r="A2476" s="675" t="s">
        <v>2379</v>
      </c>
      <c r="B2476" s="675" t="s">
        <v>545</v>
      </c>
      <c r="C2476" s="675" t="s">
        <v>2445</v>
      </c>
      <c r="D2476" s="675" t="s">
        <v>21</v>
      </c>
      <c r="E2476" s="675" t="s">
        <v>514</v>
      </c>
      <c r="F2476" s="675" t="s">
        <v>515</v>
      </c>
      <c r="G2476" s="675"/>
      <c r="H2476" s="675"/>
      <c r="I2476" s="675"/>
      <c r="J2476" s="675"/>
      <c r="K2476" s="675"/>
      <c r="L2476" s="675"/>
      <c r="M2476" s="675"/>
    </row>
    <row r="2477" spans="1:13" x14ac:dyDescent="0.25">
      <c r="A2477" s="675" t="s">
        <v>2379</v>
      </c>
      <c r="B2477" s="675" t="s">
        <v>545</v>
      </c>
      <c r="C2477" s="675" t="s">
        <v>2446</v>
      </c>
      <c r="D2477" s="675" t="s">
        <v>21</v>
      </c>
      <c r="E2477" s="675" t="s">
        <v>514</v>
      </c>
      <c r="F2477" s="675" t="s">
        <v>515</v>
      </c>
      <c r="G2477" s="675"/>
      <c r="H2477" s="675"/>
      <c r="I2477" s="675"/>
      <c r="J2477" s="675"/>
      <c r="K2477" s="675"/>
      <c r="L2477" s="675"/>
      <c r="M2477" s="675"/>
    </row>
    <row r="2478" spans="1:13" x14ac:dyDescent="0.25">
      <c r="A2478" s="675" t="s">
        <v>2379</v>
      </c>
      <c r="B2478" s="675" t="s">
        <v>545</v>
      </c>
      <c r="C2478" s="675" t="s">
        <v>2447</v>
      </c>
      <c r="D2478" s="675" t="s">
        <v>21</v>
      </c>
      <c r="E2478" s="675" t="s">
        <v>514</v>
      </c>
      <c r="F2478" s="675" t="s">
        <v>515</v>
      </c>
      <c r="G2478" s="675"/>
      <c r="H2478" s="675"/>
      <c r="I2478" s="675"/>
      <c r="J2478" s="675"/>
      <c r="K2478" s="675"/>
      <c r="L2478" s="675"/>
      <c r="M2478" s="675"/>
    </row>
    <row r="2479" spans="1:13" x14ac:dyDescent="0.25">
      <c r="A2479" s="675" t="s">
        <v>2379</v>
      </c>
      <c r="B2479" s="675" t="s">
        <v>545</v>
      </c>
      <c r="C2479" s="675" t="s">
        <v>2448</v>
      </c>
      <c r="D2479" s="675" t="s">
        <v>21</v>
      </c>
      <c r="E2479" s="675" t="s">
        <v>514</v>
      </c>
      <c r="F2479" s="675" t="s">
        <v>515</v>
      </c>
      <c r="G2479" s="675"/>
      <c r="H2479" s="675"/>
      <c r="I2479" s="675"/>
      <c r="J2479" s="675"/>
      <c r="K2479" s="675"/>
      <c r="L2479" s="675"/>
      <c r="M2479" s="675"/>
    </row>
    <row r="2480" spans="1:13" x14ac:dyDescent="0.25">
      <c r="A2480" s="675" t="s">
        <v>2379</v>
      </c>
      <c r="B2480" s="675" t="s">
        <v>545</v>
      </c>
      <c r="C2480" s="675" t="s">
        <v>2449</v>
      </c>
      <c r="D2480" s="675" t="s">
        <v>21</v>
      </c>
      <c r="E2480" s="675" t="s">
        <v>514</v>
      </c>
      <c r="F2480" s="675" t="s">
        <v>515</v>
      </c>
      <c r="G2480" s="675"/>
      <c r="H2480" s="675"/>
      <c r="I2480" s="675"/>
      <c r="J2480" s="675"/>
      <c r="K2480" s="675"/>
      <c r="L2480" s="675"/>
      <c r="M2480" s="675"/>
    </row>
    <row r="2481" spans="1:13" x14ac:dyDescent="0.25">
      <c r="A2481" s="675" t="s">
        <v>2379</v>
      </c>
      <c r="B2481" s="675" t="s">
        <v>545</v>
      </c>
      <c r="C2481" s="675" t="s">
        <v>2450</v>
      </c>
      <c r="D2481" s="675" t="s">
        <v>21</v>
      </c>
      <c r="E2481" s="675" t="s">
        <v>514</v>
      </c>
      <c r="F2481" s="675" t="s">
        <v>515</v>
      </c>
      <c r="G2481" s="675"/>
      <c r="H2481" s="675"/>
      <c r="I2481" s="675"/>
      <c r="J2481" s="675"/>
      <c r="K2481" s="675"/>
      <c r="L2481" s="675"/>
      <c r="M2481" s="675"/>
    </row>
    <row r="2482" spans="1:13" x14ac:dyDescent="0.25">
      <c r="A2482" s="675" t="s">
        <v>2379</v>
      </c>
      <c r="B2482" s="675" t="s">
        <v>545</v>
      </c>
      <c r="C2482" s="675" t="s">
        <v>2451</v>
      </c>
      <c r="D2482" s="675" t="s">
        <v>21</v>
      </c>
      <c r="E2482" s="675" t="s">
        <v>514</v>
      </c>
      <c r="F2482" s="675" t="s">
        <v>515</v>
      </c>
      <c r="G2482" s="675"/>
      <c r="H2482" s="675"/>
      <c r="I2482" s="675"/>
      <c r="J2482" s="675"/>
      <c r="K2482" s="675"/>
      <c r="L2482" s="675"/>
      <c r="M2482" s="675"/>
    </row>
    <row r="2483" spans="1:13" x14ac:dyDescent="0.25">
      <c r="A2483" s="675" t="s">
        <v>2379</v>
      </c>
      <c r="B2483" s="675" t="s">
        <v>545</v>
      </c>
      <c r="C2483" s="675" t="s">
        <v>2452</v>
      </c>
      <c r="D2483" s="675" t="s">
        <v>21</v>
      </c>
      <c r="E2483" s="675" t="s">
        <v>514</v>
      </c>
      <c r="F2483" s="675" t="s">
        <v>515</v>
      </c>
      <c r="G2483" s="675"/>
      <c r="H2483" s="675"/>
      <c r="I2483" s="675"/>
      <c r="J2483" s="675"/>
      <c r="K2483" s="675"/>
      <c r="L2483" s="675"/>
      <c r="M2483" s="675"/>
    </row>
    <row r="2484" spans="1:13" x14ac:dyDescent="0.25">
      <c r="A2484" s="678" t="s">
        <v>2379</v>
      </c>
      <c r="B2484" s="678" t="s">
        <v>545</v>
      </c>
      <c r="C2484" s="678" t="s">
        <v>2453</v>
      </c>
      <c r="D2484" s="678" t="s">
        <v>21</v>
      </c>
      <c r="E2484" s="678" t="s">
        <v>514</v>
      </c>
      <c r="F2484" s="678" t="s">
        <v>636</v>
      </c>
      <c r="G2484" s="675"/>
      <c r="H2484" s="675"/>
      <c r="I2484" s="675"/>
      <c r="J2484" s="675"/>
      <c r="K2484" s="675"/>
      <c r="L2484" s="675"/>
      <c r="M2484" s="675"/>
    </row>
    <row r="2485" spans="1:13" x14ac:dyDescent="0.25">
      <c r="A2485" s="675" t="s">
        <v>2379</v>
      </c>
      <c r="B2485" s="675" t="s">
        <v>545</v>
      </c>
      <c r="C2485" s="675" t="s">
        <v>2454</v>
      </c>
      <c r="D2485" s="675" t="s">
        <v>21</v>
      </c>
      <c r="E2485" s="675" t="s">
        <v>514</v>
      </c>
      <c r="F2485" s="675" t="s">
        <v>515</v>
      </c>
      <c r="G2485" s="675"/>
      <c r="H2485" s="675"/>
      <c r="I2485" s="675"/>
      <c r="J2485" s="675"/>
      <c r="K2485" s="675"/>
      <c r="L2485" s="675"/>
      <c r="M2485" s="675"/>
    </row>
    <row r="2486" spans="1:13" x14ac:dyDescent="0.25">
      <c r="A2486" s="675" t="s">
        <v>2379</v>
      </c>
      <c r="B2486" s="675" t="s">
        <v>545</v>
      </c>
      <c r="C2486" s="675" t="s">
        <v>2455</v>
      </c>
      <c r="D2486" s="675" t="s">
        <v>21</v>
      </c>
      <c r="E2486" s="675" t="s">
        <v>514</v>
      </c>
      <c r="F2486" s="675" t="s">
        <v>515</v>
      </c>
      <c r="G2486" s="675"/>
      <c r="H2486" s="675"/>
      <c r="I2486" s="675"/>
      <c r="J2486" s="675"/>
      <c r="K2486" s="675"/>
      <c r="L2486" s="675"/>
      <c r="M2486" s="675"/>
    </row>
    <row r="2487" spans="1:13" x14ac:dyDescent="0.25">
      <c r="A2487" s="675" t="s">
        <v>2379</v>
      </c>
      <c r="B2487" s="675" t="s">
        <v>564</v>
      </c>
      <c r="C2487" s="675" t="s">
        <v>2456</v>
      </c>
      <c r="D2487" s="675" t="s">
        <v>21</v>
      </c>
      <c r="E2487" s="675" t="s">
        <v>514</v>
      </c>
      <c r="F2487" s="675" t="s">
        <v>515</v>
      </c>
      <c r="G2487" s="675"/>
      <c r="H2487" s="675"/>
      <c r="I2487" s="675"/>
      <c r="J2487" s="675"/>
      <c r="K2487" s="675"/>
      <c r="L2487" s="675"/>
      <c r="M2487" s="675"/>
    </row>
    <row r="2488" spans="1:13" x14ac:dyDescent="0.25">
      <c r="A2488" s="675" t="s">
        <v>2379</v>
      </c>
      <c r="B2488" s="675" t="s">
        <v>564</v>
      </c>
      <c r="C2488" s="675" t="s">
        <v>2457</v>
      </c>
      <c r="D2488" s="675" t="s">
        <v>21</v>
      </c>
      <c r="E2488" s="675" t="s">
        <v>514</v>
      </c>
      <c r="F2488" s="675" t="s">
        <v>515</v>
      </c>
      <c r="G2488" s="675"/>
      <c r="H2488" s="675"/>
      <c r="I2488" s="675"/>
      <c r="J2488" s="675"/>
      <c r="K2488" s="675"/>
      <c r="L2488" s="675"/>
      <c r="M2488" s="675"/>
    </row>
    <row r="2489" spans="1:13" x14ac:dyDescent="0.25">
      <c r="A2489" s="675" t="s">
        <v>2379</v>
      </c>
      <c r="B2489" s="675" t="s">
        <v>564</v>
      </c>
      <c r="C2489" s="675" t="s">
        <v>1865</v>
      </c>
      <c r="D2489" s="675" t="s">
        <v>21</v>
      </c>
      <c r="E2489" s="675" t="s">
        <v>514</v>
      </c>
      <c r="F2489" s="675" t="s">
        <v>515</v>
      </c>
      <c r="G2489" s="675"/>
      <c r="H2489" s="675"/>
      <c r="I2489" s="675"/>
      <c r="J2489" s="675"/>
      <c r="K2489" s="675"/>
      <c r="L2489" s="675"/>
      <c r="M2489" s="675"/>
    </row>
    <row r="2490" spans="1:13" x14ac:dyDescent="0.25">
      <c r="A2490" s="675" t="s">
        <v>2379</v>
      </c>
      <c r="B2490" s="675" t="s">
        <v>564</v>
      </c>
      <c r="C2490" s="675" t="s">
        <v>1834</v>
      </c>
      <c r="D2490" s="675" t="s">
        <v>21</v>
      </c>
      <c r="E2490" s="675" t="s">
        <v>514</v>
      </c>
      <c r="F2490" s="675" t="s">
        <v>515</v>
      </c>
      <c r="G2490" s="675"/>
      <c r="H2490" s="675"/>
      <c r="I2490" s="675"/>
      <c r="J2490" s="675"/>
      <c r="K2490" s="675"/>
      <c r="L2490" s="675"/>
      <c r="M2490" s="675"/>
    </row>
    <row r="2491" spans="1:13" x14ac:dyDescent="0.25">
      <c r="A2491" s="675" t="s">
        <v>2379</v>
      </c>
      <c r="B2491" s="675" t="s">
        <v>564</v>
      </c>
      <c r="C2491" s="675" t="s">
        <v>1866</v>
      </c>
      <c r="D2491" s="675" t="s">
        <v>21</v>
      </c>
      <c r="E2491" s="675" t="s">
        <v>514</v>
      </c>
      <c r="F2491" s="675" t="s">
        <v>515</v>
      </c>
      <c r="G2491" s="675"/>
      <c r="H2491" s="675"/>
      <c r="I2491" s="675"/>
      <c r="J2491" s="675"/>
      <c r="K2491" s="675"/>
      <c r="L2491" s="675"/>
      <c r="M2491" s="675"/>
    </row>
    <row r="2492" spans="1:13" x14ac:dyDescent="0.25">
      <c r="A2492" s="675" t="s">
        <v>2379</v>
      </c>
      <c r="B2492" s="675" t="s">
        <v>564</v>
      </c>
      <c r="C2492" s="675" t="s">
        <v>2458</v>
      </c>
      <c r="D2492" s="675" t="s">
        <v>21</v>
      </c>
      <c r="E2492" s="675" t="s">
        <v>514</v>
      </c>
      <c r="F2492" s="675" t="s">
        <v>515</v>
      </c>
      <c r="G2492" s="675"/>
      <c r="H2492" s="675"/>
      <c r="I2492" s="675"/>
      <c r="J2492" s="675"/>
      <c r="K2492" s="675"/>
      <c r="L2492" s="675"/>
      <c r="M2492" s="675"/>
    </row>
    <row r="2493" spans="1:13" x14ac:dyDescent="0.25">
      <c r="A2493" s="675" t="s">
        <v>2379</v>
      </c>
      <c r="B2493" s="675" t="s">
        <v>564</v>
      </c>
      <c r="C2493" s="675" t="s">
        <v>1653</v>
      </c>
      <c r="D2493" s="675" t="s">
        <v>21</v>
      </c>
      <c r="E2493" s="675" t="s">
        <v>514</v>
      </c>
      <c r="F2493" s="675" t="s">
        <v>515</v>
      </c>
      <c r="G2493" s="675"/>
      <c r="H2493" s="675"/>
      <c r="I2493" s="675"/>
      <c r="J2493" s="675"/>
      <c r="K2493" s="675"/>
      <c r="L2493" s="675"/>
      <c r="M2493" s="675"/>
    </row>
    <row r="2494" spans="1:13" x14ac:dyDescent="0.25">
      <c r="A2494" s="675" t="s">
        <v>2379</v>
      </c>
      <c r="B2494" s="675" t="s">
        <v>564</v>
      </c>
      <c r="C2494" s="675" t="s">
        <v>2459</v>
      </c>
      <c r="D2494" s="675" t="s">
        <v>21</v>
      </c>
      <c r="E2494" s="675" t="s">
        <v>514</v>
      </c>
      <c r="F2494" s="675" t="s">
        <v>515</v>
      </c>
      <c r="G2494" s="675"/>
      <c r="H2494" s="675"/>
      <c r="I2494" s="675"/>
      <c r="J2494" s="675"/>
      <c r="K2494" s="675"/>
      <c r="L2494" s="675"/>
      <c r="M2494" s="675"/>
    </row>
    <row r="2495" spans="1:13" x14ac:dyDescent="0.25">
      <c r="A2495" s="675" t="s">
        <v>2460</v>
      </c>
      <c r="B2495" s="675" t="s">
        <v>512</v>
      </c>
      <c r="C2495" s="675" t="s">
        <v>863</v>
      </c>
      <c r="D2495" s="675" t="s">
        <v>21</v>
      </c>
      <c r="E2495" s="675" t="s">
        <v>514</v>
      </c>
      <c r="F2495" s="675" t="s">
        <v>515</v>
      </c>
      <c r="G2495" s="675"/>
      <c r="H2495" s="675"/>
      <c r="I2495" s="675"/>
      <c r="J2495" s="675"/>
      <c r="K2495" s="675"/>
      <c r="L2495" s="675"/>
      <c r="M2495" s="675"/>
    </row>
    <row r="2496" spans="1:13" x14ac:dyDescent="0.25">
      <c r="A2496" s="675" t="s">
        <v>2460</v>
      </c>
      <c r="B2496" s="675" t="s">
        <v>512</v>
      </c>
      <c r="C2496" s="675" t="s">
        <v>809</v>
      </c>
      <c r="D2496" s="675" t="s">
        <v>21</v>
      </c>
      <c r="E2496" s="675" t="s">
        <v>514</v>
      </c>
      <c r="F2496" s="675" t="s">
        <v>515</v>
      </c>
      <c r="G2496" s="675"/>
      <c r="H2496" s="675"/>
      <c r="I2496" s="675"/>
      <c r="J2496" s="675"/>
      <c r="K2496" s="675"/>
      <c r="L2496" s="675"/>
      <c r="M2496" s="675"/>
    </row>
    <row r="2497" spans="1:13" x14ac:dyDescent="0.25">
      <c r="A2497" s="675" t="s">
        <v>2460</v>
      </c>
      <c r="B2497" s="675" t="s">
        <v>512</v>
      </c>
      <c r="C2497" s="675" t="s">
        <v>1930</v>
      </c>
      <c r="D2497" s="675" t="s">
        <v>21</v>
      </c>
      <c r="E2497" s="675" t="s">
        <v>514</v>
      </c>
      <c r="F2497" s="675" t="s">
        <v>515</v>
      </c>
      <c r="G2497" s="675"/>
      <c r="H2497" s="675"/>
      <c r="I2497" s="675"/>
      <c r="J2497" s="675"/>
      <c r="K2497" s="675"/>
      <c r="L2497" s="675"/>
      <c r="M2497" s="675"/>
    </row>
    <row r="2498" spans="1:13" x14ac:dyDescent="0.25">
      <c r="A2498" s="675" t="s">
        <v>2460</v>
      </c>
      <c r="B2498" s="675" t="s">
        <v>512</v>
      </c>
      <c r="C2498" s="675" t="s">
        <v>2461</v>
      </c>
      <c r="D2498" s="675" t="s">
        <v>21</v>
      </c>
      <c r="E2498" s="675" t="s">
        <v>514</v>
      </c>
      <c r="F2498" s="675" t="s">
        <v>515</v>
      </c>
      <c r="G2498" s="675"/>
      <c r="H2498" s="675"/>
      <c r="I2498" s="675"/>
      <c r="J2498" s="675"/>
      <c r="K2498" s="675"/>
      <c r="L2498" s="675"/>
      <c r="M2498" s="675"/>
    </row>
    <row r="2499" spans="1:13" x14ac:dyDescent="0.25">
      <c r="A2499" s="675" t="s">
        <v>2460</v>
      </c>
      <c r="B2499" s="675" t="s">
        <v>512</v>
      </c>
      <c r="C2499" s="675" t="s">
        <v>2462</v>
      </c>
      <c r="D2499" s="675" t="s">
        <v>21</v>
      </c>
      <c r="E2499" s="675" t="s">
        <v>514</v>
      </c>
      <c r="F2499" s="675" t="s">
        <v>515</v>
      </c>
      <c r="G2499" s="675"/>
      <c r="H2499" s="675"/>
      <c r="I2499" s="675"/>
      <c r="J2499" s="675"/>
      <c r="K2499" s="675"/>
      <c r="L2499" s="675"/>
      <c r="M2499" s="675"/>
    </row>
    <row r="2500" spans="1:13" x14ac:dyDescent="0.25">
      <c r="A2500" s="675" t="s">
        <v>2460</v>
      </c>
      <c r="B2500" s="675" t="s">
        <v>512</v>
      </c>
      <c r="C2500" s="675" t="s">
        <v>2139</v>
      </c>
      <c r="D2500" s="675" t="s">
        <v>21</v>
      </c>
      <c r="E2500" s="675" t="s">
        <v>514</v>
      </c>
      <c r="F2500" s="675" t="s">
        <v>515</v>
      </c>
      <c r="G2500" s="675"/>
      <c r="H2500" s="675"/>
      <c r="I2500" s="675"/>
      <c r="J2500" s="675"/>
      <c r="K2500" s="675"/>
      <c r="L2500" s="675"/>
      <c r="M2500" s="675"/>
    </row>
    <row r="2501" spans="1:13" x14ac:dyDescent="0.25">
      <c r="A2501" s="675" t="s">
        <v>2460</v>
      </c>
      <c r="B2501" s="675" t="s">
        <v>512</v>
      </c>
      <c r="C2501" s="675" t="s">
        <v>2463</v>
      </c>
      <c r="D2501" s="675" t="s">
        <v>21</v>
      </c>
      <c r="E2501" s="675" t="s">
        <v>514</v>
      </c>
      <c r="F2501" s="675" t="s">
        <v>515</v>
      </c>
      <c r="G2501" s="675"/>
      <c r="H2501" s="675"/>
      <c r="I2501" s="675"/>
      <c r="J2501" s="675"/>
      <c r="K2501" s="675"/>
      <c r="L2501" s="675"/>
      <c r="M2501" s="675"/>
    </row>
    <row r="2502" spans="1:13" x14ac:dyDescent="0.25">
      <c r="A2502" s="675" t="s">
        <v>2460</v>
      </c>
      <c r="B2502" s="675" t="s">
        <v>512</v>
      </c>
      <c r="C2502" s="675" t="s">
        <v>2464</v>
      </c>
      <c r="D2502" s="675" t="s">
        <v>21</v>
      </c>
      <c r="E2502" s="675" t="s">
        <v>514</v>
      </c>
      <c r="F2502" s="675" t="s">
        <v>515</v>
      </c>
      <c r="G2502" s="675"/>
      <c r="H2502" s="675"/>
      <c r="I2502" s="675"/>
      <c r="J2502" s="675"/>
      <c r="K2502" s="675"/>
      <c r="L2502" s="675"/>
      <c r="M2502" s="675"/>
    </row>
    <row r="2503" spans="1:13" x14ac:dyDescent="0.25">
      <c r="A2503" s="678" t="s">
        <v>2460</v>
      </c>
      <c r="B2503" s="678" t="s">
        <v>512</v>
      </c>
      <c r="C2503" s="678" t="s">
        <v>1933</v>
      </c>
      <c r="D2503" s="678" t="s">
        <v>21</v>
      </c>
      <c r="E2503" s="678" t="s">
        <v>514</v>
      </c>
      <c r="F2503" s="678" t="s">
        <v>596</v>
      </c>
      <c r="G2503" s="675"/>
      <c r="H2503" s="675"/>
      <c r="I2503" s="675"/>
      <c r="J2503" s="675"/>
      <c r="K2503" s="675"/>
      <c r="L2503" s="675"/>
      <c r="M2503" s="675"/>
    </row>
    <row r="2504" spans="1:13" x14ac:dyDescent="0.25">
      <c r="A2504" s="675" t="s">
        <v>2460</v>
      </c>
      <c r="B2504" s="675" t="s">
        <v>512</v>
      </c>
      <c r="C2504" s="675" t="s">
        <v>2465</v>
      </c>
      <c r="D2504" s="675" t="s">
        <v>21</v>
      </c>
      <c r="E2504" s="675" t="s">
        <v>514</v>
      </c>
      <c r="F2504" s="675" t="s">
        <v>515</v>
      </c>
      <c r="G2504" s="675"/>
      <c r="H2504" s="675"/>
      <c r="I2504" s="675"/>
      <c r="J2504" s="675"/>
      <c r="K2504" s="675"/>
      <c r="L2504" s="675"/>
      <c r="M2504" s="675"/>
    </row>
    <row r="2505" spans="1:13" x14ac:dyDescent="0.25">
      <c r="A2505" s="675" t="s">
        <v>2460</v>
      </c>
      <c r="B2505" s="675" t="s">
        <v>545</v>
      </c>
      <c r="C2505" s="675" t="s">
        <v>863</v>
      </c>
      <c r="D2505" s="675" t="s">
        <v>21</v>
      </c>
      <c r="E2505" s="675" t="s">
        <v>514</v>
      </c>
      <c r="F2505" s="675" t="s">
        <v>515</v>
      </c>
      <c r="G2505" s="675"/>
      <c r="H2505" s="675"/>
      <c r="I2505" s="675"/>
      <c r="J2505" s="675"/>
      <c r="K2505" s="675"/>
      <c r="L2505" s="675"/>
      <c r="M2505" s="675"/>
    </row>
    <row r="2506" spans="1:13" x14ac:dyDescent="0.25">
      <c r="A2506" s="678" t="s">
        <v>2460</v>
      </c>
      <c r="B2506" s="678" t="s">
        <v>545</v>
      </c>
      <c r="C2506" s="678" t="s">
        <v>2466</v>
      </c>
      <c r="D2506" s="678" t="s">
        <v>21</v>
      </c>
      <c r="E2506" s="678" t="s">
        <v>514</v>
      </c>
      <c r="F2506" s="678" t="s">
        <v>636</v>
      </c>
      <c r="G2506" s="675"/>
      <c r="H2506" s="675"/>
      <c r="I2506" s="675"/>
      <c r="J2506" s="675"/>
      <c r="K2506" s="675"/>
      <c r="L2506" s="675"/>
      <c r="M2506" s="675"/>
    </row>
    <row r="2507" spans="1:13" x14ac:dyDescent="0.25">
      <c r="A2507" s="675" t="s">
        <v>2460</v>
      </c>
      <c r="B2507" s="675" t="s">
        <v>545</v>
      </c>
      <c r="C2507" s="675" t="s">
        <v>2140</v>
      </c>
      <c r="D2507" s="675" t="s">
        <v>21</v>
      </c>
      <c r="E2507" s="675" t="s">
        <v>514</v>
      </c>
      <c r="F2507" s="675" t="s">
        <v>515</v>
      </c>
      <c r="G2507" s="675"/>
      <c r="H2507" s="675"/>
      <c r="I2507" s="675"/>
      <c r="J2507" s="675"/>
      <c r="K2507" s="675"/>
      <c r="L2507" s="675"/>
      <c r="M2507" s="675"/>
    </row>
    <row r="2508" spans="1:13" x14ac:dyDescent="0.25">
      <c r="A2508" s="675" t="s">
        <v>2460</v>
      </c>
      <c r="B2508" s="675" t="s">
        <v>545</v>
      </c>
      <c r="C2508" s="675" t="s">
        <v>2376</v>
      </c>
      <c r="D2508" s="675" t="s">
        <v>21</v>
      </c>
      <c r="E2508" s="675" t="s">
        <v>514</v>
      </c>
      <c r="F2508" s="675" t="s">
        <v>515</v>
      </c>
      <c r="G2508" s="675"/>
      <c r="H2508" s="675"/>
      <c r="I2508" s="675"/>
      <c r="J2508" s="675"/>
      <c r="K2508" s="675"/>
      <c r="L2508" s="675"/>
      <c r="M2508" s="675"/>
    </row>
    <row r="2509" spans="1:13" x14ac:dyDescent="0.25">
      <c r="A2509" s="675" t="s">
        <v>2460</v>
      </c>
      <c r="B2509" s="675" t="s">
        <v>545</v>
      </c>
      <c r="C2509" s="676" t="s">
        <v>2467</v>
      </c>
      <c r="D2509" s="675" t="s">
        <v>21</v>
      </c>
      <c r="E2509" s="675" t="s">
        <v>514</v>
      </c>
      <c r="F2509" s="675" t="s">
        <v>515</v>
      </c>
      <c r="G2509" s="675"/>
      <c r="H2509" s="675"/>
      <c r="I2509" s="675"/>
      <c r="J2509" s="675"/>
      <c r="K2509" s="675"/>
      <c r="L2509" s="675"/>
      <c r="M2509" s="675"/>
    </row>
    <row r="2510" spans="1:13" x14ac:dyDescent="0.25">
      <c r="A2510" s="675" t="s">
        <v>2460</v>
      </c>
      <c r="B2510" s="675" t="s">
        <v>545</v>
      </c>
      <c r="C2510" s="675" t="s">
        <v>2468</v>
      </c>
      <c r="D2510" s="675" t="s">
        <v>21</v>
      </c>
      <c r="E2510" s="675" t="s">
        <v>514</v>
      </c>
      <c r="F2510" s="675" t="s">
        <v>515</v>
      </c>
      <c r="G2510" s="675"/>
      <c r="H2510" s="675"/>
      <c r="I2510" s="675"/>
      <c r="J2510" s="675"/>
      <c r="K2510" s="675"/>
      <c r="L2510" s="675"/>
      <c r="M2510" s="675"/>
    </row>
    <row r="2511" spans="1:13" x14ac:dyDescent="0.25">
      <c r="A2511" s="675" t="s">
        <v>2460</v>
      </c>
      <c r="B2511" s="675" t="s">
        <v>545</v>
      </c>
      <c r="C2511" s="675" t="s">
        <v>2469</v>
      </c>
      <c r="D2511" s="675" t="s">
        <v>21</v>
      </c>
      <c r="E2511" s="675" t="s">
        <v>514</v>
      </c>
      <c r="F2511" s="675" t="s">
        <v>515</v>
      </c>
      <c r="G2511" s="675"/>
      <c r="H2511" s="675"/>
      <c r="I2511" s="675"/>
      <c r="J2511" s="675"/>
      <c r="K2511" s="675"/>
      <c r="L2511" s="675"/>
      <c r="M2511" s="675"/>
    </row>
    <row r="2512" spans="1:13" x14ac:dyDescent="0.25">
      <c r="A2512" s="675" t="s">
        <v>2460</v>
      </c>
      <c r="B2512" s="675" t="s">
        <v>545</v>
      </c>
      <c r="C2512" s="675" t="s">
        <v>2470</v>
      </c>
      <c r="D2512" s="675" t="s">
        <v>21</v>
      </c>
      <c r="E2512" s="675" t="s">
        <v>514</v>
      </c>
      <c r="F2512" s="675" t="s">
        <v>515</v>
      </c>
      <c r="G2512" s="675"/>
      <c r="H2512" s="675"/>
      <c r="I2512" s="675"/>
      <c r="J2512" s="675"/>
      <c r="K2512" s="675"/>
      <c r="L2512" s="675"/>
      <c r="M2512" s="675"/>
    </row>
    <row r="2513" spans="1:13" x14ac:dyDescent="0.25">
      <c r="A2513" s="675" t="s">
        <v>2460</v>
      </c>
      <c r="B2513" s="675" t="s">
        <v>564</v>
      </c>
      <c r="C2513" s="675" t="s">
        <v>2471</v>
      </c>
      <c r="D2513" s="675" t="s">
        <v>21</v>
      </c>
      <c r="E2513" s="675" t="s">
        <v>514</v>
      </c>
      <c r="F2513" s="675" t="s">
        <v>515</v>
      </c>
      <c r="G2513" s="675"/>
      <c r="H2513" s="675"/>
      <c r="I2513" s="675"/>
      <c r="J2513" s="675"/>
      <c r="K2513" s="675"/>
      <c r="L2513" s="675"/>
      <c r="M2513" s="675"/>
    </row>
    <row r="2514" spans="1:13" x14ac:dyDescent="0.25">
      <c r="A2514" s="675" t="s">
        <v>2460</v>
      </c>
      <c r="B2514" s="675" t="s">
        <v>564</v>
      </c>
      <c r="C2514" s="675" t="s">
        <v>868</v>
      </c>
      <c r="D2514" s="675" t="s">
        <v>21</v>
      </c>
      <c r="E2514" s="675" t="s">
        <v>514</v>
      </c>
      <c r="F2514" s="675" t="s">
        <v>515</v>
      </c>
      <c r="G2514" s="675"/>
      <c r="H2514" s="675"/>
      <c r="I2514" s="675"/>
      <c r="J2514" s="675"/>
      <c r="K2514" s="675"/>
      <c r="L2514" s="675"/>
      <c r="M2514" s="675"/>
    </row>
    <row r="2515" spans="1:13" x14ac:dyDescent="0.25">
      <c r="A2515" s="675" t="s">
        <v>2460</v>
      </c>
      <c r="B2515" s="675" t="s">
        <v>564</v>
      </c>
      <c r="C2515" s="675" t="s">
        <v>2472</v>
      </c>
      <c r="D2515" s="675" t="s">
        <v>21</v>
      </c>
      <c r="E2515" s="675" t="s">
        <v>514</v>
      </c>
      <c r="F2515" s="675" t="s">
        <v>515</v>
      </c>
      <c r="G2515" s="675"/>
      <c r="H2515" s="675"/>
      <c r="I2515" s="675"/>
      <c r="J2515" s="675"/>
      <c r="K2515" s="675"/>
      <c r="L2515" s="675"/>
      <c r="M2515" s="675"/>
    </row>
    <row r="2516" spans="1:13" x14ac:dyDescent="0.25">
      <c r="A2516" s="675" t="s">
        <v>2473</v>
      </c>
      <c r="B2516" s="675" t="s">
        <v>512</v>
      </c>
      <c r="C2516" s="675" t="s">
        <v>2474</v>
      </c>
      <c r="D2516" s="675" t="s">
        <v>21</v>
      </c>
      <c r="E2516" s="675" t="s">
        <v>514</v>
      </c>
      <c r="F2516" s="675" t="s">
        <v>515</v>
      </c>
      <c r="G2516" s="675"/>
      <c r="H2516" s="675"/>
      <c r="I2516" s="675"/>
      <c r="J2516" s="675"/>
      <c r="K2516" s="675"/>
      <c r="L2516" s="675"/>
      <c r="M2516" s="675"/>
    </row>
    <row r="2517" spans="1:13" x14ac:dyDescent="0.25">
      <c r="A2517" s="675" t="s">
        <v>2473</v>
      </c>
      <c r="B2517" s="675" t="s">
        <v>512</v>
      </c>
      <c r="C2517" s="675" t="s">
        <v>2475</v>
      </c>
      <c r="D2517" s="675" t="s">
        <v>21</v>
      </c>
      <c r="E2517" s="675" t="s">
        <v>514</v>
      </c>
      <c r="F2517" s="675" t="s">
        <v>515</v>
      </c>
      <c r="G2517" s="675"/>
      <c r="H2517" s="675"/>
      <c r="I2517" s="675"/>
      <c r="J2517" s="675"/>
      <c r="K2517" s="675"/>
      <c r="L2517" s="675"/>
      <c r="M2517" s="675"/>
    </row>
    <row r="2518" spans="1:13" x14ac:dyDescent="0.25">
      <c r="A2518" s="675" t="s">
        <v>2473</v>
      </c>
      <c r="B2518" s="675" t="s">
        <v>512</v>
      </c>
      <c r="C2518" s="675" t="s">
        <v>2476</v>
      </c>
      <c r="D2518" s="675" t="s">
        <v>21</v>
      </c>
      <c r="E2518" s="675" t="s">
        <v>514</v>
      </c>
      <c r="F2518" s="675" t="s">
        <v>515</v>
      </c>
      <c r="G2518" s="675"/>
      <c r="H2518" s="675"/>
      <c r="I2518" s="675"/>
      <c r="J2518" s="675"/>
      <c r="K2518" s="675"/>
      <c r="L2518" s="675"/>
      <c r="M2518" s="675"/>
    </row>
    <row r="2519" spans="1:13" x14ac:dyDescent="0.25">
      <c r="A2519" s="675" t="s">
        <v>2473</v>
      </c>
      <c r="B2519" s="675" t="s">
        <v>512</v>
      </c>
      <c r="C2519" s="675" t="s">
        <v>2349</v>
      </c>
      <c r="D2519" s="675" t="s">
        <v>21</v>
      </c>
      <c r="E2519" s="675" t="s">
        <v>514</v>
      </c>
      <c r="F2519" s="675" t="s">
        <v>515</v>
      </c>
      <c r="G2519" s="675"/>
      <c r="H2519" s="675"/>
      <c r="I2519" s="675"/>
      <c r="J2519" s="675"/>
      <c r="K2519" s="675"/>
      <c r="L2519" s="675"/>
      <c r="M2519" s="675"/>
    </row>
    <row r="2520" spans="1:13" x14ac:dyDescent="0.25">
      <c r="A2520" s="675" t="s">
        <v>2473</v>
      </c>
      <c r="B2520" s="675" t="s">
        <v>512</v>
      </c>
      <c r="C2520" s="675" t="s">
        <v>2477</v>
      </c>
      <c r="D2520" s="675" t="s">
        <v>21</v>
      </c>
      <c r="E2520" s="675" t="s">
        <v>514</v>
      </c>
      <c r="F2520" s="675" t="s">
        <v>515</v>
      </c>
      <c r="G2520" s="675"/>
      <c r="H2520" s="675"/>
      <c r="I2520" s="675"/>
      <c r="J2520" s="675"/>
      <c r="K2520" s="675"/>
      <c r="L2520" s="675"/>
      <c r="M2520" s="675"/>
    </row>
    <row r="2521" spans="1:13" x14ac:dyDescent="0.25">
      <c r="A2521" s="675" t="s">
        <v>2473</v>
      </c>
      <c r="B2521" s="675" t="s">
        <v>512</v>
      </c>
      <c r="C2521" s="675" t="s">
        <v>2478</v>
      </c>
      <c r="D2521" s="675" t="s">
        <v>21</v>
      </c>
      <c r="E2521" s="675" t="s">
        <v>514</v>
      </c>
      <c r="F2521" s="675" t="s">
        <v>515</v>
      </c>
      <c r="G2521" s="675"/>
      <c r="H2521" s="675"/>
      <c r="I2521" s="675"/>
      <c r="J2521" s="675"/>
      <c r="K2521" s="675"/>
      <c r="L2521" s="675"/>
      <c r="M2521" s="675"/>
    </row>
    <row r="2522" spans="1:13" x14ac:dyDescent="0.25">
      <c r="A2522" s="675" t="s">
        <v>2473</v>
      </c>
      <c r="B2522" s="675" t="s">
        <v>512</v>
      </c>
      <c r="C2522" s="675" t="s">
        <v>2479</v>
      </c>
      <c r="D2522" s="675" t="s">
        <v>21</v>
      </c>
      <c r="E2522" s="675" t="s">
        <v>514</v>
      </c>
      <c r="F2522" s="675" t="s">
        <v>515</v>
      </c>
      <c r="G2522" s="675"/>
      <c r="H2522" s="675"/>
      <c r="I2522" s="675"/>
      <c r="J2522" s="675"/>
      <c r="K2522" s="675"/>
      <c r="L2522" s="675"/>
      <c r="M2522" s="675"/>
    </row>
    <row r="2523" spans="1:13" x14ac:dyDescent="0.25">
      <c r="A2523" s="675" t="s">
        <v>2473</v>
      </c>
      <c r="B2523" s="675" t="s">
        <v>512</v>
      </c>
      <c r="C2523" s="675" t="s">
        <v>2480</v>
      </c>
      <c r="D2523" s="675" t="s">
        <v>21</v>
      </c>
      <c r="E2523" s="675" t="s">
        <v>514</v>
      </c>
      <c r="F2523" s="675" t="s">
        <v>515</v>
      </c>
      <c r="G2523" s="675"/>
      <c r="H2523" s="675"/>
      <c r="I2523" s="675"/>
      <c r="J2523" s="675"/>
      <c r="K2523" s="675"/>
      <c r="L2523" s="675"/>
      <c r="M2523" s="675"/>
    </row>
    <row r="2524" spans="1:13" x14ac:dyDescent="0.25">
      <c r="A2524" s="675" t="s">
        <v>2473</v>
      </c>
      <c r="B2524" s="675" t="s">
        <v>545</v>
      </c>
      <c r="C2524" s="675" t="s">
        <v>2481</v>
      </c>
      <c r="D2524" s="675" t="s">
        <v>21</v>
      </c>
      <c r="E2524" s="675" t="s">
        <v>514</v>
      </c>
      <c r="F2524" s="675" t="s">
        <v>515</v>
      </c>
      <c r="G2524" s="675"/>
      <c r="H2524" s="675"/>
      <c r="I2524" s="675"/>
      <c r="J2524" s="675"/>
      <c r="K2524" s="675"/>
      <c r="L2524" s="675"/>
      <c r="M2524" s="675"/>
    </row>
    <row r="2525" spans="1:13" x14ac:dyDescent="0.25">
      <c r="A2525" s="675" t="s">
        <v>2482</v>
      </c>
      <c r="B2525" s="675" t="s">
        <v>512</v>
      </c>
      <c r="C2525" s="675" t="s">
        <v>2018</v>
      </c>
      <c r="D2525" s="675" t="s">
        <v>21</v>
      </c>
      <c r="E2525" s="675" t="s">
        <v>514</v>
      </c>
      <c r="F2525" s="675" t="s">
        <v>515</v>
      </c>
      <c r="G2525" s="675"/>
      <c r="H2525" s="675"/>
      <c r="I2525" s="675"/>
      <c r="J2525" s="675"/>
      <c r="K2525" s="675"/>
      <c r="L2525" s="675"/>
      <c r="M2525" s="675"/>
    </row>
    <row r="2526" spans="1:13" x14ac:dyDescent="0.25">
      <c r="A2526" s="675" t="s">
        <v>2482</v>
      </c>
      <c r="B2526" s="675" t="s">
        <v>512</v>
      </c>
      <c r="C2526" s="675" t="s">
        <v>2483</v>
      </c>
      <c r="D2526" s="675" t="s">
        <v>21</v>
      </c>
      <c r="E2526" s="675" t="s">
        <v>514</v>
      </c>
      <c r="F2526" s="675" t="s">
        <v>515</v>
      </c>
      <c r="G2526" s="675"/>
      <c r="H2526" s="675"/>
      <c r="I2526" s="675"/>
      <c r="J2526" s="675"/>
      <c r="K2526" s="675"/>
      <c r="L2526" s="675"/>
      <c r="M2526" s="675"/>
    </row>
    <row r="2527" spans="1:13" x14ac:dyDescent="0.25">
      <c r="A2527" s="675" t="s">
        <v>2482</v>
      </c>
      <c r="B2527" s="675" t="s">
        <v>512</v>
      </c>
      <c r="C2527" s="675" t="s">
        <v>2484</v>
      </c>
      <c r="D2527" s="675" t="s">
        <v>21</v>
      </c>
      <c r="E2527" s="675" t="s">
        <v>514</v>
      </c>
      <c r="F2527" s="675" t="s">
        <v>515</v>
      </c>
      <c r="G2527" s="675"/>
      <c r="H2527" s="675"/>
      <c r="I2527" s="675"/>
      <c r="J2527" s="675"/>
      <c r="K2527" s="675"/>
      <c r="L2527" s="675"/>
      <c r="M2527" s="675"/>
    </row>
    <row r="2528" spans="1:13" x14ac:dyDescent="0.25">
      <c r="A2528" s="675" t="s">
        <v>2482</v>
      </c>
      <c r="B2528" s="675" t="s">
        <v>512</v>
      </c>
      <c r="C2528" s="675" t="s">
        <v>2485</v>
      </c>
      <c r="D2528" s="675" t="s">
        <v>21</v>
      </c>
      <c r="E2528" s="675" t="s">
        <v>514</v>
      </c>
      <c r="F2528" s="675" t="s">
        <v>515</v>
      </c>
      <c r="G2528" s="675"/>
      <c r="H2528" s="675"/>
      <c r="I2528" s="675"/>
      <c r="J2528" s="675"/>
      <c r="K2528" s="675"/>
      <c r="L2528" s="675"/>
      <c r="M2528" s="675"/>
    </row>
    <row r="2529" spans="1:13" x14ac:dyDescent="0.25">
      <c r="A2529" s="675" t="s">
        <v>2482</v>
      </c>
      <c r="B2529" s="675" t="s">
        <v>512</v>
      </c>
      <c r="C2529" s="675" t="s">
        <v>2486</v>
      </c>
      <c r="D2529" s="675" t="s">
        <v>21</v>
      </c>
      <c r="E2529" s="675" t="s">
        <v>514</v>
      </c>
      <c r="F2529" s="675" t="s">
        <v>515</v>
      </c>
      <c r="G2529" s="675"/>
      <c r="H2529" s="675"/>
      <c r="I2529" s="675"/>
      <c r="J2529" s="675"/>
      <c r="K2529" s="675"/>
      <c r="L2529" s="675"/>
      <c r="M2529" s="675"/>
    </row>
    <row r="2530" spans="1:13" x14ac:dyDescent="0.25">
      <c r="A2530" s="675" t="s">
        <v>2482</v>
      </c>
      <c r="B2530" s="675" t="s">
        <v>512</v>
      </c>
      <c r="C2530" s="675" t="s">
        <v>2487</v>
      </c>
      <c r="D2530" s="675" t="s">
        <v>21</v>
      </c>
      <c r="E2530" s="675" t="s">
        <v>514</v>
      </c>
      <c r="F2530" s="675" t="s">
        <v>515</v>
      </c>
      <c r="G2530" s="675"/>
      <c r="H2530" s="675"/>
      <c r="I2530" s="675"/>
      <c r="J2530" s="675"/>
      <c r="K2530" s="675"/>
      <c r="L2530" s="675"/>
      <c r="M2530" s="675"/>
    </row>
    <row r="2531" spans="1:13" x14ac:dyDescent="0.25">
      <c r="A2531" s="675" t="s">
        <v>2482</v>
      </c>
      <c r="B2531" s="675" t="s">
        <v>512</v>
      </c>
      <c r="C2531" s="675" t="s">
        <v>2488</v>
      </c>
      <c r="D2531" s="675" t="s">
        <v>21</v>
      </c>
      <c r="E2531" s="675" t="s">
        <v>514</v>
      </c>
      <c r="F2531" s="675" t="s">
        <v>515</v>
      </c>
      <c r="G2531" s="675"/>
      <c r="H2531" s="675"/>
      <c r="I2531" s="675"/>
      <c r="J2531" s="675"/>
      <c r="K2531" s="675"/>
      <c r="L2531" s="675"/>
      <c r="M2531" s="675"/>
    </row>
    <row r="2532" spans="1:13" x14ac:dyDescent="0.25">
      <c r="A2532" s="675" t="s">
        <v>2482</v>
      </c>
      <c r="B2532" s="675" t="s">
        <v>512</v>
      </c>
      <c r="C2532" s="675" t="s">
        <v>2489</v>
      </c>
      <c r="D2532" s="675" t="s">
        <v>21</v>
      </c>
      <c r="E2532" s="675" t="s">
        <v>514</v>
      </c>
      <c r="F2532" s="675" t="s">
        <v>515</v>
      </c>
      <c r="G2532" s="675"/>
      <c r="H2532" s="675"/>
      <c r="I2532" s="675"/>
      <c r="J2532" s="675"/>
      <c r="K2532" s="675"/>
      <c r="L2532" s="675"/>
      <c r="M2532" s="675"/>
    </row>
    <row r="2533" spans="1:13" x14ac:dyDescent="0.25">
      <c r="A2533" s="678" t="s">
        <v>2482</v>
      </c>
      <c r="B2533" s="678" t="s">
        <v>545</v>
      </c>
      <c r="C2533" s="678" t="s">
        <v>2490</v>
      </c>
      <c r="D2533" s="678" t="s">
        <v>21</v>
      </c>
      <c r="E2533" s="678" t="s">
        <v>514</v>
      </c>
      <c r="F2533" s="678" t="s">
        <v>636</v>
      </c>
      <c r="G2533" s="675"/>
      <c r="H2533" s="675"/>
      <c r="I2533" s="675"/>
      <c r="J2533" s="675"/>
      <c r="K2533" s="675"/>
      <c r="L2533" s="675"/>
      <c r="M2533" s="675"/>
    </row>
    <row r="2534" spans="1:13" x14ac:dyDescent="0.25">
      <c r="A2534" s="678" t="s">
        <v>2482</v>
      </c>
      <c r="B2534" s="678" t="s">
        <v>545</v>
      </c>
      <c r="C2534" s="678" t="s">
        <v>2024</v>
      </c>
      <c r="D2534" s="678" t="s">
        <v>21</v>
      </c>
      <c r="E2534" s="678" t="s">
        <v>514</v>
      </c>
      <c r="F2534" s="678" t="s">
        <v>636</v>
      </c>
      <c r="G2534" s="675"/>
      <c r="H2534" s="675"/>
      <c r="I2534" s="675"/>
      <c r="J2534" s="675"/>
      <c r="K2534" s="675"/>
      <c r="L2534" s="675"/>
      <c r="M2534" s="675"/>
    </row>
    <row r="2535" spans="1:13" x14ac:dyDescent="0.25">
      <c r="A2535" s="678" t="s">
        <v>2482</v>
      </c>
      <c r="B2535" s="678" t="s">
        <v>545</v>
      </c>
      <c r="C2535" s="678" t="s">
        <v>2491</v>
      </c>
      <c r="D2535" s="678" t="s">
        <v>21</v>
      </c>
      <c r="E2535" s="678" t="s">
        <v>514</v>
      </c>
      <c r="F2535" s="678" t="s">
        <v>636</v>
      </c>
      <c r="G2535" s="675"/>
      <c r="H2535" s="675"/>
      <c r="I2535" s="675"/>
      <c r="J2535" s="675"/>
      <c r="K2535" s="675"/>
      <c r="L2535" s="675"/>
      <c r="M2535" s="675"/>
    </row>
    <row r="2536" spans="1:13" x14ac:dyDescent="0.25">
      <c r="A2536" s="678" t="s">
        <v>2482</v>
      </c>
      <c r="B2536" s="678" t="s">
        <v>545</v>
      </c>
      <c r="C2536" s="678" t="s">
        <v>2492</v>
      </c>
      <c r="D2536" s="678" t="s">
        <v>21</v>
      </c>
      <c r="E2536" s="678" t="s">
        <v>514</v>
      </c>
      <c r="F2536" s="678" t="s">
        <v>636</v>
      </c>
      <c r="G2536" s="675"/>
      <c r="H2536" s="675"/>
      <c r="I2536" s="675"/>
      <c r="J2536" s="675"/>
      <c r="K2536" s="675"/>
      <c r="L2536" s="675"/>
      <c r="M2536" s="675"/>
    </row>
    <row r="2537" spans="1:13" x14ac:dyDescent="0.25">
      <c r="A2537" s="675" t="s">
        <v>2482</v>
      </c>
      <c r="B2537" s="675" t="s">
        <v>564</v>
      </c>
      <c r="C2537" s="675" t="s">
        <v>2493</v>
      </c>
      <c r="D2537" s="675" t="s">
        <v>21</v>
      </c>
      <c r="E2537" s="675" t="s">
        <v>514</v>
      </c>
      <c r="F2537" s="675" t="s">
        <v>515</v>
      </c>
      <c r="G2537" s="675"/>
      <c r="H2537" s="675"/>
      <c r="I2537" s="675"/>
      <c r="J2537" s="675"/>
      <c r="K2537" s="675"/>
      <c r="L2537" s="675"/>
      <c r="M2537" s="675"/>
    </row>
    <row r="2538" spans="1:13" x14ac:dyDescent="0.25">
      <c r="A2538" s="675" t="s">
        <v>2482</v>
      </c>
      <c r="B2538" s="675" t="s">
        <v>564</v>
      </c>
      <c r="C2538" s="675" t="s">
        <v>2494</v>
      </c>
      <c r="D2538" s="675" t="s">
        <v>21</v>
      </c>
      <c r="E2538" s="675" t="s">
        <v>514</v>
      </c>
      <c r="F2538" s="675" t="s">
        <v>515</v>
      </c>
      <c r="G2538" s="675"/>
      <c r="H2538" s="675"/>
      <c r="I2538" s="675"/>
      <c r="J2538" s="675"/>
      <c r="K2538" s="675"/>
      <c r="L2538" s="675"/>
      <c r="M2538" s="675"/>
    </row>
    <row r="2539" spans="1:13" x14ac:dyDescent="0.25">
      <c r="A2539" s="675" t="s">
        <v>2495</v>
      </c>
      <c r="B2539" s="675" t="s">
        <v>512</v>
      </c>
      <c r="C2539" s="675" t="s">
        <v>2018</v>
      </c>
      <c r="D2539" s="675" t="s">
        <v>21</v>
      </c>
      <c r="E2539" s="675" t="s">
        <v>514</v>
      </c>
      <c r="F2539" s="675" t="s">
        <v>515</v>
      </c>
      <c r="G2539" s="675"/>
      <c r="H2539" s="675"/>
      <c r="I2539" s="675"/>
      <c r="J2539" s="675"/>
      <c r="K2539" s="675"/>
      <c r="L2539" s="675"/>
      <c r="M2539" s="675"/>
    </row>
    <row r="2540" spans="1:13" x14ac:dyDescent="0.25">
      <c r="A2540" s="675" t="s">
        <v>2495</v>
      </c>
      <c r="B2540" s="675" t="s">
        <v>512</v>
      </c>
      <c r="C2540" s="675" t="s">
        <v>2496</v>
      </c>
      <c r="D2540" s="675" t="s">
        <v>21</v>
      </c>
      <c r="E2540" s="675" t="s">
        <v>514</v>
      </c>
      <c r="F2540" s="675" t="s">
        <v>515</v>
      </c>
      <c r="G2540" s="675"/>
      <c r="H2540" s="675"/>
      <c r="I2540" s="675"/>
      <c r="J2540" s="675"/>
      <c r="K2540" s="675"/>
      <c r="L2540" s="675"/>
      <c r="M2540" s="675"/>
    </row>
    <row r="2541" spans="1:13" x14ac:dyDescent="0.25">
      <c r="A2541" s="675" t="s">
        <v>2495</v>
      </c>
      <c r="B2541" s="675" t="s">
        <v>512</v>
      </c>
      <c r="C2541" s="675" t="s">
        <v>2497</v>
      </c>
      <c r="D2541" s="675" t="s">
        <v>21</v>
      </c>
      <c r="E2541" s="675" t="s">
        <v>514</v>
      </c>
      <c r="F2541" s="675" t="s">
        <v>515</v>
      </c>
      <c r="G2541" s="675"/>
      <c r="H2541" s="675"/>
      <c r="I2541" s="675"/>
      <c r="J2541" s="675"/>
      <c r="K2541" s="675"/>
      <c r="L2541" s="675"/>
      <c r="M2541" s="675"/>
    </row>
    <row r="2542" spans="1:13" x14ac:dyDescent="0.25">
      <c r="A2542" s="675" t="s">
        <v>2495</v>
      </c>
      <c r="B2542" s="675" t="s">
        <v>512</v>
      </c>
      <c r="C2542" s="675" t="s">
        <v>2488</v>
      </c>
      <c r="D2542" s="675" t="s">
        <v>21</v>
      </c>
      <c r="E2542" s="675" t="s">
        <v>514</v>
      </c>
      <c r="F2542" s="675" t="s">
        <v>515</v>
      </c>
      <c r="G2542" s="675"/>
      <c r="H2542" s="675"/>
      <c r="I2542" s="675"/>
      <c r="J2542" s="675"/>
      <c r="K2542" s="675"/>
      <c r="L2542" s="675"/>
      <c r="M2542" s="675"/>
    </row>
    <row r="2543" spans="1:13" x14ac:dyDescent="0.25">
      <c r="A2543" s="675" t="s">
        <v>2498</v>
      </c>
      <c r="B2543" s="675" t="s">
        <v>512</v>
      </c>
      <c r="C2543" s="675" t="s">
        <v>1815</v>
      </c>
      <c r="D2543" s="675" t="s">
        <v>21</v>
      </c>
      <c r="E2543" s="675" t="s">
        <v>514</v>
      </c>
      <c r="F2543" s="675" t="s">
        <v>515</v>
      </c>
      <c r="G2543" s="675"/>
      <c r="H2543" s="675"/>
      <c r="I2543" s="675"/>
      <c r="J2543" s="675"/>
      <c r="K2543" s="675"/>
      <c r="L2543" s="675"/>
      <c r="M2543" s="675"/>
    </row>
    <row r="2544" spans="1:13" x14ac:dyDescent="0.25">
      <c r="A2544" s="678" t="s">
        <v>2498</v>
      </c>
      <c r="B2544" s="678" t="s">
        <v>545</v>
      </c>
      <c r="C2544" s="678" t="s">
        <v>2499</v>
      </c>
      <c r="D2544" s="678" t="s">
        <v>21</v>
      </c>
      <c r="E2544" s="678" t="s">
        <v>514</v>
      </c>
      <c r="F2544" s="678" t="s">
        <v>596</v>
      </c>
      <c r="G2544" s="675"/>
      <c r="H2544" s="675"/>
      <c r="I2544" s="675"/>
      <c r="J2544" s="675"/>
      <c r="K2544" s="675"/>
      <c r="L2544" s="675"/>
      <c r="M2544" s="675"/>
    </row>
    <row r="2545" spans="1:13" x14ac:dyDescent="0.25">
      <c r="A2545" s="678" t="s">
        <v>2498</v>
      </c>
      <c r="B2545" s="678" t="s">
        <v>545</v>
      </c>
      <c r="C2545" s="678" t="s">
        <v>2500</v>
      </c>
      <c r="D2545" s="678" t="s">
        <v>21</v>
      </c>
      <c r="E2545" s="678" t="s">
        <v>514</v>
      </c>
      <c r="F2545" s="678" t="s">
        <v>636</v>
      </c>
      <c r="G2545" s="675"/>
      <c r="H2545" s="675"/>
      <c r="I2545" s="675"/>
      <c r="J2545" s="675"/>
      <c r="K2545" s="675"/>
      <c r="L2545" s="675"/>
      <c r="M2545" s="675"/>
    </row>
    <row r="2546" spans="1:13" x14ac:dyDescent="0.25">
      <c r="A2546" s="675" t="s">
        <v>2498</v>
      </c>
      <c r="B2546" s="675" t="s">
        <v>545</v>
      </c>
      <c r="C2546" s="675" t="s">
        <v>2501</v>
      </c>
      <c r="D2546" s="675" t="s">
        <v>21</v>
      </c>
      <c r="E2546" s="675" t="s">
        <v>514</v>
      </c>
      <c r="F2546" s="675" t="s">
        <v>515</v>
      </c>
      <c r="G2546" s="675"/>
      <c r="H2546" s="675"/>
      <c r="I2546" s="675"/>
      <c r="J2546" s="675"/>
      <c r="K2546" s="675"/>
      <c r="L2546" s="675"/>
      <c r="M2546" s="675"/>
    </row>
    <row r="2547" spans="1:13" x14ac:dyDescent="0.25">
      <c r="A2547" s="675" t="s">
        <v>2498</v>
      </c>
      <c r="B2547" s="675" t="s">
        <v>564</v>
      </c>
      <c r="C2547" s="675" t="s">
        <v>2502</v>
      </c>
      <c r="D2547" s="675" t="s">
        <v>21</v>
      </c>
      <c r="E2547" s="675" t="s">
        <v>514</v>
      </c>
      <c r="F2547" s="675" t="s">
        <v>515</v>
      </c>
      <c r="G2547" s="675"/>
      <c r="H2547" s="675"/>
      <c r="I2547" s="675"/>
      <c r="J2547" s="675"/>
      <c r="K2547" s="675"/>
      <c r="L2547" s="675"/>
      <c r="M2547" s="675"/>
    </row>
    <row r="2548" spans="1:13" x14ac:dyDescent="0.25">
      <c r="A2548" s="675" t="s">
        <v>2498</v>
      </c>
      <c r="B2548" s="675" t="s">
        <v>564</v>
      </c>
      <c r="C2548" s="675" t="s">
        <v>2476</v>
      </c>
      <c r="D2548" s="675" t="s">
        <v>21</v>
      </c>
      <c r="E2548" s="675" t="s">
        <v>514</v>
      </c>
      <c r="F2548" s="675" t="s">
        <v>515</v>
      </c>
      <c r="G2548" s="675"/>
      <c r="H2548" s="675"/>
      <c r="I2548" s="675"/>
      <c r="J2548" s="675"/>
      <c r="K2548" s="675"/>
      <c r="L2548" s="675"/>
      <c r="M2548" s="675"/>
    </row>
    <row r="2549" spans="1:13" x14ac:dyDescent="0.25">
      <c r="A2549" s="675" t="s">
        <v>2503</v>
      </c>
      <c r="B2549" s="675" t="s">
        <v>512</v>
      </c>
      <c r="C2549" s="675" t="s">
        <v>2504</v>
      </c>
      <c r="D2549" s="675" t="s">
        <v>21</v>
      </c>
      <c r="E2549" s="702"/>
      <c r="F2549" s="702"/>
      <c r="G2549" s="675"/>
      <c r="H2549" s="675"/>
      <c r="I2549" s="675"/>
      <c r="J2549" s="675"/>
      <c r="K2549" s="675"/>
      <c r="L2549" s="675"/>
      <c r="M2549" s="675"/>
    </row>
    <row r="2550" spans="1:13" x14ac:dyDescent="0.25">
      <c r="A2550" s="675" t="s">
        <v>2503</v>
      </c>
      <c r="B2550" s="675" t="s">
        <v>512</v>
      </c>
      <c r="C2550" s="675" t="s">
        <v>2505</v>
      </c>
      <c r="D2550" s="675" t="s">
        <v>21</v>
      </c>
      <c r="E2550" s="702"/>
      <c r="F2550" s="702"/>
      <c r="G2550" s="675"/>
      <c r="H2550" s="675"/>
      <c r="I2550" s="675"/>
      <c r="J2550" s="675"/>
      <c r="K2550" s="675"/>
      <c r="L2550" s="675"/>
      <c r="M2550" s="675"/>
    </row>
    <row r="2551" spans="1:13" x14ac:dyDescent="0.25">
      <c r="A2551" s="675" t="s">
        <v>2503</v>
      </c>
      <c r="B2551" s="675" t="s">
        <v>512</v>
      </c>
      <c r="C2551" s="675" t="s">
        <v>2506</v>
      </c>
      <c r="D2551" s="675" t="s">
        <v>21</v>
      </c>
      <c r="E2551" s="702"/>
      <c r="F2551" s="702"/>
      <c r="G2551" s="675"/>
      <c r="H2551" s="675"/>
      <c r="I2551" s="675"/>
      <c r="J2551" s="675"/>
      <c r="K2551" s="675"/>
      <c r="L2551" s="675"/>
      <c r="M2551" s="675"/>
    </row>
    <row r="2552" spans="1:13" x14ac:dyDescent="0.25">
      <c r="A2552" s="675" t="s">
        <v>2503</v>
      </c>
      <c r="B2552" s="675" t="s">
        <v>512</v>
      </c>
      <c r="C2552" s="675" t="s">
        <v>2507</v>
      </c>
      <c r="D2552" s="675" t="s">
        <v>21</v>
      </c>
      <c r="E2552" s="702"/>
      <c r="F2552" s="702"/>
      <c r="G2552" s="675"/>
      <c r="H2552" s="675"/>
      <c r="I2552" s="675"/>
      <c r="J2552" s="675"/>
      <c r="K2552" s="675"/>
      <c r="L2552" s="675"/>
      <c r="M2552" s="675"/>
    </row>
    <row r="2553" spans="1:13" x14ac:dyDescent="0.25">
      <c r="A2553" s="675" t="s">
        <v>2503</v>
      </c>
      <c r="B2553" s="675" t="s">
        <v>512</v>
      </c>
      <c r="C2553" s="675" t="s">
        <v>2508</v>
      </c>
      <c r="D2553" s="675" t="s">
        <v>21</v>
      </c>
      <c r="E2553" s="702"/>
      <c r="F2553" s="702"/>
      <c r="G2553" s="675"/>
      <c r="H2553" s="675"/>
      <c r="I2553" s="675"/>
      <c r="J2553" s="675"/>
      <c r="K2553" s="675"/>
      <c r="L2553" s="675"/>
      <c r="M2553" s="675"/>
    </row>
    <row r="2554" spans="1:13" x14ac:dyDescent="0.25">
      <c r="A2554" s="675" t="s">
        <v>2503</v>
      </c>
      <c r="B2554" s="675" t="s">
        <v>545</v>
      </c>
      <c r="C2554" s="675" t="s">
        <v>2509</v>
      </c>
      <c r="D2554" s="675" t="s">
        <v>21</v>
      </c>
      <c r="E2554" s="702"/>
      <c r="F2554" s="702"/>
      <c r="G2554" s="675"/>
      <c r="H2554" s="675"/>
      <c r="I2554" s="675"/>
      <c r="J2554" s="675"/>
      <c r="K2554" s="675"/>
      <c r="L2554" s="675"/>
      <c r="M2554" s="675"/>
    </row>
    <row r="2555" spans="1:13" x14ac:dyDescent="0.25">
      <c r="A2555" s="675" t="s">
        <v>2503</v>
      </c>
      <c r="B2555" s="675" t="s">
        <v>545</v>
      </c>
      <c r="C2555" s="675" t="s">
        <v>2510</v>
      </c>
      <c r="D2555" s="675" t="s">
        <v>21</v>
      </c>
      <c r="E2555" s="702"/>
      <c r="F2555" s="702"/>
      <c r="G2555" s="675"/>
      <c r="H2555" s="675"/>
      <c r="I2555" s="675"/>
      <c r="J2555" s="675"/>
      <c r="K2555" s="675"/>
      <c r="L2555" s="675"/>
      <c r="M2555" s="675"/>
    </row>
    <row r="2556" spans="1:13" x14ac:dyDescent="0.25">
      <c r="A2556" s="675" t="s">
        <v>2503</v>
      </c>
      <c r="B2556" s="675" t="s">
        <v>545</v>
      </c>
      <c r="C2556" s="675" t="s">
        <v>2511</v>
      </c>
      <c r="D2556" s="675" t="s">
        <v>21</v>
      </c>
      <c r="E2556" s="702"/>
      <c r="F2556" s="702"/>
      <c r="G2556" s="675"/>
      <c r="H2556" s="675"/>
      <c r="I2556" s="675"/>
      <c r="J2556" s="675"/>
      <c r="K2556" s="675"/>
      <c r="L2556" s="675"/>
      <c r="M2556" s="675"/>
    </row>
    <row r="2557" spans="1:13" x14ac:dyDescent="0.25">
      <c r="A2557" s="675" t="s">
        <v>2503</v>
      </c>
      <c r="B2557" s="675" t="s">
        <v>545</v>
      </c>
      <c r="C2557" s="675" t="s">
        <v>2512</v>
      </c>
      <c r="D2557" s="675" t="s">
        <v>21</v>
      </c>
      <c r="E2557" s="702"/>
      <c r="F2557" s="702"/>
      <c r="G2557" s="675"/>
      <c r="H2557" s="675"/>
      <c r="I2557" s="675"/>
      <c r="J2557" s="675"/>
      <c r="K2557" s="675"/>
      <c r="L2557" s="675"/>
      <c r="M2557" s="675"/>
    </row>
    <row r="2558" spans="1:13" x14ac:dyDescent="0.25">
      <c r="A2558" s="675" t="s">
        <v>2503</v>
      </c>
      <c r="B2558" s="675" t="s">
        <v>545</v>
      </c>
      <c r="C2558" s="675" t="s">
        <v>2513</v>
      </c>
      <c r="D2558" s="675" t="s">
        <v>21</v>
      </c>
      <c r="E2558" s="702"/>
      <c r="F2558" s="702"/>
      <c r="G2558" s="675"/>
      <c r="H2558" s="675"/>
      <c r="I2558" s="675"/>
      <c r="J2558" s="675"/>
      <c r="K2558" s="675"/>
      <c r="L2558" s="675"/>
      <c r="M2558" s="675"/>
    </row>
    <row r="2559" spans="1:13" x14ac:dyDescent="0.25">
      <c r="A2559" s="675" t="s">
        <v>2503</v>
      </c>
      <c r="B2559" s="675" t="s">
        <v>564</v>
      </c>
      <c r="C2559" s="675" t="s">
        <v>2514</v>
      </c>
      <c r="D2559" s="675" t="s">
        <v>21</v>
      </c>
      <c r="E2559" s="702"/>
      <c r="F2559" s="702"/>
      <c r="G2559" s="675"/>
      <c r="H2559" s="675"/>
      <c r="I2559" s="675"/>
      <c r="J2559" s="675"/>
      <c r="K2559" s="675"/>
      <c r="L2559" s="675"/>
      <c r="M2559" s="675"/>
    </row>
    <row r="2560" spans="1:13" x14ac:dyDescent="0.25">
      <c r="A2560" s="675" t="s">
        <v>2503</v>
      </c>
      <c r="B2560" s="675" t="s">
        <v>564</v>
      </c>
      <c r="C2560" s="675" t="s">
        <v>2515</v>
      </c>
      <c r="D2560" s="675" t="s">
        <v>21</v>
      </c>
      <c r="E2560" s="702"/>
      <c r="F2560" s="702"/>
      <c r="G2560" s="675"/>
      <c r="H2560" s="675"/>
      <c r="I2560" s="675"/>
      <c r="J2560" s="675"/>
      <c r="K2560" s="675"/>
      <c r="L2560" s="675"/>
      <c r="M2560" s="675"/>
    </row>
    <row r="2561" spans="1:13" x14ac:dyDescent="0.25">
      <c r="A2561" s="675" t="s">
        <v>2503</v>
      </c>
      <c r="B2561" s="675" t="s">
        <v>564</v>
      </c>
      <c r="C2561" s="675" t="s">
        <v>2516</v>
      </c>
      <c r="D2561" s="675" t="s">
        <v>21</v>
      </c>
      <c r="E2561" s="702"/>
      <c r="F2561" s="702"/>
      <c r="G2561" s="675"/>
      <c r="H2561" s="675"/>
      <c r="I2561" s="675"/>
      <c r="J2561" s="675"/>
      <c r="K2561" s="675"/>
      <c r="L2561" s="675"/>
      <c r="M2561" s="675"/>
    </row>
    <row r="2562" spans="1:13" x14ac:dyDescent="0.25">
      <c r="A2562" s="675" t="s">
        <v>2503</v>
      </c>
      <c r="B2562" s="675" t="s">
        <v>564</v>
      </c>
      <c r="C2562" s="675" t="s">
        <v>2517</v>
      </c>
      <c r="D2562" s="675" t="s">
        <v>21</v>
      </c>
      <c r="E2562" s="702"/>
      <c r="F2562" s="702"/>
      <c r="G2562" s="675"/>
      <c r="H2562" s="675"/>
      <c r="I2562" s="675"/>
      <c r="J2562" s="675"/>
      <c r="K2562" s="675"/>
      <c r="L2562" s="675"/>
      <c r="M2562" s="675"/>
    </row>
    <row r="2563" spans="1:13" x14ac:dyDescent="0.25">
      <c r="A2563" s="675" t="s">
        <v>2503</v>
      </c>
      <c r="B2563" s="675" t="s">
        <v>564</v>
      </c>
      <c r="C2563" s="675" t="s">
        <v>2518</v>
      </c>
      <c r="D2563" s="675" t="s">
        <v>21</v>
      </c>
      <c r="E2563" s="702"/>
      <c r="F2563" s="702"/>
      <c r="G2563" s="675"/>
      <c r="H2563" s="675"/>
      <c r="I2563" s="675"/>
      <c r="J2563" s="675"/>
      <c r="K2563" s="675"/>
      <c r="L2563" s="675"/>
      <c r="M2563" s="675"/>
    </row>
    <row r="2564" spans="1:13" x14ac:dyDescent="0.25">
      <c r="A2564" s="675" t="s">
        <v>2519</v>
      </c>
      <c r="B2564" s="675" t="s">
        <v>545</v>
      </c>
      <c r="C2564" s="675" t="s">
        <v>1657</v>
      </c>
      <c r="D2564" s="675" t="s">
        <v>21</v>
      </c>
      <c r="E2564" s="675" t="s">
        <v>514</v>
      </c>
      <c r="F2564" s="675" t="s">
        <v>515</v>
      </c>
      <c r="G2564" s="675"/>
      <c r="H2564" s="675"/>
      <c r="I2564" s="675"/>
      <c r="J2564" s="675"/>
      <c r="K2564" s="675"/>
      <c r="L2564" s="675"/>
      <c r="M2564" s="675"/>
    </row>
    <row r="2565" spans="1:13" x14ac:dyDescent="0.25">
      <c r="A2565" s="678" t="s">
        <v>2519</v>
      </c>
      <c r="B2565" s="678" t="s">
        <v>545</v>
      </c>
      <c r="C2565" s="678" t="s">
        <v>1658</v>
      </c>
      <c r="D2565" s="678" t="s">
        <v>21</v>
      </c>
      <c r="E2565" s="678" t="s">
        <v>514</v>
      </c>
      <c r="F2565" s="678" t="s">
        <v>636</v>
      </c>
      <c r="G2565" s="675"/>
      <c r="H2565" s="675"/>
      <c r="I2565" s="675"/>
      <c r="J2565" s="675"/>
      <c r="K2565" s="675"/>
      <c r="L2565" s="675"/>
      <c r="M2565" s="675"/>
    </row>
    <row r="2566" spans="1:13" x14ac:dyDescent="0.25">
      <c r="A2566" s="675" t="s">
        <v>2519</v>
      </c>
      <c r="B2566" s="675" t="s">
        <v>545</v>
      </c>
      <c r="C2566" s="675" t="s">
        <v>1659</v>
      </c>
      <c r="D2566" s="675" t="s">
        <v>21</v>
      </c>
      <c r="E2566" s="675" t="s">
        <v>514</v>
      </c>
      <c r="F2566" s="675" t="s">
        <v>515</v>
      </c>
      <c r="G2566" s="675"/>
      <c r="H2566" s="675"/>
      <c r="I2566" s="675"/>
      <c r="J2566" s="675"/>
      <c r="K2566" s="675"/>
      <c r="L2566" s="675"/>
      <c r="M2566" s="675"/>
    </row>
    <row r="2567" spans="1:13" x14ac:dyDescent="0.25">
      <c r="A2567" s="675" t="s">
        <v>2520</v>
      </c>
      <c r="B2567" s="675" t="s">
        <v>512</v>
      </c>
      <c r="C2567" s="675" t="s">
        <v>2521</v>
      </c>
      <c r="D2567" s="675" t="s">
        <v>21</v>
      </c>
      <c r="E2567" s="675" t="s">
        <v>514</v>
      </c>
      <c r="F2567" s="675" t="s">
        <v>515</v>
      </c>
      <c r="G2567" s="675"/>
      <c r="H2567" s="675"/>
      <c r="I2567" s="675"/>
      <c r="J2567" s="675"/>
      <c r="K2567" s="675"/>
      <c r="L2567" s="675"/>
      <c r="M2567" s="675"/>
    </row>
    <row r="2568" spans="1:13" x14ac:dyDescent="0.25">
      <c r="A2568" s="675" t="s">
        <v>2520</v>
      </c>
      <c r="B2568" s="675" t="s">
        <v>512</v>
      </c>
      <c r="C2568" s="675" t="s">
        <v>2522</v>
      </c>
      <c r="D2568" s="675" t="s">
        <v>21</v>
      </c>
      <c r="E2568" s="675" t="s">
        <v>514</v>
      </c>
      <c r="F2568" s="675" t="s">
        <v>515</v>
      </c>
      <c r="G2568" s="675"/>
      <c r="H2568" s="675"/>
      <c r="I2568" s="675"/>
      <c r="J2568" s="675"/>
      <c r="K2568" s="675"/>
      <c r="L2568" s="675"/>
      <c r="M2568" s="675"/>
    </row>
    <row r="2569" spans="1:13" x14ac:dyDescent="0.25">
      <c r="A2569" s="675" t="s">
        <v>2520</v>
      </c>
      <c r="B2569" s="675" t="s">
        <v>512</v>
      </c>
      <c r="C2569" s="675" t="s">
        <v>2414</v>
      </c>
      <c r="D2569" s="675" t="s">
        <v>21</v>
      </c>
      <c r="E2569" s="675" t="s">
        <v>514</v>
      </c>
      <c r="F2569" s="675" t="s">
        <v>515</v>
      </c>
      <c r="G2569" s="675"/>
      <c r="H2569" s="675"/>
      <c r="I2569" s="675"/>
      <c r="J2569" s="675"/>
      <c r="K2569" s="675"/>
      <c r="L2569" s="675"/>
      <c r="M2569" s="675"/>
    </row>
    <row r="2570" spans="1:13" x14ac:dyDescent="0.25">
      <c r="A2570" s="675" t="s">
        <v>2520</v>
      </c>
      <c r="B2570" s="675" t="s">
        <v>512</v>
      </c>
      <c r="C2570" s="675" t="s">
        <v>2523</v>
      </c>
      <c r="D2570" s="675" t="s">
        <v>21</v>
      </c>
      <c r="E2570" s="675" t="s">
        <v>514</v>
      </c>
      <c r="F2570" s="675" t="s">
        <v>515</v>
      </c>
      <c r="G2570" s="675"/>
      <c r="H2570" s="675"/>
      <c r="I2570" s="675"/>
      <c r="J2570" s="675"/>
      <c r="K2570" s="675"/>
      <c r="L2570" s="675"/>
      <c r="M2570" s="675"/>
    </row>
    <row r="2571" spans="1:13" x14ac:dyDescent="0.25">
      <c r="A2571" s="675" t="s">
        <v>2520</v>
      </c>
      <c r="B2571" s="675" t="s">
        <v>512</v>
      </c>
      <c r="C2571" s="675" t="s">
        <v>2524</v>
      </c>
      <c r="D2571" s="675" t="s">
        <v>21</v>
      </c>
      <c r="E2571" s="675" t="s">
        <v>514</v>
      </c>
      <c r="F2571" s="675" t="s">
        <v>515</v>
      </c>
      <c r="G2571" s="675"/>
      <c r="H2571" s="675"/>
      <c r="I2571" s="675"/>
      <c r="J2571" s="675"/>
      <c r="K2571" s="675"/>
      <c r="L2571" s="675"/>
      <c r="M2571" s="675"/>
    </row>
    <row r="2572" spans="1:13" x14ac:dyDescent="0.25">
      <c r="A2572" s="675" t="s">
        <v>2520</v>
      </c>
      <c r="B2572" s="675" t="s">
        <v>545</v>
      </c>
      <c r="C2572" s="675" t="s">
        <v>2525</v>
      </c>
      <c r="D2572" s="675" t="s">
        <v>21</v>
      </c>
      <c r="E2572" s="675" t="s">
        <v>514</v>
      </c>
      <c r="F2572" s="675" t="s">
        <v>515</v>
      </c>
      <c r="G2572" s="675"/>
      <c r="H2572" s="675"/>
      <c r="I2572" s="675"/>
      <c r="J2572" s="675"/>
      <c r="K2572" s="675"/>
      <c r="L2572" s="675"/>
      <c r="M2572" s="675"/>
    </row>
    <row r="2573" spans="1:13" x14ac:dyDescent="0.25">
      <c r="A2573" s="678" t="s">
        <v>2520</v>
      </c>
      <c r="B2573" s="678" t="s">
        <v>545</v>
      </c>
      <c r="C2573" s="678" t="s">
        <v>2526</v>
      </c>
      <c r="D2573" s="678" t="s">
        <v>21</v>
      </c>
      <c r="E2573" s="678" t="s">
        <v>514</v>
      </c>
      <c r="F2573" s="678" t="s">
        <v>636</v>
      </c>
      <c r="G2573" s="675"/>
      <c r="H2573" s="675"/>
      <c r="I2573" s="675"/>
      <c r="J2573" s="675"/>
      <c r="K2573" s="675"/>
      <c r="L2573" s="675"/>
      <c r="M2573" s="675"/>
    </row>
    <row r="2574" spans="1:13" x14ac:dyDescent="0.25">
      <c r="A2574" s="675" t="s">
        <v>2520</v>
      </c>
      <c r="B2574" s="675" t="s">
        <v>545</v>
      </c>
      <c r="C2574" s="675" t="s">
        <v>626</v>
      </c>
      <c r="D2574" s="675" t="s">
        <v>21</v>
      </c>
      <c r="E2574" s="675" t="s">
        <v>514</v>
      </c>
      <c r="F2574" s="675" t="s">
        <v>515</v>
      </c>
      <c r="G2574" s="675"/>
      <c r="H2574" s="675"/>
      <c r="I2574" s="675"/>
      <c r="J2574" s="675"/>
      <c r="K2574" s="675"/>
      <c r="L2574" s="675"/>
      <c r="M2574" s="675"/>
    </row>
    <row r="2575" spans="1:13" x14ac:dyDescent="0.25">
      <c r="A2575" s="675" t="s">
        <v>2520</v>
      </c>
      <c r="B2575" s="675" t="s">
        <v>564</v>
      </c>
      <c r="C2575" s="675" t="s">
        <v>2527</v>
      </c>
      <c r="D2575" s="675" t="s">
        <v>21</v>
      </c>
      <c r="E2575" s="675" t="s">
        <v>514</v>
      </c>
      <c r="F2575" s="675" t="s">
        <v>515</v>
      </c>
      <c r="G2575" s="675"/>
      <c r="H2575" s="675"/>
      <c r="I2575" s="675"/>
      <c r="J2575" s="675"/>
      <c r="K2575" s="675"/>
      <c r="L2575" s="675"/>
      <c r="M2575" s="675"/>
    </row>
    <row r="2576" spans="1:13" x14ac:dyDescent="0.25">
      <c r="A2576" s="675" t="s">
        <v>2520</v>
      </c>
      <c r="B2576" s="675" t="s">
        <v>564</v>
      </c>
      <c r="C2576" s="675" t="s">
        <v>2456</v>
      </c>
      <c r="D2576" s="675" t="s">
        <v>21</v>
      </c>
      <c r="E2576" s="675" t="s">
        <v>514</v>
      </c>
      <c r="F2576" s="675" t="s">
        <v>515</v>
      </c>
      <c r="G2576" s="675"/>
      <c r="H2576" s="675"/>
      <c r="I2576" s="675"/>
      <c r="J2576" s="675"/>
      <c r="K2576" s="675"/>
      <c r="L2576" s="675"/>
      <c r="M2576" s="675"/>
    </row>
    <row r="2577" spans="1:13" x14ac:dyDescent="0.25">
      <c r="A2577" s="675" t="s">
        <v>2520</v>
      </c>
      <c r="B2577" s="675" t="s">
        <v>564</v>
      </c>
      <c r="C2577" s="675" t="s">
        <v>1553</v>
      </c>
      <c r="D2577" s="675" t="s">
        <v>21</v>
      </c>
      <c r="E2577" s="675" t="s">
        <v>514</v>
      </c>
      <c r="F2577" s="675" t="s">
        <v>515</v>
      </c>
      <c r="G2577" s="675"/>
      <c r="H2577" s="675"/>
      <c r="I2577" s="675"/>
      <c r="J2577" s="675"/>
      <c r="K2577" s="675"/>
      <c r="L2577" s="675"/>
      <c r="M2577" s="675"/>
    </row>
    <row r="2578" spans="1:13" x14ac:dyDescent="0.25">
      <c r="A2578" s="675" t="s">
        <v>2528</v>
      </c>
      <c r="B2578" s="675" t="s">
        <v>545</v>
      </c>
      <c r="C2578" s="675" t="s">
        <v>1657</v>
      </c>
      <c r="D2578" s="675" t="s">
        <v>21</v>
      </c>
      <c r="E2578" s="675" t="s">
        <v>514</v>
      </c>
      <c r="F2578" s="675" t="s">
        <v>515</v>
      </c>
      <c r="G2578" s="675"/>
      <c r="H2578" s="675"/>
      <c r="I2578" s="675"/>
      <c r="J2578" s="675"/>
      <c r="K2578" s="675"/>
      <c r="L2578" s="675"/>
      <c r="M2578" s="675"/>
    </row>
    <row r="2579" spans="1:13" x14ac:dyDescent="0.25">
      <c r="A2579" s="675" t="s">
        <v>2528</v>
      </c>
      <c r="B2579" s="675" t="s">
        <v>545</v>
      </c>
      <c r="C2579" s="675" t="s">
        <v>2529</v>
      </c>
      <c r="D2579" s="675" t="s">
        <v>21</v>
      </c>
      <c r="E2579" s="675" t="s">
        <v>514</v>
      </c>
      <c r="F2579" s="675" t="s">
        <v>515</v>
      </c>
      <c r="G2579" s="675"/>
      <c r="H2579" s="675"/>
      <c r="I2579" s="675"/>
      <c r="J2579" s="675"/>
      <c r="K2579" s="675"/>
      <c r="L2579" s="675"/>
      <c r="M2579" s="675"/>
    </row>
    <row r="2580" spans="1:13" x14ac:dyDescent="0.25">
      <c r="A2580" s="675" t="s">
        <v>2528</v>
      </c>
      <c r="B2580" s="675" t="s">
        <v>545</v>
      </c>
      <c r="C2580" s="675" t="s">
        <v>2530</v>
      </c>
      <c r="D2580" s="675" t="s">
        <v>21</v>
      </c>
      <c r="E2580" s="675" t="s">
        <v>514</v>
      </c>
      <c r="F2580" s="675" t="s">
        <v>515</v>
      </c>
      <c r="G2580" s="675"/>
      <c r="H2580" s="675"/>
      <c r="I2580" s="675"/>
      <c r="J2580" s="675"/>
      <c r="K2580" s="675"/>
      <c r="L2580" s="675"/>
      <c r="M2580" s="675"/>
    </row>
    <row r="2581" spans="1:13" x14ac:dyDescent="0.25">
      <c r="A2581" s="675" t="s">
        <v>2528</v>
      </c>
      <c r="B2581" s="675" t="s">
        <v>545</v>
      </c>
      <c r="C2581" s="675" t="s">
        <v>552</v>
      </c>
      <c r="D2581" s="675" t="s">
        <v>21</v>
      </c>
      <c r="E2581" s="675" t="s">
        <v>514</v>
      </c>
      <c r="F2581" s="675" t="s">
        <v>515</v>
      </c>
      <c r="G2581" s="675"/>
      <c r="H2581" s="675"/>
      <c r="I2581" s="675"/>
      <c r="J2581" s="675"/>
      <c r="K2581" s="675"/>
      <c r="L2581" s="675"/>
      <c r="M2581" s="675"/>
    </row>
    <row r="2582" spans="1:13" x14ac:dyDescent="0.25">
      <c r="A2582" s="678" t="s">
        <v>2528</v>
      </c>
      <c r="B2582" s="678" t="s">
        <v>545</v>
      </c>
      <c r="C2582" s="678" t="s">
        <v>1658</v>
      </c>
      <c r="D2582" s="678" t="s">
        <v>21</v>
      </c>
      <c r="E2582" s="678" t="s">
        <v>514</v>
      </c>
      <c r="F2582" s="678" t="s">
        <v>636</v>
      </c>
      <c r="G2582" s="675"/>
      <c r="H2582" s="675"/>
      <c r="I2582" s="675"/>
      <c r="J2582" s="675"/>
      <c r="K2582" s="675"/>
      <c r="L2582" s="675"/>
      <c r="M2582" s="675"/>
    </row>
    <row r="2583" spans="1:13" x14ac:dyDescent="0.25">
      <c r="A2583" s="675" t="s">
        <v>2528</v>
      </c>
      <c r="B2583" s="675" t="s">
        <v>545</v>
      </c>
      <c r="C2583" s="675" t="s">
        <v>1659</v>
      </c>
      <c r="D2583" s="675" t="s">
        <v>21</v>
      </c>
      <c r="E2583" s="675" t="s">
        <v>514</v>
      </c>
      <c r="F2583" s="675" t="s">
        <v>515</v>
      </c>
      <c r="G2583" s="675"/>
      <c r="H2583" s="675"/>
      <c r="I2583" s="675"/>
      <c r="J2583" s="675"/>
      <c r="K2583" s="675"/>
      <c r="L2583" s="675"/>
      <c r="M2583" s="675"/>
    </row>
    <row r="2584" spans="1:13" x14ac:dyDescent="0.25">
      <c r="A2584" s="675" t="s">
        <v>2528</v>
      </c>
      <c r="B2584" s="675" t="s">
        <v>545</v>
      </c>
      <c r="C2584" s="675" t="s">
        <v>619</v>
      </c>
      <c r="D2584" s="675" t="s">
        <v>21</v>
      </c>
      <c r="E2584" s="675" t="s">
        <v>514</v>
      </c>
      <c r="F2584" s="675" t="s">
        <v>515</v>
      </c>
      <c r="G2584" s="675"/>
      <c r="H2584" s="675"/>
      <c r="I2584" s="675"/>
      <c r="J2584" s="675"/>
      <c r="K2584" s="675"/>
      <c r="L2584" s="675"/>
      <c r="M2584" s="675"/>
    </row>
    <row r="2585" spans="1:13" x14ac:dyDescent="0.25">
      <c r="A2585" s="675" t="s">
        <v>2528</v>
      </c>
      <c r="B2585" s="675" t="s">
        <v>564</v>
      </c>
      <c r="C2585" s="675" t="s">
        <v>2529</v>
      </c>
      <c r="D2585" s="675" t="s">
        <v>21</v>
      </c>
      <c r="E2585" s="675" t="s">
        <v>514</v>
      </c>
      <c r="F2585" s="675" t="s">
        <v>515</v>
      </c>
      <c r="G2585" s="675"/>
      <c r="H2585" s="675"/>
      <c r="I2585" s="675"/>
      <c r="J2585" s="675"/>
      <c r="K2585" s="675"/>
      <c r="L2585" s="675"/>
      <c r="M2585" s="675"/>
    </row>
    <row r="2586" spans="1:13" x14ac:dyDescent="0.25">
      <c r="A2586" s="675" t="s">
        <v>2528</v>
      </c>
      <c r="B2586" s="675" t="s">
        <v>564</v>
      </c>
      <c r="C2586" s="675" t="s">
        <v>2530</v>
      </c>
      <c r="D2586" s="675" t="s">
        <v>21</v>
      </c>
      <c r="E2586" s="675" t="s">
        <v>514</v>
      </c>
      <c r="F2586" s="675" t="s">
        <v>515</v>
      </c>
      <c r="G2586" s="675"/>
      <c r="H2586" s="675"/>
      <c r="I2586" s="675"/>
      <c r="J2586" s="675"/>
      <c r="K2586" s="675"/>
      <c r="L2586" s="675"/>
      <c r="M2586" s="675"/>
    </row>
    <row r="2587" spans="1:13" x14ac:dyDescent="0.25">
      <c r="A2587" s="675" t="s">
        <v>2528</v>
      </c>
      <c r="B2587" s="675" t="s">
        <v>564</v>
      </c>
      <c r="C2587" s="675" t="s">
        <v>619</v>
      </c>
      <c r="D2587" s="675" t="s">
        <v>21</v>
      </c>
      <c r="E2587" s="675" t="s">
        <v>514</v>
      </c>
      <c r="F2587" s="675" t="s">
        <v>515</v>
      </c>
      <c r="G2587" s="675"/>
      <c r="H2587" s="675"/>
      <c r="I2587" s="675"/>
      <c r="J2587" s="675"/>
      <c r="K2587" s="675"/>
      <c r="L2587" s="675"/>
      <c r="M2587" s="675"/>
    </row>
    <row r="2588" spans="1:13" x14ac:dyDescent="0.25">
      <c r="A2588" s="675" t="s">
        <v>2531</v>
      </c>
      <c r="B2588" s="675" t="s">
        <v>512</v>
      </c>
      <c r="C2588" s="675" t="s">
        <v>639</v>
      </c>
      <c r="D2588" s="675" t="s">
        <v>21</v>
      </c>
      <c r="E2588" s="675" t="s">
        <v>514</v>
      </c>
      <c r="F2588" s="675" t="s">
        <v>515</v>
      </c>
      <c r="G2588" s="675"/>
      <c r="H2588" s="675"/>
      <c r="I2588" s="675"/>
      <c r="J2588" s="675"/>
      <c r="K2588" s="675"/>
      <c r="L2588" s="675"/>
      <c r="M2588" s="675"/>
    </row>
    <row r="2589" spans="1:13" x14ac:dyDescent="0.25">
      <c r="A2589" s="675" t="s">
        <v>2531</v>
      </c>
      <c r="B2589" s="675" t="s">
        <v>512</v>
      </c>
      <c r="C2589" s="675" t="s">
        <v>640</v>
      </c>
      <c r="D2589" s="675" t="s">
        <v>21</v>
      </c>
      <c r="E2589" s="675" t="s">
        <v>514</v>
      </c>
      <c r="F2589" s="675" t="s">
        <v>515</v>
      </c>
      <c r="G2589" s="675"/>
      <c r="H2589" s="675"/>
      <c r="I2589" s="675"/>
      <c r="J2589" s="675"/>
      <c r="K2589" s="675"/>
      <c r="L2589" s="675"/>
      <c r="M2589" s="675"/>
    </row>
    <row r="2590" spans="1:13" x14ac:dyDescent="0.25">
      <c r="A2590" s="675" t="s">
        <v>2531</v>
      </c>
      <c r="B2590" s="675" t="s">
        <v>512</v>
      </c>
      <c r="C2590" s="675" t="s">
        <v>650</v>
      </c>
      <c r="D2590" s="675" t="s">
        <v>21</v>
      </c>
      <c r="E2590" s="675" t="s">
        <v>514</v>
      </c>
      <c r="F2590" s="675" t="s">
        <v>515</v>
      </c>
      <c r="G2590" s="675"/>
      <c r="H2590" s="675"/>
      <c r="I2590" s="675"/>
      <c r="J2590" s="675"/>
      <c r="K2590" s="675"/>
      <c r="L2590" s="675"/>
      <c r="M2590" s="675"/>
    </row>
    <row r="2591" spans="1:13" x14ac:dyDescent="0.25">
      <c r="A2591" s="675" t="s">
        <v>2531</v>
      </c>
      <c r="B2591" s="675" t="s">
        <v>512</v>
      </c>
      <c r="C2591" s="675" t="s">
        <v>651</v>
      </c>
      <c r="D2591" s="675" t="s">
        <v>21</v>
      </c>
      <c r="E2591" s="675" t="s">
        <v>514</v>
      </c>
      <c r="F2591" s="675" t="s">
        <v>515</v>
      </c>
      <c r="G2591" s="675"/>
      <c r="H2591" s="675"/>
      <c r="I2591" s="675"/>
      <c r="J2591" s="675"/>
      <c r="K2591" s="675"/>
      <c r="L2591" s="675"/>
      <c r="M2591" s="675"/>
    </row>
    <row r="2592" spans="1:13" x14ac:dyDescent="0.25">
      <c r="A2592" s="675" t="s">
        <v>2531</v>
      </c>
      <c r="B2592" s="675" t="s">
        <v>512</v>
      </c>
      <c r="C2592" s="675" t="s">
        <v>1655</v>
      </c>
      <c r="D2592" s="675" t="s">
        <v>21</v>
      </c>
      <c r="E2592" s="675" t="s">
        <v>514</v>
      </c>
      <c r="F2592" s="675" t="s">
        <v>515</v>
      </c>
      <c r="G2592" s="675"/>
      <c r="H2592" s="675"/>
      <c r="I2592" s="675"/>
      <c r="J2592" s="675"/>
      <c r="K2592" s="675"/>
      <c r="L2592" s="675"/>
      <c r="M2592" s="675"/>
    </row>
    <row r="2593" spans="1:13" x14ac:dyDescent="0.25">
      <c r="A2593" s="675" t="s">
        <v>2531</v>
      </c>
      <c r="B2593" s="675" t="s">
        <v>512</v>
      </c>
      <c r="C2593" s="675" t="s">
        <v>1656</v>
      </c>
      <c r="D2593" s="675" t="s">
        <v>21</v>
      </c>
      <c r="E2593" s="675" t="s">
        <v>514</v>
      </c>
      <c r="F2593" s="675" t="s">
        <v>515</v>
      </c>
      <c r="G2593" s="675"/>
      <c r="H2593" s="675"/>
      <c r="I2593" s="675"/>
      <c r="J2593" s="675"/>
      <c r="K2593" s="675"/>
      <c r="L2593" s="675"/>
      <c r="M2593" s="675"/>
    </row>
    <row r="2594" spans="1:13" x14ac:dyDescent="0.25">
      <c r="A2594" s="675" t="s">
        <v>2531</v>
      </c>
      <c r="B2594" s="675" t="s">
        <v>545</v>
      </c>
      <c r="C2594" s="675" t="s">
        <v>1657</v>
      </c>
      <c r="D2594" s="675" t="s">
        <v>21</v>
      </c>
      <c r="E2594" s="675" t="s">
        <v>514</v>
      </c>
      <c r="F2594" s="675" t="s">
        <v>515</v>
      </c>
      <c r="G2594" s="675"/>
      <c r="H2594" s="675"/>
      <c r="I2594" s="675"/>
      <c r="J2594" s="675"/>
      <c r="K2594" s="675"/>
      <c r="L2594" s="675"/>
      <c r="M2594" s="675"/>
    </row>
    <row r="2595" spans="1:13" x14ac:dyDescent="0.25">
      <c r="A2595" s="675" t="s">
        <v>2531</v>
      </c>
      <c r="B2595" s="675" t="s">
        <v>545</v>
      </c>
      <c r="C2595" s="675" t="s">
        <v>552</v>
      </c>
      <c r="D2595" s="675" t="s">
        <v>21</v>
      </c>
      <c r="E2595" s="675" t="s">
        <v>514</v>
      </c>
      <c r="F2595" s="675" t="s">
        <v>515</v>
      </c>
      <c r="G2595" s="675"/>
      <c r="H2595" s="675"/>
      <c r="I2595" s="675"/>
      <c r="J2595" s="675"/>
      <c r="K2595" s="675"/>
      <c r="L2595" s="675"/>
      <c r="M2595" s="675"/>
    </row>
    <row r="2596" spans="1:13" x14ac:dyDescent="0.25">
      <c r="A2596" s="678" t="s">
        <v>2531</v>
      </c>
      <c r="B2596" s="678" t="s">
        <v>545</v>
      </c>
      <c r="C2596" s="678" t="s">
        <v>2532</v>
      </c>
      <c r="D2596" s="678" t="s">
        <v>21</v>
      </c>
      <c r="E2596" s="678" t="s">
        <v>514</v>
      </c>
      <c r="F2596" s="678" t="s">
        <v>636</v>
      </c>
      <c r="G2596" s="675"/>
      <c r="H2596" s="675"/>
      <c r="I2596" s="675"/>
      <c r="J2596" s="675"/>
      <c r="K2596" s="675"/>
      <c r="L2596" s="675"/>
      <c r="M2596" s="675"/>
    </row>
    <row r="2597" spans="1:13" x14ac:dyDescent="0.25">
      <c r="A2597" s="675" t="s">
        <v>2531</v>
      </c>
      <c r="B2597" s="675" t="s">
        <v>545</v>
      </c>
      <c r="C2597" s="675" t="s">
        <v>1659</v>
      </c>
      <c r="D2597" s="675" t="s">
        <v>21</v>
      </c>
      <c r="E2597" s="675" t="s">
        <v>514</v>
      </c>
      <c r="F2597" s="675" t="s">
        <v>515</v>
      </c>
      <c r="G2597" s="675"/>
      <c r="H2597" s="675"/>
      <c r="I2597" s="675"/>
      <c r="J2597" s="675"/>
      <c r="K2597" s="675"/>
      <c r="L2597" s="675"/>
      <c r="M2597" s="675"/>
    </row>
    <row r="2598" spans="1:13" x14ac:dyDescent="0.25">
      <c r="A2598" s="675" t="s">
        <v>2531</v>
      </c>
      <c r="B2598" s="675" t="s">
        <v>564</v>
      </c>
      <c r="C2598" s="675" t="s">
        <v>2529</v>
      </c>
      <c r="D2598" s="675" t="s">
        <v>21</v>
      </c>
      <c r="E2598" s="675" t="s">
        <v>514</v>
      </c>
      <c r="F2598" s="675" t="s">
        <v>515</v>
      </c>
      <c r="G2598" s="675"/>
      <c r="H2598" s="675"/>
      <c r="I2598" s="675"/>
      <c r="J2598" s="675"/>
      <c r="K2598" s="675"/>
      <c r="L2598" s="675"/>
      <c r="M2598" s="675"/>
    </row>
    <row r="2599" spans="1:13" x14ac:dyDescent="0.25">
      <c r="A2599" s="675" t="s">
        <v>2531</v>
      </c>
      <c r="B2599" s="675" t="s">
        <v>564</v>
      </c>
      <c r="C2599" s="675" t="s">
        <v>2530</v>
      </c>
      <c r="D2599" s="675" t="s">
        <v>21</v>
      </c>
      <c r="E2599" s="675" t="s">
        <v>514</v>
      </c>
      <c r="F2599" s="675" t="s">
        <v>515</v>
      </c>
      <c r="G2599" s="675"/>
      <c r="H2599" s="675"/>
      <c r="I2599" s="675"/>
      <c r="J2599" s="675"/>
      <c r="K2599" s="675"/>
      <c r="L2599" s="675"/>
      <c r="M2599" s="675"/>
    </row>
    <row r="2600" spans="1:13" x14ac:dyDescent="0.25">
      <c r="A2600" s="675" t="s">
        <v>2531</v>
      </c>
      <c r="B2600" s="675" t="s">
        <v>564</v>
      </c>
      <c r="C2600" s="675" t="s">
        <v>619</v>
      </c>
      <c r="D2600" s="675" t="s">
        <v>21</v>
      </c>
      <c r="E2600" s="675" t="s">
        <v>514</v>
      </c>
      <c r="F2600" s="675" t="s">
        <v>515</v>
      </c>
      <c r="G2600" s="675"/>
      <c r="H2600" s="675"/>
      <c r="I2600" s="675"/>
      <c r="J2600" s="675"/>
      <c r="K2600" s="675"/>
      <c r="L2600" s="675"/>
      <c r="M2600" s="675"/>
    </row>
    <row r="2601" spans="1:13" x14ac:dyDescent="0.25">
      <c r="A2601" s="678" t="s">
        <v>2533</v>
      </c>
      <c r="B2601" s="678" t="s">
        <v>512</v>
      </c>
      <c r="C2601" s="678" t="s">
        <v>1347</v>
      </c>
      <c r="D2601" s="678" t="s">
        <v>21</v>
      </c>
      <c r="E2601" s="678" t="s">
        <v>514</v>
      </c>
      <c r="F2601" s="678" t="s">
        <v>596</v>
      </c>
      <c r="G2601" s="675"/>
      <c r="H2601" s="675"/>
      <c r="I2601" s="675"/>
      <c r="J2601" s="675"/>
      <c r="K2601" s="675"/>
      <c r="L2601" s="675"/>
      <c r="M2601" s="675"/>
    </row>
    <row r="2602" spans="1:13" x14ac:dyDescent="0.25">
      <c r="A2602" s="678" t="s">
        <v>2533</v>
      </c>
      <c r="B2602" s="678" t="s">
        <v>512</v>
      </c>
      <c r="C2602" s="678" t="s">
        <v>2208</v>
      </c>
      <c r="D2602" s="678" t="s">
        <v>21</v>
      </c>
      <c r="E2602" s="678" t="s">
        <v>514</v>
      </c>
      <c r="F2602" s="678" t="s">
        <v>596</v>
      </c>
      <c r="G2602" s="675"/>
      <c r="H2602" s="675"/>
      <c r="I2602" s="675"/>
      <c r="J2602" s="675"/>
      <c r="K2602" s="675"/>
      <c r="L2602" s="675"/>
      <c r="M2602" s="675"/>
    </row>
    <row r="2603" spans="1:13" x14ac:dyDescent="0.25">
      <c r="A2603" s="675" t="s">
        <v>2533</v>
      </c>
      <c r="B2603" s="675" t="s">
        <v>512</v>
      </c>
      <c r="C2603" s="675" t="s">
        <v>1220</v>
      </c>
      <c r="D2603" s="675" t="s">
        <v>21</v>
      </c>
      <c r="E2603" s="675" t="s">
        <v>514</v>
      </c>
      <c r="F2603" s="675" t="s">
        <v>515</v>
      </c>
      <c r="G2603" s="675"/>
      <c r="H2603" s="675"/>
      <c r="I2603" s="675"/>
      <c r="J2603" s="675"/>
      <c r="K2603" s="675"/>
      <c r="L2603" s="675"/>
      <c r="M2603" s="675" t="s">
        <v>510</v>
      </c>
    </row>
    <row r="2604" spans="1:13" x14ac:dyDescent="0.25">
      <c r="A2604" s="675" t="s">
        <v>2534</v>
      </c>
      <c r="B2604" s="675" t="s">
        <v>512</v>
      </c>
      <c r="C2604" s="675" t="s">
        <v>639</v>
      </c>
      <c r="D2604" s="675" t="s">
        <v>21</v>
      </c>
      <c r="E2604" s="675" t="s">
        <v>514</v>
      </c>
      <c r="F2604" s="675" t="s">
        <v>515</v>
      </c>
      <c r="G2604" s="675"/>
      <c r="H2604" s="675"/>
      <c r="I2604" s="675"/>
      <c r="J2604" s="675"/>
      <c r="K2604" s="675"/>
      <c r="L2604" s="675"/>
      <c r="M2604" s="675"/>
    </row>
    <row r="2605" spans="1:13" x14ac:dyDescent="0.25">
      <c r="A2605" s="675" t="s">
        <v>2534</v>
      </c>
      <c r="B2605" s="675" t="s">
        <v>512</v>
      </c>
      <c r="C2605" s="675" t="s">
        <v>640</v>
      </c>
      <c r="D2605" s="675" t="s">
        <v>21</v>
      </c>
      <c r="E2605" s="675" t="s">
        <v>514</v>
      </c>
      <c r="F2605" s="675" t="s">
        <v>515</v>
      </c>
      <c r="G2605" s="675"/>
      <c r="H2605" s="675"/>
      <c r="I2605" s="675"/>
      <c r="J2605" s="675"/>
      <c r="K2605" s="675"/>
      <c r="L2605" s="675"/>
      <c r="M2605" s="675"/>
    </row>
    <row r="2606" spans="1:13" x14ac:dyDescent="0.25">
      <c r="A2606" s="675" t="s">
        <v>2534</v>
      </c>
      <c r="B2606" s="675" t="s">
        <v>512</v>
      </c>
      <c r="C2606" s="675" t="s">
        <v>650</v>
      </c>
      <c r="D2606" s="675" t="s">
        <v>21</v>
      </c>
      <c r="E2606" s="675" t="s">
        <v>514</v>
      </c>
      <c r="F2606" s="675" t="s">
        <v>515</v>
      </c>
      <c r="G2606" s="675"/>
      <c r="H2606" s="675"/>
      <c r="I2606" s="675"/>
      <c r="J2606" s="675"/>
      <c r="K2606" s="675"/>
      <c r="L2606" s="675"/>
      <c r="M2606" s="675"/>
    </row>
    <row r="2607" spans="1:13" x14ac:dyDescent="0.25">
      <c r="A2607" s="675" t="s">
        <v>2534</v>
      </c>
      <c r="B2607" s="675" t="s">
        <v>512</v>
      </c>
      <c r="C2607" s="675" t="s">
        <v>651</v>
      </c>
      <c r="D2607" s="675" t="s">
        <v>21</v>
      </c>
      <c r="E2607" s="675" t="s">
        <v>514</v>
      </c>
      <c r="F2607" s="675" t="s">
        <v>515</v>
      </c>
      <c r="G2607" s="675"/>
      <c r="H2607" s="675"/>
      <c r="I2607" s="675"/>
      <c r="J2607" s="675"/>
      <c r="K2607" s="675"/>
      <c r="L2607" s="675"/>
      <c r="M2607" s="675"/>
    </row>
    <row r="2608" spans="1:13" x14ac:dyDescent="0.25">
      <c r="A2608" s="675" t="s">
        <v>2534</v>
      </c>
      <c r="B2608" s="675" t="s">
        <v>512</v>
      </c>
      <c r="C2608" s="675" t="s">
        <v>2535</v>
      </c>
      <c r="D2608" s="675" t="s">
        <v>21</v>
      </c>
      <c r="E2608" s="675" t="s">
        <v>514</v>
      </c>
      <c r="F2608" s="675" t="s">
        <v>515</v>
      </c>
      <c r="G2608" s="675"/>
      <c r="H2608" s="675"/>
      <c r="I2608" s="675"/>
      <c r="J2608" s="675"/>
      <c r="K2608" s="675"/>
      <c r="L2608" s="675"/>
      <c r="M2608" s="675"/>
    </row>
    <row r="2609" spans="1:13" x14ac:dyDescent="0.25">
      <c r="A2609" s="675" t="s">
        <v>2534</v>
      </c>
      <c r="B2609" s="675" t="s">
        <v>512</v>
      </c>
      <c r="C2609" s="675" t="s">
        <v>2536</v>
      </c>
      <c r="D2609" s="675" t="s">
        <v>21</v>
      </c>
      <c r="E2609" s="675" t="s">
        <v>514</v>
      </c>
      <c r="F2609" s="675" t="s">
        <v>515</v>
      </c>
      <c r="G2609" s="675"/>
      <c r="H2609" s="675"/>
      <c r="I2609" s="675"/>
      <c r="J2609" s="675"/>
      <c r="K2609" s="675"/>
      <c r="L2609" s="675"/>
      <c r="M2609" s="675"/>
    </row>
    <row r="2610" spans="1:13" x14ac:dyDescent="0.25">
      <c r="A2610" s="675" t="s">
        <v>2534</v>
      </c>
      <c r="B2610" s="675" t="s">
        <v>564</v>
      </c>
      <c r="C2610" s="675" t="s">
        <v>2537</v>
      </c>
      <c r="D2610" s="675" t="s">
        <v>21</v>
      </c>
      <c r="E2610" s="675" t="s">
        <v>514</v>
      </c>
      <c r="F2610" s="675" t="s">
        <v>515</v>
      </c>
      <c r="G2610" s="675"/>
      <c r="H2610" s="675"/>
      <c r="I2610" s="675"/>
      <c r="J2610" s="675"/>
      <c r="K2610" s="675"/>
      <c r="L2610" s="675"/>
      <c r="M2610" s="675"/>
    </row>
    <row r="2611" spans="1:13" x14ac:dyDescent="0.25">
      <c r="A2611" s="675" t="s">
        <v>2534</v>
      </c>
      <c r="B2611" s="675" t="s">
        <v>564</v>
      </c>
      <c r="C2611" s="675" t="s">
        <v>2538</v>
      </c>
      <c r="D2611" s="675" t="s">
        <v>21</v>
      </c>
      <c r="E2611" s="675" t="s">
        <v>514</v>
      </c>
      <c r="F2611" s="675" t="s">
        <v>515</v>
      </c>
      <c r="G2611" s="675"/>
      <c r="H2611" s="675"/>
      <c r="I2611" s="675"/>
      <c r="J2611" s="675"/>
      <c r="K2611" s="675"/>
      <c r="L2611" s="675"/>
      <c r="M2611" s="675"/>
    </row>
    <row r="2612" spans="1:13" x14ac:dyDescent="0.25">
      <c r="A2612" s="675" t="s">
        <v>2534</v>
      </c>
      <c r="B2612" s="675" t="s">
        <v>564</v>
      </c>
      <c r="C2612" s="675" t="s">
        <v>2539</v>
      </c>
      <c r="D2612" s="675" t="s">
        <v>21</v>
      </c>
      <c r="E2612" s="675" t="s">
        <v>514</v>
      </c>
      <c r="F2612" s="675" t="s">
        <v>515</v>
      </c>
      <c r="G2612" s="675"/>
      <c r="H2612" s="675"/>
      <c r="I2612" s="675"/>
      <c r="J2612" s="675"/>
      <c r="K2612" s="675"/>
      <c r="L2612" s="675"/>
      <c r="M2612" s="675"/>
    </row>
    <row r="2613" spans="1:13" x14ac:dyDescent="0.25">
      <c r="A2613" s="675" t="s">
        <v>2534</v>
      </c>
      <c r="B2613" s="675" t="s">
        <v>564</v>
      </c>
      <c r="C2613" s="675" t="s">
        <v>2540</v>
      </c>
      <c r="D2613" s="675" t="s">
        <v>21</v>
      </c>
      <c r="E2613" s="675" t="s">
        <v>514</v>
      </c>
      <c r="F2613" s="675" t="s">
        <v>515</v>
      </c>
      <c r="G2613" s="675"/>
      <c r="H2613" s="675"/>
      <c r="I2613" s="675"/>
      <c r="J2613" s="675"/>
      <c r="K2613" s="675"/>
      <c r="L2613" s="675"/>
      <c r="M2613" s="675"/>
    </row>
    <row r="2614" spans="1:13" x14ac:dyDescent="0.25">
      <c r="A2614" s="675" t="s">
        <v>2541</v>
      </c>
      <c r="B2614" s="675" t="s">
        <v>512</v>
      </c>
      <c r="C2614" s="675" t="s">
        <v>2542</v>
      </c>
      <c r="D2614" s="675" t="s">
        <v>21</v>
      </c>
      <c r="E2614" s="675" t="s">
        <v>514</v>
      </c>
      <c r="F2614" s="675" t="s">
        <v>515</v>
      </c>
      <c r="G2614" s="675"/>
      <c r="H2614" s="675"/>
      <c r="I2614" s="675"/>
      <c r="J2614" s="675"/>
      <c r="K2614" s="675"/>
      <c r="L2614" s="675"/>
      <c r="M2614" s="675"/>
    </row>
    <row r="2615" spans="1:13" x14ac:dyDescent="0.25">
      <c r="A2615" s="675" t="s">
        <v>2541</v>
      </c>
      <c r="B2615" s="675" t="s">
        <v>512</v>
      </c>
      <c r="C2615" s="675" t="s">
        <v>2543</v>
      </c>
      <c r="D2615" s="675" t="s">
        <v>21</v>
      </c>
      <c r="E2615" s="675" t="s">
        <v>514</v>
      </c>
      <c r="F2615" s="675" t="s">
        <v>515</v>
      </c>
      <c r="G2615" s="675"/>
      <c r="H2615" s="675"/>
      <c r="I2615" s="675"/>
      <c r="J2615" s="675"/>
      <c r="K2615" s="675"/>
      <c r="L2615" s="675"/>
      <c r="M2615" s="675"/>
    </row>
    <row r="2616" spans="1:13" x14ac:dyDescent="0.25">
      <c r="A2616" s="675" t="s">
        <v>2541</v>
      </c>
      <c r="B2616" s="675" t="s">
        <v>512</v>
      </c>
      <c r="C2616" s="675" t="s">
        <v>1815</v>
      </c>
      <c r="D2616" s="675" t="s">
        <v>21</v>
      </c>
      <c r="E2616" s="675" t="s">
        <v>514</v>
      </c>
      <c r="F2616" s="675" t="s">
        <v>515</v>
      </c>
      <c r="G2616" s="675"/>
      <c r="H2616" s="675"/>
      <c r="I2616" s="675"/>
      <c r="J2616" s="675"/>
      <c r="K2616" s="675"/>
      <c r="L2616" s="675"/>
      <c r="M2616" s="675"/>
    </row>
    <row r="2617" spans="1:13" x14ac:dyDescent="0.25">
      <c r="A2617" s="675" t="s">
        <v>2541</v>
      </c>
      <c r="B2617" s="675" t="s">
        <v>545</v>
      </c>
      <c r="C2617" s="675" t="s">
        <v>819</v>
      </c>
      <c r="D2617" s="675" t="s">
        <v>21</v>
      </c>
      <c r="E2617" s="675" t="s">
        <v>514</v>
      </c>
      <c r="F2617" s="675" t="s">
        <v>515</v>
      </c>
      <c r="G2617" s="675"/>
      <c r="H2617" s="675"/>
      <c r="I2617" s="675"/>
      <c r="J2617" s="675"/>
      <c r="K2617" s="675"/>
      <c r="L2617" s="675"/>
      <c r="M2617" s="675"/>
    </row>
    <row r="2618" spans="1:13" x14ac:dyDescent="0.25">
      <c r="A2618" s="675" t="s">
        <v>2541</v>
      </c>
      <c r="B2618" s="675" t="s">
        <v>545</v>
      </c>
      <c r="C2618" s="675" t="s">
        <v>2348</v>
      </c>
      <c r="D2618" s="675" t="s">
        <v>21</v>
      </c>
      <c r="E2618" s="675" t="s">
        <v>514</v>
      </c>
      <c r="F2618" s="675" t="s">
        <v>515</v>
      </c>
      <c r="G2618" s="675"/>
      <c r="H2618" s="675"/>
      <c r="I2618" s="675"/>
      <c r="J2618" s="675"/>
      <c r="K2618" s="675"/>
      <c r="L2618" s="675"/>
      <c r="M2618" s="675"/>
    </row>
    <row r="2619" spans="1:13" x14ac:dyDescent="0.25">
      <c r="A2619" s="675" t="s">
        <v>2541</v>
      </c>
      <c r="B2619" s="675" t="s">
        <v>564</v>
      </c>
      <c r="C2619" s="675" t="s">
        <v>2544</v>
      </c>
      <c r="D2619" s="675" t="s">
        <v>21</v>
      </c>
      <c r="E2619" s="675" t="s">
        <v>514</v>
      </c>
      <c r="F2619" s="675" t="s">
        <v>515</v>
      </c>
      <c r="G2619" s="675"/>
      <c r="H2619" s="675"/>
      <c r="I2619" s="675"/>
      <c r="J2619" s="675"/>
      <c r="K2619" s="675"/>
      <c r="L2619" s="675"/>
      <c r="M2619" s="675"/>
    </row>
    <row r="2620" spans="1:13" x14ac:dyDescent="0.25">
      <c r="A2620" s="675" t="s">
        <v>2545</v>
      </c>
      <c r="B2620" s="675" t="s">
        <v>512</v>
      </c>
      <c r="C2620" s="675" t="s">
        <v>2546</v>
      </c>
      <c r="D2620" s="675" t="s">
        <v>21</v>
      </c>
      <c r="E2620" s="675" t="s">
        <v>514</v>
      </c>
      <c r="F2620" s="675" t="s">
        <v>515</v>
      </c>
      <c r="G2620" s="675"/>
      <c r="H2620" s="675"/>
      <c r="I2620" s="675"/>
      <c r="J2620" s="675"/>
      <c r="K2620" s="675"/>
      <c r="L2620" s="675"/>
      <c r="M2620" s="675"/>
    </row>
    <row r="2621" spans="1:13" x14ac:dyDescent="0.25">
      <c r="A2621" s="675" t="s">
        <v>2545</v>
      </c>
      <c r="B2621" s="675" t="s">
        <v>512</v>
      </c>
      <c r="C2621" s="675" t="s">
        <v>2547</v>
      </c>
      <c r="D2621" s="675" t="s">
        <v>21</v>
      </c>
      <c r="E2621" s="675" t="s">
        <v>514</v>
      </c>
      <c r="F2621" s="675" t="s">
        <v>515</v>
      </c>
      <c r="G2621" s="675"/>
      <c r="H2621" s="675"/>
      <c r="I2621" s="675"/>
      <c r="J2621" s="675"/>
      <c r="K2621" s="675"/>
      <c r="L2621" s="675"/>
      <c r="M2621" s="675"/>
    </row>
    <row r="2622" spans="1:13" x14ac:dyDescent="0.25">
      <c r="A2622" s="675" t="s">
        <v>2545</v>
      </c>
      <c r="B2622" s="675" t="s">
        <v>512</v>
      </c>
      <c r="C2622" s="675" t="s">
        <v>2548</v>
      </c>
      <c r="D2622" s="675" t="s">
        <v>21</v>
      </c>
      <c r="E2622" s="675" t="s">
        <v>514</v>
      </c>
      <c r="F2622" s="675" t="s">
        <v>515</v>
      </c>
      <c r="G2622" s="675"/>
      <c r="H2622" s="675"/>
      <c r="I2622" s="675"/>
      <c r="J2622" s="675"/>
      <c r="K2622" s="675"/>
      <c r="L2622" s="675"/>
      <c r="M2622" s="675"/>
    </row>
    <row r="2623" spans="1:13" x14ac:dyDescent="0.25">
      <c r="A2623" s="675" t="s">
        <v>2545</v>
      </c>
      <c r="B2623" s="675" t="s">
        <v>512</v>
      </c>
      <c r="C2623" s="675" t="s">
        <v>2549</v>
      </c>
      <c r="D2623" s="675" t="s">
        <v>21</v>
      </c>
      <c r="E2623" s="675" t="s">
        <v>514</v>
      </c>
      <c r="F2623" s="675" t="s">
        <v>515</v>
      </c>
      <c r="G2623" s="675"/>
      <c r="H2623" s="675"/>
      <c r="I2623" s="675"/>
      <c r="J2623" s="675"/>
      <c r="K2623" s="675"/>
      <c r="L2623" s="675"/>
      <c r="M2623" s="675"/>
    </row>
    <row r="2624" spans="1:13" x14ac:dyDescent="0.25">
      <c r="A2624" s="675" t="s">
        <v>2545</v>
      </c>
      <c r="B2624" s="675" t="s">
        <v>512</v>
      </c>
      <c r="C2624" s="675" t="s">
        <v>2550</v>
      </c>
      <c r="D2624" s="675" t="s">
        <v>21</v>
      </c>
      <c r="E2624" s="675" t="s">
        <v>514</v>
      </c>
      <c r="F2624" s="675" t="s">
        <v>515</v>
      </c>
      <c r="G2624" s="675"/>
      <c r="H2624" s="675"/>
      <c r="I2624" s="675"/>
      <c r="J2624" s="675"/>
      <c r="K2624" s="675"/>
      <c r="L2624" s="675"/>
      <c r="M2624" s="675"/>
    </row>
    <row r="2625" spans="1:13" x14ac:dyDescent="0.25">
      <c r="A2625" s="675" t="s">
        <v>2545</v>
      </c>
      <c r="B2625" s="675" t="s">
        <v>512</v>
      </c>
      <c r="C2625" s="675" t="s">
        <v>1472</v>
      </c>
      <c r="D2625" s="675" t="s">
        <v>21</v>
      </c>
      <c r="E2625" s="675" t="s">
        <v>514</v>
      </c>
      <c r="F2625" s="675" t="s">
        <v>515</v>
      </c>
      <c r="G2625" s="675"/>
      <c r="H2625" s="675"/>
      <c r="I2625" s="675"/>
      <c r="J2625" s="675"/>
      <c r="K2625" s="675"/>
      <c r="L2625" s="675"/>
      <c r="M2625" s="675"/>
    </row>
    <row r="2626" spans="1:13" x14ac:dyDescent="0.25">
      <c r="A2626" s="675" t="s">
        <v>2545</v>
      </c>
      <c r="B2626" s="675" t="s">
        <v>512</v>
      </c>
      <c r="C2626" s="675" t="s">
        <v>2551</v>
      </c>
      <c r="D2626" s="675" t="s">
        <v>21</v>
      </c>
      <c r="E2626" s="675" t="s">
        <v>514</v>
      </c>
      <c r="F2626" s="675" t="s">
        <v>515</v>
      </c>
      <c r="G2626" s="675"/>
      <c r="H2626" s="675"/>
      <c r="I2626" s="675"/>
      <c r="J2626" s="675"/>
      <c r="K2626" s="675"/>
      <c r="L2626" s="675"/>
      <c r="M2626" s="675"/>
    </row>
    <row r="2627" spans="1:13" x14ac:dyDescent="0.25">
      <c r="A2627" s="675" t="s">
        <v>2545</v>
      </c>
      <c r="B2627" s="675" t="s">
        <v>512</v>
      </c>
      <c r="C2627" s="675" t="s">
        <v>2552</v>
      </c>
      <c r="D2627" s="675" t="s">
        <v>21</v>
      </c>
      <c r="E2627" s="675" t="s">
        <v>514</v>
      </c>
      <c r="F2627" s="675" t="s">
        <v>515</v>
      </c>
      <c r="G2627" s="675"/>
      <c r="H2627" s="675"/>
      <c r="I2627" s="675"/>
      <c r="J2627" s="675"/>
      <c r="K2627" s="675"/>
      <c r="L2627" s="675"/>
      <c r="M2627" s="675"/>
    </row>
    <row r="2628" spans="1:13" x14ac:dyDescent="0.25">
      <c r="A2628" s="675" t="s">
        <v>2545</v>
      </c>
      <c r="B2628" s="675" t="s">
        <v>512</v>
      </c>
      <c r="C2628" s="675" t="s">
        <v>1040</v>
      </c>
      <c r="D2628" s="675" t="s">
        <v>21</v>
      </c>
      <c r="E2628" s="675" t="s">
        <v>514</v>
      </c>
      <c r="F2628" s="675" t="s">
        <v>515</v>
      </c>
      <c r="G2628" s="675"/>
      <c r="H2628" s="675"/>
      <c r="I2628" s="675"/>
      <c r="J2628" s="675"/>
      <c r="K2628" s="675"/>
      <c r="L2628" s="675"/>
      <c r="M2628" s="675"/>
    </row>
    <row r="2629" spans="1:13" x14ac:dyDescent="0.25">
      <c r="A2629" s="675" t="s">
        <v>2553</v>
      </c>
      <c r="B2629" s="675" t="s">
        <v>512</v>
      </c>
      <c r="C2629" s="675" t="s">
        <v>2554</v>
      </c>
      <c r="D2629" s="675" t="s">
        <v>21</v>
      </c>
      <c r="E2629" s="675" t="s">
        <v>514</v>
      </c>
      <c r="F2629" s="675" t="s">
        <v>515</v>
      </c>
      <c r="G2629" s="675"/>
      <c r="H2629" s="675"/>
      <c r="I2629" s="675"/>
      <c r="J2629" s="675"/>
      <c r="K2629" s="675"/>
      <c r="L2629" s="675"/>
      <c r="M2629" s="675"/>
    </row>
    <row r="2630" spans="1:13" x14ac:dyDescent="0.25">
      <c r="A2630" s="675" t="s">
        <v>2553</v>
      </c>
      <c r="B2630" s="675" t="s">
        <v>545</v>
      </c>
      <c r="C2630" s="675" t="s">
        <v>2555</v>
      </c>
      <c r="D2630" s="675" t="s">
        <v>21</v>
      </c>
      <c r="E2630" s="675" t="s">
        <v>514</v>
      </c>
      <c r="F2630" s="675" t="s">
        <v>515</v>
      </c>
      <c r="G2630" s="675"/>
      <c r="H2630" s="675"/>
      <c r="I2630" s="675"/>
      <c r="J2630" s="675"/>
      <c r="K2630" s="675"/>
      <c r="L2630" s="675"/>
      <c r="M2630" s="675"/>
    </row>
    <row r="2631" spans="1:13" x14ac:dyDescent="0.25">
      <c r="A2631" s="675" t="s">
        <v>2556</v>
      </c>
      <c r="B2631" s="675" t="s">
        <v>512</v>
      </c>
      <c r="C2631" s="675" t="s">
        <v>953</v>
      </c>
      <c r="D2631" s="675" t="s">
        <v>21</v>
      </c>
      <c r="E2631" s="675" t="s">
        <v>514</v>
      </c>
      <c r="F2631" s="675" t="s">
        <v>515</v>
      </c>
      <c r="G2631" s="675"/>
      <c r="H2631" s="675"/>
      <c r="I2631" s="675"/>
      <c r="J2631" s="675"/>
      <c r="K2631" s="675"/>
      <c r="L2631" s="675"/>
      <c r="M2631" s="675"/>
    </row>
    <row r="2632" spans="1:13" x14ac:dyDescent="0.25">
      <c r="A2632" s="675" t="s">
        <v>2556</v>
      </c>
      <c r="B2632" s="675" t="s">
        <v>512</v>
      </c>
      <c r="C2632" s="675" t="s">
        <v>1949</v>
      </c>
      <c r="D2632" s="675" t="s">
        <v>21</v>
      </c>
      <c r="E2632" s="675" t="s">
        <v>514</v>
      </c>
      <c r="F2632" s="675" t="s">
        <v>515</v>
      </c>
      <c r="G2632" s="675"/>
      <c r="H2632" s="675"/>
      <c r="I2632" s="675"/>
      <c r="J2632" s="675"/>
      <c r="K2632" s="675"/>
      <c r="L2632" s="675"/>
      <c r="M2632" s="675"/>
    </row>
    <row r="2633" spans="1:13" x14ac:dyDescent="0.25">
      <c r="A2633" s="675" t="s">
        <v>2556</v>
      </c>
      <c r="B2633" s="675" t="s">
        <v>512</v>
      </c>
      <c r="C2633" s="675" t="s">
        <v>2557</v>
      </c>
      <c r="D2633" s="675" t="s">
        <v>21</v>
      </c>
      <c r="E2633" s="675" t="s">
        <v>514</v>
      </c>
      <c r="F2633" s="675" t="s">
        <v>515</v>
      </c>
      <c r="G2633" s="675"/>
      <c r="H2633" s="675"/>
      <c r="I2633" s="675"/>
      <c r="J2633" s="675"/>
      <c r="K2633" s="675"/>
      <c r="L2633" s="675"/>
      <c r="M2633" s="675"/>
    </row>
    <row r="2634" spans="1:13" x14ac:dyDescent="0.25">
      <c r="A2634" s="675" t="s">
        <v>2556</v>
      </c>
      <c r="B2634" s="675" t="s">
        <v>512</v>
      </c>
      <c r="C2634" s="675" t="s">
        <v>885</v>
      </c>
      <c r="D2634" s="675" t="s">
        <v>21</v>
      </c>
      <c r="E2634" s="675" t="s">
        <v>514</v>
      </c>
      <c r="F2634" s="675" t="s">
        <v>515</v>
      </c>
      <c r="G2634" s="675"/>
      <c r="H2634" s="675"/>
      <c r="I2634" s="675"/>
      <c r="J2634" s="675"/>
      <c r="K2634" s="675"/>
      <c r="L2634" s="675"/>
      <c r="M2634" s="675"/>
    </row>
    <row r="2635" spans="1:13" x14ac:dyDescent="0.25">
      <c r="A2635" s="675" t="s">
        <v>2556</v>
      </c>
      <c r="B2635" s="675" t="s">
        <v>512</v>
      </c>
      <c r="C2635" s="675" t="s">
        <v>1953</v>
      </c>
      <c r="D2635" s="675" t="s">
        <v>21</v>
      </c>
      <c r="E2635" s="675" t="s">
        <v>514</v>
      </c>
      <c r="F2635" s="675" t="s">
        <v>515</v>
      </c>
      <c r="G2635" s="675"/>
      <c r="H2635" s="675"/>
      <c r="I2635" s="675"/>
      <c r="J2635" s="675"/>
      <c r="K2635" s="675"/>
      <c r="L2635" s="675"/>
      <c r="M2635" s="675"/>
    </row>
    <row r="2636" spans="1:13" x14ac:dyDescent="0.25">
      <c r="A2636" s="675" t="s">
        <v>2556</v>
      </c>
      <c r="B2636" s="675" t="s">
        <v>512</v>
      </c>
      <c r="C2636" s="675" t="s">
        <v>895</v>
      </c>
      <c r="D2636" s="675" t="s">
        <v>21</v>
      </c>
      <c r="E2636" s="675" t="s">
        <v>514</v>
      </c>
      <c r="F2636" s="675" t="s">
        <v>515</v>
      </c>
      <c r="G2636" s="675"/>
      <c r="H2636" s="675"/>
      <c r="I2636" s="675"/>
      <c r="J2636" s="675"/>
      <c r="K2636" s="675"/>
      <c r="L2636" s="675"/>
      <c r="M2636" s="675"/>
    </row>
    <row r="2637" spans="1:13" x14ac:dyDescent="0.25">
      <c r="A2637" s="675" t="s">
        <v>2556</v>
      </c>
      <c r="B2637" s="675" t="s">
        <v>512</v>
      </c>
      <c r="C2637" s="675" t="s">
        <v>968</v>
      </c>
      <c r="D2637" s="675" t="s">
        <v>21</v>
      </c>
      <c r="E2637" s="675" t="s">
        <v>514</v>
      </c>
      <c r="F2637" s="675" t="s">
        <v>515</v>
      </c>
      <c r="G2637" s="675"/>
      <c r="H2637" s="675"/>
      <c r="I2637" s="675"/>
      <c r="J2637" s="675"/>
      <c r="K2637" s="675"/>
      <c r="L2637" s="675"/>
      <c r="M2637" s="675"/>
    </row>
    <row r="2638" spans="1:13" x14ac:dyDescent="0.25">
      <c r="A2638" s="675" t="s">
        <v>2556</v>
      </c>
      <c r="B2638" s="675" t="s">
        <v>512</v>
      </c>
      <c r="C2638" s="675" t="s">
        <v>896</v>
      </c>
      <c r="D2638" s="675" t="s">
        <v>21</v>
      </c>
      <c r="E2638" s="675" t="s">
        <v>514</v>
      </c>
      <c r="F2638" s="675" t="s">
        <v>515</v>
      </c>
      <c r="G2638" s="675"/>
      <c r="H2638" s="675"/>
      <c r="I2638" s="675"/>
      <c r="J2638" s="675"/>
      <c r="K2638" s="675"/>
      <c r="L2638" s="675"/>
      <c r="M2638" s="675"/>
    </row>
    <row r="2639" spans="1:13" x14ac:dyDescent="0.25">
      <c r="A2639" s="675" t="s">
        <v>2556</v>
      </c>
      <c r="B2639" s="675" t="s">
        <v>512</v>
      </c>
      <c r="C2639" s="675" t="s">
        <v>1955</v>
      </c>
      <c r="D2639" s="675" t="s">
        <v>21</v>
      </c>
      <c r="E2639" s="675" t="s">
        <v>514</v>
      </c>
      <c r="F2639" s="675" t="s">
        <v>515</v>
      </c>
      <c r="G2639" s="675"/>
      <c r="H2639" s="675"/>
      <c r="I2639" s="675"/>
      <c r="J2639" s="675"/>
      <c r="K2639" s="675"/>
      <c r="L2639" s="675"/>
      <c r="M2639" s="675"/>
    </row>
    <row r="2640" spans="1:13" x14ac:dyDescent="0.25">
      <c r="A2640" s="675" t="s">
        <v>2556</v>
      </c>
      <c r="B2640" s="675" t="s">
        <v>512</v>
      </c>
      <c r="C2640" s="675" t="s">
        <v>903</v>
      </c>
      <c r="D2640" s="675" t="s">
        <v>21</v>
      </c>
      <c r="E2640" s="675" t="s">
        <v>514</v>
      </c>
      <c r="F2640" s="675" t="s">
        <v>515</v>
      </c>
      <c r="G2640" s="675"/>
      <c r="H2640" s="675"/>
      <c r="I2640" s="675"/>
      <c r="J2640" s="675"/>
      <c r="K2640" s="675"/>
      <c r="L2640" s="675"/>
      <c r="M2640" s="675"/>
    </row>
    <row r="2641" spans="1:13" x14ac:dyDescent="0.25">
      <c r="A2641" s="675" t="s">
        <v>2556</v>
      </c>
      <c r="B2641" s="675" t="s">
        <v>512</v>
      </c>
      <c r="C2641" s="675" t="s">
        <v>904</v>
      </c>
      <c r="D2641" s="675" t="s">
        <v>21</v>
      </c>
      <c r="E2641" s="675" t="s">
        <v>514</v>
      </c>
      <c r="F2641" s="675" t="s">
        <v>515</v>
      </c>
      <c r="G2641" s="675"/>
      <c r="H2641" s="675"/>
      <c r="I2641" s="675"/>
      <c r="J2641" s="675"/>
      <c r="K2641" s="675"/>
      <c r="L2641" s="675"/>
      <c r="M2641" s="675"/>
    </row>
    <row r="2642" spans="1:13" x14ac:dyDescent="0.25">
      <c r="A2642" s="675" t="s">
        <v>2556</v>
      </c>
      <c r="B2642" s="675" t="s">
        <v>512</v>
      </c>
      <c r="C2642" s="675" t="s">
        <v>1957</v>
      </c>
      <c r="D2642" s="675" t="s">
        <v>21</v>
      </c>
      <c r="E2642" s="675" t="s">
        <v>514</v>
      </c>
      <c r="F2642" s="675" t="s">
        <v>515</v>
      </c>
      <c r="G2642" s="675"/>
      <c r="H2642" s="675"/>
      <c r="I2642" s="675"/>
      <c r="J2642" s="675"/>
      <c r="K2642" s="675"/>
      <c r="L2642" s="675"/>
      <c r="M2642" s="675"/>
    </row>
    <row r="2643" spans="1:13" x14ac:dyDescent="0.25">
      <c r="A2643" s="675" t="s">
        <v>2556</v>
      </c>
      <c r="B2643" s="675" t="s">
        <v>512</v>
      </c>
      <c r="C2643" s="675" t="s">
        <v>1958</v>
      </c>
      <c r="D2643" s="675" t="s">
        <v>21</v>
      </c>
      <c r="E2643" s="675" t="s">
        <v>514</v>
      </c>
      <c r="F2643" s="675" t="s">
        <v>515</v>
      </c>
      <c r="G2643" s="675"/>
      <c r="H2643" s="675"/>
      <c r="I2643" s="675"/>
      <c r="J2643" s="675"/>
      <c r="K2643" s="675"/>
      <c r="L2643" s="675"/>
      <c r="M2643" s="675"/>
    </row>
    <row r="2644" spans="1:13" x14ac:dyDescent="0.25">
      <c r="A2644" s="675" t="s">
        <v>2556</v>
      </c>
      <c r="B2644" s="675" t="s">
        <v>512</v>
      </c>
      <c r="C2644" s="675" t="s">
        <v>906</v>
      </c>
      <c r="D2644" s="675" t="s">
        <v>21</v>
      </c>
      <c r="E2644" s="675" t="s">
        <v>514</v>
      </c>
      <c r="F2644" s="675" t="s">
        <v>515</v>
      </c>
      <c r="G2644" s="675"/>
      <c r="H2644" s="675"/>
      <c r="I2644" s="675"/>
      <c r="J2644" s="675"/>
      <c r="K2644" s="675"/>
      <c r="L2644" s="675"/>
      <c r="M2644" s="675"/>
    </row>
    <row r="2645" spans="1:13" x14ac:dyDescent="0.25">
      <c r="A2645" s="675" t="s">
        <v>2558</v>
      </c>
      <c r="B2645" s="675" t="s">
        <v>512</v>
      </c>
      <c r="C2645" s="675" t="s">
        <v>863</v>
      </c>
      <c r="D2645" s="675" t="s">
        <v>21</v>
      </c>
      <c r="E2645" s="675" t="s">
        <v>514</v>
      </c>
      <c r="F2645" s="675" t="s">
        <v>515</v>
      </c>
      <c r="G2645" s="675"/>
      <c r="H2645" s="675"/>
      <c r="I2645" s="675"/>
      <c r="J2645" s="675"/>
      <c r="K2645" s="675"/>
      <c r="L2645" s="675"/>
      <c r="M2645" s="675"/>
    </row>
    <row r="2646" spans="1:13" x14ac:dyDescent="0.25">
      <c r="A2646" s="675" t="s">
        <v>2558</v>
      </c>
      <c r="B2646" s="675" t="s">
        <v>512</v>
      </c>
      <c r="C2646" s="675" t="s">
        <v>1547</v>
      </c>
      <c r="D2646" s="675" t="s">
        <v>21</v>
      </c>
      <c r="E2646" s="675" t="s">
        <v>514</v>
      </c>
      <c r="F2646" s="675" t="s">
        <v>515</v>
      </c>
      <c r="G2646" s="675"/>
      <c r="H2646" s="675"/>
      <c r="I2646" s="675"/>
      <c r="J2646" s="675"/>
      <c r="K2646" s="675"/>
      <c r="L2646" s="675"/>
      <c r="M2646" s="675"/>
    </row>
    <row r="2647" spans="1:13" x14ac:dyDescent="0.25">
      <c r="A2647" s="675" t="s">
        <v>2558</v>
      </c>
      <c r="B2647" s="675" t="s">
        <v>512</v>
      </c>
      <c r="C2647" s="675" t="s">
        <v>831</v>
      </c>
      <c r="D2647" s="675" t="s">
        <v>21</v>
      </c>
      <c r="E2647" s="675" t="s">
        <v>514</v>
      </c>
      <c r="F2647" s="675" t="s">
        <v>515</v>
      </c>
      <c r="G2647" s="675"/>
      <c r="H2647" s="675"/>
      <c r="I2647" s="675"/>
      <c r="J2647" s="675"/>
      <c r="K2647" s="675"/>
      <c r="L2647" s="675"/>
      <c r="M2647" s="675"/>
    </row>
    <row r="2648" spans="1:13" x14ac:dyDescent="0.25">
      <c r="A2648" s="675" t="s">
        <v>2558</v>
      </c>
      <c r="B2648" s="675" t="s">
        <v>512</v>
      </c>
      <c r="C2648" s="675" t="s">
        <v>810</v>
      </c>
      <c r="D2648" s="675" t="s">
        <v>21</v>
      </c>
      <c r="E2648" s="675" t="s">
        <v>514</v>
      </c>
      <c r="F2648" s="675" t="s">
        <v>515</v>
      </c>
      <c r="G2648" s="675"/>
      <c r="H2648" s="675"/>
      <c r="I2648" s="675"/>
      <c r="J2648" s="675"/>
      <c r="K2648" s="675"/>
      <c r="L2648" s="675"/>
      <c r="M2648" s="675"/>
    </row>
    <row r="2649" spans="1:13" x14ac:dyDescent="0.25">
      <c r="A2649" s="675" t="s">
        <v>2558</v>
      </c>
      <c r="B2649" s="675" t="s">
        <v>512</v>
      </c>
      <c r="C2649" s="675" t="s">
        <v>811</v>
      </c>
      <c r="D2649" s="675" t="s">
        <v>21</v>
      </c>
      <c r="E2649" s="675" t="s">
        <v>514</v>
      </c>
      <c r="F2649" s="675" t="s">
        <v>515</v>
      </c>
      <c r="G2649" s="675"/>
      <c r="H2649" s="675"/>
      <c r="I2649" s="675"/>
      <c r="J2649" s="675"/>
      <c r="K2649" s="675"/>
      <c r="L2649" s="675"/>
      <c r="M2649" s="675"/>
    </row>
    <row r="2650" spans="1:13" x14ac:dyDescent="0.25">
      <c r="A2650" s="678" t="s">
        <v>2558</v>
      </c>
      <c r="B2650" s="678" t="s">
        <v>512</v>
      </c>
      <c r="C2650" s="678" t="s">
        <v>1822</v>
      </c>
      <c r="D2650" s="675" t="s">
        <v>21</v>
      </c>
      <c r="E2650" s="678" t="s">
        <v>514</v>
      </c>
      <c r="F2650" s="678" t="s">
        <v>596</v>
      </c>
      <c r="G2650" s="675"/>
      <c r="H2650" s="675"/>
      <c r="I2650" s="675"/>
      <c r="J2650" s="675"/>
      <c r="K2650" s="675"/>
      <c r="L2650" s="675"/>
      <c r="M2650" s="675"/>
    </row>
    <row r="2651" spans="1:13" x14ac:dyDescent="0.25">
      <c r="A2651" s="675" t="s">
        <v>2558</v>
      </c>
      <c r="B2651" s="675" t="s">
        <v>512</v>
      </c>
      <c r="C2651" s="675" t="s">
        <v>1060</v>
      </c>
      <c r="D2651" s="675" t="s">
        <v>21</v>
      </c>
      <c r="E2651" s="675" t="s">
        <v>514</v>
      </c>
      <c r="F2651" s="675" t="s">
        <v>515</v>
      </c>
      <c r="G2651" s="675"/>
      <c r="H2651" s="675"/>
      <c r="I2651" s="675"/>
      <c r="J2651" s="675"/>
      <c r="K2651" s="675"/>
      <c r="L2651" s="675"/>
      <c r="M2651" s="675"/>
    </row>
    <row r="2652" spans="1:13" x14ac:dyDescent="0.25">
      <c r="A2652" s="675" t="s">
        <v>2558</v>
      </c>
      <c r="B2652" s="675" t="s">
        <v>512</v>
      </c>
      <c r="C2652" s="675" t="s">
        <v>816</v>
      </c>
      <c r="D2652" s="675" t="s">
        <v>21</v>
      </c>
      <c r="E2652" s="675" t="s">
        <v>514</v>
      </c>
      <c r="F2652" s="675" t="s">
        <v>515</v>
      </c>
      <c r="G2652" s="675"/>
      <c r="H2652" s="675"/>
      <c r="I2652" s="675"/>
      <c r="J2652" s="675"/>
      <c r="K2652" s="675"/>
      <c r="L2652" s="675"/>
      <c r="M2652" s="675"/>
    </row>
    <row r="2653" spans="1:13" x14ac:dyDescent="0.25">
      <c r="A2653" s="675" t="s">
        <v>2558</v>
      </c>
      <c r="B2653" s="675" t="s">
        <v>545</v>
      </c>
      <c r="C2653" s="675" t="s">
        <v>863</v>
      </c>
      <c r="D2653" s="675" t="s">
        <v>21</v>
      </c>
      <c r="E2653" s="675" t="s">
        <v>514</v>
      </c>
      <c r="F2653" s="675" t="s">
        <v>515</v>
      </c>
      <c r="G2653" s="675"/>
      <c r="H2653" s="675"/>
      <c r="I2653" s="675"/>
      <c r="J2653" s="675"/>
      <c r="K2653" s="675"/>
      <c r="L2653" s="675"/>
      <c r="M2653" s="675"/>
    </row>
    <row r="2654" spans="1:13" x14ac:dyDescent="0.25">
      <c r="A2654" s="675" t="s">
        <v>2558</v>
      </c>
      <c r="B2654" s="675" t="s">
        <v>545</v>
      </c>
      <c r="C2654" s="675" t="s">
        <v>1584</v>
      </c>
      <c r="D2654" s="675" t="s">
        <v>21</v>
      </c>
      <c r="E2654" s="675" t="s">
        <v>514</v>
      </c>
      <c r="F2654" s="675" t="s">
        <v>515</v>
      </c>
      <c r="G2654" s="675"/>
      <c r="H2654" s="675"/>
      <c r="I2654" s="675"/>
      <c r="J2654" s="675"/>
      <c r="K2654" s="675"/>
      <c r="L2654" s="675"/>
      <c r="M2654" s="675"/>
    </row>
    <row r="2655" spans="1:13" x14ac:dyDescent="0.25">
      <c r="A2655" s="675" t="s">
        <v>2558</v>
      </c>
      <c r="B2655" s="675" t="s">
        <v>545</v>
      </c>
      <c r="C2655" s="675" t="s">
        <v>2559</v>
      </c>
      <c r="D2655" s="675" t="s">
        <v>21</v>
      </c>
      <c r="E2655" s="675" t="s">
        <v>514</v>
      </c>
      <c r="F2655" s="675" t="s">
        <v>515</v>
      </c>
      <c r="G2655" s="675"/>
      <c r="H2655" s="675"/>
      <c r="I2655" s="675"/>
      <c r="J2655" s="675"/>
      <c r="K2655" s="675"/>
      <c r="L2655" s="675"/>
      <c r="M2655" s="675"/>
    </row>
    <row r="2656" spans="1:13" x14ac:dyDescent="0.25">
      <c r="A2656" s="675" t="s">
        <v>2558</v>
      </c>
      <c r="B2656" s="675" t="s">
        <v>545</v>
      </c>
      <c r="C2656" s="675" t="s">
        <v>1587</v>
      </c>
      <c r="D2656" s="675" t="s">
        <v>21</v>
      </c>
      <c r="E2656" s="675" t="s">
        <v>514</v>
      </c>
      <c r="F2656" s="675" t="s">
        <v>515</v>
      </c>
      <c r="G2656" s="675"/>
      <c r="H2656" s="675"/>
      <c r="I2656" s="675"/>
      <c r="J2656" s="675"/>
      <c r="K2656" s="675"/>
      <c r="L2656" s="675"/>
      <c r="M2656" s="675"/>
    </row>
    <row r="2657" spans="1:13" x14ac:dyDescent="0.25">
      <c r="A2657" s="675" t="s">
        <v>2558</v>
      </c>
      <c r="B2657" s="675" t="s">
        <v>545</v>
      </c>
      <c r="C2657" s="675" t="s">
        <v>1588</v>
      </c>
      <c r="D2657" s="675" t="s">
        <v>21</v>
      </c>
      <c r="E2657" s="675" t="s">
        <v>514</v>
      </c>
      <c r="F2657" s="675" t="s">
        <v>515</v>
      </c>
      <c r="G2657" s="675"/>
      <c r="H2657" s="675"/>
      <c r="I2657" s="675"/>
      <c r="J2657" s="675"/>
      <c r="K2657" s="675"/>
      <c r="L2657" s="675"/>
      <c r="M2657" s="675"/>
    </row>
    <row r="2658" spans="1:13" x14ac:dyDescent="0.25">
      <c r="A2658" s="675" t="s">
        <v>2558</v>
      </c>
      <c r="B2658" s="675" t="s">
        <v>545</v>
      </c>
      <c r="C2658" s="675" t="s">
        <v>819</v>
      </c>
      <c r="D2658" s="675" t="s">
        <v>21</v>
      </c>
      <c r="E2658" s="675" t="s">
        <v>514</v>
      </c>
      <c r="F2658" s="675" t="s">
        <v>515</v>
      </c>
      <c r="G2658" s="675"/>
      <c r="H2658" s="675"/>
      <c r="I2658" s="675"/>
      <c r="J2658" s="675"/>
      <c r="K2658" s="675"/>
      <c r="L2658" s="675"/>
      <c r="M2658" s="675"/>
    </row>
    <row r="2659" spans="1:13" x14ac:dyDescent="0.25">
      <c r="A2659" s="675" t="s">
        <v>2560</v>
      </c>
      <c r="B2659" s="675" t="s">
        <v>512</v>
      </c>
      <c r="C2659" s="675" t="s">
        <v>863</v>
      </c>
      <c r="D2659" s="675" t="s">
        <v>21</v>
      </c>
      <c r="E2659" s="675" t="s">
        <v>514</v>
      </c>
      <c r="F2659" s="675" t="s">
        <v>515</v>
      </c>
      <c r="G2659" s="675"/>
      <c r="H2659" s="675"/>
      <c r="I2659" s="675"/>
      <c r="J2659" s="675"/>
      <c r="K2659" s="675"/>
      <c r="L2659" s="675"/>
      <c r="M2659" s="675"/>
    </row>
    <row r="2660" spans="1:13" x14ac:dyDescent="0.25">
      <c r="A2660" s="675" t="s">
        <v>2560</v>
      </c>
      <c r="B2660" s="675" t="s">
        <v>512</v>
      </c>
      <c r="C2660" s="675" t="s">
        <v>1547</v>
      </c>
      <c r="D2660" s="675" t="s">
        <v>21</v>
      </c>
      <c r="E2660" s="675" t="s">
        <v>514</v>
      </c>
      <c r="F2660" s="675" t="s">
        <v>515</v>
      </c>
      <c r="G2660" s="675"/>
      <c r="H2660" s="675"/>
      <c r="I2660" s="675"/>
      <c r="J2660" s="675"/>
      <c r="K2660" s="675"/>
      <c r="L2660" s="675"/>
      <c r="M2660" s="675"/>
    </row>
    <row r="2661" spans="1:13" x14ac:dyDescent="0.25">
      <c r="A2661" s="675" t="s">
        <v>2560</v>
      </c>
      <c r="B2661" s="675" t="s">
        <v>512</v>
      </c>
      <c r="C2661" s="675" t="s">
        <v>810</v>
      </c>
      <c r="D2661" s="675" t="s">
        <v>21</v>
      </c>
      <c r="E2661" s="675" t="s">
        <v>514</v>
      </c>
      <c r="F2661" s="675" t="s">
        <v>515</v>
      </c>
      <c r="G2661" s="675"/>
      <c r="H2661" s="675"/>
      <c r="I2661" s="675"/>
      <c r="J2661" s="675"/>
      <c r="K2661" s="675"/>
      <c r="L2661" s="675"/>
      <c r="M2661" s="675"/>
    </row>
    <row r="2662" spans="1:13" x14ac:dyDescent="0.25">
      <c r="A2662" s="675" t="s">
        <v>2560</v>
      </c>
      <c r="B2662" s="675" t="s">
        <v>512</v>
      </c>
      <c r="C2662" s="675" t="s">
        <v>811</v>
      </c>
      <c r="D2662" s="675" t="s">
        <v>21</v>
      </c>
      <c r="E2662" s="675" t="s">
        <v>514</v>
      </c>
      <c r="F2662" s="675" t="s">
        <v>515</v>
      </c>
      <c r="G2662" s="675"/>
      <c r="H2662" s="675"/>
      <c r="I2662" s="675"/>
      <c r="J2662" s="675"/>
      <c r="K2662" s="675"/>
      <c r="L2662" s="675"/>
      <c r="M2662" s="675"/>
    </row>
    <row r="2663" spans="1:13" x14ac:dyDescent="0.25">
      <c r="A2663" s="678" t="s">
        <v>2560</v>
      </c>
      <c r="B2663" s="678" t="s">
        <v>512</v>
      </c>
      <c r="C2663" s="678" t="s">
        <v>1822</v>
      </c>
      <c r="D2663" s="675" t="s">
        <v>21</v>
      </c>
      <c r="E2663" s="678" t="s">
        <v>514</v>
      </c>
      <c r="F2663" s="678" t="s">
        <v>596</v>
      </c>
      <c r="G2663" s="675"/>
      <c r="H2663" s="675"/>
      <c r="I2663" s="675"/>
      <c r="J2663" s="675"/>
      <c r="K2663" s="675"/>
      <c r="L2663" s="675"/>
      <c r="M2663" s="675"/>
    </row>
    <row r="2664" spans="1:13" x14ac:dyDescent="0.25">
      <c r="A2664" s="675" t="s">
        <v>2560</v>
      </c>
      <c r="B2664" s="675" t="s">
        <v>545</v>
      </c>
      <c r="C2664" s="675" t="s">
        <v>1587</v>
      </c>
      <c r="D2664" s="675" t="s">
        <v>21</v>
      </c>
      <c r="E2664" s="675" t="s">
        <v>514</v>
      </c>
      <c r="F2664" s="675" t="s">
        <v>515</v>
      </c>
      <c r="G2664" s="675"/>
      <c r="H2664" s="675"/>
      <c r="I2664" s="675"/>
      <c r="J2664" s="675"/>
      <c r="K2664" s="675"/>
      <c r="L2664" s="675"/>
      <c r="M2664" s="675"/>
    </row>
    <row r="2665" spans="1:13" x14ac:dyDescent="0.25">
      <c r="A2665" s="675" t="s">
        <v>2561</v>
      </c>
      <c r="B2665" s="675" t="s">
        <v>512</v>
      </c>
      <c r="C2665" s="675" t="s">
        <v>863</v>
      </c>
      <c r="D2665" s="675" t="s">
        <v>21</v>
      </c>
      <c r="E2665" s="675" t="s">
        <v>514</v>
      </c>
      <c r="F2665" s="675" t="s">
        <v>515</v>
      </c>
      <c r="G2665" s="675"/>
      <c r="H2665" s="675"/>
      <c r="I2665" s="675"/>
      <c r="J2665" s="675"/>
      <c r="K2665" s="675"/>
      <c r="L2665" s="675"/>
      <c r="M2665" s="675"/>
    </row>
    <row r="2666" spans="1:13" x14ac:dyDescent="0.25">
      <c r="A2666" s="675" t="s">
        <v>2561</v>
      </c>
      <c r="B2666" s="675" t="s">
        <v>512</v>
      </c>
      <c r="C2666" s="675" t="s">
        <v>2562</v>
      </c>
      <c r="D2666" s="675" t="s">
        <v>21</v>
      </c>
      <c r="E2666" s="675" t="s">
        <v>514</v>
      </c>
      <c r="F2666" s="675" t="s">
        <v>515</v>
      </c>
      <c r="G2666" s="675"/>
      <c r="H2666" s="675"/>
      <c r="I2666" s="675"/>
      <c r="J2666" s="675"/>
      <c r="K2666" s="675"/>
      <c r="L2666" s="675"/>
      <c r="M2666" s="675"/>
    </row>
    <row r="2667" spans="1:13" x14ac:dyDescent="0.25">
      <c r="A2667" s="675" t="s">
        <v>2561</v>
      </c>
      <c r="B2667" s="675" t="s">
        <v>512</v>
      </c>
      <c r="C2667" s="675" t="s">
        <v>873</v>
      </c>
      <c r="D2667" s="675" t="s">
        <v>21</v>
      </c>
      <c r="E2667" s="675" t="s">
        <v>514</v>
      </c>
      <c r="F2667" s="675" t="s">
        <v>515</v>
      </c>
      <c r="G2667" s="675"/>
      <c r="H2667" s="675"/>
      <c r="I2667" s="675"/>
      <c r="J2667" s="675"/>
      <c r="K2667" s="675"/>
      <c r="L2667" s="675"/>
      <c r="M2667" s="675"/>
    </row>
    <row r="2668" spans="1:13" x14ac:dyDescent="0.25">
      <c r="A2668" s="675" t="s">
        <v>2561</v>
      </c>
      <c r="B2668" s="675" t="s">
        <v>512</v>
      </c>
      <c r="C2668" s="675" t="s">
        <v>2563</v>
      </c>
      <c r="D2668" s="675" t="s">
        <v>21</v>
      </c>
      <c r="E2668" s="675" t="s">
        <v>514</v>
      </c>
      <c r="F2668" s="675" t="s">
        <v>515</v>
      </c>
      <c r="G2668" s="675"/>
      <c r="H2668" s="675"/>
      <c r="I2668" s="675"/>
      <c r="J2668" s="675"/>
      <c r="K2668" s="675"/>
      <c r="L2668" s="675"/>
      <c r="M2668" s="675"/>
    </row>
    <row r="2669" spans="1:13" x14ac:dyDescent="0.25">
      <c r="A2669" s="678" t="s">
        <v>2561</v>
      </c>
      <c r="B2669" s="678" t="s">
        <v>512</v>
      </c>
      <c r="C2669" s="678" t="s">
        <v>2564</v>
      </c>
      <c r="D2669" s="675" t="s">
        <v>21</v>
      </c>
      <c r="E2669" s="678" t="s">
        <v>514</v>
      </c>
      <c r="F2669" s="678" t="s">
        <v>596</v>
      </c>
      <c r="G2669" s="675"/>
      <c r="H2669" s="675"/>
      <c r="I2669" s="675"/>
      <c r="J2669" s="675"/>
      <c r="K2669" s="675"/>
      <c r="L2669" s="675"/>
      <c r="M2669" s="675"/>
    </row>
    <row r="2670" spans="1:13" x14ac:dyDescent="0.25">
      <c r="A2670" s="675" t="s">
        <v>2561</v>
      </c>
      <c r="B2670" s="675" t="s">
        <v>545</v>
      </c>
      <c r="C2670" s="675" t="s">
        <v>1584</v>
      </c>
      <c r="D2670" s="675" t="s">
        <v>21</v>
      </c>
      <c r="E2670" s="675" t="s">
        <v>514</v>
      </c>
      <c r="F2670" s="675" t="s">
        <v>515</v>
      </c>
      <c r="G2670" s="675"/>
      <c r="H2670" s="675"/>
      <c r="I2670" s="675"/>
      <c r="J2670" s="675"/>
      <c r="K2670" s="675"/>
      <c r="L2670" s="675"/>
      <c r="M2670" s="675"/>
    </row>
    <row r="2671" spans="1:13" x14ac:dyDescent="0.25">
      <c r="A2671" s="675" t="s">
        <v>2561</v>
      </c>
      <c r="B2671" s="675" t="s">
        <v>545</v>
      </c>
      <c r="C2671" s="675" t="s">
        <v>2559</v>
      </c>
      <c r="D2671" s="675" t="s">
        <v>21</v>
      </c>
      <c r="E2671" s="675" t="s">
        <v>514</v>
      </c>
      <c r="F2671" s="675" t="s">
        <v>515</v>
      </c>
      <c r="G2671" s="675"/>
      <c r="H2671" s="675"/>
      <c r="I2671" s="675"/>
      <c r="J2671" s="675"/>
      <c r="K2671" s="675"/>
      <c r="L2671" s="675"/>
      <c r="M2671" s="675"/>
    </row>
    <row r="2672" spans="1:13" x14ac:dyDescent="0.25">
      <c r="A2672" s="675" t="s">
        <v>2561</v>
      </c>
      <c r="B2672" s="675" t="s">
        <v>545</v>
      </c>
      <c r="C2672" s="675" t="s">
        <v>2565</v>
      </c>
      <c r="D2672" s="675" t="s">
        <v>21</v>
      </c>
      <c r="E2672" s="675" t="s">
        <v>514</v>
      </c>
      <c r="F2672" s="675" t="s">
        <v>515</v>
      </c>
      <c r="G2672" s="675"/>
      <c r="H2672" s="675"/>
      <c r="I2672" s="675"/>
      <c r="J2672" s="675"/>
      <c r="K2672" s="675"/>
      <c r="L2672" s="675"/>
      <c r="M2672" s="675"/>
    </row>
    <row r="2673" spans="1:13" x14ac:dyDescent="0.25">
      <c r="A2673" s="675" t="s">
        <v>2561</v>
      </c>
      <c r="B2673" s="675" t="s">
        <v>545</v>
      </c>
      <c r="C2673" s="675" t="s">
        <v>2566</v>
      </c>
      <c r="D2673" s="675" t="s">
        <v>21</v>
      </c>
      <c r="E2673" s="675" t="s">
        <v>514</v>
      </c>
      <c r="F2673" s="675" t="s">
        <v>515</v>
      </c>
      <c r="G2673" s="675"/>
      <c r="H2673" s="675"/>
      <c r="I2673" s="675"/>
      <c r="J2673" s="675"/>
      <c r="K2673" s="675"/>
      <c r="L2673" s="675"/>
      <c r="M2673" s="675"/>
    </row>
    <row r="2674" spans="1:13" x14ac:dyDescent="0.25">
      <c r="A2674" s="675" t="s">
        <v>2561</v>
      </c>
      <c r="B2674" s="675" t="s">
        <v>545</v>
      </c>
      <c r="C2674" s="675" t="s">
        <v>914</v>
      </c>
      <c r="D2674" s="675" t="s">
        <v>21</v>
      </c>
      <c r="E2674" s="675" t="s">
        <v>514</v>
      </c>
      <c r="F2674" s="675" t="s">
        <v>515</v>
      </c>
      <c r="G2674" s="675"/>
      <c r="H2674" s="675"/>
      <c r="I2674" s="675"/>
      <c r="J2674" s="675"/>
      <c r="K2674" s="675"/>
      <c r="L2674" s="675"/>
      <c r="M2674" s="675"/>
    </row>
    <row r="2675" spans="1:13" x14ac:dyDescent="0.25">
      <c r="A2675" s="675" t="s">
        <v>2561</v>
      </c>
      <c r="B2675" s="675" t="s">
        <v>545</v>
      </c>
      <c r="C2675" s="675" t="s">
        <v>819</v>
      </c>
      <c r="D2675" s="675" t="s">
        <v>21</v>
      </c>
      <c r="E2675" s="675" t="s">
        <v>514</v>
      </c>
      <c r="F2675" s="675" t="s">
        <v>515</v>
      </c>
      <c r="G2675" s="675"/>
      <c r="H2675" s="675"/>
      <c r="I2675" s="675"/>
      <c r="J2675" s="675"/>
      <c r="K2675" s="675"/>
      <c r="L2675" s="675"/>
      <c r="M2675" s="675"/>
    </row>
    <row r="2676" spans="1:13" x14ac:dyDescent="0.25">
      <c r="A2676" s="675" t="s">
        <v>2567</v>
      </c>
      <c r="B2676" s="675" t="s">
        <v>512</v>
      </c>
      <c r="C2676" s="675" t="s">
        <v>863</v>
      </c>
      <c r="D2676" s="675" t="s">
        <v>21</v>
      </c>
      <c r="E2676" s="675" t="s">
        <v>514</v>
      </c>
      <c r="F2676" s="675" t="s">
        <v>515</v>
      </c>
      <c r="G2676" s="675"/>
      <c r="H2676" s="675"/>
      <c r="I2676" s="675"/>
      <c r="J2676" s="675"/>
      <c r="K2676" s="675"/>
      <c r="L2676" s="675"/>
      <c r="M2676" s="675"/>
    </row>
    <row r="2677" spans="1:13" x14ac:dyDescent="0.25">
      <c r="A2677" s="675" t="s">
        <v>2567</v>
      </c>
      <c r="B2677" s="675" t="s">
        <v>512</v>
      </c>
      <c r="C2677" s="675" t="s">
        <v>1547</v>
      </c>
      <c r="D2677" s="675" t="s">
        <v>21</v>
      </c>
      <c r="E2677" s="675" t="s">
        <v>514</v>
      </c>
      <c r="F2677" s="675" t="s">
        <v>515</v>
      </c>
      <c r="G2677" s="675"/>
      <c r="H2677" s="675"/>
      <c r="I2677" s="675"/>
      <c r="J2677" s="675"/>
      <c r="K2677" s="675"/>
      <c r="L2677" s="675"/>
      <c r="M2677" s="675"/>
    </row>
    <row r="2678" spans="1:13" x14ac:dyDescent="0.25">
      <c r="A2678" s="675" t="s">
        <v>2567</v>
      </c>
      <c r="B2678" s="675" t="s">
        <v>512</v>
      </c>
      <c r="C2678" s="675" t="s">
        <v>873</v>
      </c>
      <c r="D2678" s="675" t="s">
        <v>21</v>
      </c>
      <c r="E2678" s="675" t="s">
        <v>514</v>
      </c>
      <c r="F2678" s="675" t="s">
        <v>515</v>
      </c>
      <c r="G2678" s="675"/>
      <c r="H2678" s="675"/>
      <c r="I2678" s="675"/>
      <c r="J2678" s="675"/>
      <c r="K2678" s="675"/>
      <c r="L2678" s="675"/>
      <c r="M2678" s="675"/>
    </row>
    <row r="2679" spans="1:13" x14ac:dyDescent="0.25">
      <c r="A2679" s="678" t="s">
        <v>2567</v>
      </c>
      <c r="B2679" s="678" t="s">
        <v>512</v>
      </c>
      <c r="C2679" s="678" t="s">
        <v>1822</v>
      </c>
      <c r="D2679" s="678" t="s">
        <v>21</v>
      </c>
      <c r="E2679" s="678" t="s">
        <v>514</v>
      </c>
      <c r="F2679" s="678" t="s">
        <v>596</v>
      </c>
      <c r="G2679" s="675"/>
      <c r="H2679" s="675"/>
      <c r="I2679" s="675"/>
      <c r="J2679" s="675"/>
      <c r="K2679" s="675"/>
      <c r="L2679" s="675"/>
      <c r="M2679" s="675"/>
    </row>
    <row r="2680" spans="1:13" x14ac:dyDescent="0.25">
      <c r="A2680" s="675" t="s">
        <v>2567</v>
      </c>
      <c r="B2680" s="675" t="s">
        <v>512</v>
      </c>
      <c r="C2680" s="675" t="s">
        <v>1060</v>
      </c>
      <c r="D2680" s="675" t="s">
        <v>21</v>
      </c>
      <c r="E2680" s="675" t="s">
        <v>514</v>
      </c>
      <c r="F2680" s="675" t="s">
        <v>515</v>
      </c>
      <c r="G2680" s="675"/>
      <c r="H2680" s="675"/>
      <c r="I2680" s="675"/>
      <c r="J2680" s="675"/>
      <c r="K2680" s="675"/>
      <c r="L2680" s="675"/>
      <c r="M2680" s="675"/>
    </row>
    <row r="2681" spans="1:13" x14ac:dyDescent="0.25">
      <c r="A2681" s="675" t="s">
        <v>2567</v>
      </c>
      <c r="B2681" s="675" t="s">
        <v>512</v>
      </c>
      <c r="C2681" s="675" t="s">
        <v>2139</v>
      </c>
      <c r="D2681" s="675" t="s">
        <v>21</v>
      </c>
      <c r="E2681" s="675" t="s">
        <v>514</v>
      </c>
      <c r="F2681" s="675" t="s">
        <v>515</v>
      </c>
      <c r="G2681" s="675"/>
      <c r="H2681" s="675"/>
      <c r="I2681" s="675"/>
      <c r="J2681" s="675"/>
      <c r="K2681" s="675"/>
      <c r="L2681" s="675"/>
      <c r="M2681" s="675"/>
    </row>
    <row r="2682" spans="1:13" x14ac:dyDescent="0.25">
      <c r="A2682" s="675" t="s">
        <v>2567</v>
      </c>
      <c r="B2682" s="675" t="s">
        <v>512</v>
      </c>
      <c r="C2682" s="675" t="s">
        <v>816</v>
      </c>
      <c r="D2682" s="675" t="s">
        <v>21</v>
      </c>
      <c r="E2682" s="675" t="s">
        <v>514</v>
      </c>
      <c r="F2682" s="675" t="s">
        <v>515</v>
      </c>
      <c r="G2682" s="675"/>
      <c r="H2682" s="675"/>
      <c r="I2682" s="675"/>
      <c r="J2682" s="675"/>
      <c r="K2682" s="675"/>
      <c r="L2682" s="675"/>
      <c r="M2682" s="675"/>
    </row>
    <row r="2683" spans="1:13" x14ac:dyDescent="0.25">
      <c r="A2683" s="675" t="s">
        <v>2567</v>
      </c>
      <c r="B2683" s="675" t="s">
        <v>545</v>
      </c>
      <c r="C2683" s="675" t="s">
        <v>863</v>
      </c>
      <c r="D2683" s="675" t="s">
        <v>21</v>
      </c>
      <c r="E2683" s="675" t="s">
        <v>514</v>
      </c>
      <c r="F2683" s="675" t="s">
        <v>515</v>
      </c>
      <c r="G2683" s="675"/>
      <c r="H2683" s="675"/>
      <c r="I2683" s="675"/>
      <c r="J2683" s="675"/>
      <c r="K2683" s="675"/>
      <c r="L2683" s="675"/>
      <c r="M2683" s="675"/>
    </row>
    <row r="2684" spans="1:13" x14ac:dyDescent="0.25">
      <c r="A2684" s="675" t="s">
        <v>2567</v>
      </c>
      <c r="B2684" s="675" t="s">
        <v>545</v>
      </c>
      <c r="C2684" s="675" t="s">
        <v>2568</v>
      </c>
      <c r="D2684" s="675" t="s">
        <v>21</v>
      </c>
      <c r="E2684" s="675" t="s">
        <v>514</v>
      </c>
      <c r="F2684" s="675" t="s">
        <v>515</v>
      </c>
      <c r="G2684" s="675"/>
      <c r="H2684" s="675"/>
      <c r="I2684" s="675"/>
      <c r="J2684" s="675"/>
      <c r="K2684" s="675"/>
      <c r="L2684" s="675"/>
      <c r="M2684" s="675"/>
    </row>
    <row r="2685" spans="1:13" x14ac:dyDescent="0.25">
      <c r="A2685" s="675" t="s">
        <v>2567</v>
      </c>
      <c r="B2685" s="675" t="s">
        <v>545</v>
      </c>
      <c r="C2685" s="675" t="s">
        <v>2140</v>
      </c>
      <c r="D2685" s="675" t="s">
        <v>21</v>
      </c>
      <c r="E2685" s="675" t="s">
        <v>514</v>
      </c>
      <c r="F2685" s="675" t="s">
        <v>515</v>
      </c>
      <c r="G2685" s="675"/>
      <c r="H2685" s="675"/>
      <c r="I2685" s="675"/>
      <c r="J2685" s="675"/>
      <c r="K2685" s="675"/>
      <c r="L2685" s="675"/>
      <c r="M2685" s="675"/>
    </row>
    <row r="2686" spans="1:13" x14ac:dyDescent="0.25">
      <c r="A2686" s="675" t="s">
        <v>2569</v>
      </c>
      <c r="B2686" s="675" t="s">
        <v>512</v>
      </c>
      <c r="C2686" s="675" t="s">
        <v>863</v>
      </c>
      <c r="D2686" s="675" t="s">
        <v>21</v>
      </c>
      <c r="E2686" s="675" t="s">
        <v>514</v>
      </c>
      <c r="F2686" s="675" t="s">
        <v>515</v>
      </c>
      <c r="G2686" s="675"/>
      <c r="H2686" s="675"/>
      <c r="I2686" s="675"/>
      <c r="J2686" s="675"/>
      <c r="K2686" s="675"/>
      <c r="L2686" s="675"/>
      <c r="M2686" s="675"/>
    </row>
    <row r="2687" spans="1:13" x14ac:dyDescent="0.25">
      <c r="A2687" s="675" t="s">
        <v>2569</v>
      </c>
      <c r="B2687" s="675" t="s">
        <v>512</v>
      </c>
      <c r="C2687" s="675" t="s">
        <v>1547</v>
      </c>
      <c r="D2687" s="675" t="s">
        <v>21</v>
      </c>
      <c r="E2687" s="675" t="s">
        <v>514</v>
      </c>
      <c r="F2687" s="675" t="s">
        <v>515</v>
      </c>
      <c r="G2687" s="675"/>
      <c r="H2687" s="675"/>
      <c r="I2687" s="675"/>
      <c r="J2687" s="675"/>
      <c r="K2687" s="675"/>
      <c r="L2687" s="675"/>
      <c r="M2687" s="675"/>
    </row>
    <row r="2688" spans="1:13" x14ac:dyDescent="0.25">
      <c r="A2688" s="678" t="s">
        <v>2569</v>
      </c>
      <c r="B2688" s="678" t="s">
        <v>512</v>
      </c>
      <c r="C2688" s="678" t="s">
        <v>1822</v>
      </c>
      <c r="D2688" s="675" t="s">
        <v>21</v>
      </c>
      <c r="E2688" s="678" t="s">
        <v>514</v>
      </c>
      <c r="F2688" s="678" t="s">
        <v>596</v>
      </c>
      <c r="G2688" s="675"/>
      <c r="H2688" s="675"/>
      <c r="I2688" s="675"/>
      <c r="J2688" s="675"/>
      <c r="K2688" s="675"/>
      <c r="L2688" s="675"/>
      <c r="M2688" s="675"/>
    </row>
    <row r="2689" spans="1:13" x14ac:dyDescent="0.25">
      <c r="A2689" s="675" t="s">
        <v>2569</v>
      </c>
      <c r="B2689" s="675" t="s">
        <v>512</v>
      </c>
      <c r="C2689" s="675" t="s">
        <v>2139</v>
      </c>
      <c r="D2689" s="675" t="s">
        <v>21</v>
      </c>
      <c r="E2689" s="675" t="s">
        <v>514</v>
      </c>
      <c r="F2689" s="675" t="s">
        <v>515</v>
      </c>
      <c r="G2689" s="675"/>
      <c r="H2689" s="675"/>
      <c r="I2689" s="675"/>
      <c r="J2689" s="675"/>
      <c r="K2689" s="675"/>
      <c r="L2689" s="675"/>
      <c r="M2689" s="675"/>
    </row>
    <row r="2690" spans="1:13" x14ac:dyDescent="0.25">
      <c r="A2690" s="675" t="s">
        <v>2569</v>
      </c>
      <c r="B2690" s="675" t="s">
        <v>545</v>
      </c>
      <c r="C2690" s="675" t="s">
        <v>2570</v>
      </c>
      <c r="D2690" s="675" t="s">
        <v>21</v>
      </c>
      <c r="E2690" s="675" t="s">
        <v>514</v>
      </c>
      <c r="F2690" s="675" t="s">
        <v>515</v>
      </c>
      <c r="G2690" s="675"/>
      <c r="H2690" s="675"/>
      <c r="I2690" s="675"/>
      <c r="J2690" s="675"/>
      <c r="K2690" s="675"/>
      <c r="L2690" s="675"/>
      <c r="M2690" s="675"/>
    </row>
    <row r="2691" spans="1:13" x14ac:dyDescent="0.25">
      <c r="A2691" s="675" t="s">
        <v>2571</v>
      </c>
      <c r="B2691" s="675" t="s">
        <v>545</v>
      </c>
      <c r="C2691" s="675" t="s">
        <v>2572</v>
      </c>
      <c r="D2691" s="675" t="s">
        <v>21</v>
      </c>
      <c r="E2691" s="675" t="s">
        <v>514</v>
      </c>
      <c r="F2691" s="675" t="s">
        <v>515</v>
      </c>
      <c r="G2691" s="675"/>
      <c r="H2691" s="675"/>
      <c r="I2691" s="675"/>
      <c r="J2691" s="675"/>
      <c r="K2691" s="675"/>
      <c r="L2691" s="675"/>
      <c r="M2691" s="675"/>
    </row>
    <row r="2692" spans="1:13" x14ac:dyDescent="0.25">
      <c r="A2692" s="675" t="s">
        <v>2573</v>
      </c>
      <c r="B2692" s="675" t="s">
        <v>512</v>
      </c>
      <c r="C2692" s="675" t="s">
        <v>995</v>
      </c>
      <c r="D2692" s="675" t="s">
        <v>21</v>
      </c>
      <c r="E2692" s="675" t="s">
        <v>514</v>
      </c>
      <c r="F2692" s="675" t="s">
        <v>515</v>
      </c>
      <c r="G2692" s="675"/>
      <c r="H2692" s="675"/>
      <c r="I2692" s="675"/>
      <c r="J2692" s="675"/>
      <c r="K2692" s="675"/>
      <c r="L2692" s="675"/>
      <c r="M2692" s="675"/>
    </row>
    <row r="2693" spans="1:13" x14ac:dyDescent="0.25">
      <c r="A2693" s="675" t="s">
        <v>2573</v>
      </c>
      <c r="B2693" s="675" t="s">
        <v>512</v>
      </c>
      <c r="C2693" s="675" t="s">
        <v>996</v>
      </c>
      <c r="D2693" s="675" t="s">
        <v>21</v>
      </c>
      <c r="E2693" s="675" t="s">
        <v>514</v>
      </c>
      <c r="F2693" s="675" t="s">
        <v>515</v>
      </c>
      <c r="G2693" s="675"/>
      <c r="H2693" s="675"/>
      <c r="I2693" s="675"/>
      <c r="J2693" s="675"/>
      <c r="K2693" s="675"/>
      <c r="L2693" s="675"/>
      <c r="M2693" s="675"/>
    </row>
    <row r="2694" spans="1:13" x14ac:dyDescent="0.25">
      <c r="A2694" s="675" t="s">
        <v>2573</v>
      </c>
      <c r="B2694" s="675" t="s">
        <v>512</v>
      </c>
      <c r="C2694" s="675" t="s">
        <v>997</v>
      </c>
      <c r="D2694" s="675" t="s">
        <v>21</v>
      </c>
      <c r="E2694" s="675" t="s">
        <v>514</v>
      </c>
      <c r="F2694" s="675" t="s">
        <v>515</v>
      </c>
      <c r="G2694" s="675"/>
      <c r="H2694" s="675"/>
      <c r="I2694" s="675"/>
      <c r="J2694" s="675"/>
      <c r="K2694" s="675"/>
      <c r="L2694" s="675"/>
      <c r="M2694" s="675"/>
    </row>
    <row r="2695" spans="1:13" x14ac:dyDescent="0.25">
      <c r="A2695" s="678" t="s">
        <v>2573</v>
      </c>
      <c r="B2695" s="678" t="s">
        <v>512</v>
      </c>
      <c r="C2695" s="678" t="s">
        <v>998</v>
      </c>
      <c r="D2695" s="678" t="s">
        <v>21</v>
      </c>
      <c r="E2695" s="678" t="s">
        <v>514</v>
      </c>
      <c r="F2695" s="678" t="s">
        <v>596</v>
      </c>
      <c r="G2695" s="675"/>
      <c r="H2695" s="675"/>
      <c r="I2695" s="675"/>
      <c r="J2695" s="675"/>
      <c r="K2695" s="675"/>
      <c r="L2695" s="675"/>
      <c r="M2695" s="675"/>
    </row>
    <row r="2696" spans="1:13" x14ac:dyDescent="0.25">
      <c r="A2696" s="675" t="s">
        <v>2573</v>
      </c>
      <c r="B2696" s="675" t="s">
        <v>512</v>
      </c>
      <c r="C2696" s="675" t="s">
        <v>999</v>
      </c>
      <c r="D2696" s="675" t="s">
        <v>21</v>
      </c>
      <c r="E2696" s="675" t="s">
        <v>514</v>
      </c>
      <c r="F2696" s="675" t="s">
        <v>515</v>
      </c>
      <c r="G2696" s="675"/>
      <c r="H2696" s="675"/>
      <c r="I2696" s="675"/>
      <c r="J2696" s="675"/>
      <c r="K2696" s="675"/>
      <c r="L2696" s="675"/>
      <c r="M2696" s="675"/>
    </row>
    <row r="2697" spans="1:13" x14ac:dyDescent="0.25">
      <c r="A2697" s="675" t="s">
        <v>2573</v>
      </c>
      <c r="B2697" s="675" t="s">
        <v>512</v>
      </c>
      <c r="C2697" s="675" t="s">
        <v>1000</v>
      </c>
      <c r="D2697" s="675" t="s">
        <v>21</v>
      </c>
      <c r="E2697" s="675" t="s">
        <v>514</v>
      </c>
      <c r="F2697" s="675" t="s">
        <v>515</v>
      </c>
      <c r="G2697" s="675"/>
      <c r="H2697" s="675"/>
      <c r="I2697" s="675"/>
      <c r="J2697" s="675"/>
      <c r="K2697" s="675"/>
      <c r="L2697" s="675"/>
      <c r="M2697" s="675"/>
    </row>
    <row r="2698" spans="1:13" x14ac:dyDescent="0.25">
      <c r="A2698" s="675" t="s">
        <v>2573</v>
      </c>
      <c r="B2698" s="675" t="s">
        <v>512</v>
      </c>
      <c r="C2698" s="675" t="s">
        <v>1001</v>
      </c>
      <c r="D2698" s="675" t="s">
        <v>21</v>
      </c>
      <c r="E2698" s="675" t="s">
        <v>514</v>
      </c>
      <c r="F2698" s="675" t="s">
        <v>515</v>
      </c>
      <c r="G2698" s="675"/>
      <c r="H2698" s="675"/>
      <c r="I2698" s="675"/>
      <c r="J2698" s="675"/>
      <c r="K2698" s="675"/>
      <c r="L2698" s="675"/>
      <c r="M2698" s="675"/>
    </row>
    <row r="2699" spans="1:13" x14ac:dyDescent="0.25">
      <c r="A2699" s="675" t="s">
        <v>2573</v>
      </c>
      <c r="B2699" s="675" t="s">
        <v>545</v>
      </c>
      <c r="C2699" s="675" t="s">
        <v>1733</v>
      </c>
      <c r="D2699" s="675" t="s">
        <v>21</v>
      </c>
      <c r="E2699" s="675" t="s">
        <v>514</v>
      </c>
      <c r="F2699" s="675" t="s">
        <v>515</v>
      </c>
      <c r="G2699" s="675"/>
      <c r="H2699" s="675"/>
      <c r="I2699" s="675"/>
      <c r="J2699" s="675"/>
      <c r="K2699" s="675"/>
      <c r="L2699" s="675"/>
      <c r="M2699" s="675"/>
    </row>
    <row r="2700" spans="1:13" x14ac:dyDescent="0.25">
      <c r="A2700" s="675" t="s">
        <v>2573</v>
      </c>
      <c r="B2700" s="675" t="s">
        <v>545</v>
      </c>
      <c r="C2700" s="675" t="s">
        <v>1789</v>
      </c>
      <c r="D2700" s="675" t="s">
        <v>21</v>
      </c>
      <c r="E2700" s="675" t="s">
        <v>514</v>
      </c>
      <c r="F2700" s="675" t="s">
        <v>515</v>
      </c>
      <c r="G2700" s="675"/>
      <c r="H2700" s="675"/>
      <c r="I2700" s="675"/>
      <c r="J2700" s="675"/>
      <c r="K2700" s="675"/>
      <c r="L2700" s="675"/>
      <c r="M2700" s="675"/>
    </row>
    <row r="2701" spans="1:13" x14ac:dyDescent="0.25">
      <c r="A2701" s="675" t="s">
        <v>2573</v>
      </c>
      <c r="B2701" s="675" t="s">
        <v>545</v>
      </c>
      <c r="C2701" s="675" t="s">
        <v>2574</v>
      </c>
      <c r="D2701" s="675" t="s">
        <v>21</v>
      </c>
      <c r="E2701" s="675" t="s">
        <v>514</v>
      </c>
      <c r="F2701" s="675" t="s">
        <v>515</v>
      </c>
      <c r="G2701" s="675"/>
      <c r="H2701" s="675"/>
      <c r="I2701" s="675"/>
      <c r="J2701" s="675"/>
      <c r="K2701" s="675"/>
      <c r="L2701" s="675"/>
      <c r="M2701" s="675"/>
    </row>
    <row r="2702" spans="1:13" x14ac:dyDescent="0.25">
      <c r="A2702" s="675" t="s">
        <v>2573</v>
      </c>
      <c r="B2702" s="675" t="s">
        <v>545</v>
      </c>
      <c r="C2702" s="675" t="s">
        <v>2575</v>
      </c>
      <c r="D2702" s="675" t="s">
        <v>21</v>
      </c>
      <c r="E2702" s="675" t="s">
        <v>514</v>
      </c>
      <c r="F2702" s="675" t="s">
        <v>515</v>
      </c>
      <c r="G2702" s="675"/>
      <c r="H2702" s="675"/>
      <c r="I2702" s="675"/>
      <c r="J2702" s="675"/>
      <c r="K2702" s="675"/>
      <c r="L2702" s="675"/>
      <c r="M2702" s="675"/>
    </row>
    <row r="2703" spans="1:13" x14ac:dyDescent="0.25">
      <c r="A2703" s="675" t="s">
        <v>2573</v>
      </c>
      <c r="B2703" s="675" t="s">
        <v>564</v>
      </c>
      <c r="C2703" s="675" t="s">
        <v>2576</v>
      </c>
      <c r="D2703" s="675" t="s">
        <v>21</v>
      </c>
      <c r="E2703" s="675" t="s">
        <v>514</v>
      </c>
      <c r="F2703" s="675" t="s">
        <v>515</v>
      </c>
      <c r="G2703" s="675"/>
      <c r="H2703" s="675"/>
      <c r="I2703" s="675"/>
      <c r="J2703" s="675"/>
      <c r="K2703" s="675"/>
      <c r="L2703" s="675"/>
      <c r="M2703" s="675"/>
    </row>
    <row r="2704" spans="1:13" x14ac:dyDescent="0.25">
      <c r="A2704" s="675" t="s">
        <v>2577</v>
      </c>
      <c r="B2704" s="675" t="s">
        <v>512</v>
      </c>
      <c r="C2704" s="675" t="s">
        <v>2578</v>
      </c>
      <c r="D2704" s="678" t="s">
        <v>21</v>
      </c>
      <c r="E2704" s="675" t="s">
        <v>514</v>
      </c>
      <c r="F2704" s="675" t="s">
        <v>515</v>
      </c>
      <c r="G2704" s="675"/>
      <c r="H2704" s="675"/>
      <c r="I2704" s="675"/>
      <c r="J2704" s="675"/>
      <c r="K2704" s="675"/>
      <c r="L2704" s="675"/>
      <c r="M2704" s="675"/>
    </row>
    <row r="2705" spans="1:13" ht="17.25" x14ac:dyDescent="0.3">
      <c r="A2705" s="678" t="s">
        <v>2577</v>
      </c>
      <c r="B2705" s="678" t="s">
        <v>512</v>
      </c>
      <c r="C2705" s="679" t="s">
        <v>2579</v>
      </c>
      <c r="D2705" s="678" t="s">
        <v>21</v>
      </c>
      <c r="E2705" s="678" t="s">
        <v>514</v>
      </c>
      <c r="F2705" s="678" t="s">
        <v>596</v>
      </c>
      <c r="G2705" s="675"/>
      <c r="H2705" s="675"/>
      <c r="I2705" s="675"/>
      <c r="J2705" s="675"/>
      <c r="K2705" s="675"/>
      <c r="L2705" s="675"/>
      <c r="M2705" s="675"/>
    </row>
    <row r="2706" spans="1:13" ht="17.25" x14ac:dyDescent="0.3">
      <c r="A2706" s="675" t="s">
        <v>2577</v>
      </c>
      <c r="B2706" s="675" t="s">
        <v>512</v>
      </c>
      <c r="C2706" s="679" t="s">
        <v>2580</v>
      </c>
      <c r="D2706" s="678" t="s">
        <v>21</v>
      </c>
      <c r="E2706" s="675" t="s">
        <v>514</v>
      </c>
      <c r="F2706" s="675" t="s">
        <v>515</v>
      </c>
      <c r="G2706" s="675"/>
      <c r="H2706" s="675"/>
      <c r="I2706" s="675"/>
      <c r="J2706" s="675"/>
      <c r="K2706" s="675"/>
      <c r="L2706" s="675"/>
      <c r="M2706" s="675"/>
    </row>
    <row r="2707" spans="1:13" x14ac:dyDescent="0.25">
      <c r="A2707" s="675" t="s">
        <v>2577</v>
      </c>
      <c r="B2707" s="675" t="s">
        <v>512</v>
      </c>
      <c r="C2707" s="675" t="s">
        <v>2581</v>
      </c>
      <c r="D2707" s="678" t="s">
        <v>21</v>
      </c>
      <c r="E2707" s="675" t="s">
        <v>514</v>
      </c>
      <c r="F2707" s="675" t="s">
        <v>515</v>
      </c>
      <c r="G2707" s="675"/>
      <c r="H2707" s="675"/>
      <c r="I2707" s="675"/>
      <c r="J2707" s="675"/>
      <c r="K2707" s="675"/>
      <c r="L2707" s="675"/>
      <c r="M2707" s="675"/>
    </row>
    <row r="2708" spans="1:13" ht="17.25" x14ac:dyDescent="0.3">
      <c r="A2708" s="678" t="s">
        <v>2577</v>
      </c>
      <c r="B2708" s="678" t="s">
        <v>512</v>
      </c>
      <c r="C2708" s="679" t="s">
        <v>2582</v>
      </c>
      <c r="D2708" s="678" t="s">
        <v>21</v>
      </c>
      <c r="E2708" s="678" t="s">
        <v>514</v>
      </c>
      <c r="F2708" s="678" t="s">
        <v>596</v>
      </c>
      <c r="G2708" s="675"/>
      <c r="H2708" s="675"/>
      <c r="I2708" s="675"/>
      <c r="J2708" s="675"/>
      <c r="K2708" s="675"/>
      <c r="L2708" s="675"/>
      <c r="M2708" s="675"/>
    </row>
    <row r="2709" spans="1:13" x14ac:dyDescent="0.25">
      <c r="A2709" s="675" t="s">
        <v>2577</v>
      </c>
      <c r="B2709" s="675" t="s">
        <v>512</v>
      </c>
      <c r="C2709" s="675" t="s">
        <v>2583</v>
      </c>
      <c r="D2709" s="678" t="s">
        <v>21</v>
      </c>
      <c r="E2709" s="675" t="s">
        <v>514</v>
      </c>
      <c r="F2709" s="675" t="s">
        <v>515</v>
      </c>
      <c r="G2709" s="675"/>
      <c r="H2709" s="675"/>
      <c r="I2709" s="675"/>
      <c r="J2709" s="675"/>
      <c r="K2709" s="675"/>
      <c r="L2709" s="675"/>
      <c r="M2709" s="675"/>
    </row>
    <row r="2710" spans="1:13" x14ac:dyDescent="0.25">
      <c r="A2710" s="675" t="s">
        <v>2577</v>
      </c>
      <c r="B2710" s="675" t="s">
        <v>512</v>
      </c>
      <c r="C2710" s="675" t="s">
        <v>2584</v>
      </c>
      <c r="D2710" s="678" t="s">
        <v>21</v>
      </c>
      <c r="E2710" s="675" t="s">
        <v>514</v>
      </c>
      <c r="F2710" s="675" t="s">
        <v>515</v>
      </c>
      <c r="G2710" s="675"/>
      <c r="H2710" s="675"/>
      <c r="I2710" s="675"/>
      <c r="J2710" s="675"/>
      <c r="K2710" s="675"/>
      <c r="L2710" s="675"/>
      <c r="M2710" s="675"/>
    </row>
    <row r="2711" spans="1:13" x14ac:dyDescent="0.25">
      <c r="A2711" s="675" t="s">
        <v>2577</v>
      </c>
      <c r="B2711" s="675" t="s">
        <v>512</v>
      </c>
      <c r="C2711" s="675" t="s">
        <v>2585</v>
      </c>
      <c r="D2711" s="678" t="s">
        <v>21</v>
      </c>
      <c r="E2711" s="675" t="s">
        <v>514</v>
      </c>
      <c r="F2711" s="675" t="s">
        <v>515</v>
      </c>
      <c r="G2711" s="675"/>
      <c r="H2711" s="675"/>
      <c r="I2711" s="675"/>
      <c r="J2711" s="675"/>
      <c r="K2711" s="675"/>
      <c r="L2711" s="675"/>
      <c r="M2711" s="675"/>
    </row>
    <row r="2712" spans="1:13" x14ac:dyDescent="0.25">
      <c r="A2712" s="675" t="s">
        <v>2577</v>
      </c>
      <c r="B2712" s="675" t="s">
        <v>512</v>
      </c>
      <c r="C2712" s="675" t="s">
        <v>2586</v>
      </c>
      <c r="D2712" s="678" t="s">
        <v>21</v>
      </c>
      <c r="E2712" s="675" t="s">
        <v>514</v>
      </c>
      <c r="F2712" s="675" t="s">
        <v>515</v>
      </c>
      <c r="G2712" s="675"/>
      <c r="H2712" s="675"/>
      <c r="I2712" s="675"/>
      <c r="J2712" s="675"/>
      <c r="K2712" s="675"/>
      <c r="L2712" s="675"/>
      <c r="M2712" s="675"/>
    </row>
    <row r="2713" spans="1:13" ht="17.25" x14ac:dyDescent="0.3">
      <c r="A2713" s="675" t="s">
        <v>2577</v>
      </c>
      <c r="B2713" s="675" t="s">
        <v>512</v>
      </c>
      <c r="C2713" s="679" t="s">
        <v>2587</v>
      </c>
      <c r="D2713" s="678" t="s">
        <v>21</v>
      </c>
      <c r="E2713" s="675" t="s">
        <v>514</v>
      </c>
      <c r="F2713" s="675" t="s">
        <v>515</v>
      </c>
      <c r="G2713" s="675"/>
      <c r="H2713" s="675"/>
      <c r="I2713" s="675"/>
      <c r="J2713" s="675"/>
      <c r="K2713" s="675"/>
      <c r="L2713" s="675"/>
      <c r="M2713" s="675"/>
    </row>
    <row r="2714" spans="1:13" x14ac:dyDescent="0.25">
      <c r="A2714" s="675" t="s">
        <v>2577</v>
      </c>
      <c r="B2714" s="675" t="s">
        <v>512</v>
      </c>
      <c r="C2714" s="675" t="s">
        <v>2588</v>
      </c>
      <c r="D2714" s="678" t="s">
        <v>21</v>
      </c>
      <c r="E2714" s="675" t="s">
        <v>514</v>
      </c>
      <c r="F2714" s="675" t="s">
        <v>515</v>
      </c>
      <c r="G2714" s="675"/>
      <c r="H2714" s="675"/>
      <c r="I2714" s="675"/>
      <c r="J2714" s="675"/>
      <c r="K2714" s="675"/>
      <c r="L2714" s="675"/>
      <c r="M2714" s="675"/>
    </row>
    <row r="2715" spans="1:13" x14ac:dyDescent="0.25">
      <c r="A2715" s="675" t="s">
        <v>2577</v>
      </c>
      <c r="B2715" s="675" t="s">
        <v>545</v>
      </c>
      <c r="C2715" s="675" t="s">
        <v>2589</v>
      </c>
      <c r="D2715" s="678" t="s">
        <v>21</v>
      </c>
      <c r="E2715" s="675" t="s">
        <v>514</v>
      </c>
      <c r="F2715" s="675" t="s">
        <v>515</v>
      </c>
      <c r="G2715" s="675"/>
      <c r="H2715" s="675"/>
      <c r="I2715" s="675"/>
      <c r="J2715" s="675"/>
      <c r="K2715" s="675"/>
      <c r="L2715" s="675"/>
      <c r="M2715" s="675"/>
    </row>
    <row r="2716" spans="1:13" x14ac:dyDescent="0.25">
      <c r="A2716" s="678" t="s">
        <v>2577</v>
      </c>
      <c r="B2716" s="678" t="s">
        <v>545</v>
      </c>
      <c r="C2716" s="675" t="s">
        <v>2590</v>
      </c>
      <c r="D2716" s="678" t="s">
        <v>21</v>
      </c>
      <c r="E2716" s="678" t="s">
        <v>514</v>
      </c>
      <c r="F2716" s="678" t="s">
        <v>636</v>
      </c>
      <c r="G2716" s="675"/>
      <c r="H2716" s="675"/>
      <c r="I2716" s="675"/>
      <c r="J2716" s="675"/>
      <c r="K2716" s="675"/>
      <c r="L2716" s="675"/>
      <c r="M2716" s="675"/>
    </row>
    <row r="2717" spans="1:13" x14ac:dyDescent="0.25">
      <c r="A2717" s="678" t="s">
        <v>2577</v>
      </c>
      <c r="B2717" s="678" t="s">
        <v>545</v>
      </c>
      <c r="C2717" s="675" t="s">
        <v>2591</v>
      </c>
      <c r="D2717" s="678" t="s">
        <v>21</v>
      </c>
      <c r="E2717" s="678" t="s">
        <v>514</v>
      </c>
      <c r="F2717" s="678" t="s">
        <v>636</v>
      </c>
      <c r="G2717" s="675"/>
      <c r="H2717" s="675"/>
      <c r="I2717" s="675"/>
      <c r="J2717" s="675"/>
      <c r="K2717" s="675"/>
      <c r="L2717" s="675"/>
      <c r="M2717" s="675"/>
    </row>
    <row r="2718" spans="1:13" x14ac:dyDescent="0.25">
      <c r="A2718" s="678" t="s">
        <v>2577</v>
      </c>
      <c r="B2718" s="678" t="s">
        <v>545</v>
      </c>
      <c r="C2718" s="675" t="s">
        <v>2592</v>
      </c>
      <c r="D2718" s="678" t="s">
        <v>21</v>
      </c>
      <c r="E2718" s="678" t="s">
        <v>514</v>
      </c>
      <c r="F2718" s="678" t="s">
        <v>636</v>
      </c>
      <c r="G2718" s="675"/>
      <c r="H2718" s="675"/>
      <c r="I2718" s="675"/>
      <c r="J2718" s="675"/>
      <c r="K2718" s="675"/>
      <c r="L2718" s="675"/>
      <c r="M2718" s="675"/>
    </row>
    <row r="2719" spans="1:13" x14ac:dyDescent="0.25">
      <c r="A2719" s="675" t="s">
        <v>2577</v>
      </c>
      <c r="B2719" s="675" t="s">
        <v>564</v>
      </c>
      <c r="C2719" s="675" t="s">
        <v>2593</v>
      </c>
      <c r="D2719" s="675" t="s">
        <v>21</v>
      </c>
      <c r="E2719" s="675" t="s">
        <v>514</v>
      </c>
      <c r="F2719" s="675" t="s">
        <v>515</v>
      </c>
      <c r="G2719" s="675"/>
      <c r="H2719" s="675"/>
      <c r="I2719" s="675"/>
      <c r="J2719" s="675"/>
      <c r="K2719" s="675"/>
      <c r="L2719" s="675"/>
      <c r="M2719" s="675"/>
    </row>
    <row r="2720" spans="1:13" x14ac:dyDescent="0.25">
      <c r="A2720" s="675" t="s">
        <v>2577</v>
      </c>
      <c r="B2720" s="675" t="s">
        <v>564</v>
      </c>
      <c r="C2720" s="675" t="s">
        <v>2594</v>
      </c>
      <c r="D2720" s="678" t="s">
        <v>21</v>
      </c>
      <c r="E2720" s="675" t="s">
        <v>514</v>
      </c>
      <c r="F2720" s="675" t="s">
        <v>515</v>
      </c>
      <c r="G2720" s="675"/>
      <c r="H2720" s="675"/>
      <c r="I2720" s="675"/>
      <c r="J2720" s="675"/>
      <c r="K2720" s="675"/>
      <c r="L2720" s="675"/>
      <c r="M2720" s="675"/>
    </row>
    <row r="2721" spans="1:13" x14ac:dyDescent="0.25">
      <c r="A2721" s="675" t="s">
        <v>2595</v>
      </c>
      <c r="B2721" s="675" t="s">
        <v>512</v>
      </c>
      <c r="C2721" s="675" t="s">
        <v>2596</v>
      </c>
      <c r="D2721" s="675" t="s">
        <v>21</v>
      </c>
      <c r="E2721" s="675" t="s">
        <v>514</v>
      </c>
      <c r="F2721" s="675" t="s">
        <v>515</v>
      </c>
      <c r="G2721" s="675"/>
      <c r="H2721" s="675"/>
      <c r="I2721" s="675"/>
      <c r="J2721" s="675"/>
      <c r="K2721" s="675"/>
      <c r="L2721" s="675"/>
      <c r="M2721" s="675"/>
    </row>
    <row r="2722" spans="1:13" x14ac:dyDescent="0.25">
      <c r="A2722" s="675" t="s">
        <v>2597</v>
      </c>
      <c r="B2722" s="675" t="s">
        <v>512</v>
      </c>
      <c r="C2722" s="675" t="s">
        <v>2598</v>
      </c>
      <c r="D2722" s="675" t="s">
        <v>21</v>
      </c>
      <c r="E2722" s="675" t="s">
        <v>514</v>
      </c>
      <c r="F2722" s="675" t="s">
        <v>515</v>
      </c>
      <c r="G2722" s="675"/>
      <c r="H2722" s="675"/>
      <c r="I2722" s="675"/>
      <c r="J2722" s="675"/>
      <c r="K2722" s="675"/>
      <c r="L2722" s="675"/>
      <c r="M2722" s="675"/>
    </row>
    <row r="2723" spans="1:13" x14ac:dyDescent="0.25">
      <c r="A2723" s="678" t="s">
        <v>2597</v>
      </c>
      <c r="B2723" s="678" t="s">
        <v>512</v>
      </c>
      <c r="C2723" s="678" t="s">
        <v>2599</v>
      </c>
      <c r="D2723" s="675" t="s">
        <v>21</v>
      </c>
      <c r="E2723" s="678" t="s">
        <v>514</v>
      </c>
      <c r="F2723" s="678" t="s">
        <v>596</v>
      </c>
      <c r="G2723" s="675"/>
      <c r="H2723" s="675"/>
      <c r="I2723" s="675"/>
      <c r="J2723" s="675"/>
      <c r="K2723" s="675"/>
      <c r="L2723" s="675"/>
      <c r="M2723" s="675"/>
    </row>
    <row r="2724" spans="1:13" x14ac:dyDescent="0.25">
      <c r="A2724" s="675" t="s">
        <v>2597</v>
      </c>
      <c r="B2724" s="675" t="s">
        <v>512</v>
      </c>
      <c r="C2724" s="675" t="s">
        <v>2600</v>
      </c>
      <c r="D2724" s="675" t="s">
        <v>21</v>
      </c>
      <c r="E2724" s="675" t="s">
        <v>514</v>
      </c>
      <c r="F2724" s="675" t="s">
        <v>515</v>
      </c>
      <c r="G2724" s="675"/>
      <c r="H2724" s="675"/>
      <c r="I2724" s="675"/>
      <c r="J2724" s="675"/>
      <c r="K2724" s="675"/>
      <c r="L2724" s="675"/>
      <c r="M2724" s="675"/>
    </row>
    <row r="2725" spans="1:13" x14ac:dyDescent="0.25">
      <c r="A2725" s="675" t="s">
        <v>2597</v>
      </c>
      <c r="B2725" s="675" t="s">
        <v>512</v>
      </c>
      <c r="C2725" s="675" t="s">
        <v>2601</v>
      </c>
      <c r="D2725" s="675" t="s">
        <v>21</v>
      </c>
      <c r="E2725" s="675" t="s">
        <v>514</v>
      </c>
      <c r="F2725" s="675" t="s">
        <v>515</v>
      </c>
      <c r="G2725" s="675"/>
      <c r="H2725" s="675"/>
      <c r="I2725" s="675"/>
      <c r="J2725" s="675"/>
      <c r="K2725" s="675"/>
      <c r="L2725" s="675"/>
      <c r="M2725" s="675"/>
    </row>
    <row r="2726" spans="1:13" x14ac:dyDescent="0.25">
      <c r="A2726" s="675" t="s">
        <v>2597</v>
      </c>
      <c r="B2726" s="675" t="s">
        <v>512</v>
      </c>
      <c r="C2726" s="675" t="s">
        <v>2602</v>
      </c>
      <c r="D2726" s="675" t="s">
        <v>21</v>
      </c>
      <c r="E2726" s="675" t="s">
        <v>514</v>
      </c>
      <c r="F2726" s="675" t="s">
        <v>515</v>
      </c>
      <c r="G2726" s="675"/>
      <c r="H2726" s="675"/>
      <c r="I2726" s="675"/>
      <c r="J2726" s="675"/>
      <c r="K2726" s="675"/>
      <c r="L2726" s="675"/>
      <c r="M2726" s="675"/>
    </row>
    <row r="2727" spans="1:13" x14ac:dyDescent="0.25">
      <c r="A2727" s="678" t="s">
        <v>2597</v>
      </c>
      <c r="B2727" s="678" t="s">
        <v>512</v>
      </c>
      <c r="C2727" s="678" t="s">
        <v>2603</v>
      </c>
      <c r="D2727" s="675" t="s">
        <v>21</v>
      </c>
      <c r="E2727" s="678" t="s">
        <v>514</v>
      </c>
      <c r="F2727" s="678" t="s">
        <v>596</v>
      </c>
      <c r="G2727" s="675"/>
      <c r="H2727" s="675"/>
      <c r="I2727" s="675"/>
      <c r="J2727" s="675"/>
      <c r="K2727" s="675"/>
      <c r="L2727" s="675"/>
      <c r="M2727" s="675"/>
    </row>
    <row r="2728" spans="1:13" x14ac:dyDescent="0.25">
      <c r="A2728" s="675" t="s">
        <v>2597</v>
      </c>
      <c r="B2728" s="675" t="s">
        <v>512</v>
      </c>
      <c r="C2728" s="675" t="s">
        <v>2604</v>
      </c>
      <c r="D2728" s="675" t="s">
        <v>21</v>
      </c>
      <c r="E2728" s="675" t="s">
        <v>514</v>
      </c>
      <c r="F2728" s="675" t="s">
        <v>515</v>
      </c>
      <c r="G2728" s="675"/>
      <c r="H2728" s="675"/>
      <c r="I2728" s="675"/>
      <c r="J2728" s="675"/>
      <c r="K2728" s="675"/>
      <c r="L2728" s="675"/>
      <c r="M2728" s="675"/>
    </row>
    <row r="2729" spans="1:13" x14ac:dyDescent="0.25">
      <c r="A2729" s="675" t="s">
        <v>2597</v>
      </c>
      <c r="B2729" s="675" t="s">
        <v>512</v>
      </c>
      <c r="C2729" s="675" t="s">
        <v>2605</v>
      </c>
      <c r="D2729" s="675" t="s">
        <v>21</v>
      </c>
      <c r="E2729" s="675" t="s">
        <v>514</v>
      </c>
      <c r="F2729" s="675" t="s">
        <v>515</v>
      </c>
      <c r="G2729" s="675"/>
      <c r="H2729" s="675"/>
      <c r="I2729" s="675"/>
      <c r="J2729" s="675"/>
      <c r="K2729" s="675"/>
      <c r="L2729" s="675"/>
      <c r="M2729" s="675"/>
    </row>
    <row r="2730" spans="1:13" x14ac:dyDescent="0.25">
      <c r="A2730" s="675" t="s">
        <v>2597</v>
      </c>
      <c r="B2730" s="675" t="s">
        <v>545</v>
      </c>
      <c r="C2730" s="675" t="s">
        <v>2606</v>
      </c>
      <c r="D2730" s="675" t="s">
        <v>21</v>
      </c>
      <c r="E2730" s="675" t="s">
        <v>514</v>
      </c>
      <c r="F2730" s="675" t="s">
        <v>515</v>
      </c>
      <c r="G2730" s="675"/>
      <c r="H2730" s="675"/>
      <c r="I2730" s="675"/>
      <c r="J2730" s="675"/>
      <c r="K2730" s="675"/>
      <c r="L2730" s="675"/>
      <c r="M2730" s="675"/>
    </row>
    <row r="2731" spans="1:13" x14ac:dyDescent="0.25">
      <c r="A2731" s="678" t="s">
        <v>2597</v>
      </c>
      <c r="B2731" s="678" t="s">
        <v>545</v>
      </c>
      <c r="C2731" s="678" t="s">
        <v>2607</v>
      </c>
      <c r="D2731" s="678" t="s">
        <v>21</v>
      </c>
      <c r="E2731" s="678" t="s">
        <v>514</v>
      </c>
      <c r="F2731" s="678" t="s">
        <v>636</v>
      </c>
      <c r="G2731" s="675"/>
      <c r="H2731" s="675"/>
      <c r="I2731" s="675"/>
      <c r="J2731" s="675"/>
      <c r="K2731" s="675"/>
      <c r="L2731" s="675"/>
      <c r="M2731" s="675"/>
    </row>
    <row r="2732" spans="1:13" x14ac:dyDescent="0.25">
      <c r="A2732" s="675" t="s">
        <v>2597</v>
      </c>
      <c r="B2732" s="675" t="s">
        <v>545</v>
      </c>
      <c r="C2732" s="675" t="s">
        <v>2608</v>
      </c>
      <c r="D2732" s="675" t="s">
        <v>21</v>
      </c>
      <c r="E2732" s="675" t="s">
        <v>514</v>
      </c>
      <c r="F2732" s="675" t="s">
        <v>515</v>
      </c>
      <c r="G2732" s="675"/>
      <c r="H2732" s="675"/>
      <c r="I2732" s="675"/>
      <c r="J2732" s="675"/>
      <c r="K2732" s="675"/>
      <c r="L2732" s="675"/>
      <c r="M2732" s="675"/>
    </row>
    <row r="2733" spans="1:13" x14ac:dyDescent="0.25">
      <c r="A2733" s="675" t="s">
        <v>2597</v>
      </c>
      <c r="B2733" s="675" t="s">
        <v>545</v>
      </c>
      <c r="C2733" s="675" t="s">
        <v>2609</v>
      </c>
      <c r="D2733" s="675" t="s">
        <v>21</v>
      </c>
      <c r="E2733" s="675" t="s">
        <v>514</v>
      </c>
      <c r="F2733" s="675" t="s">
        <v>515</v>
      </c>
      <c r="G2733" s="675"/>
      <c r="H2733" s="675"/>
      <c r="I2733" s="675"/>
      <c r="J2733" s="675"/>
      <c r="K2733" s="675"/>
      <c r="L2733" s="675"/>
      <c r="M2733" s="675"/>
    </row>
    <row r="2734" spans="1:13" x14ac:dyDescent="0.25">
      <c r="A2734" s="675" t="s">
        <v>2597</v>
      </c>
      <c r="B2734" s="675" t="s">
        <v>545</v>
      </c>
      <c r="C2734" s="675" t="s">
        <v>2610</v>
      </c>
      <c r="D2734" s="675" t="s">
        <v>21</v>
      </c>
      <c r="E2734" s="675" t="s">
        <v>514</v>
      </c>
      <c r="F2734" s="675" t="s">
        <v>515</v>
      </c>
      <c r="G2734" s="675"/>
      <c r="H2734" s="675"/>
      <c r="I2734" s="675"/>
      <c r="J2734" s="675"/>
      <c r="K2734" s="675"/>
      <c r="L2734" s="675"/>
      <c r="M2734" s="675"/>
    </row>
    <row r="2735" spans="1:13" x14ac:dyDescent="0.25">
      <c r="A2735" s="675" t="s">
        <v>2597</v>
      </c>
      <c r="B2735" s="675" t="s">
        <v>545</v>
      </c>
      <c r="C2735" s="675" t="s">
        <v>2611</v>
      </c>
      <c r="D2735" s="675" t="s">
        <v>21</v>
      </c>
      <c r="E2735" s="675" t="s">
        <v>514</v>
      </c>
      <c r="F2735" s="675" t="s">
        <v>515</v>
      </c>
      <c r="G2735" s="675"/>
      <c r="H2735" s="675"/>
      <c r="I2735" s="675"/>
      <c r="J2735" s="675"/>
      <c r="K2735" s="675"/>
      <c r="L2735" s="675"/>
      <c r="M2735" s="675"/>
    </row>
    <row r="2736" spans="1:13" x14ac:dyDescent="0.25">
      <c r="A2736" s="675" t="s">
        <v>2597</v>
      </c>
      <c r="B2736" s="675" t="s">
        <v>545</v>
      </c>
      <c r="C2736" s="675" t="s">
        <v>2612</v>
      </c>
      <c r="D2736" s="675" t="s">
        <v>21</v>
      </c>
      <c r="E2736" s="675" t="s">
        <v>514</v>
      </c>
      <c r="F2736" s="675" t="s">
        <v>515</v>
      </c>
      <c r="G2736" s="675"/>
      <c r="H2736" s="675"/>
      <c r="I2736" s="675"/>
      <c r="J2736" s="675"/>
      <c r="K2736" s="675"/>
      <c r="L2736" s="675"/>
      <c r="M2736" s="675"/>
    </row>
    <row r="2737" spans="1:13" x14ac:dyDescent="0.25">
      <c r="A2737" s="675" t="s">
        <v>2597</v>
      </c>
      <c r="B2737" s="675" t="s">
        <v>545</v>
      </c>
      <c r="C2737" s="675" t="s">
        <v>2613</v>
      </c>
      <c r="D2737" s="675" t="s">
        <v>21</v>
      </c>
      <c r="E2737" s="675" t="s">
        <v>514</v>
      </c>
      <c r="F2737" s="675" t="s">
        <v>515</v>
      </c>
      <c r="G2737" s="675"/>
      <c r="H2737" s="675"/>
      <c r="I2737" s="675"/>
      <c r="J2737" s="675"/>
      <c r="K2737" s="675"/>
      <c r="L2737" s="675"/>
      <c r="M2737" s="675"/>
    </row>
    <row r="2738" spans="1:13" x14ac:dyDescent="0.25">
      <c r="A2738" s="675" t="s">
        <v>2597</v>
      </c>
      <c r="B2738" s="675" t="s">
        <v>564</v>
      </c>
      <c r="C2738" s="675" t="s">
        <v>2614</v>
      </c>
      <c r="D2738" s="675" t="s">
        <v>21</v>
      </c>
      <c r="E2738" s="675" t="s">
        <v>514</v>
      </c>
      <c r="F2738" s="675" t="s">
        <v>515</v>
      </c>
      <c r="G2738" s="675"/>
      <c r="H2738" s="675"/>
      <c r="I2738" s="675"/>
      <c r="J2738" s="675"/>
      <c r="K2738" s="675"/>
      <c r="L2738" s="675"/>
      <c r="M2738" s="675"/>
    </row>
    <row r="2739" spans="1:13" x14ac:dyDescent="0.25">
      <c r="A2739" s="675" t="s">
        <v>2597</v>
      </c>
      <c r="B2739" s="675" t="s">
        <v>564</v>
      </c>
      <c r="C2739" s="675" t="s">
        <v>2615</v>
      </c>
      <c r="D2739" s="675" t="s">
        <v>21</v>
      </c>
      <c r="E2739" s="675" t="s">
        <v>514</v>
      </c>
      <c r="F2739" s="675" t="s">
        <v>515</v>
      </c>
      <c r="G2739" s="675"/>
      <c r="H2739" s="675"/>
      <c r="I2739" s="675"/>
      <c r="J2739" s="675"/>
      <c r="K2739" s="675"/>
      <c r="L2739" s="675"/>
      <c r="M2739" s="675"/>
    </row>
    <row r="2740" spans="1:13" x14ac:dyDescent="0.25">
      <c r="A2740" s="675" t="s">
        <v>2597</v>
      </c>
      <c r="B2740" s="675" t="s">
        <v>564</v>
      </c>
      <c r="C2740" s="675" t="s">
        <v>1793</v>
      </c>
      <c r="D2740" s="675" t="s">
        <v>21</v>
      </c>
      <c r="E2740" s="675" t="s">
        <v>514</v>
      </c>
      <c r="F2740" s="675" t="s">
        <v>515</v>
      </c>
      <c r="G2740" s="675"/>
      <c r="H2740" s="675"/>
      <c r="I2740" s="675"/>
      <c r="J2740" s="675"/>
      <c r="K2740" s="675"/>
      <c r="L2740" s="675"/>
      <c r="M2740" s="675"/>
    </row>
    <row r="2741" spans="1:13" x14ac:dyDescent="0.25">
      <c r="A2741" s="675" t="s">
        <v>2597</v>
      </c>
      <c r="B2741" s="675" t="s">
        <v>564</v>
      </c>
      <c r="C2741" s="675" t="s">
        <v>2616</v>
      </c>
      <c r="D2741" s="675" t="s">
        <v>21</v>
      </c>
      <c r="E2741" s="675" t="s">
        <v>514</v>
      </c>
      <c r="F2741" s="675" t="s">
        <v>515</v>
      </c>
      <c r="G2741" s="675"/>
      <c r="H2741" s="675"/>
      <c r="I2741" s="675"/>
      <c r="J2741" s="675"/>
      <c r="K2741" s="675"/>
      <c r="L2741" s="675"/>
      <c r="M2741" s="675"/>
    </row>
    <row r="2742" spans="1:13" x14ac:dyDescent="0.25">
      <c r="A2742" s="675" t="s">
        <v>2597</v>
      </c>
      <c r="B2742" s="675" t="s">
        <v>564</v>
      </c>
      <c r="C2742" s="675" t="s">
        <v>2617</v>
      </c>
      <c r="D2742" s="675" t="s">
        <v>21</v>
      </c>
      <c r="E2742" s="675" t="s">
        <v>514</v>
      </c>
      <c r="F2742" s="675" t="s">
        <v>515</v>
      </c>
      <c r="G2742" s="675"/>
      <c r="H2742" s="675"/>
      <c r="I2742" s="675"/>
      <c r="J2742" s="675"/>
      <c r="K2742" s="675"/>
      <c r="L2742" s="675"/>
      <c r="M2742" s="675"/>
    </row>
    <row r="2743" spans="1:13" x14ac:dyDescent="0.25">
      <c r="A2743" s="675" t="s">
        <v>2597</v>
      </c>
      <c r="B2743" s="675" t="s">
        <v>564</v>
      </c>
      <c r="C2743" s="675" t="s">
        <v>2618</v>
      </c>
      <c r="D2743" s="675" t="s">
        <v>21</v>
      </c>
      <c r="E2743" s="675" t="s">
        <v>514</v>
      </c>
      <c r="F2743" s="675" t="s">
        <v>515</v>
      </c>
      <c r="G2743" s="675"/>
      <c r="H2743" s="675"/>
      <c r="I2743" s="675"/>
      <c r="J2743" s="675"/>
      <c r="K2743" s="675"/>
      <c r="L2743" s="675"/>
      <c r="M2743" s="675"/>
    </row>
    <row r="2744" spans="1:13" x14ac:dyDescent="0.25">
      <c r="A2744" s="675" t="s">
        <v>2597</v>
      </c>
      <c r="B2744" s="675" t="s">
        <v>564</v>
      </c>
      <c r="C2744" s="675" t="s">
        <v>2619</v>
      </c>
      <c r="D2744" s="675" t="s">
        <v>21</v>
      </c>
      <c r="E2744" s="675" t="s">
        <v>514</v>
      </c>
      <c r="F2744" s="675" t="s">
        <v>515</v>
      </c>
      <c r="G2744" s="675"/>
      <c r="H2744" s="675"/>
      <c r="I2744" s="675"/>
      <c r="J2744" s="675"/>
      <c r="K2744" s="675"/>
      <c r="L2744" s="675"/>
      <c r="M2744" s="675"/>
    </row>
    <row r="2745" spans="1:13" x14ac:dyDescent="0.25">
      <c r="A2745" s="675" t="s">
        <v>2620</v>
      </c>
      <c r="B2745" s="675" t="s">
        <v>512</v>
      </c>
      <c r="C2745" s="675" t="s">
        <v>2621</v>
      </c>
      <c r="D2745" s="675" t="s">
        <v>21</v>
      </c>
      <c r="E2745" s="675" t="s">
        <v>514</v>
      </c>
      <c r="F2745" s="675" t="s">
        <v>515</v>
      </c>
      <c r="G2745" s="675"/>
      <c r="H2745" s="675"/>
      <c r="I2745" s="675"/>
      <c r="J2745" s="675"/>
      <c r="K2745" s="675"/>
      <c r="L2745" s="675"/>
      <c r="M2745" s="675"/>
    </row>
    <row r="2746" spans="1:13" x14ac:dyDescent="0.25">
      <c r="A2746" s="675" t="s">
        <v>2620</v>
      </c>
      <c r="B2746" s="675" t="s">
        <v>512</v>
      </c>
      <c r="C2746" s="675" t="s">
        <v>2622</v>
      </c>
      <c r="D2746" s="675" t="s">
        <v>21</v>
      </c>
      <c r="E2746" s="675" t="s">
        <v>514</v>
      </c>
      <c r="F2746" s="675" t="s">
        <v>515</v>
      </c>
      <c r="G2746" s="675"/>
      <c r="H2746" s="675"/>
      <c r="I2746" s="675"/>
      <c r="J2746" s="675"/>
      <c r="K2746" s="675"/>
      <c r="L2746" s="675"/>
      <c r="M2746" s="675"/>
    </row>
    <row r="2747" spans="1:13" x14ac:dyDescent="0.25">
      <c r="A2747" s="675" t="s">
        <v>2620</v>
      </c>
      <c r="B2747" s="675" t="s">
        <v>512</v>
      </c>
      <c r="C2747" s="675" t="s">
        <v>2623</v>
      </c>
      <c r="D2747" s="675" t="s">
        <v>21</v>
      </c>
      <c r="E2747" s="675" t="s">
        <v>514</v>
      </c>
      <c r="F2747" s="675" t="s">
        <v>515</v>
      </c>
      <c r="G2747" s="675"/>
      <c r="H2747" s="675"/>
      <c r="I2747" s="675"/>
      <c r="J2747" s="675"/>
      <c r="K2747" s="675"/>
      <c r="L2747" s="675"/>
      <c r="M2747" s="675"/>
    </row>
    <row r="2748" spans="1:13" x14ac:dyDescent="0.25">
      <c r="A2748" s="675" t="s">
        <v>2620</v>
      </c>
      <c r="B2748" s="675" t="s">
        <v>512</v>
      </c>
      <c r="C2748" s="675" t="s">
        <v>2624</v>
      </c>
      <c r="D2748" s="675" t="s">
        <v>21</v>
      </c>
      <c r="E2748" s="675" t="s">
        <v>514</v>
      </c>
      <c r="F2748" s="675" t="s">
        <v>515</v>
      </c>
      <c r="G2748" s="675"/>
      <c r="H2748" s="675"/>
      <c r="I2748" s="675"/>
      <c r="J2748" s="675"/>
      <c r="K2748" s="675"/>
      <c r="L2748" s="675"/>
      <c r="M2748" s="675"/>
    </row>
    <row r="2749" spans="1:13" x14ac:dyDescent="0.25">
      <c r="A2749" s="675" t="s">
        <v>2625</v>
      </c>
      <c r="B2749" s="675" t="s">
        <v>512</v>
      </c>
      <c r="C2749" s="675" t="s">
        <v>863</v>
      </c>
      <c r="D2749" s="675" t="s">
        <v>21</v>
      </c>
      <c r="E2749" s="675" t="s">
        <v>514</v>
      </c>
      <c r="F2749" s="675" t="s">
        <v>515</v>
      </c>
      <c r="G2749" s="675"/>
      <c r="H2749" s="675"/>
      <c r="I2749" s="675"/>
      <c r="J2749" s="675"/>
      <c r="K2749" s="675"/>
      <c r="L2749" s="675"/>
      <c r="M2749" s="675"/>
    </row>
    <row r="2750" spans="1:13" x14ac:dyDescent="0.25">
      <c r="A2750" s="675" t="s">
        <v>2625</v>
      </c>
      <c r="B2750" s="675" t="s">
        <v>512</v>
      </c>
      <c r="C2750" s="675" t="s">
        <v>2562</v>
      </c>
      <c r="D2750" s="675" t="s">
        <v>21</v>
      </c>
      <c r="E2750" s="675" t="s">
        <v>514</v>
      </c>
      <c r="F2750" s="675" t="s">
        <v>515</v>
      </c>
      <c r="G2750" s="675"/>
      <c r="H2750" s="675"/>
      <c r="I2750" s="675"/>
      <c r="J2750" s="675"/>
      <c r="K2750" s="675"/>
      <c r="L2750" s="675"/>
      <c r="M2750" s="675"/>
    </row>
    <row r="2751" spans="1:13" x14ac:dyDescent="0.25">
      <c r="A2751" s="678" t="s">
        <v>2625</v>
      </c>
      <c r="B2751" s="678" t="s">
        <v>512</v>
      </c>
      <c r="C2751" s="678" t="s">
        <v>2626</v>
      </c>
      <c r="D2751" s="678" t="s">
        <v>21</v>
      </c>
      <c r="E2751" s="678" t="s">
        <v>514</v>
      </c>
      <c r="F2751" s="678" t="s">
        <v>596</v>
      </c>
      <c r="G2751" s="675"/>
      <c r="H2751" s="675"/>
      <c r="I2751" s="675"/>
      <c r="J2751" s="675"/>
      <c r="K2751" s="675"/>
      <c r="L2751" s="675"/>
      <c r="M2751" s="675"/>
    </row>
    <row r="2752" spans="1:13" x14ac:dyDescent="0.25">
      <c r="A2752" s="675" t="s">
        <v>2625</v>
      </c>
      <c r="B2752" s="675" t="s">
        <v>512</v>
      </c>
      <c r="C2752" s="675" t="s">
        <v>859</v>
      </c>
      <c r="D2752" s="675" t="s">
        <v>21</v>
      </c>
      <c r="E2752" s="675" t="s">
        <v>514</v>
      </c>
      <c r="F2752" s="675" t="s">
        <v>515</v>
      </c>
      <c r="G2752" s="675"/>
      <c r="H2752" s="675"/>
      <c r="I2752" s="675"/>
      <c r="J2752" s="675"/>
      <c r="K2752" s="675"/>
      <c r="L2752" s="675"/>
      <c r="M2752" s="675"/>
    </row>
    <row r="2753" spans="1:13" x14ac:dyDescent="0.25">
      <c r="A2753" s="675" t="s">
        <v>2625</v>
      </c>
      <c r="B2753" s="675" t="s">
        <v>545</v>
      </c>
      <c r="C2753" s="675" t="s">
        <v>863</v>
      </c>
      <c r="D2753" s="675" t="s">
        <v>21</v>
      </c>
      <c r="E2753" s="675" t="s">
        <v>514</v>
      </c>
      <c r="F2753" s="675" t="s">
        <v>515</v>
      </c>
      <c r="G2753" s="675"/>
      <c r="H2753" s="675"/>
      <c r="I2753" s="675"/>
      <c r="J2753" s="675"/>
      <c r="K2753" s="675"/>
      <c r="L2753" s="675"/>
      <c r="M2753" s="675"/>
    </row>
    <row r="2754" spans="1:13" x14ac:dyDescent="0.25">
      <c r="A2754" s="675" t="s">
        <v>2625</v>
      </c>
      <c r="B2754" s="675" t="s">
        <v>545</v>
      </c>
      <c r="C2754" s="675" t="s">
        <v>2140</v>
      </c>
      <c r="D2754" s="675" t="s">
        <v>21</v>
      </c>
      <c r="E2754" s="675" t="s">
        <v>514</v>
      </c>
      <c r="F2754" s="675" t="s">
        <v>515</v>
      </c>
      <c r="G2754" s="675"/>
      <c r="H2754" s="675"/>
      <c r="I2754" s="675"/>
      <c r="J2754" s="675"/>
      <c r="K2754" s="675"/>
      <c r="L2754" s="675"/>
      <c r="M2754" s="675"/>
    </row>
    <row r="2755" spans="1:13" x14ac:dyDescent="0.25">
      <c r="A2755" s="675" t="s">
        <v>2625</v>
      </c>
      <c r="B2755" s="675" t="s">
        <v>564</v>
      </c>
      <c r="C2755" s="675" t="s">
        <v>2627</v>
      </c>
      <c r="D2755" s="675" t="s">
        <v>21</v>
      </c>
      <c r="E2755" s="675" t="s">
        <v>514</v>
      </c>
      <c r="F2755" s="675" t="s">
        <v>515</v>
      </c>
      <c r="G2755" s="675"/>
      <c r="H2755" s="675"/>
      <c r="I2755" s="675"/>
      <c r="J2755" s="675"/>
      <c r="K2755" s="675"/>
      <c r="L2755" s="675"/>
      <c r="M2755" s="675"/>
    </row>
    <row r="2756" spans="1:13" x14ac:dyDescent="0.25">
      <c r="A2756" s="675" t="s">
        <v>2628</v>
      </c>
      <c r="B2756" s="675" t="s">
        <v>512</v>
      </c>
      <c r="C2756" s="675" t="s">
        <v>2629</v>
      </c>
      <c r="D2756" s="675" t="s">
        <v>21</v>
      </c>
      <c r="E2756" s="675" t="s">
        <v>514</v>
      </c>
      <c r="F2756" s="675" t="s">
        <v>515</v>
      </c>
      <c r="G2756" s="675"/>
      <c r="H2756" s="675"/>
      <c r="I2756" s="675"/>
      <c r="J2756" s="675"/>
      <c r="K2756" s="675"/>
      <c r="L2756" s="675"/>
      <c r="M2756" s="675"/>
    </row>
    <row r="2757" spans="1:13" x14ac:dyDescent="0.25">
      <c r="A2757" s="675" t="s">
        <v>2628</v>
      </c>
      <c r="B2757" s="675" t="s">
        <v>512</v>
      </c>
      <c r="C2757" s="675" t="s">
        <v>875</v>
      </c>
      <c r="D2757" s="675" t="s">
        <v>21</v>
      </c>
      <c r="E2757" s="675" t="s">
        <v>514</v>
      </c>
      <c r="F2757" s="675" t="s">
        <v>515</v>
      </c>
      <c r="G2757" s="675"/>
      <c r="H2757" s="675"/>
      <c r="I2757" s="675"/>
      <c r="J2757" s="675"/>
      <c r="K2757" s="675"/>
      <c r="L2757" s="675"/>
      <c r="M2757" s="675"/>
    </row>
    <row r="2758" spans="1:13" x14ac:dyDescent="0.25">
      <c r="A2758" s="675" t="s">
        <v>2628</v>
      </c>
      <c r="B2758" s="675" t="s">
        <v>545</v>
      </c>
      <c r="C2758" s="675" t="s">
        <v>918</v>
      </c>
      <c r="D2758" s="675" t="s">
        <v>21</v>
      </c>
      <c r="E2758" s="675" t="s">
        <v>514</v>
      </c>
      <c r="F2758" s="675" t="s">
        <v>515</v>
      </c>
      <c r="G2758" s="675"/>
      <c r="H2758" s="675"/>
      <c r="I2758" s="675"/>
      <c r="J2758" s="675"/>
      <c r="K2758" s="675"/>
      <c r="L2758" s="675"/>
      <c r="M2758" s="675"/>
    </row>
    <row r="2759" spans="1:13" x14ac:dyDescent="0.25">
      <c r="A2759" s="675" t="s">
        <v>2628</v>
      </c>
      <c r="B2759" s="675" t="s">
        <v>545</v>
      </c>
      <c r="C2759" s="675" t="s">
        <v>2630</v>
      </c>
      <c r="D2759" s="675" t="s">
        <v>21</v>
      </c>
      <c r="E2759" s="675" t="s">
        <v>514</v>
      </c>
      <c r="F2759" s="675" t="s">
        <v>515</v>
      </c>
      <c r="G2759" s="675"/>
      <c r="H2759" s="675"/>
      <c r="I2759" s="675"/>
      <c r="J2759" s="675"/>
      <c r="K2759" s="675"/>
      <c r="L2759" s="675"/>
      <c r="M2759" s="675"/>
    </row>
    <row r="2760" spans="1:13" x14ac:dyDescent="0.25">
      <c r="A2760" s="675" t="s">
        <v>2628</v>
      </c>
      <c r="B2760" s="675" t="s">
        <v>545</v>
      </c>
      <c r="C2760" s="675" t="s">
        <v>2631</v>
      </c>
      <c r="D2760" s="675" t="s">
        <v>21</v>
      </c>
      <c r="E2760" s="675" t="s">
        <v>514</v>
      </c>
      <c r="F2760" s="675" t="s">
        <v>515</v>
      </c>
      <c r="G2760" s="675"/>
      <c r="H2760" s="675"/>
      <c r="I2760" s="675"/>
      <c r="J2760" s="675"/>
      <c r="K2760" s="675"/>
      <c r="L2760" s="675"/>
      <c r="M2760" s="675"/>
    </row>
    <row r="2761" spans="1:13" x14ac:dyDescent="0.25">
      <c r="A2761" s="675" t="s">
        <v>2628</v>
      </c>
      <c r="B2761" s="675" t="s">
        <v>545</v>
      </c>
      <c r="C2761" s="675" t="s">
        <v>2632</v>
      </c>
      <c r="D2761" s="675" t="s">
        <v>21</v>
      </c>
      <c r="E2761" s="675" t="s">
        <v>514</v>
      </c>
      <c r="F2761" s="675" t="s">
        <v>515</v>
      </c>
      <c r="G2761" s="675"/>
      <c r="H2761" s="675"/>
      <c r="I2761" s="675"/>
      <c r="J2761" s="675"/>
      <c r="K2761" s="675"/>
      <c r="L2761" s="675"/>
      <c r="M2761" s="675"/>
    </row>
    <row r="2762" spans="1:13" x14ac:dyDescent="0.25">
      <c r="A2762" s="675" t="s">
        <v>2628</v>
      </c>
      <c r="B2762" s="675" t="s">
        <v>545</v>
      </c>
      <c r="C2762" s="675" t="s">
        <v>2633</v>
      </c>
      <c r="D2762" s="675" t="s">
        <v>21</v>
      </c>
      <c r="E2762" s="675" t="s">
        <v>514</v>
      </c>
      <c r="F2762" s="675" t="s">
        <v>515</v>
      </c>
      <c r="G2762" s="675"/>
      <c r="H2762" s="675"/>
      <c r="I2762" s="675"/>
      <c r="J2762" s="675"/>
      <c r="K2762" s="675"/>
      <c r="L2762" s="675"/>
      <c r="M2762" s="675"/>
    </row>
    <row r="2763" spans="1:13" x14ac:dyDescent="0.25">
      <c r="A2763" s="675" t="s">
        <v>2628</v>
      </c>
      <c r="B2763" s="675" t="s">
        <v>545</v>
      </c>
      <c r="C2763" s="675" t="s">
        <v>1587</v>
      </c>
      <c r="D2763" s="675" t="s">
        <v>21</v>
      </c>
      <c r="E2763" s="675" t="s">
        <v>514</v>
      </c>
      <c r="F2763" s="675" t="s">
        <v>515</v>
      </c>
      <c r="G2763" s="675"/>
      <c r="H2763" s="675"/>
      <c r="I2763" s="675"/>
      <c r="J2763" s="675"/>
      <c r="K2763" s="675"/>
      <c r="L2763" s="675"/>
      <c r="M2763" s="675"/>
    </row>
    <row r="2764" spans="1:13" x14ac:dyDescent="0.25">
      <c r="A2764" s="675" t="s">
        <v>2634</v>
      </c>
      <c r="B2764" s="675" t="s">
        <v>512</v>
      </c>
      <c r="C2764" s="675" t="s">
        <v>2635</v>
      </c>
      <c r="D2764" s="675" t="s">
        <v>21</v>
      </c>
      <c r="E2764" s="675" t="s">
        <v>514</v>
      </c>
      <c r="F2764" s="675" t="s">
        <v>515</v>
      </c>
      <c r="G2764" s="675"/>
      <c r="H2764" s="675"/>
      <c r="I2764" s="675"/>
      <c r="J2764" s="675"/>
      <c r="K2764" s="675"/>
      <c r="L2764" s="675"/>
      <c r="M2764" s="675"/>
    </row>
    <row r="2765" spans="1:13" x14ac:dyDescent="0.25">
      <c r="A2765" s="675" t="s">
        <v>2636</v>
      </c>
      <c r="B2765" s="675" t="s">
        <v>512</v>
      </c>
      <c r="C2765" s="675" t="s">
        <v>639</v>
      </c>
      <c r="D2765" s="675" t="s">
        <v>21</v>
      </c>
      <c r="E2765" s="675" t="s">
        <v>514</v>
      </c>
      <c r="F2765" s="675" t="s">
        <v>515</v>
      </c>
      <c r="G2765" s="675"/>
      <c r="H2765" s="675"/>
      <c r="I2765" s="675"/>
      <c r="J2765" s="675"/>
      <c r="K2765" s="675"/>
      <c r="L2765" s="675"/>
      <c r="M2765" s="675"/>
    </row>
    <row r="2766" spans="1:13" x14ac:dyDescent="0.25">
      <c r="A2766" s="675" t="s">
        <v>2636</v>
      </c>
      <c r="B2766" s="675" t="s">
        <v>512</v>
      </c>
      <c r="C2766" s="675" t="s">
        <v>640</v>
      </c>
      <c r="D2766" s="675" t="s">
        <v>21</v>
      </c>
      <c r="E2766" s="675" t="s">
        <v>514</v>
      </c>
      <c r="F2766" s="675" t="s">
        <v>515</v>
      </c>
      <c r="G2766" s="675"/>
      <c r="H2766" s="675"/>
      <c r="I2766" s="675"/>
      <c r="J2766" s="675"/>
      <c r="K2766" s="675"/>
      <c r="L2766" s="675"/>
      <c r="M2766" s="675"/>
    </row>
    <row r="2767" spans="1:13" x14ac:dyDescent="0.25">
      <c r="A2767" s="675" t="s">
        <v>2636</v>
      </c>
      <c r="B2767" s="675" t="s">
        <v>512</v>
      </c>
      <c r="C2767" s="675" t="s">
        <v>650</v>
      </c>
      <c r="D2767" s="675" t="s">
        <v>21</v>
      </c>
      <c r="E2767" s="675" t="s">
        <v>514</v>
      </c>
      <c r="F2767" s="675" t="s">
        <v>515</v>
      </c>
      <c r="G2767" s="675"/>
      <c r="H2767" s="675"/>
      <c r="I2767" s="675"/>
      <c r="J2767" s="675"/>
      <c r="K2767" s="675"/>
      <c r="L2767" s="675"/>
      <c r="M2767" s="675"/>
    </row>
    <row r="2768" spans="1:13" x14ac:dyDescent="0.25">
      <c r="A2768" s="675" t="s">
        <v>2636</v>
      </c>
      <c r="B2768" s="675" t="s">
        <v>512</v>
      </c>
      <c r="C2768" s="675" t="s">
        <v>651</v>
      </c>
      <c r="D2768" s="675" t="s">
        <v>21</v>
      </c>
      <c r="E2768" s="675" t="s">
        <v>514</v>
      </c>
      <c r="F2768" s="675" t="s">
        <v>515</v>
      </c>
      <c r="G2768" s="675"/>
      <c r="H2768" s="675"/>
      <c r="I2768" s="675"/>
      <c r="J2768" s="675"/>
      <c r="K2768" s="675"/>
      <c r="L2768" s="675"/>
      <c r="M2768" s="675"/>
    </row>
    <row r="2769" spans="1:13" x14ac:dyDescent="0.25">
      <c r="A2769" s="675" t="s">
        <v>2636</v>
      </c>
      <c r="B2769" s="675" t="s">
        <v>512</v>
      </c>
      <c r="C2769" s="675" t="s">
        <v>2535</v>
      </c>
      <c r="D2769" s="675" t="s">
        <v>21</v>
      </c>
      <c r="E2769" s="675" t="s">
        <v>514</v>
      </c>
      <c r="F2769" s="675" t="s">
        <v>515</v>
      </c>
      <c r="G2769" s="675"/>
      <c r="H2769" s="675"/>
      <c r="I2769" s="675"/>
      <c r="J2769" s="675"/>
      <c r="K2769" s="675"/>
      <c r="L2769" s="675"/>
      <c r="M2769" s="675"/>
    </row>
    <row r="2770" spans="1:13" x14ac:dyDescent="0.25">
      <c r="A2770" s="675" t="s">
        <v>2636</v>
      </c>
      <c r="B2770" s="675" t="s">
        <v>512</v>
      </c>
      <c r="C2770" s="675" t="s">
        <v>2536</v>
      </c>
      <c r="D2770" s="675" t="s">
        <v>21</v>
      </c>
      <c r="E2770" s="675" t="s">
        <v>514</v>
      </c>
      <c r="F2770" s="675" t="s">
        <v>515</v>
      </c>
      <c r="G2770" s="675"/>
      <c r="H2770" s="675"/>
      <c r="I2770" s="675"/>
      <c r="J2770" s="675"/>
      <c r="K2770" s="675"/>
      <c r="L2770" s="675"/>
      <c r="M2770" s="675"/>
    </row>
    <row r="2771" spans="1:13" x14ac:dyDescent="0.25">
      <c r="A2771" s="675" t="s">
        <v>2636</v>
      </c>
      <c r="B2771" s="675" t="s">
        <v>545</v>
      </c>
      <c r="C2771" s="675" t="s">
        <v>1657</v>
      </c>
      <c r="D2771" s="675" t="s">
        <v>21</v>
      </c>
      <c r="E2771" s="675" t="s">
        <v>514</v>
      </c>
      <c r="F2771" s="675" t="s">
        <v>515</v>
      </c>
      <c r="G2771" s="675"/>
      <c r="H2771" s="675"/>
      <c r="I2771" s="675"/>
      <c r="J2771" s="675"/>
      <c r="K2771" s="675"/>
      <c r="L2771" s="675"/>
      <c r="M2771" s="675"/>
    </row>
    <row r="2772" spans="1:13" x14ac:dyDescent="0.25">
      <c r="A2772" s="675" t="s">
        <v>2636</v>
      </c>
      <c r="B2772" s="675" t="s">
        <v>545</v>
      </c>
      <c r="C2772" s="675" t="s">
        <v>2637</v>
      </c>
      <c r="D2772" s="675" t="s">
        <v>21</v>
      </c>
      <c r="E2772" s="675" t="s">
        <v>514</v>
      </c>
      <c r="F2772" s="675" t="s">
        <v>515</v>
      </c>
      <c r="G2772" s="675"/>
      <c r="H2772" s="675"/>
      <c r="I2772" s="675"/>
      <c r="J2772" s="675"/>
      <c r="K2772" s="675"/>
      <c r="L2772" s="675"/>
      <c r="M2772" s="675"/>
    </row>
    <row r="2773" spans="1:13" x14ac:dyDescent="0.25">
      <c r="A2773" s="675" t="s">
        <v>2636</v>
      </c>
      <c r="B2773" s="675" t="s">
        <v>545</v>
      </c>
      <c r="C2773" s="675" t="s">
        <v>2638</v>
      </c>
      <c r="D2773" s="675" t="s">
        <v>21</v>
      </c>
      <c r="E2773" s="675" t="s">
        <v>514</v>
      </c>
      <c r="F2773" s="675" t="s">
        <v>515</v>
      </c>
      <c r="G2773" s="675"/>
      <c r="H2773" s="675"/>
      <c r="I2773" s="675"/>
      <c r="J2773" s="675"/>
      <c r="K2773" s="675"/>
      <c r="L2773" s="675"/>
      <c r="M2773" s="675"/>
    </row>
    <row r="2774" spans="1:13" x14ac:dyDescent="0.25">
      <c r="A2774" s="678" t="s">
        <v>2636</v>
      </c>
      <c r="B2774" s="678" t="s">
        <v>545</v>
      </c>
      <c r="C2774" s="678" t="s">
        <v>2639</v>
      </c>
      <c r="D2774" s="678" t="s">
        <v>21</v>
      </c>
      <c r="E2774" s="678" t="s">
        <v>514</v>
      </c>
      <c r="F2774" s="678" t="s">
        <v>636</v>
      </c>
      <c r="G2774" s="675"/>
      <c r="H2774" s="675"/>
      <c r="I2774" s="675"/>
      <c r="J2774" s="675"/>
      <c r="K2774" s="675"/>
      <c r="L2774" s="675"/>
      <c r="M2774" s="675"/>
    </row>
    <row r="2775" spans="1:13" x14ac:dyDescent="0.25">
      <c r="A2775" s="675" t="s">
        <v>2636</v>
      </c>
      <c r="B2775" s="675" t="s">
        <v>545</v>
      </c>
      <c r="C2775" s="675" t="s">
        <v>1017</v>
      </c>
      <c r="D2775" s="675" t="s">
        <v>21</v>
      </c>
      <c r="E2775" s="675" t="s">
        <v>514</v>
      </c>
      <c r="F2775" s="675" t="s">
        <v>515</v>
      </c>
      <c r="G2775" s="675"/>
      <c r="H2775" s="675"/>
      <c r="I2775" s="675"/>
      <c r="J2775" s="675"/>
      <c r="K2775" s="675"/>
      <c r="L2775" s="675"/>
      <c r="M2775" s="675"/>
    </row>
    <row r="2776" spans="1:13" x14ac:dyDescent="0.25">
      <c r="A2776" s="675" t="s">
        <v>2636</v>
      </c>
      <c r="B2776" s="675" t="s">
        <v>545</v>
      </c>
      <c r="C2776" s="675" t="s">
        <v>2640</v>
      </c>
      <c r="D2776" s="675" t="s">
        <v>21</v>
      </c>
      <c r="E2776" s="675" t="s">
        <v>514</v>
      </c>
      <c r="F2776" s="675" t="s">
        <v>515</v>
      </c>
      <c r="G2776" s="675"/>
      <c r="H2776" s="675"/>
      <c r="I2776" s="675"/>
      <c r="J2776" s="675"/>
      <c r="K2776" s="675"/>
      <c r="L2776" s="675"/>
      <c r="M2776" s="675"/>
    </row>
    <row r="2777" spans="1:13" x14ac:dyDescent="0.25">
      <c r="A2777" s="675" t="s">
        <v>2636</v>
      </c>
      <c r="B2777" s="675" t="s">
        <v>564</v>
      </c>
      <c r="C2777" s="675" t="s">
        <v>2641</v>
      </c>
      <c r="D2777" s="675" t="s">
        <v>21</v>
      </c>
      <c r="E2777" s="675" t="s">
        <v>514</v>
      </c>
      <c r="F2777" s="675" t="s">
        <v>515</v>
      </c>
      <c r="G2777" s="675"/>
      <c r="H2777" s="675"/>
      <c r="I2777" s="675"/>
      <c r="J2777" s="675"/>
      <c r="K2777" s="675"/>
      <c r="L2777" s="675"/>
      <c r="M2777" s="675"/>
    </row>
    <row r="2778" spans="1:13" x14ac:dyDescent="0.25">
      <c r="A2778" s="675" t="s">
        <v>2636</v>
      </c>
      <c r="B2778" s="675" t="s">
        <v>564</v>
      </c>
      <c r="C2778" s="675" t="s">
        <v>2642</v>
      </c>
      <c r="D2778" s="675" t="s">
        <v>21</v>
      </c>
      <c r="E2778" s="675" t="s">
        <v>514</v>
      </c>
      <c r="F2778" s="675" t="s">
        <v>515</v>
      </c>
      <c r="G2778" s="675"/>
      <c r="H2778" s="675"/>
      <c r="I2778" s="675"/>
      <c r="J2778" s="675"/>
      <c r="K2778" s="675"/>
      <c r="L2778" s="675"/>
      <c r="M2778" s="675"/>
    </row>
    <row r="2779" spans="1:13" x14ac:dyDescent="0.25">
      <c r="A2779" s="675" t="s">
        <v>2636</v>
      </c>
      <c r="B2779" s="675" t="s">
        <v>564</v>
      </c>
      <c r="C2779" s="675" t="s">
        <v>2643</v>
      </c>
      <c r="D2779" s="675" t="s">
        <v>21</v>
      </c>
      <c r="E2779" s="675" t="s">
        <v>514</v>
      </c>
      <c r="F2779" s="675" t="s">
        <v>515</v>
      </c>
      <c r="G2779" s="675"/>
      <c r="H2779" s="675"/>
      <c r="I2779" s="675"/>
      <c r="J2779" s="675"/>
      <c r="K2779" s="675"/>
      <c r="L2779" s="675"/>
      <c r="M2779" s="675"/>
    </row>
    <row r="2780" spans="1:13" x14ac:dyDescent="0.25">
      <c r="A2780" s="675" t="s">
        <v>2644</v>
      </c>
      <c r="B2780" s="675" t="s">
        <v>545</v>
      </c>
      <c r="C2780" s="675" t="s">
        <v>2645</v>
      </c>
      <c r="D2780" s="675" t="s">
        <v>21</v>
      </c>
      <c r="E2780" s="702"/>
      <c r="F2780" s="702"/>
      <c r="G2780" s="675"/>
      <c r="H2780" s="675"/>
      <c r="I2780" s="675"/>
      <c r="J2780" s="675"/>
      <c r="K2780" s="675"/>
      <c r="L2780" s="675"/>
      <c r="M2780" s="675"/>
    </row>
    <row r="2781" spans="1:13" x14ac:dyDescent="0.25">
      <c r="A2781" s="675" t="s">
        <v>2644</v>
      </c>
      <c r="B2781" s="675" t="s">
        <v>545</v>
      </c>
      <c r="C2781" s="675" t="s">
        <v>2646</v>
      </c>
      <c r="D2781" s="675" t="s">
        <v>21</v>
      </c>
      <c r="E2781" s="702"/>
      <c r="F2781" s="702"/>
      <c r="G2781" s="675"/>
      <c r="H2781" s="675"/>
      <c r="I2781" s="675"/>
      <c r="J2781" s="675"/>
      <c r="K2781" s="675"/>
      <c r="L2781" s="675"/>
      <c r="M2781" s="675"/>
    </row>
    <row r="2782" spans="1:13" x14ac:dyDescent="0.25">
      <c r="A2782" s="675" t="s">
        <v>2644</v>
      </c>
      <c r="B2782" s="675" t="s">
        <v>545</v>
      </c>
      <c r="C2782" s="675" t="s">
        <v>2647</v>
      </c>
      <c r="D2782" s="675" t="s">
        <v>21</v>
      </c>
      <c r="E2782" s="702"/>
      <c r="F2782" s="702"/>
      <c r="G2782" s="675"/>
      <c r="H2782" s="675"/>
      <c r="I2782" s="675"/>
      <c r="J2782" s="675"/>
      <c r="K2782" s="675"/>
      <c r="L2782" s="675"/>
      <c r="M2782" s="675"/>
    </row>
    <row r="2783" spans="1:13" x14ac:dyDescent="0.25">
      <c r="A2783" s="675" t="s">
        <v>2644</v>
      </c>
      <c r="B2783" s="675" t="s">
        <v>545</v>
      </c>
      <c r="C2783" s="675" t="s">
        <v>2648</v>
      </c>
      <c r="D2783" s="675" t="s">
        <v>21</v>
      </c>
      <c r="E2783" s="702"/>
      <c r="F2783" s="702"/>
      <c r="G2783" s="675"/>
      <c r="H2783" s="675"/>
      <c r="I2783" s="675"/>
      <c r="J2783" s="675"/>
      <c r="K2783" s="675"/>
      <c r="L2783" s="675"/>
      <c r="M2783" s="675"/>
    </row>
    <row r="2784" spans="1:13" x14ac:dyDescent="0.25">
      <c r="A2784" s="675" t="s">
        <v>2644</v>
      </c>
      <c r="B2784" s="675" t="s">
        <v>545</v>
      </c>
      <c r="C2784" s="675" t="s">
        <v>2649</v>
      </c>
      <c r="D2784" s="675" t="s">
        <v>21</v>
      </c>
      <c r="E2784" s="702"/>
      <c r="F2784" s="702"/>
      <c r="G2784" s="675"/>
      <c r="H2784" s="675"/>
      <c r="I2784" s="675"/>
      <c r="J2784" s="675"/>
      <c r="K2784" s="675"/>
      <c r="L2784" s="675"/>
      <c r="M2784" s="675"/>
    </row>
    <row r="2785" spans="1:13" x14ac:dyDescent="0.25">
      <c r="A2785" s="675" t="s">
        <v>2644</v>
      </c>
      <c r="B2785" s="675" t="s">
        <v>564</v>
      </c>
      <c r="C2785" s="675" t="s">
        <v>2650</v>
      </c>
      <c r="D2785" s="675" t="s">
        <v>21</v>
      </c>
      <c r="E2785" s="702"/>
      <c r="F2785" s="702"/>
      <c r="G2785" s="675"/>
      <c r="H2785" s="675"/>
      <c r="I2785" s="675"/>
      <c r="J2785" s="675"/>
      <c r="K2785" s="675"/>
      <c r="L2785" s="675"/>
      <c r="M2785" s="675"/>
    </row>
    <row r="2786" spans="1:13" x14ac:dyDescent="0.25">
      <c r="A2786" s="675" t="s">
        <v>2644</v>
      </c>
      <c r="B2786" s="675" t="s">
        <v>564</v>
      </c>
      <c r="C2786" s="675" t="s">
        <v>2651</v>
      </c>
      <c r="D2786" s="675" t="s">
        <v>21</v>
      </c>
      <c r="E2786" s="702"/>
      <c r="F2786" s="702"/>
      <c r="G2786" s="675"/>
      <c r="H2786" s="675"/>
      <c r="I2786" s="675"/>
      <c r="J2786" s="675"/>
      <c r="K2786" s="675"/>
      <c r="L2786" s="675"/>
      <c r="M2786" s="675"/>
    </row>
    <row r="2787" spans="1:13" x14ac:dyDescent="0.25">
      <c r="A2787" s="675" t="s">
        <v>2644</v>
      </c>
      <c r="B2787" s="675" t="s">
        <v>564</v>
      </c>
      <c r="C2787" s="675" t="s">
        <v>2652</v>
      </c>
      <c r="D2787" s="675" t="s">
        <v>21</v>
      </c>
      <c r="E2787" s="702"/>
      <c r="F2787" s="702"/>
      <c r="G2787" s="675"/>
      <c r="H2787" s="675"/>
      <c r="I2787" s="675"/>
      <c r="J2787" s="675"/>
      <c r="K2787" s="675"/>
      <c r="L2787" s="675"/>
      <c r="M2787" s="675"/>
    </row>
    <row r="2788" spans="1:13" x14ac:dyDescent="0.25">
      <c r="A2788" s="675" t="s">
        <v>2644</v>
      </c>
      <c r="B2788" s="675" t="s">
        <v>564</v>
      </c>
      <c r="C2788" s="675" t="s">
        <v>2653</v>
      </c>
      <c r="D2788" s="675" t="s">
        <v>21</v>
      </c>
      <c r="E2788" s="702"/>
      <c r="F2788" s="702"/>
      <c r="G2788" s="675"/>
      <c r="H2788" s="675"/>
      <c r="I2788" s="675"/>
      <c r="J2788" s="675"/>
      <c r="K2788" s="675"/>
      <c r="L2788" s="675"/>
      <c r="M2788" s="675"/>
    </row>
    <row r="2789" spans="1:13" x14ac:dyDescent="0.25">
      <c r="A2789" s="675" t="s">
        <v>2644</v>
      </c>
      <c r="B2789" s="675" t="s">
        <v>564</v>
      </c>
      <c r="C2789" s="675" t="s">
        <v>2654</v>
      </c>
      <c r="D2789" s="675" t="s">
        <v>21</v>
      </c>
      <c r="E2789" s="702"/>
      <c r="F2789" s="702"/>
      <c r="G2789" s="675"/>
      <c r="H2789" s="675"/>
      <c r="I2789" s="675"/>
      <c r="J2789" s="675"/>
      <c r="K2789" s="675"/>
      <c r="L2789" s="675"/>
      <c r="M2789" s="675"/>
    </row>
    <row r="2790" spans="1:13" x14ac:dyDescent="0.25">
      <c r="A2790" s="675" t="s">
        <v>2644</v>
      </c>
      <c r="B2790" s="675" t="s">
        <v>512</v>
      </c>
      <c r="C2790" s="675" t="s">
        <v>2655</v>
      </c>
      <c r="D2790" s="675" t="s">
        <v>21</v>
      </c>
      <c r="E2790" s="702"/>
      <c r="F2790" s="702"/>
      <c r="G2790" s="675"/>
      <c r="H2790" s="675"/>
      <c r="I2790" s="675"/>
      <c r="J2790" s="675"/>
      <c r="K2790" s="675"/>
      <c r="L2790" s="675"/>
      <c r="M2790" s="675"/>
    </row>
    <row r="2791" spans="1:13" x14ac:dyDescent="0.25">
      <c r="A2791" s="675" t="s">
        <v>2644</v>
      </c>
      <c r="B2791" s="675" t="s">
        <v>512</v>
      </c>
      <c r="C2791" s="675" t="s">
        <v>2656</v>
      </c>
      <c r="D2791" s="675" t="s">
        <v>21</v>
      </c>
      <c r="E2791" s="702"/>
      <c r="F2791" s="702"/>
      <c r="G2791" s="675"/>
      <c r="H2791" s="675"/>
      <c r="I2791" s="675"/>
      <c r="J2791" s="675"/>
      <c r="K2791" s="675"/>
      <c r="L2791" s="675"/>
      <c r="M2791" s="675"/>
    </row>
    <row r="2792" spans="1:13" x14ac:dyDescent="0.25">
      <c r="A2792" s="675" t="s">
        <v>2644</v>
      </c>
      <c r="B2792" s="675" t="s">
        <v>512</v>
      </c>
      <c r="C2792" s="675" t="s">
        <v>2657</v>
      </c>
      <c r="D2792" s="675" t="s">
        <v>21</v>
      </c>
      <c r="E2792" s="702"/>
      <c r="F2792" s="702"/>
      <c r="G2792" s="675"/>
      <c r="H2792" s="675"/>
      <c r="I2792" s="675"/>
      <c r="J2792" s="675"/>
      <c r="K2792" s="675"/>
      <c r="L2792" s="675"/>
      <c r="M2792" s="675"/>
    </row>
    <row r="2793" spans="1:13" x14ac:dyDescent="0.25">
      <c r="A2793" s="675" t="s">
        <v>2644</v>
      </c>
      <c r="B2793" s="675" t="s">
        <v>512</v>
      </c>
      <c r="C2793" s="675" t="s">
        <v>2658</v>
      </c>
      <c r="D2793" s="675" t="s">
        <v>21</v>
      </c>
      <c r="E2793" s="702"/>
      <c r="F2793" s="702"/>
      <c r="G2793" s="675"/>
      <c r="H2793" s="675"/>
      <c r="I2793" s="675"/>
      <c r="J2793" s="675"/>
      <c r="K2793" s="675"/>
      <c r="L2793" s="675"/>
      <c r="M2793" s="675"/>
    </row>
    <row r="2794" spans="1:13" x14ac:dyDescent="0.25">
      <c r="A2794" s="675" t="s">
        <v>2644</v>
      </c>
      <c r="B2794" s="675" t="s">
        <v>512</v>
      </c>
      <c r="C2794" s="675" t="s">
        <v>2659</v>
      </c>
      <c r="D2794" s="675" t="s">
        <v>21</v>
      </c>
      <c r="E2794" s="702"/>
      <c r="F2794" s="702"/>
      <c r="G2794" s="675"/>
      <c r="H2794" s="675"/>
      <c r="I2794" s="675"/>
      <c r="J2794" s="675"/>
      <c r="K2794" s="675"/>
      <c r="L2794" s="675"/>
      <c r="M2794" s="675"/>
    </row>
    <row r="2795" spans="1:13" x14ac:dyDescent="0.25">
      <c r="A2795" s="675" t="s">
        <v>2660</v>
      </c>
      <c r="B2795" s="675" t="s">
        <v>545</v>
      </c>
      <c r="C2795" s="675" t="s">
        <v>2661</v>
      </c>
      <c r="D2795" s="675" t="s">
        <v>21</v>
      </c>
      <c r="E2795" s="702"/>
      <c r="F2795" s="702"/>
      <c r="G2795" s="675"/>
      <c r="H2795" s="675"/>
      <c r="I2795" s="675"/>
      <c r="J2795" s="675"/>
      <c r="K2795" s="675"/>
      <c r="L2795" s="675"/>
      <c r="M2795" s="675"/>
    </row>
    <row r="2796" spans="1:13" x14ac:dyDescent="0.25">
      <c r="A2796" s="675" t="s">
        <v>2660</v>
      </c>
      <c r="B2796" s="675" t="s">
        <v>545</v>
      </c>
      <c r="C2796" s="675" t="s">
        <v>2662</v>
      </c>
      <c r="D2796" s="675" t="s">
        <v>21</v>
      </c>
      <c r="E2796" s="702"/>
      <c r="F2796" s="702"/>
      <c r="G2796" s="675"/>
      <c r="H2796" s="675"/>
      <c r="I2796" s="675"/>
      <c r="J2796" s="675"/>
      <c r="K2796" s="675"/>
      <c r="L2796" s="675"/>
      <c r="M2796" s="675"/>
    </row>
    <row r="2797" spans="1:13" x14ac:dyDescent="0.25">
      <c r="A2797" s="675" t="s">
        <v>2660</v>
      </c>
      <c r="B2797" s="675" t="s">
        <v>545</v>
      </c>
      <c r="C2797" s="675" t="s">
        <v>2663</v>
      </c>
      <c r="D2797" s="675" t="s">
        <v>21</v>
      </c>
      <c r="E2797" s="702"/>
      <c r="F2797" s="702"/>
      <c r="G2797" s="675"/>
      <c r="H2797" s="675"/>
      <c r="I2797" s="675"/>
      <c r="J2797" s="675"/>
      <c r="K2797" s="675"/>
      <c r="L2797" s="675"/>
      <c r="M2797" s="675"/>
    </row>
    <row r="2798" spans="1:13" x14ac:dyDescent="0.25">
      <c r="A2798" s="675" t="s">
        <v>2660</v>
      </c>
      <c r="B2798" s="675" t="s">
        <v>545</v>
      </c>
      <c r="C2798" s="675" t="s">
        <v>2664</v>
      </c>
      <c r="D2798" s="675" t="s">
        <v>21</v>
      </c>
      <c r="E2798" s="702"/>
      <c r="F2798" s="702"/>
      <c r="G2798" s="675"/>
      <c r="H2798" s="675"/>
      <c r="I2798" s="675"/>
      <c r="J2798" s="675"/>
      <c r="K2798" s="675"/>
      <c r="L2798" s="675"/>
      <c r="M2798" s="675"/>
    </row>
    <row r="2799" spans="1:13" x14ac:dyDescent="0.25">
      <c r="A2799" s="675" t="s">
        <v>2660</v>
      </c>
      <c r="B2799" s="675" t="s">
        <v>545</v>
      </c>
      <c r="C2799" s="675" t="s">
        <v>2665</v>
      </c>
      <c r="D2799" s="675" t="s">
        <v>21</v>
      </c>
      <c r="E2799" s="702"/>
      <c r="F2799" s="702"/>
      <c r="G2799" s="675"/>
      <c r="H2799" s="675"/>
      <c r="I2799" s="675"/>
      <c r="J2799" s="675"/>
      <c r="K2799" s="675"/>
      <c r="L2799" s="675"/>
      <c r="M2799" s="675"/>
    </row>
    <row r="2800" spans="1:13" x14ac:dyDescent="0.25">
      <c r="A2800" s="675" t="s">
        <v>2660</v>
      </c>
      <c r="B2800" s="675" t="s">
        <v>564</v>
      </c>
      <c r="C2800" s="675" t="s">
        <v>2666</v>
      </c>
      <c r="D2800" s="675" t="s">
        <v>21</v>
      </c>
      <c r="E2800" s="702"/>
      <c r="F2800" s="702"/>
      <c r="G2800" s="675"/>
      <c r="H2800" s="675"/>
      <c r="I2800" s="675"/>
      <c r="J2800" s="675"/>
      <c r="K2800" s="675"/>
      <c r="L2800" s="675"/>
      <c r="M2800" s="675"/>
    </row>
    <row r="2801" spans="1:13" x14ac:dyDescent="0.25">
      <c r="A2801" s="675" t="s">
        <v>2660</v>
      </c>
      <c r="B2801" s="675" t="s">
        <v>564</v>
      </c>
      <c r="C2801" s="675" t="s">
        <v>2667</v>
      </c>
      <c r="D2801" s="675" t="s">
        <v>21</v>
      </c>
      <c r="E2801" s="702"/>
      <c r="F2801" s="702"/>
      <c r="G2801" s="675"/>
      <c r="H2801" s="675"/>
      <c r="I2801" s="675"/>
      <c r="J2801" s="675"/>
      <c r="K2801" s="675"/>
      <c r="L2801" s="675"/>
      <c r="M2801" s="675"/>
    </row>
    <row r="2802" spans="1:13" x14ac:dyDescent="0.25">
      <c r="A2802" s="675" t="s">
        <v>2660</v>
      </c>
      <c r="B2802" s="675" t="s">
        <v>564</v>
      </c>
      <c r="C2802" s="675" t="s">
        <v>2668</v>
      </c>
      <c r="D2802" s="675" t="s">
        <v>21</v>
      </c>
      <c r="E2802" s="702"/>
      <c r="F2802" s="702"/>
      <c r="G2802" s="675"/>
      <c r="H2802" s="675"/>
      <c r="I2802" s="675"/>
      <c r="J2802" s="675"/>
      <c r="K2802" s="675"/>
      <c r="L2802" s="675"/>
      <c r="M2802" s="675"/>
    </row>
    <row r="2803" spans="1:13" x14ac:dyDescent="0.25">
      <c r="A2803" s="675" t="s">
        <v>2660</v>
      </c>
      <c r="B2803" s="675" t="s">
        <v>564</v>
      </c>
      <c r="C2803" s="675" t="s">
        <v>2669</v>
      </c>
      <c r="D2803" s="675" t="s">
        <v>21</v>
      </c>
      <c r="E2803" s="702"/>
      <c r="F2803" s="702"/>
      <c r="G2803" s="675"/>
      <c r="H2803" s="675"/>
      <c r="I2803" s="675"/>
      <c r="J2803" s="675"/>
      <c r="K2803" s="675"/>
      <c r="L2803" s="675"/>
      <c r="M2803" s="675"/>
    </row>
    <row r="2804" spans="1:13" x14ac:dyDescent="0.25">
      <c r="A2804" s="675" t="s">
        <v>2660</v>
      </c>
      <c r="B2804" s="675" t="s">
        <v>564</v>
      </c>
      <c r="C2804" s="675" t="s">
        <v>2670</v>
      </c>
      <c r="D2804" s="675" t="s">
        <v>21</v>
      </c>
      <c r="E2804" s="702"/>
      <c r="F2804" s="702"/>
      <c r="G2804" s="675"/>
      <c r="H2804" s="675"/>
      <c r="I2804" s="675"/>
      <c r="J2804" s="675"/>
      <c r="K2804" s="675"/>
      <c r="L2804" s="675"/>
      <c r="M2804" s="675"/>
    </row>
    <row r="2805" spans="1:13" x14ac:dyDescent="0.25">
      <c r="A2805" s="675" t="s">
        <v>2660</v>
      </c>
      <c r="B2805" s="675" t="s">
        <v>512</v>
      </c>
      <c r="C2805" s="675" t="s">
        <v>2671</v>
      </c>
      <c r="D2805" s="675" t="s">
        <v>21</v>
      </c>
      <c r="E2805" s="702"/>
      <c r="F2805" s="702"/>
      <c r="G2805" s="675"/>
      <c r="H2805" s="675"/>
      <c r="I2805" s="675"/>
      <c r="J2805" s="675"/>
      <c r="K2805" s="675"/>
      <c r="L2805" s="675"/>
      <c r="M2805" s="675"/>
    </row>
    <row r="2806" spans="1:13" x14ac:dyDescent="0.25">
      <c r="A2806" s="675" t="s">
        <v>2660</v>
      </c>
      <c r="B2806" s="675" t="s">
        <v>512</v>
      </c>
      <c r="C2806" s="675" t="s">
        <v>2672</v>
      </c>
      <c r="D2806" s="675" t="s">
        <v>21</v>
      </c>
      <c r="E2806" s="702"/>
      <c r="F2806" s="702"/>
      <c r="G2806" s="675"/>
      <c r="H2806" s="675"/>
      <c r="I2806" s="675"/>
      <c r="J2806" s="675"/>
      <c r="K2806" s="675"/>
      <c r="L2806" s="675"/>
      <c r="M2806" s="675"/>
    </row>
    <row r="2807" spans="1:13" x14ac:dyDescent="0.25">
      <c r="A2807" s="675" t="s">
        <v>2660</v>
      </c>
      <c r="B2807" s="675" t="s">
        <v>512</v>
      </c>
      <c r="C2807" s="675" t="s">
        <v>2673</v>
      </c>
      <c r="D2807" s="675" t="s">
        <v>21</v>
      </c>
      <c r="E2807" s="702"/>
      <c r="F2807" s="702"/>
      <c r="G2807" s="675"/>
      <c r="H2807" s="675"/>
      <c r="I2807" s="675"/>
      <c r="J2807" s="675"/>
      <c r="K2807" s="675"/>
      <c r="L2807" s="675"/>
      <c r="M2807" s="675"/>
    </row>
    <row r="2808" spans="1:13" x14ac:dyDescent="0.25">
      <c r="A2808" s="675" t="s">
        <v>2660</v>
      </c>
      <c r="B2808" s="675" t="s">
        <v>512</v>
      </c>
      <c r="C2808" s="675" t="s">
        <v>2674</v>
      </c>
      <c r="D2808" s="675" t="s">
        <v>21</v>
      </c>
      <c r="E2808" s="702"/>
      <c r="F2808" s="702"/>
      <c r="G2808" s="675"/>
      <c r="H2808" s="675"/>
      <c r="I2808" s="675"/>
      <c r="J2808" s="675"/>
      <c r="K2808" s="675"/>
      <c r="L2808" s="675"/>
      <c r="M2808" s="675"/>
    </row>
    <row r="2809" spans="1:13" x14ac:dyDescent="0.25">
      <c r="A2809" s="675" t="s">
        <v>2660</v>
      </c>
      <c r="B2809" s="675" t="s">
        <v>512</v>
      </c>
      <c r="C2809" s="675" t="s">
        <v>2675</v>
      </c>
      <c r="D2809" s="675" t="s">
        <v>21</v>
      </c>
      <c r="E2809" s="702"/>
      <c r="F2809" s="702"/>
      <c r="G2809" s="675"/>
      <c r="H2809" s="675"/>
      <c r="I2809" s="675"/>
      <c r="J2809" s="675"/>
      <c r="K2809" s="675"/>
      <c r="L2809" s="675"/>
      <c r="M2809" s="675"/>
    </row>
    <row r="2810" spans="1:13" x14ac:dyDescent="0.25">
      <c r="A2810" s="675" t="s">
        <v>2676</v>
      </c>
      <c r="B2810" s="675" t="s">
        <v>545</v>
      </c>
      <c r="C2810" s="675" t="s">
        <v>2677</v>
      </c>
      <c r="D2810" s="675" t="s">
        <v>21</v>
      </c>
      <c r="E2810" s="702"/>
      <c r="F2810" s="702"/>
      <c r="G2810" s="675"/>
      <c r="H2810" s="675"/>
      <c r="I2810" s="675"/>
      <c r="J2810" s="675"/>
      <c r="K2810" s="675"/>
      <c r="L2810" s="675"/>
      <c r="M2810" s="675"/>
    </row>
    <row r="2811" spans="1:13" x14ac:dyDescent="0.25">
      <c r="A2811" s="675" t="s">
        <v>2676</v>
      </c>
      <c r="B2811" s="675" t="s">
        <v>545</v>
      </c>
      <c r="C2811" s="675" t="s">
        <v>2678</v>
      </c>
      <c r="D2811" s="675" t="s">
        <v>21</v>
      </c>
      <c r="E2811" s="702"/>
      <c r="F2811" s="702"/>
      <c r="G2811" s="675"/>
      <c r="H2811" s="675"/>
      <c r="I2811" s="675"/>
      <c r="J2811" s="675"/>
      <c r="K2811" s="675"/>
      <c r="L2811" s="675"/>
      <c r="M2811" s="675"/>
    </row>
    <row r="2812" spans="1:13" x14ac:dyDescent="0.25">
      <c r="A2812" s="675" t="s">
        <v>2676</v>
      </c>
      <c r="B2812" s="675" t="s">
        <v>545</v>
      </c>
      <c r="C2812" s="675" t="s">
        <v>2679</v>
      </c>
      <c r="D2812" s="675" t="s">
        <v>21</v>
      </c>
      <c r="E2812" s="702"/>
      <c r="F2812" s="702"/>
      <c r="G2812" s="675"/>
      <c r="H2812" s="675"/>
      <c r="I2812" s="675"/>
      <c r="J2812" s="675"/>
      <c r="K2812" s="675"/>
      <c r="L2812" s="675"/>
      <c r="M2812" s="675"/>
    </row>
    <row r="2813" spans="1:13" x14ac:dyDescent="0.25">
      <c r="A2813" s="675" t="s">
        <v>2676</v>
      </c>
      <c r="B2813" s="675" t="s">
        <v>545</v>
      </c>
      <c r="C2813" s="675" t="s">
        <v>2680</v>
      </c>
      <c r="D2813" s="675" t="s">
        <v>21</v>
      </c>
      <c r="E2813" s="702"/>
      <c r="F2813" s="702"/>
      <c r="G2813" s="675"/>
      <c r="H2813" s="675"/>
      <c r="I2813" s="675"/>
      <c r="J2813" s="675"/>
      <c r="K2813" s="675"/>
      <c r="L2813" s="675"/>
      <c r="M2813" s="675"/>
    </row>
    <row r="2814" spans="1:13" x14ac:dyDescent="0.25">
      <c r="A2814" s="675" t="s">
        <v>2676</v>
      </c>
      <c r="B2814" s="675" t="s">
        <v>545</v>
      </c>
      <c r="C2814" s="675" t="s">
        <v>2681</v>
      </c>
      <c r="D2814" s="675" t="s">
        <v>21</v>
      </c>
      <c r="E2814" s="702"/>
      <c r="F2814" s="702"/>
      <c r="G2814" s="675"/>
      <c r="H2814" s="675"/>
      <c r="I2814" s="675"/>
      <c r="J2814" s="675"/>
      <c r="K2814" s="675"/>
      <c r="L2814" s="675"/>
      <c r="M2814" s="675"/>
    </row>
    <row r="2815" spans="1:13" x14ac:dyDescent="0.25">
      <c r="A2815" s="675" t="s">
        <v>2676</v>
      </c>
      <c r="B2815" s="675" t="s">
        <v>564</v>
      </c>
      <c r="C2815" s="675" t="s">
        <v>2682</v>
      </c>
      <c r="D2815" s="675" t="s">
        <v>21</v>
      </c>
      <c r="E2815" s="702"/>
      <c r="F2815" s="702"/>
      <c r="G2815" s="675"/>
      <c r="H2815" s="675"/>
      <c r="I2815" s="675"/>
      <c r="J2815" s="675"/>
      <c r="K2815" s="675"/>
      <c r="L2815" s="675"/>
      <c r="M2815" s="675"/>
    </row>
    <row r="2816" spans="1:13" x14ac:dyDescent="0.25">
      <c r="A2816" s="675" t="s">
        <v>2676</v>
      </c>
      <c r="B2816" s="675" t="s">
        <v>564</v>
      </c>
      <c r="C2816" s="675" t="s">
        <v>2683</v>
      </c>
      <c r="D2816" s="675" t="s">
        <v>21</v>
      </c>
      <c r="E2816" s="702"/>
      <c r="F2816" s="702"/>
      <c r="G2816" s="675"/>
      <c r="H2816" s="675"/>
      <c r="I2816" s="675"/>
      <c r="J2816" s="675"/>
      <c r="K2816" s="675"/>
      <c r="L2816" s="675"/>
      <c r="M2816" s="675"/>
    </row>
    <row r="2817" spans="1:13" x14ac:dyDescent="0.25">
      <c r="A2817" s="675" t="s">
        <v>2676</v>
      </c>
      <c r="B2817" s="675" t="s">
        <v>564</v>
      </c>
      <c r="C2817" s="675" t="s">
        <v>2684</v>
      </c>
      <c r="D2817" s="675" t="s">
        <v>21</v>
      </c>
      <c r="E2817" s="702"/>
      <c r="F2817" s="702"/>
      <c r="G2817" s="675"/>
      <c r="H2817" s="675"/>
      <c r="I2817" s="675"/>
      <c r="J2817" s="675"/>
      <c r="K2817" s="675"/>
      <c r="L2817" s="675"/>
      <c r="M2817" s="675"/>
    </row>
    <row r="2818" spans="1:13" x14ac:dyDescent="0.25">
      <c r="A2818" s="675" t="s">
        <v>2676</v>
      </c>
      <c r="B2818" s="675" t="s">
        <v>564</v>
      </c>
      <c r="C2818" s="675" t="s">
        <v>2685</v>
      </c>
      <c r="D2818" s="675" t="s">
        <v>21</v>
      </c>
      <c r="E2818" s="702"/>
      <c r="F2818" s="702"/>
      <c r="G2818" s="675"/>
      <c r="H2818" s="675"/>
      <c r="I2818" s="675"/>
      <c r="J2818" s="675"/>
      <c r="K2818" s="675"/>
      <c r="L2818" s="675"/>
      <c r="M2818" s="675"/>
    </row>
    <row r="2819" spans="1:13" x14ac:dyDescent="0.25">
      <c r="A2819" s="675" t="s">
        <v>2676</v>
      </c>
      <c r="B2819" s="675" t="s">
        <v>564</v>
      </c>
      <c r="C2819" s="675" t="s">
        <v>2686</v>
      </c>
      <c r="D2819" s="675" t="s">
        <v>21</v>
      </c>
      <c r="E2819" s="702"/>
      <c r="F2819" s="702"/>
      <c r="G2819" s="675"/>
      <c r="H2819" s="675"/>
      <c r="I2819" s="675"/>
      <c r="J2819" s="675"/>
      <c r="K2819" s="675"/>
      <c r="L2819" s="675"/>
      <c r="M2819" s="675"/>
    </row>
    <row r="2820" spans="1:13" x14ac:dyDescent="0.25">
      <c r="A2820" s="675" t="s">
        <v>2676</v>
      </c>
      <c r="B2820" s="675" t="s">
        <v>512</v>
      </c>
      <c r="C2820" s="675" t="s">
        <v>2687</v>
      </c>
      <c r="D2820" s="675" t="s">
        <v>21</v>
      </c>
      <c r="E2820" s="702"/>
      <c r="F2820" s="702"/>
      <c r="G2820" s="675"/>
      <c r="H2820" s="675"/>
      <c r="I2820" s="675"/>
      <c r="J2820" s="675"/>
      <c r="K2820" s="675"/>
      <c r="L2820" s="675"/>
      <c r="M2820" s="675"/>
    </row>
    <row r="2821" spans="1:13" x14ac:dyDescent="0.25">
      <c r="A2821" s="675" t="s">
        <v>2676</v>
      </c>
      <c r="B2821" s="675" t="s">
        <v>512</v>
      </c>
      <c r="C2821" s="675" t="s">
        <v>2688</v>
      </c>
      <c r="D2821" s="675" t="s">
        <v>21</v>
      </c>
      <c r="E2821" s="702"/>
      <c r="F2821" s="702"/>
      <c r="G2821" s="675"/>
      <c r="H2821" s="675"/>
      <c r="I2821" s="675"/>
      <c r="J2821" s="675"/>
      <c r="K2821" s="675"/>
      <c r="L2821" s="675"/>
      <c r="M2821" s="675"/>
    </row>
    <row r="2822" spans="1:13" x14ac:dyDescent="0.25">
      <c r="A2822" s="675" t="s">
        <v>2676</v>
      </c>
      <c r="B2822" s="675" t="s">
        <v>512</v>
      </c>
      <c r="C2822" s="675" t="s">
        <v>2689</v>
      </c>
      <c r="D2822" s="675" t="s">
        <v>21</v>
      </c>
      <c r="E2822" s="702"/>
      <c r="F2822" s="702"/>
      <c r="G2822" s="675"/>
      <c r="H2822" s="675"/>
      <c r="I2822" s="675"/>
      <c r="J2822" s="675"/>
      <c r="K2822" s="675"/>
      <c r="L2822" s="675"/>
      <c r="M2822" s="675"/>
    </row>
    <row r="2823" spans="1:13" x14ac:dyDescent="0.25">
      <c r="A2823" s="675" t="s">
        <v>2676</v>
      </c>
      <c r="B2823" s="675" t="s">
        <v>512</v>
      </c>
      <c r="C2823" s="675" t="s">
        <v>2690</v>
      </c>
      <c r="D2823" s="675" t="s">
        <v>21</v>
      </c>
      <c r="E2823" s="702"/>
      <c r="F2823" s="702"/>
      <c r="G2823" s="675"/>
      <c r="H2823" s="675"/>
      <c r="I2823" s="675"/>
      <c r="J2823" s="675"/>
      <c r="K2823" s="675"/>
      <c r="L2823" s="675"/>
      <c r="M2823" s="675"/>
    </row>
    <row r="2824" spans="1:13" x14ac:dyDescent="0.25">
      <c r="A2824" s="675" t="s">
        <v>2676</v>
      </c>
      <c r="B2824" s="675" t="s">
        <v>512</v>
      </c>
      <c r="C2824" s="675" t="s">
        <v>2691</v>
      </c>
      <c r="D2824" s="675" t="s">
        <v>21</v>
      </c>
      <c r="E2824" s="702"/>
      <c r="F2824" s="702"/>
      <c r="G2824" s="675"/>
      <c r="H2824" s="675"/>
      <c r="I2824" s="675"/>
      <c r="J2824" s="675"/>
      <c r="K2824" s="675"/>
      <c r="L2824" s="675"/>
      <c r="M2824" s="675"/>
    </row>
    <row r="2825" spans="1:13" x14ac:dyDescent="0.25">
      <c r="A2825" s="675" t="s">
        <v>2692</v>
      </c>
      <c r="B2825" s="675" t="s">
        <v>545</v>
      </c>
      <c r="C2825" s="675" t="s">
        <v>2693</v>
      </c>
      <c r="D2825" s="675" t="s">
        <v>21</v>
      </c>
      <c r="E2825" s="702"/>
      <c r="F2825" s="702"/>
      <c r="G2825" s="675"/>
      <c r="H2825" s="675"/>
      <c r="I2825" s="675"/>
      <c r="J2825" s="675"/>
      <c r="K2825" s="675"/>
      <c r="L2825" s="675"/>
      <c r="M2825" s="675"/>
    </row>
    <row r="2826" spans="1:13" x14ac:dyDescent="0.25">
      <c r="A2826" s="675" t="s">
        <v>2692</v>
      </c>
      <c r="B2826" s="675" t="s">
        <v>545</v>
      </c>
      <c r="C2826" s="675" t="s">
        <v>2694</v>
      </c>
      <c r="D2826" s="675" t="s">
        <v>21</v>
      </c>
      <c r="E2826" s="702"/>
      <c r="F2826" s="702"/>
      <c r="G2826" s="675"/>
      <c r="H2826" s="675"/>
      <c r="I2826" s="675"/>
      <c r="J2826" s="675"/>
      <c r="K2826" s="675"/>
      <c r="L2826" s="675"/>
      <c r="M2826" s="675"/>
    </row>
    <row r="2827" spans="1:13" x14ac:dyDescent="0.25">
      <c r="A2827" s="675" t="s">
        <v>2692</v>
      </c>
      <c r="B2827" s="675" t="s">
        <v>545</v>
      </c>
      <c r="C2827" s="675" t="s">
        <v>2695</v>
      </c>
      <c r="D2827" s="675" t="s">
        <v>21</v>
      </c>
      <c r="E2827" s="702"/>
      <c r="F2827" s="702"/>
      <c r="G2827" s="675"/>
      <c r="H2827" s="675"/>
      <c r="I2827" s="675"/>
      <c r="J2827" s="675"/>
      <c r="K2827" s="675"/>
      <c r="L2827" s="675"/>
      <c r="M2827" s="675"/>
    </row>
    <row r="2828" spans="1:13" x14ac:dyDescent="0.25">
      <c r="A2828" s="675" t="s">
        <v>2692</v>
      </c>
      <c r="B2828" s="675" t="s">
        <v>545</v>
      </c>
      <c r="C2828" s="675" t="s">
        <v>2696</v>
      </c>
      <c r="D2828" s="675" t="s">
        <v>21</v>
      </c>
      <c r="E2828" s="702"/>
      <c r="F2828" s="702"/>
      <c r="G2828" s="675"/>
      <c r="H2828" s="675"/>
      <c r="I2828" s="675"/>
      <c r="J2828" s="675"/>
      <c r="K2828" s="675"/>
      <c r="L2828" s="675"/>
      <c r="M2828" s="675"/>
    </row>
    <row r="2829" spans="1:13" x14ac:dyDescent="0.25">
      <c r="A2829" s="675" t="s">
        <v>2692</v>
      </c>
      <c r="B2829" s="675" t="s">
        <v>545</v>
      </c>
      <c r="C2829" s="675" t="s">
        <v>2697</v>
      </c>
      <c r="D2829" s="675" t="s">
        <v>21</v>
      </c>
      <c r="E2829" s="702"/>
      <c r="F2829" s="702"/>
      <c r="G2829" s="675"/>
      <c r="H2829" s="675"/>
      <c r="I2829" s="675"/>
      <c r="J2829" s="675"/>
      <c r="K2829" s="675"/>
      <c r="L2829" s="675"/>
      <c r="M2829" s="675"/>
    </row>
    <row r="2830" spans="1:13" x14ac:dyDescent="0.25">
      <c r="A2830" s="675" t="s">
        <v>2692</v>
      </c>
      <c r="B2830" s="675" t="s">
        <v>564</v>
      </c>
      <c r="C2830" s="675" t="s">
        <v>2698</v>
      </c>
      <c r="D2830" s="675" t="s">
        <v>21</v>
      </c>
      <c r="E2830" s="702"/>
      <c r="F2830" s="702"/>
      <c r="G2830" s="675"/>
      <c r="H2830" s="675"/>
      <c r="I2830" s="675"/>
      <c r="J2830" s="675"/>
      <c r="K2830" s="675"/>
      <c r="L2830" s="675"/>
      <c r="M2830" s="675"/>
    </row>
    <row r="2831" spans="1:13" x14ac:dyDescent="0.25">
      <c r="A2831" s="675" t="s">
        <v>2692</v>
      </c>
      <c r="B2831" s="675" t="s">
        <v>564</v>
      </c>
      <c r="C2831" s="675" t="s">
        <v>2699</v>
      </c>
      <c r="D2831" s="675" t="s">
        <v>21</v>
      </c>
      <c r="E2831" s="702"/>
      <c r="F2831" s="702"/>
      <c r="G2831" s="675"/>
      <c r="H2831" s="675"/>
      <c r="I2831" s="675"/>
      <c r="J2831" s="675"/>
      <c r="K2831" s="675"/>
      <c r="L2831" s="675"/>
      <c r="M2831" s="675"/>
    </row>
    <row r="2832" spans="1:13" x14ac:dyDescent="0.25">
      <c r="A2832" s="675" t="s">
        <v>2692</v>
      </c>
      <c r="B2832" s="675" t="s">
        <v>564</v>
      </c>
      <c r="C2832" s="675" t="s">
        <v>2700</v>
      </c>
      <c r="D2832" s="675" t="s">
        <v>21</v>
      </c>
      <c r="E2832" s="702"/>
      <c r="F2832" s="702"/>
      <c r="G2832" s="675"/>
      <c r="H2832" s="675"/>
      <c r="I2832" s="675"/>
      <c r="J2832" s="675"/>
      <c r="K2832" s="675"/>
      <c r="L2832" s="675"/>
      <c r="M2832" s="675"/>
    </row>
    <row r="2833" spans="1:13" x14ac:dyDescent="0.25">
      <c r="A2833" s="675" t="s">
        <v>2692</v>
      </c>
      <c r="B2833" s="675" t="s">
        <v>564</v>
      </c>
      <c r="C2833" s="675" t="s">
        <v>2701</v>
      </c>
      <c r="D2833" s="675" t="s">
        <v>21</v>
      </c>
      <c r="E2833" s="702"/>
      <c r="F2833" s="702"/>
      <c r="G2833" s="675"/>
      <c r="H2833" s="675"/>
      <c r="I2833" s="675"/>
      <c r="J2833" s="675"/>
      <c r="K2833" s="675"/>
      <c r="L2833" s="675"/>
      <c r="M2833" s="675"/>
    </row>
    <row r="2834" spans="1:13" x14ac:dyDescent="0.25">
      <c r="A2834" s="675" t="s">
        <v>2692</v>
      </c>
      <c r="B2834" s="675" t="s">
        <v>564</v>
      </c>
      <c r="C2834" s="675" t="s">
        <v>2702</v>
      </c>
      <c r="D2834" s="675" t="s">
        <v>21</v>
      </c>
      <c r="E2834" s="702"/>
      <c r="F2834" s="702"/>
      <c r="G2834" s="675"/>
      <c r="H2834" s="675"/>
      <c r="I2834" s="675"/>
      <c r="J2834" s="675"/>
      <c r="K2834" s="675"/>
      <c r="L2834" s="675"/>
      <c r="M2834" s="675"/>
    </row>
    <row r="2835" spans="1:13" x14ac:dyDescent="0.25">
      <c r="A2835" s="675" t="s">
        <v>2692</v>
      </c>
      <c r="B2835" s="675" t="s">
        <v>512</v>
      </c>
      <c r="C2835" s="675" t="s">
        <v>2703</v>
      </c>
      <c r="D2835" s="675" t="s">
        <v>21</v>
      </c>
      <c r="E2835" s="702"/>
      <c r="F2835" s="702"/>
      <c r="G2835" s="675"/>
      <c r="H2835" s="675"/>
      <c r="I2835" s="675"/>
      <c r="J2835" s="675"/>
      <c r="K2835" s="675"/>
      <c r="L2835" s="675"/>
      <c r="M2835" s="675"/>
    </row>
    <row r="2836" spans="1:13" x14ac:dyDescent="0.25">
      <c r="A2836" s="675" t="s">
        <v>2692</v>
      </c>
      <c r="B2836" s="675" t="s">
        <v>512</v>
      </c>
      <c r="C2836" s="675" t="s">
        <v>2704</v>
      </c>
      <c r="D2836" s="675" t="s">
        <v>21</v>
      </c>
      <c r="E2836" s="702"/>
      <c r="F2836" s="702"/>
      <c r="G2836" s="675"/>
      <c r="H2836" s="675"/>
      <c r="I2836" s="675"/>
      <c r="J2836" s="675"/>
      <c r="K2836" s="675"/>
      <c r="L2836" s="675"/>
      <c r="M2836" s="675"/>
    </row>
    <row r="2837" spans="1:13" x14ac:dyDescent="0.25">
      <c r="A2837" s="675" t="s">
        <v>2692</v>
      </c>
      <c r="B2837" s="675" t="s">
        <v>512</v>
      </c>
      <c r="C2837" s="675" t="s">
        <v>2705</v>
      </c>
      <c r="D2837" s="675" t="s">
        <v>21</v>
      </c>
      <c r="E2837" s="702"/>
      <c r="F2837" s="702"/>
      <c r="G2837" s="675"/>
      <c r="H2837" s="675"/>
      <c r="I2837" s="675"/>
      <c r="J2837" s="675"/>
      <c r="K2837" s="675"/>
      <c r="L2837" s="675"/>
      <c r="M2837" s="675"/>
    </row>
    <row r="2838" spans="1:13" x14ac:dyDescent="0.25">
      <c r="A2838" s="675" t="s">
        <v>2692</v>
      </c>
      <c r="B2838" s="675" t="s">
        <v>512</v>
      </c>
      <c r="C2838" s="675" t="s">
        <v>2706</v>
      </c>
      <c r="D2838" s="675" t="s">
        <v>21</v>
      </c>
      <c r="E2838" s="702"/>
      <c r="F2838" s="702"/>
      <c r="G2838" s="675"/>
      <c r="H2838" s="675"/>
      <c r="I2838" s="675"/>
      <c r="J2838" s="675"/>
      <c r="K2838" s="675"/>
      <c r="L2838" s="675"/>
      <c r="M2838" s="675"/>
    </row>
    <row r="2839" spans="1:13" x14ac:dyDescent="0.25">
      <c r="A2839" s="675" t="s">
        <v>2692</v>
      </c>
      <c r="B2839" s="675" t="s">
        <v>512</v>
      </c>
      <c r="C2839" s="675" t="s">
        <v>2707</v>
      </c>
      <c r="D2839" s="675" t="s">
        <v>21</v>
      </c>
      <c r="E2839" s="702"/>
      <c r="F2839" s="702"/>
      <c r="G2839" s="675"/>
      <c r="H2839" s="675"/>
      <c r="I2839" s="675"/>
      <c r="J2839" s="675"/>
      <c r="K2839" s="675"/>
      <c r="L2839" s="675"/>
      <c r="M2839" s="675"/>
    </row>
    <row r="2840" spans="1:13" x14ac:dyDescent="0.25">
      <c r="A2840" s="675" t="s">
        <v>2708</v>
      </c>
      <c r="B2840" s="675" t="s">
        <v>545</v>
      </c>
      <c r="C2840" s="675" t="s">
        <v>2709</v>
      </c>
      <c r="D2840" s="675" t="s">
        <v>21</v>
      </c>
      <c r="E2840" s="702"/>
      <c r="F2840" s="702"/>
      <c r="G2840" s="675"/>
      <c r="H2840" s="675"/>
      <c r="I2840" s="675"/>
      <c r="J2840" s="675"/>
      <c r="K2840" s="675"/>
      <c r="L2840" s="675"/>
      <c r="M2840" s="675"/>
    </row>
    <row r="2841" spans="1:13" x14ac:dyDescent="0.25">
      <c r="A2841" s="675" t="s">
        <v>2708</v>
      </c>
      <c r="B2841" s="675" t="s">
        <v>545</v>
      </c>
      <c r="C2841" s="675" t="s">
        <v>2710</v>
      </c>
      <c r="D2841" s="675" t="s">
        <v>21</v>
      </c>
      <c r="E2841" s="702"/>
      <c r="F2841" s="702"/>
      <c r="G2841" s="675"/>
      <c r="H2841" s="675"/>
      <c r="I2841" s="675"/>
      <c r="J2841" s="675"/>
      <c r="K2841" s="675"/>
      <c r="L2841" s="675"/>
      <c r="M2841" s="675"/>
    </row>
    <row r="2842" spans="1:13" x14ac:dyDescent="0.25">
      <c r="A2842" s="675" t="s">
        <v>2708</v>
      </c>
      <c r="B2842" s="675" t="s">
        <v>545</v>
      </c>
      <c r="C2842" s="675" t="s">
        <v>2711</v>
      </c>
      <c r="D2842" s="675" t="s">
        <v>21</v>
      </c>
      <c r="E2842" s="702"/>
      <c r="F2842" s="702"/>
      <c r="G2842" s="675"/>
      <c r="H2842" s="675"/>
      <c r="I2842" s="675"/>
      <c r="J2842" s="675"/>
      <c r="K2842" s="675"/>
      <c r="L2842" s="675"/>
      <c r="M2842" s="675"/>
    </row>
    <row r="2843" spans="1:13" x14ac:dyDescent="0.25">
      <c r="A2843" s="675" t="s">
        <v>2708</v>
      </c>
      <c r="B2843" s="675" t="s">
        <v>545</v>
      </c>
      <c r="C2843" s="675" t="s">
        <v>2712</v>
      </c>
      <c r="D2843" s="675" t="s">
        <v>21</v>
      </c>
      <c r="E2843" s="702"/>
      <c r="F2843" s="702"/>
      <c r="G2843" s="675"/>
      <c r="H2843" s="675"/>
      <c r="I2843" s="675"/>
      <c r="J2843" s="675"/>
      <c r="K2843" s="675"/>
      <c r="L2843" s="675"/>
      <c r="M2843" s="675"/>
    </row>
    <row r="2844" spans="1:13" x14ac:dyDescent="0.25">
      <c r="A2844" s="675" t="s">
        <v>2708</v>
      </c>
      <c r="B2844" s="675" t="s">
        <v>545</v>
      </c>
      <c r="C2844" s="675" t="s">
        <v>2713</v>
      </c>
      <c r="D2844" s="675" t="s">
        <v>21</v>
      </c>
      <c r="E2844" s="702"/>
      <c r="F2844" s="702"/>
      <c r="G2844" s="675"/>
      <c r="H2844" s="675"/>
      <c r="I2844" s="675"/>
      <c r="J2844" s="675"/>
      <c r="K2844" s="675"/>
      <c r="L2844" s="675"/>
      <c r="M2844" s="675"/>
    </row>
    <row r="2845" spans="1:13" x14ac:dyDescent="0.25">
      <c r="A2845" s="675" t="s">
        <v>2708</v>
      </c>
      <c r="B2845" s="675" t="s">
        <v>564</v>
      </c>
      <c r="C2845" s="675" t="s">
        <v>2714</v>
      </c>
      <c r="D2845" s="675" t="s">
        <v>21</v>
      </c>
      <c r="E2845" s="702"/>
      <c r="F2845" s="702"/>
      <c r="G2845" s="675"/>
      <c r="H2845" s="675"/>
      <c r="I2845" s="675"/>
      <c r="J2845" s="675"/>
      <c r="K2845" s="675"/>
      <c r="L2845" s="675"/>
      <c r="M2845" s="675"/>
    </row>
    <row r="2846" spans="1:13" x14ac:dyDescent="0.25">
      <c r="A2846" s="675" t="s">
        <v>2708</v>
      </c>
      <c r="B2846" s="675" t="s">
        <v>564</v>
      </c>
      <c r="C2846" s="675" t="s">
        <v>2715</v>
      </c>
      <c r="D2846" s="675" t="s">
        <v>21</v>
      </c>
      <c r="E2846" s="702"/>
      <c r="F2846" s="702"/>
      <c r="G2846" s="675"/>
      <c r="H2846" s="675"/>
      <c r="I2846" s="675"/>
      <c r="J2846" s="675"/>
      <c r="K2846" s="675"/>
      <c r="L2846" s="675"/>
      <c r="M2846" s="675"/>
    </row>
    <row r="2847" spans="1:13" x14ac:dyDescent="0.25">
      <c r="A2847" s="675" t="s">
        <v>2708</v>
      </c>
      <c r="B2847" s="675" t="s">
        <v>564</v>
      </c>
      <c r="C2847" s="675" t="s">
        <v>2716</v>
      </c>
      <c r="D2847" s="675" t="s">
        <v>21</v>
      </c>
      <c r="E2847" s="702"/>
      <c r="F2847" s="702"/>
      <c r="G2847" s="675"/>
      <c r="H2847" s="675"/>
      <c r="I2847" s="675"/>
      <c r="J2847" s="675"/>
      <c r="K2847" s="675"/>
      <c r="L2847" s="675"/>
      <c r="M2847" s="675"/>
    </row>
    <row r="2848" spans="1:13" x14ac:dyDescent="0.25">
      <c r="A2848" s="675" t="s">
        <v>2708</v>
      </c>
      <c r="B2848" s="675" t="s">
        <v>564</v>
      </c>
      <c r="C2848" s="675" t="s">
        <v>2717</v>
      </c>
      <c r="D2848" s="675" t="s">
        <v>21</v>
      </c>
      <c r="E2848" s="702"/>
      <c r="F2848" s="702"/>
      <c r="G2848" s="675"/>
      <c r="H2848" s="675"/>
      <c r="I2848" s="675"/>
      <c r="J2848" s="675"/>
      <c r="K2848" s="675"/>
      <c r="L2848" s="675"/>
      <c r="M2848" s="675"/>
    </row>
    <row r="2849" spans="1:13" x14ac:dyDescent="0.25">
      <c r="A2849" s="675" t="s">
        <v>2708</v>
      </c>
      <c r="B2849" s="675" t="s">
        <v>564</v>
      </c>
      <c r="C2849" s="675" t="s">
        <v>2718</v>
      </c>
      <c r="D2849" s="675" t="s">
        <v>21</v>
      </c>
      <c r="E2849" s="702"/>
      <c r="F2849" s="702"/>
      <c r="G2849" s="675"/>
      <c r="H2849" s="675"/>
      <c r="I2849" s="675"/>
      <c r="J2849" s="675"/>
      <c r="K2849" s="675"/>
      <c r="L2849" s="675"/>
      <c r="M2849" s="675"/>
    </row>
    <row r="2850" spans="1:13" x14ac:dyDescent="0.25">
      <c r="A2850" s="675" t="s">
        <v>2708</v>
      </c>
      <c r="B2850" s="675" t="s">
        <v>512</v>
      </c>
      <c r="C2850" s="675" t="s">
        <v>2719</v>
      </c>
      <c r="D2850" s="675" t="s">
        <v>21</v>
      </c>
      <c r="E2850" s="702"/>
      <c r="F2850" s="702"/>
      <c r="G2850" s="675"/>
      <c r="H2850" s="675"/>
      <c r="I2850" s="675"/>
      <c r="J2850" s="675"/>
      <c r="K2850" s="675"/>
      <c r="L2850" s="675"/>
      <c r="M2850" s="675"/>
    </row>
    <row r="2851" spans="1:13" x14ac:dyDescent="0.25">
      <c r="A2851" s="675" t="s">
        <v>2708</v>
      </c>
      <c r="B2851" s="675" t="s">
        <v>512</v>
      </c>
      <c r="C2851" s="675" t="s">
        <v>2720</v>
      </c>
      <c r="D2851" s="675" t="s">
        <v>21</v>
      </c>
      <c r="E2851" s="702"/>
      <c r="F2851" s="702"/>
      <c r="G2851" s="675"/>
      <c r="H2851" s="675"/>
      <c r="I2851" s="675"/>
      <c r="J2851" s="675"/>
      <c r="K2851" s="675"/>
      <c r="L2851" s="675"/>
      <c r="M2851" s="675"/>
    </row>
    <row r="2852" spans="1:13" x14ac:dyDescent="0.25">
      <c r="A2852" s="675" t="s">
        <v>2708</v>
      </c>
      <c r="B2852" s="675" t="s">
        <v>512</v>
      </c>
      <c r="C2852" s="675" t="s">
        <v>2721</v>
      </c>
      <c r="D2852" s="675" t="s">
        <v>21</v>
      </c>
      <c r="E2852" s="702"/>
      <c r="F2852" s="702"/>
      <c r="G2852" s="675"/>
      <c r="H2852" s="675"/>
      <c r="I2852" s="675"/>
      <c r="J2852" s="675"/>
      <c r="K2852" s="675"/>
      <c r="L2852" s="675"/>
      <c r="M2852" s="675"/>
    </row>
    <row r="2853" spans="1:13" x14ac:dyDescent="0.25">
      <c r="A2853" s="675" t="s">
        <v>2708</v>
      </c>
      <c r="B2853" s="675" t="s">
        <v>512</v>
      </c>
      <c r="C2853" s="675" t="s">
        <v>2722</v>
      </c>
      <c r="D2853" s="675" t="s">
        <v>21</v>
      </c>
      <c r="E2853" s="702"/>
      <c r="F2853" s="702"/>
      <c r="G2853" s="675"/>
      <c r="H2853" s="675"/>
      <c r="I2853" s="675"/>
      <c r="J2853" s="675"/>
      <c r="K2853" s="675"/>
      <c r="L2853" s="675"/>
      <c r="M2853" s="675"/>
    </row>
    <row r="2854" spans="1:13" x14ac:dyDescent="0.25">
      <c r="A2854" s="675" t="s">
        <v>2708</v>
      </c>
      <c r="B2854" s="675" t="s">
        <v>512</v>
      </c>
      <c r="C2854" s="675" t="s">
        <v>2723</v>
      </c>
      <c r="D2854" s="675" t="s">
        <v>21</v>
      </c>
      <c r="E2854" s="702"/>
      <c r="F2854" s="702"/>
      <c r="G2854" s="675"/>
      <c r="H2854" s="675"/>
      <c r="I2854" s="675"/>
      <c r="J2854" s="675"/>
      <c r="K2854" s="675"/>
      <c r="L2854" s="675"/>
      <c r="M2854" s="675"/>
    </row>
    <row r="2855" spans="1:13" x14ac:dyDescent="0.25">
      <c r="A2855" s="675" t="s">
        <v>2724</v>
      </c>
      <c r="B2855" s="675" t="s">
        <v>545</v>
      </c>
      <c r="C2855" s="675" t="s">
        <v>2725</v>
      </c>
      <c r="D2855" s="675" t="s">
        <v>21</v>
      </c>
      <c r="E2855" s="702"/>
      <c r="F2855" s="702"/>
      <c r="G2855" s="675"/>
      <c r="H2855" s="675"/>
      <c r="I2855" s="675"/>
      <c r="J2855" s="675"/>
      <c r="K2855" s="675"/>
      <c r="L2855" s="675"/>
      <c r="M2855" s="675"/>
    </row>
    <row r="2856" spans="1:13" x14ac:dyDescent="0.25">
      <c r="A2856" s="675" t="s">
        <v>2724</v>
      </c>
      <c r="B2856" s="675" t="s">
        <v>545</v>
      </c>
      <c r="C2856" s="675" t="s">
        <v>2726</v>
      </c>
      <c r="D2856" s="675" t="s">
        <v>21</v>
      </c>
      <c r="E2856" s="702"/>
      <c r="F2856" s="702"/>
      <c r="G2856" s="675"/>
      <c r="H2856" s="675"/>
      <c r="I2856" s="675"/>
      <c r="J2856" s="675"/>
      <c r="K2856" s="675"/>
      <c r="L2856" s="675"/>
      <c r="M2856" s="675"/>
    </row>
    <row r="2857" spans="1:13" x14ac:dyDescent="0.25">
      <c r="A2857" s="675" t="s">
        <v>2724</v>
      </c>
      <c r="B2857" s="675" t="s">
        <v>545</v>
      </c>
      <c r="C2857" s="675" t="s">
        <v>2727</v>
      </c>
      <c r="D2857" s="675" t="s">
        <v>21</v>
      </c>
      <c r="E2857" s="702"/>
      <c r="F2857" s="702"/>
      <c r="G2857" s="675"/>
      <c r="H2857" s="675"/>
      <c r="I2857" s="675"/>
      <c r="J2857" s="675"/>
      <c r="K2857" s="675"/>
      <c r="L2857" s="675"/>
      <c r="M2857" s="675"/>
    </row>
    <row r="2858" spans="1:13" x14ac:dyDescent="0.25">
      <c r="A2858" s="675" t="s">
        <v>2724</v>
      </c>
      <c r="B2858" s="675" t="s">
        <v>545</v>
      </c>
      <c r="C2858" s="675" t="s">
        <v>2728</v>
      </c>
      <c r="D2858" s="675" t="s">
        <v>21</v>
      </c>
      <c r="E2858" s="702"/>
      <c r="F2858" s="702"/>
      <c r="G2858" s="675"/>
      <c r="H2858" s="675"/>
      <c r="I2858" s="675"/>
      <c r="J2858" s="675"/>
      <c r="K2858" s="675"/>
      <c r="L2858" s="675"/>
      <c r="M2858" s="675"/>
    </row>
    <row r="2859" spans="1:13" x14ac:dyDescent="0.25">
      <c r="A2859" s="675" t="s">
        <v>2724</v>
      </c>
      <c r="B2859" s="675" t="s">
        <v>545</v>
      </c>
      <c r="C2859" s="675" t="s">
        <v>2729</v>
      </c>
      <c r="D2859" s="675" t="s">
        <v>21</v>
      </c>
      <c r="E2859" s="702"/>
      <c r="F2859" s="702"/>
      <c r="G2859" s="675"/>
      <c r="H2859" s="675"/>
      <c r="I2859" s="675"/>
      <c r="J2859" s="675"/>
      <c r="K2859" s="675"/>
      <c r="L2859" s="675"/>
      <c r="M2859" s="675"/>
    </row>
    <row r="2860" spans="1:13" x14ac:dyDescent="0.25">
      <c r="A2860" s="675" t="s">
        <v>2724</v>
      </c>
      <c r="B2860" s="675" t="s">
        <v>564</v>
      </c>
      <c r="C2860" s="675" t="s">
        <v>2730</v>
      </c>
      <c r="D2860" s="675" t="s">
        <v>21</v>
      </c>
      <c r="E2860" s="702"/>
      <c r="F2860" s="702"/>
      <c r="G2860" s="675"/>
      <c r="H2860" s="675"/>
      <c r="I2860" s="675"/>
      <c r="J2860" s="675"/>
      <c r="K2860" s="675"/>
      <c r="L2860" s="675"/>
      <c r="M2860" s="675"/>
    </row>
    <row r="2861" spans="1:13" x14ac:dyDescent="0.25">
      <c r="A2861" s="675" t="s">
        <v>2724</v>
      </c>
      <c r="B2861" s="675" t="s">
        <v>564</v>
      </c>
      <c r="C2861" s="675" t="s">
        <v>2731</v>
      </c>
      <c r="D2861" s="675" t="s">
        <v>21</v>
      </c>
      <c r="E2861" s="702"/>
      <c r="F2861" s="702"/>
      <c r="G2861" s="675"/>
      <c r="H2861" s="675"/>
      <c r="I2861" s="675"/>
      <c r="J2861" s="675"/>
      <c r="K2861" s="675"/>
      <c r="L2861" s="675"/>
      <c r="M2861" s="675"/>
    </row>
    <row r="2862" spans="1:13" x14ac:dyDescent="0.25">
      <c r="A2862" s="675" t="s">
        <v>2724</v>
      </c>
      <c r="B2862" s="675" t="s">
        <v>564</v>
      </c>
      <c r="C2862" s="675" t="s">
        <v>2732</v>
      </c>
      <c r="D2862" s="675" t="s">
        <v>21</v>
      </c>
      <c r="E2862" s="702"/>
      <c r="F2862" s="702"/>
      <c r="G2862" s="675"/>
      <c r="H2862" s="675"/>
      <c r="I2862" s="675"/>
      <c r="J2862" s="675"/>
      <c r="K2862" s="675"/>
      <c r="L2862" s="675"/>
      <c r="M2862" s="675"/>
    </row>
    <row r="2863" spans="1:13" x14ac:dyDescent="0.25">
      <c r="A2863" s="675" t="s">
        <v>2724</v>
      </c>
      <c r="B2863" s="675" t="s">
        <v>564</v>
      </c>
      <c r="C2863" s="675" t="s">
        <v>2733</v>
      </c>
      <c r="D2863" s="675" t="s">
        <v>21</v>
      </c>
      <c r="E2863" s="702"/>
      <c r="F2863" s="702"/>
      <c r="G2863" s="675"/>
      <c r="H2863" s="675"/>
      <c r="I2863" s="675"/>
      <c r="J2863" s="675"/>
      <c r="K2863" s="675"/>
      <c r="L2863" s="675"/>
      <c r="M2863" s="675"/>
    </row>
    <row r="2864" spans="1:13" x14ac:dyDescent="0.25">
      <c r="A2864" s="675" t="s">
        <v>2724</v>
      </c>
      <c r="B2864" s="675" t="s">
        <v>564</v>
      </c>
      <c r="C2864" s="675" t="s">
        <v>2734</v>
      </c>
      <c r="D2864" s="675" t="s">
        <v>21</v>
      </c>
      <c r="E2864" s="702"/>
      <c r="F2864" s="702"/>
      <c r="G2864" s="675"/>
      <c r="H2864" s="675"/>
      <c r="I2864" s="675"/>
      <c r="J2864" s="675"/>
      <c r="K2864" s="675"/>
      <c r="L2864" s="675"/>
      <c r="M2864" s="675"/>
    </row>
    <row r="2865" spans="1:13" x14ac:dyDescent="0.25">
      <c r="A2865" s="675" t="s">
        <v>2724</v>
      </c>
      <c r="B2865" s="675" t="s">
        <v>512</v>
      </c>
      <c r="C2865" s="675" t="s">
        <v>2735</v>
      </c>
      <c r="D2865" s="675" t="s">
        <v>21</v>
      </c>
      <c r="E2865" s="702"/>
      <c r="F2865" s="702"/>
      <c r="G2865" s="675"/>
      <c r="H2865" s="675"/>
      <c r="I2865" s="675"/>
      <c r="J2865" s="675"/>
      <c r="K2865" s="675"/>
      <c r="L2865" s="675"/>
      <c r="M2865" s="675"/>
    </row>
    <row r="2866" spans="1:13" x14ac:dyDescent="0.25">
      <c r="A2866" s="675" t="s">
        <v>2724</v>
      </c>
      <c r="B2866" s="675" t="s">
        <v>512</v>
      </c>
      <c r="C2866" s="675" t="s">
        <v>2736</v>
      </c>
      <c r="D2866" s="675" t="s">
        <v>21</v>
      </c>
      <c r="E2866" s="702"/>
      <c r="F2866" s="702"/>
      <c r="G2866" s="675"/>
      <c r="H2866" s="675"/>
      <c r="I2866" s="675"/>
      <c r="J2866" s="675"/>
      <c r="K2866" s="675"/>
      <c r="L2866" s="675"/>
      <c r="M2866" s="675"/>
    </row>
    <row r="2867" spans="1:13" x14ac:dyDescent="0.25">
      <c r="A2867" s="675" t="s">
        <v>2724</v>
      </c>
      <c r="B2867" s="675" t="s">
        <v>512</v>
      </c>
      <c r="C2867" s="675" t="s">
        <v>2737</v>
      </c>
      <c r="D2867" s="675" t="s">
        <v>21</v>
      </c>
      <c r="E2867" s="702"/>
      <c r="F2867" s="702"/>
      <c r="G2867" s="675"/>
      <c r="H2867" s="675"/>
      <c r="I2867" s="675"/>
      <c r="J2867" s="675"/>
      <c r="K2867" s="675"/>
      <c r="L2867" s="675"/>
      <c r="M2867" s="675"/>
    </row>
    <row r="2868" spans="1:13" x14ac:dyDescent="0.25">
      <c r="A2868" s="675" t="s">
        <v>2724</v>
      </c>
      <c r="B2868" s="675" t="s">
        <v>512</v>
      </c>
      <c r="C2868" s="675" t="s">
        <v>2738</v>
      </c>
      <c r="D2868" s="675" t="s">
        <v>21</v>
      </c>
      <c r="E2868" s="702"/>
      <c r="F2868" s="702"/>
      <c r="G2868" s="675"/>
      <c r="H2868" s="675"/>
      <c r="I2868" s="675"/>
      <c r="J2868" s="675"/>
      <c r="K2868" s="675"/>
      <c r="L2868" s="675"/>
      <c r="M2868" s="675"/>
    </row>
    <row r="2869" spans="1:13" x14ac:dyDescent="0.25">
      <c r="A2869" s="675" t="s">
        <v>2739</v>
      </c>
      <c r="B2869" s="675" t="s">
        <v>512</v>
      </c>
      <c r="C2869" s="675" t="s">
        <v>2740</v>
      </c>
      <c r="D2869" s="675" t="s">
        <v>21</v>
      </c>
      <c r="E2869" s="702"/>
      <c r="F2869" s="702"/>
      <c r="G2869" s="675"/>
      <c r="H2869" s="675"/>
      <c r="I2869" s="675"/>
      <c r="J2869" s="675"/>
      <c r="K2869" s="675"/>
      <c r="L2869" s="675"/>
      <c r="M2869" s="675"/>
    </row>
    <row r="2870" spans="1:13" x14ac:dyDescent="0.25">
      <c r="A2870" s="675" t="s">
        <v>2739</v>
      </c>
      <c r="B2870" s="675" t="s">
        <v>545</v>
      </c>
      <c r="C2870" s="675" t="s">
        <v>2741</v>
      </c>
      <c r="D2870" s="675" t="s">
        <v>21</v>
      </c>
      <c r="E2870" s="702"/>
      <c r="F2870" s="702"/>
      <c r="G2870" s="675"/>
      <c r="H2870" s="675"/>
      <c r="I2870" s="675"/>
      <c r="J2870" s="675"/>
      <c r="K2870" s="675"/>
      <c r="L2870" s="675"/>
      <c r="M2870" s="675"/>
    </row>
    <row r="2871" spans="1:13" x14ac:dyDescent="0.25">
      <c r="A2871" s="675" t="s">
        <v>2739</v>
      </c>
      <c r="B2871" s="675" t="s">
        <v>545</v>
      </c>
      <c r="C2871" s="675" t="s">
        <v>2742</v>
      </c>
      <c r="D2871" s="675" t="s">
        <v>21</v>
      </c>
      <c r="E2871" s="702"/>
      <c r="F2871" s="702"/>
      <c r="G2871" s="675"/>
      <c r="H2871" s="675"/>
      <c r="I2871" s="675"/>
      <c r="J2871" s="675"/>
      <c r="K2871" s="675"/>
      <c r="L2871" s="675"/>
      <c r="M2871" s="675"/>
    </row>
    <row r="2872" spans="1:13" x14ac:dyDescent="0.25">
      <c r="A2872" s="675" t="s">
        <v>2739</v>
      </c>
      <c r="B2872" s="675" t="s">
        <v>545</v>
      </c>
      <c r="C2872" s="675" t="s">
        <v>2743</v>
      </c>
      <c r="D2872" s="675" t="s">
        <v>21</v>
      </c>
      <c r="E2872" s="702"/>
      <c r="F2872" s="702"/>
      <c r="G2872" s="675"/>
      <c r="H2872" s="675"/>
      <c r="I2872" s="675"/>
      <c r="J2872" s="675"/>
      <c r="K2872" s="675"/>
      <c r="L2872" s="675"/>
      <c r="M2872" s="675"/>
    </row>
    <row r="2873" spans="1:13" x14ac:dyDescent="0.25">
      <c r="A2873" s="675" t="s">
        <v>2739</v>
      </c>
      <c r="B2873" s="675" t="s">
        <v>545</v>
      </c>
      <c r="C2873" s="675" t="s">
        <v>2744</v>
      </c>
      <c r="D2873" s="675" t="s">
        <v>21</v>
      </c>
      <c r="E2873" s="702"/>
      <c r="F2873" s="702"/>
      <c r="G2873" s="675"/>
      <c r="H2873" s="675"/>
      <c r="I2873" s="675"/>
      <c r="J2873" s="675"/>
      <c r="K2873" s="675"/>
      <c r="L2873" s="675"/>
      <c r="M2873" s="675"/>
    </row>
    <row r="2874" spans="1:13" x14ac:dyDescent="0.25">
      <c r="A2874" s="675" t="s">
        <v>2739</v>
      </c>
      <c r="B2874" s="675" t="s">
        <v>545</v>
      </c>
      <c r="C2874" s="675" t="s">
        <v>2745</v>
      </c>
      <c r="D2874" s="675" t="s">
        <v>21</v>
      </c>
      <c r="E2874" s="702"/>
      <c r="F2874" s="702"/>
      <c r="G2874" s="675"/>
      <c r="H2874" s="675"/>
      <c r="I2874" s="675"/>
      <c r="J2874" s="675"/>
      <c r="K2874" s="675"/>
      <c r="L2874" s="675"/>
      <c r="M2874" s="675"/>
    </row>
    <row r="2875" spans="1:13" x14ac:dyDescent="0.25">
      <c r="A2875" s="675" t="s">
        <v>2739</v>
      </c>
      <c r="B2875" s="675" t="s">
        <v>564</v>
      </c>
      <c r="C2875" s="675" t="s">
        <v>2746</v>
      </c>
      <c r="D2875" s="675" t="s">
        <v>21</v>
      </c>
      <c r="E2875" s="702"/>
      <c r="F2875" s="702"/>
      <c r="G2875" s="675"/>
      <c r="H2875" s="675"/>
      <c r="I2875" s="675"/>
      <c r="J2875" s="675"/>
      <c r="K2875" s="675"/>
      <c r="L2875" s="675"/>
      <c r="M2875" s="675"/>
    </row>
    <row r="2876" spans="1:13" x14ac:dyDescent="0.25">
      <c r="A2876" s="675" t="s">
        <v>2739</v>
      </c>
      <c r="B2876" s="675" t="s">
        <v>564</v>
      </c>
      <c r="C2876" s="675" t="s">
        <v>2747</v>
      </c>
      <c r="D2876" s="675" t="s">
        <v>21</v>
      </c>
      <c r="E2876" s="702"/>
      <c r="F2876" s="702"/>
      <c r="G2876" s="675"/>
      <c r="H2876" s="675"/>
      <c r="I2876" s="675"/>
      <c r="J2876" s="675"/>
      <c r="K2876" s="675"/>
      <c r="L2876" s="675"/>
      <c r="M2876" s="675"/>
    </row>
    <row r="2877" spans="1:13" x14ac:dyDescent="0.25">
      <c r="A2877" s="675" t="s">
        <v>2739</v>
      </c>
      <c r="B2877" s="675" t="s">
        <v>564</v>
      </c>
      <c r="C2877" s="675" t="s">
        <v>2748</v>
      </c>
      <c r="D2877" s="675" t="s">
        <v>21</v>
      </c>
      <c r="E2877" s="702"/>
      <c r="F2877" s="702"/>
      <c r="G2877" s="675"/>
      <c r="H2877" s="675"/>
      <c r="I2877" s="675"/>
      <c r="J2877" s="675"/>
      <c r="K2877" s="675"/>
      <c r="L2877" s="675"/>
      <c r="M2877" s="675"/>
    </row>
    <row r="2878" spans="1:13" x14ac:dyDescent="0.25">
      <c r="A2878" s="675" t="s">
        <v>2739</v>
      </c>
      <c r="B2878" s="675" t="s">
        <v>564</v>
      </c>
      <c r="C2878" s="675" t="s">
        <v>2749</v>
      </c>
      <c r="D2878" s="675" t="s">
        <v>21</v>
      </c>
      <c r="E2878" s="702"/>
      <c r="F2878" s="702"/>
      <c r="G2878" s="675"/>
      <c r="H2878" s="675"/>
      <c r="I2878" s="675"/>
      <c r="J2878" s="675"/>
      <c r="K2878" s="675"/>
      <c r="L2878" s="675"/>
      <c r="M2878" s="675"/>
    </row>
    <row r="2879" spans="1:13" x14ac:dyDescent="0.25">
      <c r="A2879" s="675" t="s">
        <v>2739</v>
      </c>
      <c r="B2879" s="675" t="s">
        <v>564</v>
      </c>
      <c r="C2879" s="675" t="s">
        <v>2750</v>
      </c>
      <c r="D2879" s="675" t="s">
        <v>21</v>
      </c>
      <c r="E2879" s="702"/>
      <c r="F2879" s="702"/>
      <c r="G2879" s="675"/>
      <c r="H2879" s="675"/>
      <c r="I2879" s="675"/>
      <c r="J2879" s="675"/>
      <c r="K2879" s="675"/>
      <c r="L2879" s="675"/>
      <c r="M2879" s="675"/>
    </row>
    <row r="2880" spans="1:13" x14ac:dyDescent="0.25">
      <c r="A2880" s="675" t="s">
        <v>2739</v>
      </c>
      <c r="B2880" s="675" t="s">
        <v>512</v>
      </c>
      <c r="C2880" s="675" t="s">
        <v>2751</v>
      </c>
      <c r="D2880" s="675" t="s">
        <v>21</v>
      </c>
      <c r="E2880" s="702"/>
      <c r="F2880" s="702"/>
      <c r="G2880" s="675"/>
      <c r="H2880" s="675"/>
      <c r="I2880" s="675"/>
      <c r="J2880" s="675"/>
      <c r="K2880" s="675"/>
      <c r="L2880" s="675"/>
      <c r="M2880" s="675"/>
    </row>
    <row r="2881" spans="1:13" x14ac:dyDescent="0.25">
      <c r="A2881" s="675" t="s">
        <v>2739</v>
      </c>
      <c r="B2881" s="675" t="s">
        <v>512</v>
      </c>
      <c r="C2881" s="675" t="s">
        <v>2752</v>
      </c>
      <c r="D2881" s="675" t="s">
        <v>21</v>
      </c>
      <c r="E2881" s="702"/>
      <c r="F2881" s="702"/>
      <c r="G2881" s="675"/>
      <c r="H2881" s="675"/>
      <c r="I2881" s="675"/>
      <c r="J2881" s="675"/>
      <c r="K2881" s="675"/>
      <c r="L2881" s="675"/>
      <c r="M2881" s="675"/>
    </row>
    <row r="2882" spans="1:13" x14ac:dyDescent="0.25">
      <c r="A2882" s="675" t="s">
        <v>2739</v>
      </c>
      <c r="B2882" s="675" t="s">
        <v>512</v>
      </c>
      <c r="C2882" s="675" t="s">
        <v>2753</v>
      </c>
      <c r="D2882" s="675" t="s">
        <v>21</v>
      </c>
      <c r="E2882" s="702"/>
      <c r="F2882" s="702"/>
      <c r="G2882" s="675"/>
      <c r="H2882" s="675"/>
      <c r="I2882" s="675"/>
      <c r="J2882" s="675"/>
      <c r="K2882" s="675"/>
      <c r="L2882" s="675"/>
      <c r="M2882" s="675"/>
    </row>
    <row r="2883" spans="1:13" x14ac:dyDescent="0.25">
      <c r="A2883" s="675" t="s">
        <v>2739</v>
      </c>
      <c r="B2883" s="675" t="s">
        <v>512</v>
      </c>
      <c r="C2883" s="675" t="s">
        <v>2754</v>
      </c>
      <c r="D2883" s="675" t="s">
        <v>21</v>
      </c>
      <c r="E2883" s="702"/>
      <c r="F2883" s="702"/>
      <c r="G2883" s="675"/>
      <c r="H2883" s="675"/>
      <c r="I2883" s="675"/>
      <c r="J2883" s="675"/>
      <c r="K2883" s="675"/>
      <c r="L2883" s="675"/>
      <c r="M2883" s="675"/>
    </row>
    <row r="2884" spans="1:13" x14ac:dyDescent="0.25">
      <c r="A2884" s="675" t="s">
        <v>2739</v>
      </c>
      <c r="B2884" s="675" t="s">
        <v>512</v>
      </c>
      <c r="C2884" s="675" t="s">
        <v>2755</v>
      </c>
      <c r="D2884" s="675" t="s">
        <v>21</v>
      </c>
      <c r="E2884" s="702"/>
      <c r="F2884" s="702"/>
      <c r="G2884" s="675"/>
      <c r="H2884" s="675"/>
      <c r="I2884" s="675"/>
      <c r="J2884" s="675"/>
      <c r="K2884" s="675"/>
      <c r="L2884" s="675"/>
      <c r="M2884" s="675"/>
    </row>
    <row r="2885" spans="1:13" x14ac:dyDescent="0.25">
      <c r="A2885" s="675" t="s">
        <v>2756</v>
      </c>
      <c r="B2885" s="675" t="s">
        <v>545</v>
      </c>
      <c r="C2885" s="675" t="s">
        <v>2757</v>
      </c>
      <c r="D2885" s="675" t="s">
        <v>21</v>
      </c>
      <c r="E2885" s="702"/>
      <c r="F2885" s="702"/>
      <c r="G2885" s="675"/>
      <c r="H2885" s="675"/>
      <c r="I2885" s="675"/>
      <c r="J2885" s="675"/>
      <c r="K2885" s="675"/>
      <c r="L2885" s="675"/>
      <c r="M2885" s="675"/>
    </row>
    <row r="2886" spans="1:13" x14ac:dyDescent="0.25">
      <c r="A2886" s="675" t="s">
        <v>2756</v>
      </c>
      <c r="B2886" s="675" t="s">
        <v>545</v>
      </c>
      <c r="C2886" s="675" t="s">
        <v>2758</v>
      </c>
      <c r="D2886" s="675" t="s">
        <v>21</v>
      </c>
      <c r="E2886" s="702"/>
      <c r="F2886" s="702"/>
      <c r="G2886" s="675"/>
      <c r="H2886" s="675"/>
      <c r="I2886" s="675"/>
      <c r="J2886" s="675"/>
      <c r="K2886" s="675"/>
      <c r="L2886" s="675"/>
      <c r="M2886" s="675"/>
    </row>
    <row r="2887" spans="1:13" x14ac:dyDescent="0.25">
      <c r="A2887" s="675" t="s">
        <v>2756</v>
      </c>
      <c r="B2887" s="675" t="s">
        <v>545</v>
      </c>
      <c r="C2887" s="675" t="s">
        <v>2759</v>
      </c>
      <c r="D2887" s="675" t="s">
        <v>21</v>
      </c>
      <c r="E2887" s="702"/>
      <c r="F2887" s="702"/>
      <c r="G2887" s="675"/>
      <c r="H2887" s="675"/>
      <c r="I2887" s="675"/>
      <c r="J2887" s="675"/>
      <c r="K2887" s="675"/>
      <c r="L2887" s="675"/>
      <c r="M2887" s="675"/>
    </row>
    <row r="2888" spans="1:13" x14ac:dyDescent="0.25">
      <c r="A2888" s="675" t="s">
        <v>2756</v>
      </c>
      <c r="B2888" s="675" t="s">
        <v>545</v>
      </c>
      <c r="C2888" s="675" t="s">
        <v>2760</v>
      </c>
      <c r="D2888" s="675" t="s">
        <v>21</v>
      </c>
      <c r="E2888" s="702"/>
      <c r="F2888" s="702"/>
      <c r="G2888" s="675"/>
      <c r="H2888" s="675"/>
      <c r="I2888" s="675"/>
      <c r="J2888" s="675"/>
      <c r="K2888" s="675"/>
      <c r="L2888" s="675"/>
      <c r="M2888" s="675"/>
    </row>
    <row r="2889" spans="1:13" x14ac:dyDescent="0.25">
      <c r="A2889" s="675" t="s">
        <v>2756</v>
      </c>
      <c r="B2889" s="675" t="s">
        <v>545</v>
      </c>
      <c r="C2889" s="675" t="s">
        <v>2761</v>
      </c>
      <c r="D2889" s="675" t="s">
        <v>21</v>
      </c>
      <c r="E2889" s="702"/>
      <c r="F2889" s="702"/>
      <c r="G2889" s="675"/>
      <c r="H2889" s="675"/>
      <c r="I2889" s="675"/>
      <c r="J2889" s="675"/>
      <c r="K2889" s="675"/>
      <c r="L2889" s="675"/>
      <c r="M2889" s="675"/>
    </row>
    <row r="2890" spans="1:13" x14ac:dyDescent="0.25">
      <c r="A2890" s="675" t="s">
        <v>2756</v>
      </c>
      <c r="B2890" s="675" t="s">
        <v>564</v>
      </c>
      <c r="C2890" s="675" t="s">
        <v>2762</v>
      </c>
      <c r="D2890" s="675" t="s">
        <v>21</v>
      </c>
      <c r="E2890" s="702"/>
      <c r="F2890" s="702"/>
      <c r="G2890" s="675"/>
      <c r="H2890" s="675"/>
      <c r="I2890" s="675"/>
      <c r="J2890" s="675"/>
      <c r="K2890" s="675"/>
      <c r="L2890" s="675"/>
      <c r="M2890" s="675"/>
    </row>
    <row r="2891" spans="1:13" x14ac:dyDescent="0.25">
      <c r="A2891" s="675" t="s">
        <v>2756</v>
      </c>
      <c r="B2891" s="675" t="s">
        <v>564</v>
      </c>
      <c r="C2891" s="675" t="s">
        <v>2763</v>
      </c>
      <c r="D2891" s="675" t="s">
        <v>21</v>
      </c>
      <c r="E2891" s="702"/>
      <c r="F2891" s="702"/>
      <c r="G2891" s="675"/>
      <c r="H2891" s="675"/>
      <c r="I2891" s="675"/>
      <c r="J2891" s="675"/>
      <c r="K2891" s="675"/>
      <c r="L2891" s="675"/>
      <c r="M2891" s="675"/>
    </row>
    <row r="2892" spans="1:13" x14ac:dyDescent="0.25">
      <c r="A2892" s="675" t="s">
        <v>2756</v>
      </c>
      <c r="B2892" s="675" t="s">
        <v>564</v>
      </c>
      <c r="C2892" s="675" t="s">
        <v>2764</v>
      </c>
      <c r="D2892" s="675" t="s">
        <v>21</v>
      </c>
      <c r="E2892" s="702"/>
      <c r="F2892" s="702"/>
      <c r="G2892" s="675"/>
      <c r="H2892" s="675"/>
      <c r="I2892" s="675"/>
      <c r="J2892" s="675"/>
      <c r="K2892" s="675"/>
      <c r="L2892" s="675"/>
      <c r="M2892" s="675"/>
    </row>
    <row r="2893" spans="1:13" x14ac:dyDescent="0.25">
      <c r="A2893" s="675" t="s">
        <v>2756</v>
      </c>
      <c r="B2893" s="675" t="s">
        <v>564</v>
      </c>
      <c r="C2893" s="675" t="s">
        <v>2765</v>
      </c>
      <c r="D2893" s="675" t="s">
        <v>21</v>
      </c>
      <c r="E2893" s="702"/>
      <c r="F2893" s="702"/>
      <c r="G2893" s="675"/>
      <c r="H2893" s="675"/>
      <c r="I2893" s="675"/>
      <c r="J2893" s="675"/>
      <c r="K2893" s="675"/>
      <c r="L2893" s="675"/>
      <c r="M2893" s="675"/>
    </row>
    <row r="2894" spans="1:13" x14ac:dyDescent="0.25">
      <c r="A2894" s="675" t="s">
        <v>2756</v>
      </c>
      <c r="B2894" s="675" t="s">
        <v>564</v>
      </c>
      <c r="C2894" s="675" t="s">
        <v>2766</v>
      </c>
      <c r="D2894" s="675" t="s">
        <v>21</v>
      </c>
      <c r="E2894" s="702"/>
      <c r="F2894" s="702"/>
      <c r="G2894" s="675"/>
      <c r="H2894" s="675"/>
      <c r="I2894" s="675"/>
      <c r="J2894" s="675"/>
      <c r="K2894" s="675"/>
      <c r="L2894" s="675"/>
      <c r="M2894" s="675"/>
    </row>
    <row r="2895" spans="1:13" x14ac:dyDescent="0.25">
      <c r="A2895" s="675" t="s">
        <v>2756</v>
      </c>
      <c r="B2895" s="675" t="s">
        <v>512</v>
      </c>
      <c r="C2895" s="675" t="s">
        <v>2767</v>
      </c>
      <c r="D2895" s="675" t="s">
        <v>21</v>
      </c>
      <c r="E2895" s="702"/>
      <c r="F2895" s="702"/>
      <c r="G2895" s="675"/>
      <c r="H2895" s="675"/>
      <c r="I2895" s="675"/>
      <c r="J2895" s="675"/>
      <c r="K2895" s="675"/>
      <c r="L2895" s="675"/>
      <c r="M2895" s="675"/>
    </row>
    <row r="2896" spans="1:13" x14ac:dyDescent="0.25">
      <c r="A2896" s="675" t="s">
        <v>2756</v>
      </c>
      <c r="B2896" s="675" t="s">
        <v>512</v>
      </c>
      <c r="C2896" s="675" t="s">
        <v>2768</v>
      </c>
      <c r="D2896" s="675" t="s">
        <v>21</v>
      </c>
      <c r="E2896" s="702"/>
      <c r="F2896" s="702"/>
      <c r="G2896" s="675"/>
      <c r="H2896" s="675"/>
      <c r="I2896" s="675"/>
      <c r="J2896" s="675"/>
      <c r="K2896" s="675"/>
      <c r="L2896" s="675"/>
      <c r="M2896" s="675"/>
    </row>
    <row r="2897" spans="1:13" x14ac:dyDescent="0.25">
      <c r="A2897" s="675" t="s">
        <v>2756</v>
      </c>
      <c r="B2897" s="675" t="s">
        <v>512</v>
      </c>
      <c r="C2897" s="675" t="s">
        <v>2769</v>
      </c>
      <c r="D2897" s="675" t="s">
        <v>21</v>
      </c>
      <c r="E2897" s="702"/>
      <c r="F2897" s="702"/>
      <c r="G2897" s="675"/>
      <c r="H2897" s="675"/>
      <c r="I2897" s="675"/>
      <c r="J2897" s="675"/>
      <c r="K2897" s="675"/>
      <c r="L2897" s="675"/>
      <c r="M2897" s="675"/>
    </row>
    <row r="2898" spans="1:13" x14ac:dyDescent="0.25">
      <c r="A2898" s="675" t="s">
        <v>2756</v>
      </c>
      <c r="B2898" s="675" t="s">
        <v>512</v>
      </c>
      <c r="C2898" s="675" t="s">
        <v>2770</v>
      </c>
      <c r="D2898" s="675" t="s">
        <v>21</v>
      </c>
      <c r="E2898" s="702"/>
      <c r="F2898" s="702"/>
      <c r="G2898" s="675"/>
      <c r="H2898" s="675"/>
      <c r="I2898" s="675"/>
      <c r="J2898" s="675"/>
      <c r="K2898" s="675"/>
      <c r="L2898" s="675"/>
      <c r="M2898" s="675"/>
    </row>
    <row r="2899" spans="1:13" x14ac:dyDescent="0.25">
      <c r="A2899" s="675" t="s">
        <v>2756</v>
      </c>
      <c r="B2899" s="675" t="s">
        <v>512</v>
      </c>
      <c r="C2899" s="675" t="s">
        <v>2771</v>
      </c>
      <c r="D2899" s="675" t="s">
        <v>21</v>
      </c>
      <c r="E2899" s="702"/>
      <c r="F2899" s="702"/>
      <c r="G2899" s="675"/>
      <c r="H2899" s="675"/>
      <c r="I2899" s="675"/>
      <c r="J2899" s="675"/>
      <c r="K2899" s="675"/>
      <c r="L2899" s="675"/>
      <c r="M2899" s="675"/>
    </row>
    <row r="2900" spans="1:13" x14ac:dyDescent="0.25">
      <c r="A2900" s="675" t="s">
        <v>2772</v>
      </c>
      <c r="B2900" s="675" t="s">
        <v>545</v>
      </c>
      <c r="C2900" s="675" t="s">
        <v>2773</v>
      </c>
      <c r="D2900" s="675" t="s">
        <v>21</v>
      </c>
      <c r="E2900" s="702"/>
      <c r="F2900" s="702"/>
      <c r="G2900" s="675"/>
      <c r="H2900" s="675"/>
      <c r="I2900" s="675"/>
      <c r="J2900" s="675"/>
      <c r="K2900" s="675"/>
      <c r="L2900" s="675"/>
      <c r="M2900" s="675"/>
    </row>
    <row r="2901" spans="1:13" x14ac:dyDescent="0.25">
      <c r="A2901" s="675" t="s">
        <v>2772</v>
      </c>
      <c r="B2901" s="675" t="s">
        <v>545</v>
      </c>
      <c r="C2901" s="675" t="s">
        <v>2774</v>
      </c>
      <c r="D2901" s="675" t="s">
        <v>21</v>
      </c>
      <c r="E2901" s="702"/>
      <c r="F2901" s="702"/>
      <c r="G2901" s="675"/>
      <c r="H2901" s="675"/>
      <c r="I2901" s="675"/>
      <c r="J2901" s="675"/>
      <c r="K2901" s="675"/>
      <c r="L2901" s="675"/>
      <c r="M2901" s="675"/>
    </row>
    <row r="2902" spans="1:13" x14ac:dyDescent="0.25">
      <c r="A2902" s="675" t="s">
        <v>2772</v>
      </c>
      <c r="B2902" s="675" t="s">
        <v>545</v>
      </c>
      <c r="C2902" s="675" t="s">
        <v>2775</v>
      </c>
      <c r="D2902" s="675" t="s">
        <v>21</v>
      </c>
      <c r="E2902" s="702"/>
      <c r="F2902" s="702"/>
      <c r="G2902" s="675"/>
      <c r="H2902" s="675"/>
      <c r="I2902" s="675"/>
      <c r="J2902" s="675"/>
      <c r="K2902" s="675"/>
      <c r="L2902" s="675"/>
      <c r="M2902" s="675"/>
    </row>
    <row r="2903" spans="1:13" x14ac:dyDescent="0.25">
      <c r="A2903" s="675" t="s">
        <v>2772</v>
      </c>
      <c r="B2903" s="675" t="s">
        <v>545</v>
      </c>
      <c r="C2903" s="675" t="s">
        <v>2776</v>
      </c>
      <c r="D2903" s="675" t="s">
        <v>21</v>
      </c>
      <c r="E2903" s="702"/>
      <c r="F2903" s="702"/>
      <c r="G2903" s="675"/>
      <c r="H2903" s="675"/>
      <c r="I2903" s="675"/>
      <c r="J2903" s="675"/>
      <c r="K2903" s="675"/>
      <c r="L2903" s="675"/>
      <c r="M2903" s="675"/>
    </row>
    <row r="2904" spans="1:13" x14ac:dyDescent="0.25">
      <c r="A2904" s="675" t="s">
        <v>2772</v>
      </c>
      <c r="B2904" s="675" t="s">
        <v>545</v>
      </c>
      <c r="C2904" s="675" t="s">
        <v>2777</v>
      </c>
      <c r="D2904" s="675" t="s">
        <v>21</v>
      </c>
      <c r="E2904" s="702"/>
      <c r="F2904" s="702"/>
      <c r="G2904" s="675"/>
      <c r="H2904" s="675"/>
      <c r="I2904" s="675"/>
      <c r="J2904" s="675"/>
      <c r="K2904" s="675"/>
      <c r="L2904" s="675"/>
      <c r="M2904" s="675"/>
    </row>
    <row r="2905" spans="1:13" x14ac:dyDescent="0.25">
      <c r="A2905" s="675" t="s">
        <v>2772</v>
      </c>
      <c r="B2905" s="675" t="s">
        <v>564</v>
      </c>
      <c r="C2905" s="675" t="s">
        <v>2778</v>
      </c>
      <c r="D2905" s="675" t="s">
        <v>21</v>
      </c>
      <c r="E2905" s="702"/>
      <c r="F2905" s="702"/>
      <c r="G2905" s="675"/>
      <c r="H2905" s="675"/>
      <c r="I2905" s="675"/>
      <c r="J2905" s="675"/>
      <c r="K2905" s="675"/>
      <c r="L2905" s="675"/>
      <c r="M2905" s="675"/>
    </row>
    <row r="2906" spans="1:13" x14ac:dyDescent="0.25">
      <c r="A2906" s="675" t="s">
        <v>2772</v>
      </c>
      <c r="B2906" s="675" t="s">
        <v>564</v>
      </c>
      <c r="C2906" s="675" t="s">
        <v>2779</v>
      </c>
      <c r="D2906" s="675" t="s">
        <v>21</v>
      </c>
      <c r="E2906" s="702"/>
      <c r="F2906" s="702"/>
      <c r="G2906" s="675"/>
      <c r="H2906" s="675"/>
      <c r="I2906" s="675"/>
      <c r="J2906" s="675"/>
      <c r="K2906" s="675"/>
      <c r="L2906" s="675"/>
      <c r="M2906" s="675"/>
    </row>
    <row r="2907" spans="1:13" x14ac:dyDescent="0.25">
      <c r="A2907" s="675" t="s">
        <v>2772</v>
      </c>
      <c r="B2907" s="675" t="s">
        <v>564</v>
      </c>
      <c r="C2907" s="675" t="s">
        <v>2780</v>
      </c>
      <c r="D2907" s="675" t="s">
        <v>21</v>
      </c>
      <c r="E2907" s="702"/>
      <c r="F2907" s="702"/>
      <c r="G2907" s="675"/>
      <c r="H2907" s="675"/>
      <c r="I2907" s="675"/>
      <c r="J2907" s="675"/>
      <c r="K2907" s="675"/>
      <c r="L2907" s="675"/>
      <c r="M2907" s="675"/>
    </row>
    <row r="2908" spans="1:13" x14ac:dyDescent="0.25">
      <c r="A2908" s="675" t="s">
        <v>2772</v>
      </c>
      <c r="B2908" s="675" t="s">
        <v>564</v>
      </c>
      <c r="C2908" s="675" t="s">
        <v>2781</v>
      </c>
      <c r="D2908" s="675" t="s">
        <v>21</v>
      </c>
      <c r="E2908" s="702"/>
      <c r="F2908" s="702"/>
      <c r="G2908" s="675"/>
      <c r="H2908" s="675"/>
      <c r="I2908" s="675"/>
      <c r="J2908" s="675"/>
      <c r="K2908" s="675"/>
      <c r="L2908" s="675"/>
      <c r="M2908" s="675"/>
    </row>
    <row r="2909" spans="1:13" x14ac:dyDescent="0.25">
      <c r="A2909" s="675" t="s">
        <v>2772</v>
      </c>
      <c r="B2909" s="675" t="s">
        <v>564</v>
      </c>
      <c r="C2909" s="675" t="s">
        <v>2782</v>
      </c>
      <c r="D2909" s="675" t="s">
        <v>21</v>
      </c>
      <c r="E2909" s="702"/>
      <c r="F2909" s="702"/>
      <c r="G2909" s="675"/>
      <c r="H2909" s="675"/>
      <c r="I2909" s="675"/>
      <c r="J2909" s="675"/>
      <c r="K2909" s="675"/>
      <c r="L2909" s="675"/>
      <c r="M2909" s="675"/>
    </row>
    <row r="2910" spans="1:13" x14ac:dyDescent="0.25">
      <c r="A2910" s="675" t="s">
        <v>2772</v>
      </c>
      <c r="B2910" s="675" t="s">
        <v>512</v>
      </c>
      <c r="C2910" s="675" t="s">
        <v>2783</v>
      </c>
      <c r="D2910" s="675" t="s">
        <v>21</v>
      </c>
      <c r="E2910" s="702"/>
      <c r="F2910" s="702"/>
      <c r="G2910" s="675"/>
      <c r="H2910" s="675"/>
      <c r="I2910" s="675"/>
      <c r="J2910" s="675"/>
      <c r="K2910" s="675"/>
      <c r="L2910" s="675"/>
      <c r="M2910" s="675"/>
    </row>
    <row r="2911" spans="1:13" x14ac:dyDescent="0.25">
      <c r="A2911" s="675" t="s">
        <v>2772</v>
      </c>
      <c r="B2911" s="675" t="s">
        <v>512</v>
      </c>
      <c r="C2911" s="675" t="s">
        <v>2784</v>
      </c>
      <c r="D2911" s="675" t="s">
        <v>21</v>
      </c>
      <c r="E2911" s="702"/>
      <c r="F2911" s="702"/>
      <c r="G2911" s="675"/>
      <c r="H2911" s="675"/>
      <c r="I2911" s="675"/>
      <c r="J2911" s="675"/>
      <c r="K2911" s="675"/>
      <c r="L2911" s="675"/>
      <c r="M2911" s="675"/>
    </row>
    <row r="2912" spans="1:13" x14ac:dyDescent="0.25">
      <c r="A2912" s="675" t="s">
        <v>2772</v>
      </c>
      <c r="B2912" s="675" t="s">
        <v>512</v>
      </c>
      <c r="C2912" s="675" t="s">
        <v>2785</v>
      </c>
      <c r="D2912" s="675" t="s">
        <v>21</v>
      </c>
      <c r="E2912" s="702"/>
      <c r="F2912" s="702"/>
      <c r="G2912" s="675"/>
      <c r="H2912" s="675"/>
      <c r="I2912" s="675"/>
      <c r="J2912" s="675"/>
      <c r="K2912" s="675"/>
      <c r="L2912" s="675"/>
      <c r="M2912" s="675"/>
    </row>
    <row r="2913" spans="1:13" x14ac:dyDescent="0.25">
      <c r="A2913" s="675" t="s">
        <v>2772</v>
      </c>
      <c r="B2913" s="675" t="s">
        <v>512</v>
      </c>
      <c r="C2913" s="675" t="s">
        <v>2786</v>
      </c>
      <c r="D2913" s="675" t="s">
        <v>21</v>
      </c>
      <c r="E2913" s="702"/>
      <c r="F2913" s="702"/>
      <c r="G2913" s="675"/>
      <c r="H2913" s="675"/>
      <c r="I2913" s="675"/>
      <c r="J2913" s="675"/>
      <c r="K2913" s="675"/>
      <c r="L2913" s="675"/>
      <c r="M2913" s="675"/>
    </row>
    <row r="2914" spans="1:13" x14ac:dyDescent="0.25">
      <c r="A2914" s="675" t="s">
        <v>2772</v>
      </c>
      <c r="B2914" s="675" t="s">
        <v>512</v>
      </c>
      <c r="C2914" s="675" t="s">
        <v>2787</v>
      </c>
      <c r="D2914" s="675" t="s">
        <v>21</v>
      </c>
      <c r="E2914" s="702"/>
      <c r="F2914" s="702"/>
      <c r="G2914" s="675"/>
      <c r="H2914" s="675"/>
      <c r="I2914" s="675"/>
      <c r="J2914" s="675"/>
      <c r="K2914" s="675"/>
      <c r="L2914" s="675"/>
      <c r="M2914" s="675"/>
    </row>
    <row r="2915" spans="1:13" x14ac:dyDescent="0.25">
      <c r="A2915" s="675" t="s">
        <v>2788</v>
      </c>
      <c r="B2915" s="675" t="s">
        <v>545</v>
      </c>
      <c r="C2915" s="675" t="s">
        <v>2789</v>
      </c>
      <c r="D2915" s="675" t="s">
        <v>21</v>
      </c>
      <c r="E2915" s="702"/>
      <c r="F2915" s="702"/>
      <c r="G2915" s="675"/>
      <c r="H2915" s="675"/>
      <c r="I2915" s="675"/>
      <c r="J2915" s="675"/>
      <c r="K2915" s="675"/>
      <c r="L2915" s="675"/>
      <c r="M2915" s="675"/>
    </row>
    <row r="2916" spans="1:13" x14ac:dyDescent="0.25">
      <c r="A2916" s="675" t="s">
        <v>2788</v>
      </c>
      <c r="B2916" s="675" t="s">
        <v>545</v>
      </c>
      <c r="C2916" s="675" t="s">
        <v>2790</v>
      </c>
      <c r="D2916" s="675" t="s">
        <v>21</v>
      </c>
      <c r="E2916" s="702"/>
      <c r="F2916" s="702"/>
      <c r="G2916" s="675"/>
      <c r="H2916" s="675"/>
      <c r="I2916" s="675"/>
      <c r="J2916" s="675"/>
      <c r="K2916" s="675"/>
      <c r="L2916" s="675"/>
      <c r="M2916" s="675"/>
    </row>
    <row r="2917" spans="1:13" x14ac:dyDescent="0.25">
      <c r="A2917" s="675" t="s">
        <v>2788</v>
      </c>
      <c r="B2917" s="675" t="s">
        <v>545</v>
      </c>
      <c r="C2917" s="675" t="s">
        <v>2791</v>
      </c>
      <c r="D2917" s="675" t="s">
        <v>21</v>
      </c>
      <c r="E2917" s="702"/>
      <c r="F2917" s="702"/>
      <c r="G2917" s="675"/>
      <c r="H2917" s="675"/>
      <c r="I2917" s="675"/>
      <c r="J2917" s="675"/>
      <c r="K2917" s="675"/>
      <c r="L2917" s="675"/>
      <c r="M2917" s="675"/>
    </row>
    <row r="2918" spans="1:13" x14ac:dyDescent="0.25">
      <c r="A2918" s="675" t="s">
        <v>2788</v>
      </c>
      <c r="B2918" s="675" t="s">
        <v>545</v>
      </c>
      <c r="C2918" s="675" t="s">
        <v>2792</v>
      </c>
      <c r="D2918" s="675" t="s">
        <v>21</v>
      </c>
      <c r="E2918" s="702"/>
      <c r="F2918" s="702"/>
      <c r="G2918" s="675"/>
      <c r="H2918" s="675"/>
      <c r="I2918" s="675"/>
      <c r="J2918" s="675"/>
      <c r="K2918" s="675"/>
      <c r="L2918" s="675"/>
      <c r="M2918" s="675"/>
    </row>
    <row r="2919" spans="1:13" x14ac:dyDescent="0.25">
      <c r="A2919" s="675" t="s">
        <v>2788</v>
      </c>
      <c r="B2919" s="675" t="s">
        <v>545</v>
      </c>
      <c r="C2919" s="675" t="s">
        <v>2793</v>
      </c>
      <c r="D2919" s="675" t="s">
        <v>21</v>
      </c>
      <c r="E2919" s="702"/>
      <c r="F2919" s="702"/>
      <c r="G2919" s="675"/>
      <c r="H2919" s="675"/>
      <c r="I2919" s="675"/>
      <c r="J2919" s="675"/>
      <c r="K2919" s="675"/>
      <c r="L2919" s="675"/>
      <c r="M2919" s="675"/>
    </row>
    <row r="2920" spans="1:13" x14ac:dyDescent="0.25">
      <c r="A2920" s="675" t="s">
        <v>2788</v>
      </c>
      <c r="B2920" s="675" t="s">
        <v>564</v>
      </c>
      <c r="C2920" s="675" t="s">
        <v>2794</v>
      </c>
      <c r="D2920" s="675" t="s">
        <v>21</v>
      </c>
      <c r="E2920" s="702"/>
      <c r="F2920" s="702"/>
      <c r="G2920" s="675"/>
      <c r="H2920" s="675"/>
      <c r="I2920" s="675"/>
      <c r="J2920" s="675"/>
      <c r="K2920" s="675"/>
      <c r="L2920" s="675"/>
      <c r="M2920" s="675"/>
    </row>
    <row r="2921" spans="1:13" x14ac:dyDescent="0.25">
      <c r="A2921" s="675" t="s">
        <v>2788</v>
      </c>
      <c r="B2921" s="675" t="s">
        <v>564</v>
      </c>
      <c r="C2921" s="675" t="s">
        <v>2795</v>
      </c>
      <c r="D2921" s="675" t="s">
        <v>21</v>
      </c>
      <c r="E2921" s="702"/>
      <c r="F2921" s="702"/>
      <c r="G2921" s="675"/>
      <c r="H2921" s="675"/>
      <c r="I2921" s="675"/>
      <c r="J2921" s="675"/>
      <c r="K2921" s="675"/>
      <c r="L2921" s="675"/>
      <c r="M2921" s="675"/>
    </row>
    <row r="2922" spans="1:13" x14ac:dyDescent="0.25">
      <c r="A2922" s="675" t="s">
        <v>2788</v>
      </c>
      <c r="B2922" s="675" t="s">
        <v>564</v>
      </c>
      <c r="C2922" s="675" t="s">
        <v>2796</v>
      </c>
      <c r="D2922" s="675" t="s">
        <v>21</v>
      </c>
      <c r="E2922" s="702"/>
      <c r="F2922" s="702"/>
      <c r="G2922" s="675"/>
      <c r="H2922" s="675"/>
      <c r="I2922" s="675"/>
      <c r="J2922" s="675"/>
      <c r="K2922" s="675"/>
      <c r="L2922" s="675"/>
      <c r="M2922" s="675"/>
    </row>
    <row r="2923" spans="1:13" x14ac:dyDescent="0.25">
      <c r="A2923" s="675" t="s">
        <v>2788</v>
      </c>
      <c r="B2923" s="675" t="s">
        <v>564</v>
      </c>
      <c r="C2923" s="675" t="s">
        <v>2797</v>
      </c>
      <c r="D2923" s="675" t="s">
        <v>21</v>
      </c>
      <c r="E2923" s="702"/>
      <c r="F2923" s="702"/>
      <c r="G2923" s="675"/>
      <c r="H2923" s="675"/>
      <c r="I2923" s="675"/>
      <c r="J2923" s="675"/>
      <c r="K2923" s="675"/>
      <c r="L2923" s="675"/>
      <c r="M2923" s="675"/>
    </row>
    <row r="2924" spans="1:13" x14ac:dyDescent="0.25">
      <c r="A2924" s="675" t="s">
        <v>2788</v>
      </c>
      <c r="B2924" s="675" t="s">
        <v>564</v>
      </c>
      <c r="C2924" s="675" t="s">
        <v>2798</v>
      </c>
      <c r="D2924" s="675" t="s">
        <v>21</v>
      </c>
      <c r="E2924" s="702"/>
      <c r="F2924" s="702"/>
      <c r="G2924" s="675"/>
      <c r="H2924" s="675"/>
      <c r="I2924" s="675"/>
      <c r="J2924" s="675"/>
      <c r="K2924" s="675"/>
      <c r="L2924" s="675"/>
      <c r="M2924" s="675"/>
    </row>
    <row r="2925" spans="1:13" x14ac:dyDescent="0.25">
      <c r="A2925" s="675" t="s">
        <v>2788</v>
      </c>
      <c r="B2925" s="675" t="s">
        <v>512</v>
      </c>
      <c r="C2925" s="675" t="s">
        <v>2799</v>
      </c>
      <c r="D2925" s="675" t="s">
        <v>21</v>
      </c>
      <c r="E2925" s="702"/>
      <c r="F2925" s="702"/>
      <c r="G2925" s="675"/>
      <c r="H2925" s="675"/>
      <c r="I2925" s="675"/>
      <c r="J2925" s="675"/>
      <c r="K2925" s="675"/>
      <c r="L2925" s="675"/>
      <c r="M2925" s="675"/>
    </row>
    <row r="2926" spans="1:13" x14ac:dyDescent="0.25">
      <c r="A2926" s="675" t="s">
        <v>2788</v>
      </c>
      <c r="B2926" s="675" t="s">
        <v>512</v>
      </c>
      <c r="C2926" s="675" t="s">
        <v>2800</v>
      </c>
      <c r="D2926" s="675" t="s">
        <v>21</v>
      </c>
      <c r="E2926" s="702"/>
      <c r="F2926" s="702"/>
      <c r="G2926" s="675"/>
      <c r="H2926" s="675"/>
      <c r="I2926" s="675"/>
      <c r="J2926" s="675"/>
      <c r="K2926" s="675"/>
      <c r="L2926" s="675"/>
      <c r="M2926" s="675"/>
    </row>
    <row r="2927" spans="1:13" x14ac:dyDescent="0.25">
      <c r="A2927" s="675" t="s">
        <v>2788</v>
      </c>
      <c r="B2927" s="675" t="s">
        <v>512</v>
      </c>
      <c r="C2927" s="675" t="s">
        <v>2801</v>
      </c>
      <c r="D2927" s="675" t="s">
        <v>21</v>
      </c>
      <c r="E2927" s="702"/>
      <c r="F2927" s="702"/>
      <c r="G2927" s="675"/>
      <c r="H2927" s="675"/>
      <c r="I2927" s="675"/>
      <c r="J2927" s="675"/>
      <c r="K2927" s="675"/>
      <c r="L2927" s="675"/>
      <c r="M2927" s="675"/>
    </row>
    <row r="2928" spans="1:13" x14ac:dyDescent="0.25">
      <c r="A2928" s="675" t="s">
        <v>2788</v>
      </c>
      <c r="B2928" s="675" t="s">
        <v>512</v>
      </c>
      <c r="C2928" s="675" t="s">
        <v>2802</v>
      </c>
      <c r="D2928" s="675" t="s">
        <v>21</v>
      </c>
      <c r="E2928" s="702"/>
      <c r="F2928" s="702"/>
      <c r="G2928" s="675"/>
      <c r="H2928" s="675"/>
      <c r="I2928" s="675"/>
      <c r="J2928" s="675"/>
      <c r="K2928" s="675"/>
      <c r="L2928" s="675"/>
      <c r="M2928" s="675"/>
    </row>
    <row r="2929" spans="1:13" x14ac:dyDescent="0.25">
      <c r="A2929" s="675" t="s">
        <v>2788</v>
      </c>
      <c r="B2929" s="675" t="s">
        <v>512</v>
      </c>
      <c r="C2929" s="675" t="s">
        <v>2803</v>
      </c>
      <c r="D2929" s="675" t="s">
        <v>21</v>
      </c>
      <c r="E2929" s="702"/>
      <c r="F2929" s="702"/>
      <c r="G2929" s="675"/>
      <c r="H2929" s="675"/>
      <c r="I2929" s="675"/>
      <c r="J2929" s="675"/>
      <c r="K2929" s="675"/>
      <c r="L2929" s="675"/>
      <c r="M2929" s="675"/>
    </row>
    <row r="2930" spans="1:13" x14ac:dyDescent="0.25">
      <c r="A2930" s="675" t="s">
        <v>2804</v>
      </c>
      <c r="B2930" s="675" t="s">
        <v>545</v>
      </c>
      <c r="C2930" s="675" t="s">
        <v>2805</v>
      </c>
      <c r="D2930" s="675" t="s">
        <v>21</v>
      </c>
      <c r="E2930" s="702"/>
      <c r="F2930" s="702"/>
      <c r="G2930" s="675"/>
      <c r="H2930" s="675"/>
      <c r="I2930" s="675"/>
      <c r="J2930" s="675"/>
      <c r="K2930" s="675"/>
      <c r="L2930" s="675"/>
      <c r="M2930" s="675"/>
    </row>
    <row r="2931" spans="1:13" x14ac:dyDescent="0.25">
      <c r="A2931" s="675" t="s">
        <v>2804</v>
      </c>
      <c r="B2931" s="675" t="s">
        <v>545</v>
      </c>
      <c r="C2931" s="675" t="s">
        <v>2806</v>
      </c>
      <c r="D2931" s="675" t="s">
        <v>21</v>
      </c>
      <c r="E2931" s="702"/>
      <c r="F2931" s="702"/>
      <c r="G2931" s="675"/>
      <c r="H2931" s="675"/>
      <c r="I2931" s="675"/>
      <c r="J2931" s="675"/>
      <c r="K2931" s="675"/>
      <c r="L2931" s="675"/>
      <c r="M2931" s="675"/>
    </row>
    <row r="2932" spans="1:13" x14ac:dyDescent="0.25">
      <c r="A2932" s="675" t="s">
        <v>2804</v>
      </c>
      <c r="B2932" s="675" t="s">
        <v>545</v>
      </c>
      <c r="C2932" s="675" t="s">
        <v>2807</v>
      </c>
      <c r="D2932" s="675" t="s">
        <v>21</v>
      </c>
      <c r="E2932" s="702"/>
      <c r="F2932" s="702"/>
      <c r="G2932" s="675"/>
      <c r="H2932" s="675"/>
      <c r="I2932" s="675"/>
      <c r="J2932" s="675"/>
      <c r="K2932" s="675"/>
      <c r="L2932" s="675"/>
      <c r="M2932" s="675"/>
    </row>
    <row r="2933" spans="1:13" x14ac:dyDescent="0.25">
      <c r="A2933" s="675" t="s">
        <v>2804</v>
      </c>
      <c r="B2933" s="675" t="s">
        <v>545</v>
      </c>
      <c r="C2933" s="675" t="s">
        <v>2808</v>
      </c>
      <c r="D2933" s="675" t="s">
        <v>21</v>
      </c>
      <c r="E2933" s="702"/>
      <c r="F2933" s="702"/>
      <c r="G2933" s="675"/>
      <c r="H2933" s="675"/>
      <c r="I2933" s="675"/>
      <c r="J2933" s="675"/>
      <c r="K2933" s="675"/>
      <c r="L2933" s="675"/>
      <c r="M2933" s="675"/>
    </row>
    <row r="2934" spans="1:13" x14ac:dyDescent="0.25">
      <c r="A2934" s="675" t="s">
        <v>2804</v>
      </c>
      <c r="B2934" s="675" t="s">
        <v>545</v>
      </c>
      <c r="C2934" s="675" t="s">
        <v>2809</v>
      </c>
      <c r="D2934" s="675" t="s">
        <v>21</v>
      </c>
      <c r="E2934" s="702"/>
      <c r="F2934" s="702"/>
      <c r="G2934" s="675"/>
      <c r="H2934" s="675"/>
      <c r="I2934" s="675"/>
      <c r="J2934" s="675"/>
      <c r="K2934" s="675"/>
      <c r="L2934" s="675"/>
      <c r="M2934" s="675"/>
    </row>
    <row r="2935" spans="1:13" x14ac:dyDescent="0.25">
      <c r="A2935" s="675" t="s">
        <v>2804</v>
      </c>
      <c r="B2935" s="675" t="s">
        <v>564</v>
      </c>
      <c r="C2935" s="675" t="s">
        <v>2810</v>
      </c>
      <c r="D2935" s="675" t="s">
        <v>21</v>
      </c>
      <c r="E2935" s="702"/>
      <c r="F2935" s="702"/>
      <c r="G2935" s="675"/>
      <c r="H2935" s="675"/>
      <c r="I2935" s="675"/>
      <c r="J2935" s="675"/>
      <c r="K2935" s="675"/>
      <c r="L2935" s="675"/>
      <c r="M2935" s="675"/>
    </row>
    <row r="2936" spans="1:13" x14ac:dyDescent="0.25">
      <c r="A2936" s="675" t="s">
        <v>2804</v>
      </c>
      <c r="B2936" s="675" t="s">
        <v>564</v>
      </c>
      <c r="C2936" s="675" t="s">
        <v>2811</v>
      </c>
      <c r="D2936" s="675" t="s">
        <v>21</v>
      </c>
      <c r="E2936" s="702"/>
      <c r="F2936" s="702"/>
      <c r="G2936" s="675"/>
      <c r="H2936" s="675"/>
      <c r="I2936" s="675"/>
      <c r="J2936" s="675"/>
      <c r="K2936" s="675"/>
      <c r="L2936" s="675"/>
      <c r="M2936" s="675"/>
    </row>
    <row r="2937" spans="1:13" x14ac:dyDescent="0.25">
      <c r="A2937" s="675" t="s">
        <v>2804</v>
      </c>
      <c r="B2937" s="675" t="s">
        <v>564</v>
      </c>
      <c r="C2937" s="675" t="s">
        <v>2812</v>
      </c>
      <c r="D2937" s="675" t="s">
        <v>21</v>
      </c>
      <c r="E2937" s="702"/>
      <c r="F2937" s="702"/>
      <c r="G2937" s="675"/>
      <c r="H2937" s="675"/>
      <c r="I2937" s="675"/>
      <c r="J2937" s="675"/>
      <c r="K2937" s="675"/>
      <c r="L2937" s="675"/>
      <c r="M2937" s="675"/>
    </row>
    <row r="2938" spans="1:13" x14ac:dyDescent="0.25">
      <c r="A2938" s="675" t="s">
        <v>2804</v>
      </c>
      <c r="B2938" s="675" t="s">
        <v>564</v>
      </c>
      <c r="C2938" s="675" t="s">
        <v>2813</v>
      </c>
      <c r="D2938" s="675" t="s">
        <v>21</v>
      </c>
      <c r="E2938" s="702"/>
      <c r="F2938" s="702"/>
      <c r="G2938" s="675"/>
      <c r="H2938" s="675"/>
      <c r="I2938" s="675"/>
      <c r="J2938" s="675"/>
      <c r="K2938" s="675"/>
      <c r="L2938" s="675"/>
      <c r="M2938" s="675"/>
    </row>
    <row r="2939" spans="1:13" x14ac:dyDescent="0.25">
      <c r="A2939" s="675" t="s">
        <v>2804</v>
      </c>
      <c r="B2939" s="675" t="s">
        <v>564</v>
      </c>
      <c r="C2939" s="675" t="s">
        <v>2814</v>
      </c>
      <c r="D2939" s="675" t="s">
        <v>21</v>
      </c>
      <c r="E2939" s="702"/>
      <c r="F2939" s="702"/>
      <c r="G2939" s="675"/>
      <c r="H2939" s="675"/>
      <c r="I2939" s="675"/>
      <c r="J2939" s="675"/>
      <c r="K2939" s="675"/>
      <c r="L2939" s="675"/>
      <c r="M2939" s="675"/>
    </row>
    <row r="2940" spans="1:13" x14ac:dyDescent="0.25">
      <c r="A2940" s="675" t="s">
        <v>2804</v>
      </c>
      <c r="B2940" s="675" t="s">
        <v>512</v>
      </c>
      <c r="C2940" s="675" t="s">
        <v>2815</v>
      </c>
      <c r="D2940" s="675" t="s">
        <v>21</v>
      </c>
      <c r="E2940" s="702"/>
      <c r="F2940" s="702"/>
      <c r="G2940" s="675"/>
      <c r="H2940" s="675"/>
      <c r="I2940" s="675"/>
      <c r="J2940" s="675"/>
      <c r="K2940" s="675"/>
      <c r="L2940" s="675"/>
      <c r="M2940" s="675"/>
    </row>
    <row r="2941" spans="1:13" x14ac:dyDescent="0.25">
      <c r="A2941" s="675" t="s">
        <v>2804</v>
      </c>
      <c r="B2941" s="675" t="s">
        <v>512</v>
      </c>
      <c r="C2941" s="675" t="s">
        <v>2816</v>
      </c>
      <c r="D2941" s="675" t="s">
        <v>21</v>
      </c>
      <c r="E2941" s="702"/>
      <c r="F2941" s="702"/>
      <c r="G2941" s="675"/>
      <c r="H2941" s="675"/>
      <c r="I2941" s="675"/>
      <c r="J2941" s="675"/>
      <c r="K2941" s="675"/>
      <c r="L2941" s="675"/>
      <c r="M2941" s="675"/>
    </row>
    <row r="2942" spans="1:13" x14ac:dyDescent="0.25">
      <c r="A2942" s="675" t="s">
        <v>2804</v>
      </c>
      <c r="B2942" s="675" t="s">
        <v>512</v>
      </c>
      <c r="C2942" s="675" t="s">
        <v>2817</v>
      </c>
      <c r="D2942" s="675" t="s">
        <v>21</v>
      </c>
      <c r="E2942" s="702"/>
      <c r="F2942" s="702"/>
      <c r="G2942" s="675"/>
      <c r="H2942" s="675"/>
      <c r="I2942" s="675"/>
      <c r="J2942" s="675"/>
      <c r="K2942" s="675"/>
      <c r="L2942" s="675"/>
      <c r="M2942" s="675"/>
    </row>
    <row r="2943" spans="1:13" x14ac:dyDescent="0.25">
      <c r="A2943" s="675" t="s">
        <v>2804</v>
      </c>
      <c r="B2943" s="675" t="s">
        <v>512</v>
      </c>
      <c r="C2943" s="675" t="s">
        <v>2818</v>
      </c>
      <c r="D2943" s="675" t="s">
        <v>21</v>
      </c>
      <c r="E2943" s="702"/>
      <c r="F2943" s="702"/>
      <c r="G2943" s="675"/>
      <c r="H2943" s="675"/>
      <c r="I2943" s="675"/>
      <c r="J2943" s="675"/>
      <c r="K2943" s="675"/>
      <c r="L2943" s="675"/>
      <c r="M2943" s="675"/>
    </row>
    <row r="2944" spans="1:13" x14ac:dyDescent="0.25">
      <c r="A2944" s="675" t="s">
        <v>2804</v>
      </c>
      <c r="B2944" s="675" t="s">
        <v>512</v>
      </c>
      <c r="C2944" s="675" t="s">
        <v>2819</v>
      </c>
      <c r="D2944" s="675" t="s">
        <v>21</v>
      </c>
      <c r="E2944" s="702"/>
      <c r="F2944" s="702"/>
      <c r="G2944" s="675"/>
      <c r="H2944" s="675"/>
      <c r="I2944" s="675"/>
      <c r="J2944" s="675"/>
      <c r="K2944" s="675"/>
      <c r="L2944" s="675"/>
      <c r="M2944" s="675"/>
    </row>
    <row r="2945" spans="1:13" x14ac:dyDescent="0.25">
      <c r="A2945" s="675" t="s">
        <v>2820</v>
      </c>
      <c r="B2945" s="675" t="s">
        <v>545</v>
      </c>
      <c r="C2945" s="675" t="s">
        <v>2821</v>
      </c>
      <c r="D2945" s="675" t="s">
        <v>21</v>
      </c>
      <c r="E2945" s="702"/>
      <c r="F2945" s="702"/>
      <c r="G2945" s="675"/>
      <c r="H2945" s="675"/>
      <c r="I2945" s="675"/>
      <c r="J2945" s="675"/>
      <c r="K2945" s="675"/>
      <c r="L2945" s="675"/>
      <c r="M2945" s="675"/>
    </row>
    <row r="2946" spans="1:13" x14ac:dyDescent="0.25">
      <c r="A2946" s="675" t="s">
        <v>2820</v>
      </c>
      <c r="B2946" s="675" t="s">
        <v>545</v>
      </c>
      <c r="C2946" s="675" t="s">
        <v>2822</v>
      </c>
      <c r="D2946" s="675" t="s">
        <v>21</v>
      </c>
      <c r="E2946" s="702"/>
      <c r="F2946" s="702"/>
      <c r="G2946" s="675"/>
      <c r="H2946" s="675"/>
      <c r="I2946" s="675"/>
      <c r="J2946" s="675"/>
      <c r="K2946" s="675"/>
      <c r="L2946" s="675"/>
      <c r="M2946" s="675"/>
    </row>
    <row r="2947" spans="1:13" x14ac:dyDescent="0.25">
      <c r="A2947" s="675" t="s">
        <v>2820</v>
      </c>
      <c r="B2947" s="675" t="s">
        <v>545</v>
      </c>
      <c r="C2947" s="675" t="s">
        <v>2823</v>
      </c>
      <c r="D2947" s="675" t="s">
        <v>21</v>
      </c>
      <c r="E2947" s="702"/>
      <c r="F2947" s="702"/>
      <c r="G2947" s="675"/>
      <c r="H2947" s="675"/>
      <c r="I2947" s="675"/>
      <c r="J2947" s="675"/>
      <c r="K2947" s="675"/>
      <c r="L2947" s="675"/>
      <c r="M2947" s="675"/>
    </row>
    <row r="2948" spans="1:13" x14ac:dyDescent="0.25">
      <c r="A2948" s="675" t="s">
        <v>2820</v>
      </c>
      <c r="B2948" s="675" t="s">
        <v>545</v>
      </c>
      <c r="C2948" s="675" t="s">
        <v>2824</v>
      </c>
      <c r="D2948" s="675" t="s">
        <v>21</v>
      </c>
      <c r="E2948" s="702"/>
      <c r="F2948" s="702"/>
      <c r="G2948" s="675"/>
      <c r="H2948" s="675"/>
      <c r="I2948" s="675"/>
      <c r="J2948" s="675"/>
      <c r="K2948" s="675"/>
      <c r="L2948" s="675"/>
      <c r="M2948" s="675"/>
    </row>
    <row r="2949" spans="1:13" x14ac:dyDescent="0.25">
      <c r="A2949" s="675" t="s">
        <v>2820</v>
      </c>
      <c r="B2949" s="675" t="s">
        <v>545</v>
      </c>
      <c r="C2949" s="675" t="s">
        <v>2825</v>
      </c>
      <c r="D2949" s="675" t="s">
        <v>21</v>
      </c>
      <c r="E2949" s="702"/>
      <c r="F2949" s="702"/>
      <c r="G2949" s="675"/>
      <c r="H2949" s="675"/>
      <c r="I2949" s="675"/>
      <c r="J2949" s="675"/>
      <c r="K2949" s="675"/>
      <c r="L2949" s="675"/>
      <c r="M2949" s="675"/>
    </row>
    <row r="2950" spans="1:13" x14ac:dyDescent="0.25">
      <c r="A2950" s="675" t="s">
        <v>2820</v>
      </c>
      <c r="B2950" s="675" t="s">
        <v>564</v>
      </c>
      <c r="C2950" s="675" t="s">
        <v>2826</v>
      </c>
      <c r="D2950" s="675" t="s">
        <v>21</v>
      </c>
      <c r="E2950" s="702"/>
      <c r="F2950" s="702"/>
      <c r="G2950" s="675"/>
      <c r="H2950" s="675"/>
      <c r="I2950" s="675"/>
      <c r="J2950" s="675"/>
      <c r="K2950" s="675"/>
      <c r="L2950" s="675"/>
      <c r="M2950" s="675"/>
    </row>
    <row r="2951" spans="1:13" x14ac:dyDescent="0.25">
      <c r="A2951" s="675" t="s">
        <v>2820</v>
      </c>
      <c r="B2951" s="675" t="s">
        <v>564</v>
      </c>
      <c r="C2951" s="675" t="s">
        <v>2827</v>
      </c>
      <c r="D2951" s="675" t="s">
        <v>21</v>
      </c>
      <c r="E2951" s="702"/>
      <c r="F2951" s="702"/>
      <c r="G2951" s="675"/>
      <c r="H2951" s="675"/>
      <c r="I2951" s="675"/>
      <c r="J2951" s="675"/>
      <c r="K2951" s="675"/>
      <c r="L2951" s="675"/>
      <c r="M2951" s="675"/>
    </row>
    <row r="2952" spans="1:13" x14ac:dyDescent="0.25">
      <c r="A2952" s="675" t="s">
        <v>2820</v>
      </c>
      <c r="B2952" s="675" t="s">
        <v>564</v>
      </c>
      <c r="C2952" s="675" t="s">
        <v>2828</v>
      </c>
      <c r="D2952" s="675" t="s">
        <v>21</v>
      </c>
      <c r="E2952" s="702"/>
      <c r="F2952" s="702"/>
      <c r="G2952" s="675"/>
      <c r="H2952" s="675"/>
      <c r="I2952" s="675"/>
      <c r="J2952" s="675"/>
      <c r="K2952" s="675"/>
      <c r="L2952" s="675"/>
      <c r="M2952" s="675"/>
    </row>
    <row r="2953" spans="1:13" x14ac:dyDescent="0.25">
      <c r="A2953" s="675" t="s">
        <v>2820</v>
      </c>
      <c r="B2953" s="675" t="s">
        <v>564</v>
      </c>
      <c r="C2953" s="675" t="s">
        <v>2829</v>
      </c>
      <c r="D2953" s="675" t="s">
        <v>21</v>
      </c>
      <c r="E2953" s="702"/>
      <c r="F2953" s="702"/>
      <c r="G2953" s="675"/>
      <c r="H2953" s="675"/>
      <c r="I2953" s="675"/>
      <c r="J2953" s="675"/>
      <c r="K2953" s="675"/>
      <c r="L2953" s="675"/>
      <c r="M2953" s="675"/>
    </row>
    <row r="2954" spans="1:13" x14ac:dyDescent="0.25">
      <c r="A2954" s="675" t="s">
        <v>2820</v>
      </c>
      <c r="B2954" s="675" t="s">
        <v>564</v>
      </c>
      <c r="C2954" s="675" t="s">
        <v>2830</v>
      </c>
      <c r="D2954" s="675" t="s">
        <v>21</v>
      </c>
      <c r="E2954" s="702"/>
      <c r="F2954" s="702"/>
      <c r="G2954" s="675"/>
      <c r="H2954" s="675"/>
      <c r="I2954" s="675"/>
      <c r="J2954" s="675"/>
      <c r="K2954" s="675"/>
      <c r="L2954" s="675"/>
      <c r="M2954" s="675"/>
    </row>
    <row r="2955" spans="1:13" x14ac:dyDescent="0.25">
      <c r="A2955" s="675" t="s">
        <v>2820</v>
      </c>
      <c r="B2955" s="675" t="s">
        <v>512</v>
      </c>
      <c r="C2955" s="675" t="s">
        <v>2831</v>
      </c>
      <c r="D2955" s="675" t="s">
        <v>21</v>
      </c>
      <c r="E2955" s="702"/>
      <c r="F2955" s="702"/>
      <c r="G2955" s="675"/>
      <c r="H2955" s="675"/>
      <c r="I2955" s="675"/>
      <c r="J2955" s="675"/>
      <c r="K2955" s="675"/>
      <c r="L2955" s="675"/>
      <c r="M2955" s="675"/>
    </row>
    <row r="2956" spans="1:13" x14ac:dyDescent="0.25">
      <c r="A2956" s="675" t="s">
        <v>2820</v>
      </c>
      <c r="B2956" s="675" t="s">
        <v>512</v>
      </c>
      <c r="C2956" s="675" t="s">
        <v>2832</v>
      </c>
      <c r="D2956" s="675" t="s">
        <v>21</v>
      </c>
      <c r="E2956" s="702"/>
      <c r="F2956" s="702"/>
      <c r="G2956" s="675"/>
      <c r="H2956" s="675"/>
      <c r="I2956" s="675"/>
      <c r="J2956" s="675"/>
      <c r="K2956" s="675"/>
      <c r="L2956" s="675"/>
      <c r="M2956" s="675"/>
    </row>
    <row r="2957" spans="1:13" x14ac:dyDescent="0.25">
      <c r="A2957" s="675" t="s">
        <v>2820</v>
      </c>
      <c r="B2957" s="675" t="s">
        <v>512</v>
      </c>
      <c r="C2957" s="675" t="s">
        <v>2833</v>
      </c>
      <c r="D2957" s="675" t="s">
        <v>21</v>
      </c>
      <c r="E2957" s="702"/>
      <c r="F2957" s="702"/>
      <c r="G2957" s="675"/>
      <c r="H2957" s="675"/>
      <c r="I2957" s="675"/>
      <c r="J2957" s="675"/>
      <c r="K2957" s="675"/>
      <c r="L2957" s="675"/>
      <c r="M2957" s="675"/>
    </row>
    <row r="2958" spans="1:13" x14ac:dyDescent="0.25">
      <c r="A2958" s="675" t="s">
        <v>2820</v>
      </c>
      <c r="B2958" s="675" t="s">
        <v>512</v>
      </c>
      <c r="C2958" s="675" t="s">
        <v>2834</v>
      </c>
      <c r="D2958" s="675" t="s">
        <v>21</v>
      </c>
      <c r="E2958" s="702"/>
      <c r="F2958" s="702"/>
      <c r="G2958" s="675"/>
      <c r="H2958" s="675"/>
      <c r="I2958" s="675"/>
      <c r="J2958" s="675"/>
      <c r="K2958" s="675"/>
      <c r="L2958" s="675"/>
      <c r="M2958" s="675"/>
    </row>
    <row r="2959" spans="1:13" x14ac:dyDescent="0.25">
      <c r="A2959" s="675" t="s">
        <v>2820</v>
      </c>
      <c r="B2959" s="675" t="s">
        <v>512</v>
      </c>
      <c r="C2959" s="675" t="s">
        <v>2835</v>
      </c>
      <c r="D2959" s="675" t="s">
        <v>21</v>
      </c>
      <c r="E2959" s="702"/>
      <c r="F2959" s="702"/>
      <c r="G2959" s="675"/>
      <c r="H2959" s="675"/>
      <c r="I2959" s="675"/>
      <c r="J2959" s="675"/>
      <c r="K2959" s="675"/>
      <c r="L2959" s="675"/>
      <c r="M2959" s="675"/>
    </row>
    <row r="2960" spans="1:13" x14ac:dyDescent="0.25">
      <c r="A2960" s="675" t="s">
        <v>2836</v>
      </c>
      <c r="B2960" s="675" t="s">
        <v>545</v>
      </c>
      <c r="C2960" s="675" t="s">
        <v>2837</v>
      </c>
      <c r="D2960" s="675" t="s">
        <v>21</v>
      </c>
      <c r="E2960" s="702"/>
      <c r="F2960" s="702"/>
      <c r="G2960" s="675"/>
      <c r="H2960" s="675"/>
      <c r="I2960" s="675"/>
      <c r="J2960" s="675"/>
      <c r="K2960" s="675"/>
      <c r="L2960" s="675"/>
      <c r="M2960" s="675"/>
    </row>
    <row r="2961" spans="1:13" x14ac:dyDescent="0.25">
      <c r="A2961" s="675" t="s">
        <v>2836</v>
      </c>
      <c r="B2961" s="675" t="s">
        <v>545</v>
      </c>
      <c r="C2961" s="675" t="s">
        <v>2838</v>
      </c>
      <c r="D2961" s="675" t="s">
        <v>21</v>
      </c>
      <c r="E2961" s="702"/>
      <c r="F2961" s="702"/>
      <c r="G2961" s="675"/>
      <c r="H2961" s="675"/>
      <c r="I2961" s="675"/>
      <c r="J2961" s="675"/>
      <c r="K2961" s="675"/>
      <c r="L2961" s="675"/>
      <c r="M2961" s="675"/>
    </row>
    <row r="2962" spans="1:13" x14ac:dyDescent="0.25">
      <c r="A2962" s="675" t="s">
        <v>2836</v>
      </c>
      <c r="B2962" s="675" t="s">
        <v>545</v>
      </c>
      <c r="C2962" s="675" t="s">
        <v>2839</v>
      </c>
      <c r="D2962" s="675" t="s">
        <v>21</v>
      </c>
      <c r="E2962" s="702"/>
      <c r="F2962" s="702"/>
      <c r="G2962" s="675"/>
      <c r="H2962" s="675"/>
      <c r="I2962" s="675"/>
      <c r="J2962" s="675"/>
      <c r="K2962" s="675"/>
      <c r="L2962" s="675"/>
      <c r="M2962" s="675"/>
    </row>
    <row r="2963" spans="1:13" x14ac:dyDescent="0.25">
      <c r="A2963" s="675" t="s">
        <v>2836</v>
      </c>
      <c r="B2963" s="675" t="s">
        <v>545</v>
      </c>
      <c r="C2963" s="675" t="s">
        <v>2840</v>
      </c>
      <c r="D2963" s="675" t="s">
        <v>21</v>
      </c>
      <c r="E2963" s="702"/>
      <c r="F2963" s="702"/>
      <c r="G2963" s="675"/>
      <c r="H2963" s="675"/>
      <c r="I2963" s="675"/>
      <c r="J2963" s="675"/>
      <c r="K2963" s="675"/>
      <c r="L2963" s="675"/>
      <c r="M2963" s="675"/>
    </row>
    <row r="2964" spans="1:13" x14ac:dyDescent="0.25">
      <c r="A2964" s="675" t="s">
        <v>2836</v>
      </c>
      <c r="B2964" s="675" t="s">
        <v>545</v>
      </c>
      <c r="C2964" s="675" t="s">
        <v>2841</v>
      </c>
      <c r="D2964" s="675" t="s">
        <v>21</v>
      </c>
      <c r="E2964" s="702"/>
      <c r="F2964" s="702"/>
      <c r="G2964" s="675"/>
      <c r="H2964" s="675"/>
      <c r="I2964" s="675"/>
      <c r="J2964" s="675"/>
      <c r="K2964" s="675"/>
      <c r="L2964" s="675"/>
      <c r="M2964" s="675"/>
    </row>
    <row r="2965" spans="1:13" x14ac:dyDescent="0.25">
      <c r="A2965" s="675" t="s">
        <v>2836</v>
      </c>
      <c r="B2965" s="675" t="s">
        <v>564</v>
      </c>
      <c r="C2965" s="675" t="s">
        <v>2842</v>
      </c>
      <c r="D2965" s="675" t="s">
        <v>21</v>
      </c>
      <c r="E2965" s="702"/>
      <c r="F2965" s="702"/>
      <c r="G2965" s="675"/>
      <c r="H2965" s="675"/>
      <c r="I2965" s="675"/>
      <c r="J2965" s="675"/>
      <c r="K2965" s="675"/>
      <c r="L2965" s="675"/>
      <c r="M2965" s="675"/>
    </row>
    <row r="2966" spans="1:13" x14ac:dyDescent="0.25">
      <c r="A2966" s="675" t="s">
        <v>2836</v>
      </c>
      <c r="B2966" s="675" t="s">
        <v>564</v>
      </c>
      <c r="C2966" s="675" t="s">
        <v>2843</v>
      </c>
      <c r="D2966" s="675" t="s">
        <v>21</v>
      </c>
      <c r="E2966" s="702"/>
      <c r="F2966" s="702"/>
      <c r="G2966" s="675"/>
      <c r="H2966" s="675"/>
      <c r="I2966" s="675"/>
      <c r="J2966" s="675"/>
      <c r="K2966" s="675"/>
      <c r="L2966" s="675"/>
      <c r="M2966" s="675"/>
    </row>
    <row r="2967" spans="1:13" x14ac:dyDescent="0.25">
      <c r="A2967" s="675" t="s">
        <v>2836</v>
      </c>
      <c r="B2967" s="675" t="s">
        <v>564</v>
      </c>
      <c r="C2967" s="675" t="s">
        <v>2844</v>
      </c>
      <c r="D2967" s="675" t="s">
        <v>21</v>
      </c>
      <c r="E2967" s="702"/>
      <c r="F2967" s="702"/>
      <c r="G2967" s="675"/>
      <c r="H2967" s="675"/>
      <c r="I2967" s="675"/>
      <c r="J2967" s="675"/>
      <c r="K2967" s="675"/>
      <c r="L2967" s="675"/>
      <c r="M2967" s="675"/>
    </row>
    <row r="2968" spans="1:13" x14ac:dyDescent="0.25">
      <c r="A2968" s="675" t="s">
        <v>2836</v>
      </c>
      <c r="B2968" s="675" t="s">
        <v>564</v>
      </c>
      <c r="C2968" s="675" t="s">
        <v>2845</v>
      </c>
      <c r="D2968" s="675" t="s">
        <v>21</v>
      </c>
      <c r="E2968" s="702"/>
      <c r="F2968" s="702"/>
      <c r="G2968" s="675"/>
      <c r="H2968" s="675"/>
      <c r="I2968" s="675"/>
      <c r="J2968" s="675"/>
      <c r="K2968" s="675"/>
      <c r="L2968" s="675"/>
      <c r="M2968" s="675"/>
    </row>
    <row r="2969" spans="1:13" x14ac:dyDescent="0.25">
      <c r="A2969" s="675" t="s">
        <v>2836</v>
      </c>
      <c r="B2969" s="675" t="s">
        <v>564</v>
      </c>
      <c r="C2969" s="675" t="s">
        <v>2846</v>
      </c>
      <c r="D2969" s="675" t="s">
        <v>21</v>
      </c>
      <c r="E2969" s="702"/>
      <c r="F2969" s="702"/>
      <c r="G2969" s="675"/>
      <c r="H2969" s="675"/>
      <c r="I2969" s="675"/>
      <c r="J2969" s="675"/>
      <c r="K2969" s="675"/>
      <c r="L2969" s="675"/>
      <c r="M2969" s="675"/>
    </row>
    <row r="2970" spans="1:13" x14ac:dyDescent="0.25">
      <c r="A2970" s="675" t="s">
        <v>2836</v>
      </c>
      <c r="B2970" s="675" t="s">
        <v>512</v>
      </c>
      <c r="C2970" s="675" t="s">
        <v>2847</v>
      </c>
      <c r="D2970" s="675" t="s">
        <v>21</v>
      </c>
      <c r="E2970" s="702"/>
      <c r="F2970" s="702"/>
      <c r="G2970" s="675"/>
      <c r="H2970" s="675"/>
      <c r="I2970" s="675"/>
      <c r="J2970" s="675"/>
      <c r="K2970" s="675"/>
      <c r="L2970" s="675"/>
      <c r="M2970" s="675"/>
    </row>
    <row r="2971" spans="1:13" x14ac:dyDescent="0.25">
      <c r="A2971" s="675" t="s">
        <v>2836</v>
      </c>
      <c r="B2971" s="675" t="s">
        <v>512</v>
      </c>
      <c r="C2971" s="675" t="s">
        <v>2848</v>
      </c>
      <c r="D2971" s="675" t="s">
        <v>21</v>
      </c>
      <c r="E2971" s="702"/>
      <c r="F2971" s="702"/>
      <c r="G2971" s="675"/>
      <c r="H2971" s="675"/>
      <c r="I2971" s="675"/>
      <c r="J2971" s="675"/>
      <c r="K2971" s="675"/>
      <c r="L2971" s="675"/>
      <c r="M2971" s="675"/>
    </row>
    <row r="2972" spans="1:13" x14ac:dyDescent="0.25">
      <c r="A2972" s="675" t="s">
        <v>2836</v>
      </c>
      <c r="B2972" s="675" t="s">
        <v>512</v>
      </c>
      <c r="C2972" s="675" t="s">
        <v>2849</v>
      </c>
      <c r="D2972" s="675" t="s">
        <v>21</v>
      </c>
      <c r="E2972" s="702"/>
      <c r="F2972" s="702"/>
      <c r="G2972" s="675"/>
      <c r="H2972" s="675"/>
      <c r="I2972" s="675"/>
      <c r="J2972" s="675"/>
      <c r="K2972" s="675"/>
      <c r="L2972" s="675"/>
      <c r="M2972" s="675"/>
    </row>
    <row r="2973" spans="1:13" x14ac:dyDescent="0.25">
      <c r="A2973" s="675" t="s">
        <v>2836</v>
      </c>
      <c r="B2973" s="675" t="s">
        <v>512</v>
      </c>
      <c r="C2973" s="675" t="s">
        <v>2850</v>
      </c>
      <c r="D2973" s="675" t="s">
        <v>21</v>
      </c>
      <c r="E2973" s="702"/>
      <c r="F2973" s="702"/>
      <c r="G2973" s="675"/>
      <c r="H2973" s="675"/>
      <c r="I2973" s="675"/>
      <c r="J2973" s="675"/>
      <c r="K2973" s="675"/>
      <c r="L2973" s="675"/>
      <c r="M2973" s="675"/>
    </row>
    <row r="2974" spans="1:13" x14ac:dyDescent="0.25">
      <c r="A2974" s="675" t="s">
        <v>2836</v>
      </c>
      <c r="B2974" s="675" t="s">
        <v>512</v>
      </c>
      <c r="C2974" s="675" t="s">
        <v>2851</v>
      </c>
      <c r="D2974" s="675" t="s">
        <v>21</v>
      </c>
      <c r="E2974" s="702"/>
      <c r="F2974" s="702"/>
      <c r="G2974" s="675"/>
      <c r="H2974" s="675"/>
      <c r="I2974" s="675"/>
      <c r="J2974" s="675"/>
      <c r="K2974" s="675"/>
      <c r="L2974" s="675"/>
      <c r="M2974" s="675"/>
    </row>
    <row r="2975" spans="1:13" x14ac:dyDescent="0.25">
      <c r="A2975" s="675" t="s">
        <v>2852</v>
      </c>
      <c r="B2975" s="675" t="s">
        <v>545</v>
      </c>
      <c r="C2975" s="675" t="s">
        <v>2853</v>
      </c>
      <c r="D2975" s="675" t="s">
        <v>21</v>
      </c>
      <c r="E2975" s="702"/>
      <c r="F2975" s="702"/>
      <c r="G2975" s="675"/>
      <c r="H2975" s="675"/>
      <c r="I2975" s="675"/>
      <c r="J2975" s="675"/>
      <c r="K2975" s="675"/>
      <c r="L2975" s="675"/>
      <c r="M2975" s="675"/>
    </row>
    <row r="2976" spans="1:13" x14ac:dyDescent="0.25">
      <c r="A2976" s="675" t="s">
        <v>2852</v>
      </c>
      <c r="B2976" s="675" t="s">
        <v>545</v>
      </c>
      <c r="C2976" s="675" t="s">
        <v>2854</v>
      </c>
      <c r="D2976" s="675" t="s">
        <v>21</v>
      </c>
      <c r="E2976" s="702"/>
      <c r="F2976" s="702"/>
      <c r="G2976" s="675"/>
      <c r="H2976" s="675"/>
      <c r="I2976" s="675"/>
      <c r="J2976" s="675"/>
      <c r="K2976" s="675"/>
      <c r="L2976" s="675"/>
      <c r="M2976" s="675"/>
    </row>
    <row r="2977" spans="1:13" x14ac:dyDescent="0.25">
      <c r="A2977" s="675" t="s">
        <v>2852</v>
      </c>
      <c r="B2977" s="675" t="s">
        <v>545</v>
      </c>
      <c r="C2977" s="675" t="s">
        <v>2855</v>
      </c>
      <c r="D2977" s="675" t="s">
        <v>21</v>
      </c>
      <c r="E2977" s="702"/>
      <c r="F2977" s="702"/>
      <c r="G2977" s="675"/>
      <c r="H2977" s="675"/>
      <c r="I2977" s="675"/>
      <c r="J2977" s="675"/>
      <c r="K2977" s="675"/>
      <c r="L2977" s="675"/>
      <c r="M2977" s="675"/>
    </row>
    <row r="2978" spans="1:13" x14ac:dyDescent="0.25">
      <c r="A2978" s="675" t="s">
        <v>2852</v>
      </c>
      <c r="B2978" s="675" t="s">
        <v>545</v>
      </c>
      <c r="C2978" s="675" t="s">
        <v>2856</v>
      </c>
      <c r="D2978" s="675" t="s">
        <v>21</v>
      </c>
      <c r="E2978" s="702"/>
      <c r="F2978" s="702"/>
      <c r="G2978" s="675"/>
      <c r="H2978" s="675"/>
      <c r="I2978" s="675"/>
      <c r="J2978" s="675"/>
      <c r="K2978" s="675"/>
      <c r="L2978" s="675"/>
      <c r="M2978" s="675"/>
    </row>
    <row r="2979" spans="1:13" x14ac:dyDescent="0.25">
      <c r="A2979" s="675" t="s">
        <v>2852</v>
      </c>
      <c r="B2979" s="675" t="s">
        <v>545</v>
      </c>
      <c r="C2979" s="675" t="s">
        <v>2857</v>
      </c>
      <c r="D2979" s="675" t="s">
        <v>21</v>
      </c>
      <c r="E2979" s="702"/>
      <c r="F2979" s="702"/>
      <c r="G2979" s="675"/>
      <c r="H2979" s="675"/>
      <c r="I2979" s="675"/>
      <c r="J2979" s="675"/>
      <c r="K2979" s="675"/>
      <c r="L2979" s="675"/>
      <c r="M2979" s="675"/>
    </row>
    <row r="2980" spans="1:13" x14ac:dyDescent="0.25">
      <c r="A2980" s="675" t="s">
        <v>2852</v>
      </c>
      <c r="B2980" s="675" t="s">
        <v>564</v>
      </c>
      <c r="C2980" s="675" t="s">
        <v>2858</v>
      </c>
      <c r="D2980" s="675" t="s">
        <v>21</v>
      </c>
      <c r="E2980" s="702"/>
      <c r="F2980" s="702"/>
      <c r="G2980" s="675"/>
      <c r="H2980" s="675"/>
      <c r="I2980" s="675"/>
      <c r="J2980" s="675"/>
      <c r="K2980" s="675"/>
      <c r="L2980" s="675"/>
      <c r="M2980" s="675"/>
    </row>
    <row r="2981" spans="1:13" x14ac:dyDescent="0.25">
      <c r="A2981" s="675" t="s">
        <v>2852</v>
      </c>
      <c r="B2981" s="675" t="s">
        <v>564</v>
      </c>
      <c r="C2981" s="675" t="s">
        <v>2859</v>
      </c>
      <c r="D2981" s="675" t="s">
        <v>21</v>
      </c>
      <c r="E2981" s="702"/>
      <c r="F2981" s="702"/>
      <c r="G2981" s="675"/>
      <c r="H2981" s="675"/>
      <c r="I2981" s="675"/>
      <c r="J2981" s="675"/>
      <c r="K2981" s="675"/>
      <c r="L2981" s="675"/>
      <c r="M2981" s="675"/>
    </row>
    <row r="2982" spans="1:13" x14ac:dyDescent="0.25">
      <c r="A2982" s="675" t="s">
        <v>2852</v>
      </c>
      <c r="B2982" s="675" t="s">
        <v>564</v>
      </c>
      <c r="C2982" s="675" t="s">
        <v>2860</v>
      </c>
      <c r="D2982" s="675" t="s">
        <v>21</v>
      </c>
      <c r="E2982" s="702"/>
      <c r="F2982" s="702"/>
      <c r="G2982" s="675"/>
      <c r="H2982" s="675"/>
      <c r="I2982" s="675"/>
      <c r="J2982" s="675"/>
      <c r="K2982" s="675"/>
      <c r="L2982" s="675"/>
      <c r="M2982" s="675"/>
    </row>
    <row r="2983" spans="1:13" x14ac:dyDescent="0.25">
      <c r="A2983" s="675" t="s">
        <v>2852</v>
      </c>
      <c r="B2983" s="675" t="s">
        <v>564</v>
      </c>
      <c r="C2983" s="675" t="s">
        <v>2861</v>
      </c>
      <c r="D2983" s="675" t="s">
        <v>21</v>
      </c>
      <c r="E2983" s="702"/>
      <c r="F2983" s="702"/>
      <c r="G2983" s="675"/>
      <c r="H2983" s="675"/>
      <c r="I2983" s="675"/>
      <c r="J2983" s="675"/>
      <c r="K2983" s="675"/>
      <c r="L2983" s="675"/>
      <c r="M2983" s="675"/>
    </row>
    <row r="2984" spans="1:13" x14ac:dyDescent="0.25">
      <c r="A2984" s="675" t="s">
        <v>2852</v>
      </c>
      <c r="B2984" s="675" t="s">
        <v>564</v>
      </c>
      <c r="C2984" s="675" t="s">
        <v>2862</v>
      </c>
      <c r="D2984" s="675" t="s">
        <v>21</v>
      </c>
      <c r="E2984" s="702"/>
      <c r="F2984" s="702"/>
      <c r="G2984" s="675"/>
      <c r="H2984" s="675"/>
      <c r="I2984" s="675"/>
      <c r="J2984" s="675"/>
      <c r="K2984" s="675"/>
      <c r="L2984" s="675"/>
      <c r="M2984" s="675"/>
    </row>
    <row r="2985" spans="1:13" x14ac:dyDescent="0.25">
      <c r="A2985" s="675" t="s">
        <v>2852</v>
      </c>
      <c r="B2985" s="675" t="s">
        <v>512</v>
      </c>
      <c r="C2985" s="675" t="s">
        <v>2863</v>
      </c>
      <c r="D2985" s="675" t="s">
        <v>21</v>
      </c>
      <c r="E2985" s="702"/>
      <c r="F2985" s="702"/>
      <c r="G2985" s="675"/>
      <c r="H2985" s="675"/>
      <c r="I2985" s="675"/>
      <c r="J2985" s="675"/>
      <c r="K2985" s="675"/>
      <c r="L2985" s="675"/>
      <c r="M2985" s="675"/>
    </row>
    <row r="2986" spans="1:13" x14ac:dyDescent="0.25">
      <c r="A2986" s="675" t="s">
        <v>2852</v>
      </c>
      <c r="B2986" s="675" t="s">
        <v>512</v>
      </c>
      <c r="C2986" s="675" t="s">
        <v>2864</v>
      </c>
      <c r="D2986" s="675" t="s">
        <v>21</v>
      </c>
      <c r="E2986" s="702"/>
      <c r="F2986" s="702"/>
      <c r="G2986" s="675"/>
      <c r="H2986" s="675"/>
      <c r="I2986" s="675"/>
      <c r="J2986" s="675"/>
      <c r="K2986" s="675"/>
      <c r="L2986" s="675"/>
      <c r="M2986" s="675"/>
    </row>
    <row r="2987" spans="1:13" x14ac:dyDescent="0.25">
      <c r="A2987" s="675" t="s">
        <v>2852</v>
      </c>
      <c r="B2987" s="675" t="s">
        <v>512</v>
      </c>
      <c r="C2987" s="675" t="s">
        <v>2865</v>
      </c>
      <c r="D2987" s="675" t="s">
        <v>21</v>
      </c>
      <c r="E2987" s="702"/>
      <c r="F2987" s="702"/>
      <c r="G2987" s="675"/>
      <c r="H2987" s="675"/>
      <c r="I2987" s="675"/>
      <c r="J2987" s="675"/>
      <c r="K2987" s="675"/>
      <c r="L2987" s="675"/>
      <c r="M2987" s="675"/>
    </row>
    <row r="2988" spans="1:13" x14ac:dyDescent="0.25">
      <c r="A2988" s="675" t="s">
        <v>2852</v>
      </c>
      <c r="B2988" s="675" t="s">
        <v>512</v>
      </c>
      <c r="C2988" s="675" t="s">
        <v>2866</v>
      </c>
      <c r="D2988" s="675" t="s">
        <v>21</v>
      </c>
      <c r="E2988" s="702"/>
      <c r="F2988" s="702"/>
      <c r="G2988" s="675"/>
      <c r="H2988" s="675"/>
      <c r="I2988" s="675"/>
      <c r="J2988" s="675"/>
      <c r="K2988" s="675"/>
      <c r="L2988" s="675"/>
      <c r="M2988" s="675"/>
    </row>
    <row r="2989" spans="1:13" x14ac:dyDescent="0.25">
      <c r="A2989" s="675" t="s">
        <v>2852</v>
      </c>
      <c r="B2989" s="675" t="s">
        <v>512</v>
      </c>
      <c r="C2989" s="675" t="s">
        <v>2867</v>
      </c>
      <c r="D2989" s="675" t="s">
        <v>21</v>
      </c>
      <c r="E2989" s="702"/>
      <c r="F2989" s="702"/>
      <c r="G2989" s="675"/>
      <c r="H2989" s="675"/>
      <c r="I2989" s="675"/>
      <c r="J2989" s="675"/>
      <c r="K2989" s="675"/>
      <c r="L2989" s="675"/>
      <c r="M2989" s="675"/>
    </row>
    <row r="2990" spans="1:13" x14ac:dyDescent="0.25">
      <c r="A2990" s="675" t="s">
        <v>2852</v>
      </c>
      <c r="B2990" s="675" t="s">
        <v>545</v>
      </c>
      <c r="C2990" s="675" t="s">
        <v>2868</v>
      </c>
      <c r="D2990" s="675" t="s">
        <v>21</v>
      </c>
      <c r="E2990" s="702"/>
      <c r="F2990" s="702"/>
      <c r="G2990" s="675"/>
      <c r="H2990" s="675"/>
      <c r="I2990" s="675"/>
      <c r="J2990" s="675"/>
      <c r="K2990" s="675"/>
      <c r="L2990" s="675"/>
      <c r="M2990" s="675"/>
    </row>
    <row r="2991" spans="1:13" x14ac:dyDescent="0.25">
      <c r="A2991" s="675" t="s">
        <v>2852</v>
      </c>
      <c r="B2991" s="675" t="s">
        <v>545</v>
      </c>
      <c r="C2991" s="675" t="s">
        <v>2869</v>
      </c>
      <c r="D2991" s="675" t="s">
        <v>21</v>
      </c>
      <c r="E2991" s="702"/>
      <c r="F2991" s="702"/>
      <c r="G2991" s="675"/>
      <c r="H2991" s="675"/>
      <c r="I2991" s="675"/>
      <c r="J2991" s="675"/>
      <c r="K2991" s="675"/>
      <c r="L2991" s="675"/>
      <c r="M2991" s="675"/>
    </row>
    <row r="2992" spans="1:13" x14ac:dyDescent="0.25">
      <c r="A2992" s="675" t="s">
        <v>2852</v>
      </c>
      <c r="B2992" s="675" t="s">
        <v>545</v>
      </c>
      <c r="C2992" s="675" t="s">
        <v>2870</v>
      </c>
      <c r="D2992" s="675" t="s">
        <v>21</v>
      </c>
      <c r="E2992" s="702"/>
      <c r="F2992" s="702"/>
      <c r="G2992" s="675"/>
      <c r="H2992" s="675"/>
      <c r="I2992" s="675"/>
      <c r="J2992" s="675"/>
      <c r="K2992" s="675"/>
      <c r="L2992" s="675"/>
      <c r="M2992" s="675"/>
    </row>
    <row r="2993" spans="1:13" x14ac:dyDescent="0.25">
      <c r="A2993" s="675" t="s">
        <v>2852</v>
      </c>
      <c r="B2993" s="675" t="s">
        <v>545</v>
      </c>
      <c r="C2993" s="675" t="s">
        <v>2871</v>
      </c>
      <c r="D2993" s="675" t="s">
        <v>21</v>
      </c>
      <c r="E2993" s="702"/>
      <c r="F2993" s="702"/>
      <c r="G2993" s="675"/>
      <c r="H2993" s="675"/>
      <c r="I2993" s="675"/>
      <c r="J2993" s="675"/>
      <c r="K2993" s="675"/>
      <c r="L2993" s="675"/>
      <c r="M2993" s="675"/>
    </row>
    <row r="2994" spans="1:13" x14ac:dyDescent="0.25">
      <c r="A2994" s="675" t="s">
        <v>2852</v>
      </c>
      <c r="B2994" s="675" t="s">
        <v>545</v>
      </c>
      <c r="C2994" s="675" t="s">
        <v>2872</v>
      </c>
      <c r="D2994" s="675" t="s">
        <v>21</v>
      </c>
      <c r="E2994" s="702"/>
      <c r="F2994" s="702"/>
      <c r="G2994" s="675"/>
      <c r="H2994" s="675"/>
      <c r="I2994" s="675"/>
      <c r="J2994" s="675"/>
      <c r="K2994" s="675"/>
      <c r="L2994" s="675"/>
      <c r="M2994" s="675"/>
    </row>
    <row r="2995" spans="1:13" x14ac:dyDescent="0.25">
      <c r="A2995" s="675" t="s">
        <v>2852</v>
      </c>
      <c r="B2995" s="675" t="s">
        <v>512</v>
      </c>
      <c r="C2995" s="675" t="s">
        <v>2873</v>
      </c>
      <c r="D2995" s="675" t="s">
        <v>21</v>
      </c>
      <c r="E2995" s="702"/>
      <c r="F2995" s="702"/>
      <c r="G2995" s="675"/>
      <c r="H2995" s="675"/>
      <c r="I2995" s="675"/>
      <c r="J2995" s="675"/>
      <c r="K2995" s="675"/>
      <c r="L2995" s="675"/>
      <c r="M2995" s="675"/>
    </row>
    <row r="2996" spans="1:13" x14ac:dyDescent="0.25">
      <c r="A2996" s="675" t="s">
        <v>2852</v>
      </c>
      <c r="B2996" s="675" t="s">
        <v>512</v>
      </c>
      <c r="C2996" s="675" t="s">
        <v>2874</v>
      </c>
      <c r="D2996" s="675" t="s">
        <v>21</v>
      </c>
      <c r="E2996" s="702"/>
      <c r="F2996" s="702"/>
      <c r="G2996" s="675"/>
      <c r="H2996" s="675"/>
      <c r="I2996" s="675"/>
      <c r="J2996" s="675"/>
      <c r="K2996" s="675"/>
      <c r="L2996" s="675"/>
      <c r="M2996" s="675"/>
    </row>
    <row r="2997" spans="1:13" x14ac:dyDescent="0.25">
      <c r="A2997" s="675" t="s">
        <v>2852</v>
      </c>
      <c r="B2997" s="675" t="s">
        <v>512</v>
      </c>
      <c r="C2997" s="675" t="s">
        <v>2875</v>
      </c>
      <c r="D2997" s="675" t="s">
        <v>21</v>
      </c>
      <c r="E2997" s="702"/>
      <c r="F2997" s="702"/>
      <c r="G2997" s="675"/>
      <c r="H2997" s="675"/>
      <c r="I2997" s="675"/>
      <c r="J2997" s="675"/>
      <c r="K2997" s="675"/>
      <c r="L2997" s="675"/>
      <c r="M2997" s="675"/>
    </row>
    <row r="2998" spans="1:13" x14ac:dyDescent="0.25">
      <c r="A2998" s="675" t="s">
        <v>2852</v>
      </c>
      <c r="B2998" s="675" t="s">
        <v>512</v>
      </c>
      <c r="C2998" s="675" t="s">
        <v>2876</v>
      </c>
      <c r="D2998" s="675" t="s">
        <v>21</v>
      </c>
      <c r="E2998" s="702"/>
      <c r="F2998" s="702"/>
      <c r="G2998" s="675"/>
      <c r="H2998" s="675"/>
      <c r="I2998" s="675"/>
      <c r="J2998" s="675"/>
      <c r="K2998" s="675"/>
      <c r="L2998" s="675"/>
      <c r="M2998" s="675"/>
    </row>
    <row r="2999" spans="1:13" x14ac:dyDescent="0.25">
      <c r="A2999" s="675" t="s">
        <v>2852</v>
      </c>
      <c r="B2999" s="675" t="s">
        <v>512</v>
      </c>
      <c r="C2999" s="675" t="s">
        <v>2877</v>
      </c>
      <c r="D2999" s="675" t="s">
        <v>21</v>
      </c>
      <c r="E2999" s="702"/>
      <c r="F2999" s="702"/>
      <c r="G2999" s="675"/>
      <c r="H2999" s="675"/>
      <c r="I2999" s="675"/>
      <c r="J2999" s="675"/>
      <c r="K2999" s="675"/>
      <c r="L2999" s="675"/>
      <c r="M2999" s="675"/>
    </row>
    <row r="3000" spans="1:13" x14ac:dyDescent="0.25">
      <c r="A3000" s="675" t="s">
        <v>2878</v>
      </c>
      <c r="B3000" s="675" t="s">
        <v>545</v>
      </c>
      <c r="C3000" s="675" t="s">
        <v>2879</v>
      </c>
      <c r="D3000" s="675" t="s">
        <v>21</v>
      </c>
      <c r="E3000" s="702"/>
      <c r="F3000" s="702"/>
      <c r="G3000" s="675"/>
      <c r="H3000" s="675"/>
      <c r="I3000" s="675"/>
      <c r="J3000" s="675"/>
      <c r="K3000" s="675"/>
      <c r="L3000" s="675"/>
      <c r="M3000" s="675"/>
    </row>
    <row r="3001" spans="1:13" x14ac:dyDescent="0.25">
      <c r="A3001" s="675" t="s">
        <v>2878</v>
      </c>
      <c r="B3001" s="675" t="s">
        <v>545</v>
      </c>
      <c r="C3001" s="675" t="s">
        <v>2880</v>
      </c>
      <c r="D3001" s="675" t="s">
        <v>21</v>
      </c>
      <c r="E3001" s="702"/>
      <c r="F3001" s="702"/>
      <c r="G3001" s="675"/>
      <c r="H3001" s="675"/>
      <c r="I3001" s="675"/>
      <c r="J3001" s="675"/>
      <c r="K3001" s="675"/>
      <c r="L3001" s="675"/>
      <c r="M3001" s="675"/>
    </row>
    <row r="3002" spans="1:13" x14ac:dyDescent="0.25">
      <c r="A3002" s="675" t="s">
        <v>2878</v>
      </c>
      <c r="B3002" s="675" t="s">
        <v>545</v>
      </c>
      <c r="C3002" s="675" t="s">
        <v>2881</v>
      </c>
      <c r="D3002" s="675" t="s">
        <v>21</v>
      </c>
      <c r="E3002" s="702"/>
      <c r="F3002" s="702"/>
      <c r="G3002" s="675"/>
      <c r="H3002" s="675"/>
      <c r="I3002" s="675"/>
      <c r="J3002" s="675"/>
      <c r="K3002" s="675"/>
      <c r="L3002" s="675"/>
      <c r="M3002" s="675"/>
    </row>
    <row r="3003" spans="1:13" x14ac:dyDescent="0.25">
      <c r="A3003" s="675" t="s">
        <v>2878</v>
      </c>
      <c r="B3003" s="675" t="s">
        <v>545</v>
      </c>
      <c r="C3003" s="675" t="s">
        <v>2882</v>
      </c>
      <c r="D3003" s="675" t="s">
        <v>21</v>
      </c>
      <c r="E3003" s="702"/>
      <c r="F3003" s="702"/>
      <c r="G3003" s="675"/>
      <c r="H3003" s="675"/>
      <c r="I3003" s="675"/>
      <c r="J3003" s="675"/>
      <c r="K3003" s="675"/>
      <c r="L3003" s="675"/>
      <c r="M3003" s="675"/>
    </row>
    <row r="3004" spans="1:13" x14ac:dyDescent="0.25">
      <c r="A3004" s="675" t="s">
        <v>2878</v>
      </c>
      <c r="B3004" s="675" t="s">
        <v>545</v>
      </c>
      <c r="C3004" s="675" t="s">
        <v>2883</v>
      </c>
      <c r="D3004" s="675" t="s">
        <v>21</v>
      </c>
      <c r="E3004" s="702"/>
      <c r="F3004" s="702"/>
      <c r="G3004" s="675"/>
      <c r="H3004" s="675"/>
      <c r="I3004" s="675"/>
      <c r="J3004" s="675"/>
      <c r="K3004" s="675"/>
      <c r="L3004" s="675"/>
      <c r="M3004" s="675"/>
    </row>
    <row r="3005" spans="1:13" x14ac:dyDescent="0.25">
      <c r="A3005" s="675" t="s">
        <v>2878</v>
      </c>
      <c r="B3005" s="675" t="s">
        <v>564</v>
      </c>
      <c r="C3005" s="675" t="s">
        <v>2884</v>
      </c>
      <c r="D3005" s="675" t="s">
        <v>21</v>
      </c>
      <c r="E3005" s="702"/>
      <c r="F3005" s="702"/>
      <c r="G3005" s="675"/>
      <c r="H3005" s="675"/>
      <c r="I3005" s="675"/>
      <c r="J3005" s="675"/>
      <c r="K3005" s="675"/>
      <c r="L3005" s="675"/>
      <c r="M3005" s="675"/>
    </row>
    <row r="3006" spans="1:13" x14ac:dyDescent="0.25">
      <c r="A3006" s="675" t="s">
        <v>2878</v>
      </c>
      <c r="B3006" s="675" t="s">
        <v>564</v>
      </c>
      <c r="C3006" s="675" t="s">
        <v>2885</v>
      </c>
      <c r="D3006" s="675" t="s">
        <v>21</v>
      </c>
      <c r="E3006" s="702"/>
      <c r="F3006" s="702"/>
      <c r="G3006" s="675"/>
      <c r="H3006" s="675"/>
      <c r="I3006" s="675"/>
      <c r="J3006" s="675"/>
      <c r="K3006" s="675"/>
      <c r="L3006" s="675"/>
      <c r="M3006" s="675"/>
    </row>
    <row r="3007" spans="1:13" x14ac:dyDescent="0.25">
      <c r="A3007" s="675" t="s">
        <v>2878</v>
      </c>
      <c r="B3007" s="675" t="s">
        <v>564</v>
      </c>
      <c r="C3007" s="675" t="s">
        <v>2886</v>
      </c>
      <c r="D3007" s="675" t="s">
        <v>21</v>
      </c>
      <c r="E3007" s="702"/>
      <c r="F3007" s="702"/>
      <c r="G3007" s="675"/>
      <c r="H3007" s="675"/>
      <c r="I3007" s="675"/>
      <c r="J3007" s="675"/>
      <c r="K3007" s="675"/>
      <c r="L3007" s="675"/>
      <c r="M3007" s="675"/>
    </row>
    <row r="3008" spans="1:13" x14ac:dyDescent="0.25">
      <c r="A3008" s="675" t="s">
        <v>2878</v>
      </c>
      <c r="B3008" s="675" t="s">
        <v>564</v>
      </c>
      <c r="C3008" s="675" t="s">
        <v>2887</v>
      </c>
      <c r="D3008" s="675" t="s">
        <v>21</v>
      </c>
      <c r="E3008" s="702"/>
      <c r="F3008" s="702"/>
      <c r="G3008" s="675"/>
      <c r="H3008" s="675"/>
      <c r="I3008" s="675"/>
      <c r="J3008" s="675"/>
      <c r="K3008" s="675"/>
      <c r="L3008" s="675"/>
      <c r="M3008" s="675"/>
    </row>
    <row r="3009" spans="1:13" x14ac:dyDescent="0.25">
      <c r="A3009" s="675" t="s">
        <v>2878</v>
      </c>
      <c r="B3009" s="675" t="s">
        <v>564</v>
      </c>
      <c r="C3009" s="675" t="s">
        <v>2888</v>
      </c>
      <c r="D3009" s="675" t="s">
        <v>21</v>
      </c>
      <c r="E3009" s="702"/>
      <c r="F3009" s="702"/>
      <c r="G3009" s="675"/>
      <c r="H3009" s="675"/>
      <c r="I3009" s="675"/>
      <c r="J3009" s="675"/>
      <c r="K3009" s="675"/>
      <c r="L3009" s="675"/>
      <c r="M3009" s="675"/>
    </row>
    <row r="3010" spans="1:13" x14ac:dyDescent="0.25">
      <c r="A3010" s="675" t="s">
        <v>2878</v>
      </c>
      <c r="B3010" s="675" t="s">
        <v>512</v>
      </c>
      <c r="C3010" s="675" t="s">
        <v>2889</v>
      </c>
      <c r="D3010" s="675" t="s">
        <v>21</v>
      </c>
      <c r="E3010" s="702"/>
      <c r="F3010" s="702"/>
      <c r="G3010" s="675"/>
      <c r="H3010" s="675"/>
      <c r="I3010" s="675"/>
      <c r="J3010" s="675"/>
      <c r="K3010" s="675"/>
      <c r="L3010" s="675"/>
      <c r="M3010" s="675"/>
    </row>
    <row r="3011" spans="1:13" x14ac:dyDescent="0.25">
      <c r="A3011" s="675" t="s">
        <v>2878</v>
      </c>
      <c r="B3011" s="675" t="s">
        <v>512</v>
      </c>
      <c r="C3011" s="675" t="s">
        <v>2890</v>
      </c>
      <c r="D3011" s="675" t="s">
        <v>21</v>
      </c>
      <c r="E3011" s="702"/>
      <c r="F3011" s="702"/>
      <c r="G3011" s="675"/>
      <c r="H3011" s="675"/>
      <c r="I3011" s="675"/>
      <c r="J3011" s="675"/>
      <c r="K3011" s="675"/>
      <c r="L3011" s="675"/>
      <c r="M3011" s="675"/>
    </row>
    <row r="3012" spans="1:13" x14ac:dyDescent="0.25">
      <c r="A3012" s="675" t="s">
        <v>2878</v>
      </c>
      <c r="B3012" s="675" t="s">
        <v>512</v>
      </c>
      <c r="C3012" s="675" t="s">
        <v>2891</v>
      </c>
      <c r="D3012" s="675" t="s">
        <v>21</v>
      </c>
      <c r="E3012" s="702"/>
      <c r="F3012" s="702"/>
      <c r="G3012" s="675"/>
      <c r="H3012" s="675"/>
      <c r="I3012" s="675"/>
      <c r="J3012" s="675"/>
      <c r="K3012" s="675"/>
      <c r="L3012" s="675"/>
      <c r="M3012" s="675"/>
    </row>
    <row r="3013" spans="1:13" x14ac:dyDescent="0.25">
      <c r="A3013" s="675" t="s">
        <v>2878</v>
      </c>
      <c r="B3013" s="675" t="s">
        <v>512</v>
      </c>
      <c r="C3013" s="675" t="s">
        <v>2892</v>
      </c>
      <c r="D3013" s="675" t="s">
        <v>21</v>
      </c>
      <c r="E3013" s="702"/>
      <c r="F3013" s="702"/>
      <c r="G3013" s="675"/>
      <c r="H3013" s="675"/>
      <c r="I3013" s="675"/>
      <c r="J3013" s="675"/>
      <c r="K3013" s="675"/>
      <c r="L3013" s="675"/>
      <c r="M3013" s="675"/>
    </row>
    <row r="3014" spans="1:13" x14ac:dyDescent="0.25">
      <c r="A3014" s="675" t="s">
        <v>2878</v>
      </c>
      <c r="B3014" s="675" t="s">
        <v>512</v>
      </c>
      <c r="C3014" s="675" t="s">
        <v>2893</v>
      </c>
      <c r="D3014" s="675" t="s">
        <v>21</v>
      </c>
      <c r="E3014" s="702"/>
      <c r="F3014" s="702"/>
      <c r="G3014" s="675"/>
      <c r="H3014" s="675"/>
      <c r="I3014" s="675"/>
      <c r="J3014" s="675"/>
      <c r="K3014" s="675"/>
      <c r="L3014" s="675"/>
      <c r="M3014" s="675"/>
    </row>
    <row r="3015" spans="1:13" x14ac:dyDescent="0.25">
      <c r="A3015" s="675" t="s">
        <v>2878</v>
      </c>
      <c r="B3015" s="675" t="s">
        <v>545</v>
      </c>
      <c r="C3015" s="675" t="s">
        <v>2894</v>
      </c>
      <c r="D3015" s="675" t="s">
        <v>21</v>
      </c>
      <c r="E3015" s="702"/>
      <c r="F3015" s="702"/>
      <c r="G3015" s="675"/>
      <c r="H3015" s="675"/>
      <c r="I3015" s="675"/>
      <c r="J3015" s="675"/>
      <c r="K3015" s="675"/>
      <c r="L3015" s="675"/>
      <c r="M3015" s="675"/>
    </row>
    <row r="3016" spans="1:13" x14ac:dyDescent="0.25">
      <c r="A3016" s="675" t="s">
        <v>2878</v>
      </c>
      <c r="B3016" s="675" t="s">
        <v>545</v>
      </c>
      <c r="C3016" s="675" t="s">
        <v>2895</v>
      </c>
      <c r="D3016" s="675" t="s">
        <v>21</v>
      </c>
      <c r="E3016" s="702"/>
      <c r="F3016" s="702"/>
      <c r="G3016" s="675"/>
      <c r="H3016" s="675"/>
      <c r="I3016" s="675"/>
      <c r="J3016" s="675"/>
      <c r="K3016" s="675"/>
      <c r="L3016" s="675"/>
      <c r="M3016" s="675"/>
    </row>
    <row r="3017" spans="1:13" x14ac:dyDescent="0.25">
      <c r="A3017" s="675" t="s">
        <v>2878</v>
      </c>
      <c r="B3017" s="675" t="s">
        <v>545</v>
      </c>
      <c r="C3017" s="675" t="s">
        <v>2896</v>
      </c>
      <c r="D3017" s="675" t="s">
        <v>21</v>
      </c>
      <c r="E3017" s="702"/>
      <c r="F3017" s="702"/>
      <c r="G3017" s="675"/>
      <c r="H3017" s="675"/>
      <c r="I3017" s="675"/>
      <c r="J3017" s="675"/>
      <c r="K3017" s="675"/>
      <c r="L3017" s="675"/>
      <c r="M3017" s="675"/>
    </row>
    <row r="3018" spans="1:13" x14ac:dyDescent="0.25">
      <c r="A3018" s="675" t="s">
        <v>2878</v>
      </c>
      <c r="B3018" s="675" t="s">
        <v>545</v>
      </c>
      <c r="C3018" s="675" t="s">
        <v>2897</v>
      </c>
      <c r="D3018" s="675" t="s">
        <v>21</v>
      </c>
      <c r="E3018" s="702"/>
      <c r="F3018" s="702"/>
      <c r="G3018" s="675"/>
      <c r="H3018" s="675"/>
      <c r="I3018" s="675"/>
      <c r="J3018" s="675"/>
      <c r="K3018" s="675"/>
      <c r="L3018" s="675"/>
      <c r="M3018" s="675"/>
    </row>
    <row r="3019" spans="1:13" x14ac:dyDescent="0.25">
      <c r="A3019" s="675" t="s">
        <v>2878</v>
      </c>
      <c r="B3019" s="675" t="s">
        <v>545</v>
      </c>
      <c r="C3019" s="675" t="s">
        <v>2898</v>
      </c>
      <c r="D3019" s="675" t="s">
        <v>21</v>
      </c>
      <c r="E3019" s="702"/>
      <c r="F3019" s="702"/>
      <c r="G3019" s="675"/>
      <c r="H3019" s="675"/>
      <c r="I3019" s="675"/>
      <c r="J3019" s="675"/>
      <c r="K3019" s="675"/>
      <c r="L3019" s="675"/>
      <c r="M3019" s="675"/>
    </row>
    <row r="3020" spans="1:13" x14ac:dyDescent="0.25">
      <c r="A3020" s="675" t="s">
        <v>2878</v>
      </c>
      <c r="B3020" s="675" t="s">
        <v>512</v>
      </c>
      <c r="C3020" s="675" t="s">
        <v>2899</v>
      </c>
      <c r="D3020" s="675" t="s">
        <v>21</v>
      </c>
      <c r="E3020" s="702"/>
      <c r="F3020" s="702"/>
      <c r="G3020" s="675"/>
      <c r="H3020" s="675"/>
      <c r="I3020" s="675"/>
      <c r="J3020" s="675"/>
      <c r="K3020" s="675"/>
      <c r="L3020" s="675"/>
      <c r="M3020" s="675"/>
    </row>
    <row r="3021" spans="1:13" x14ac:dyDescent="0.25">
      <c r="A3021" s="675" t="s">
        <v>2878</v>
      </c>
      <c r="B3021" s="675" t="s">
        <v>512</v>
      </c>
      <c r="C3021" s="675" t="s">
        <v>2900</v>
      </c>
      <c r="D3021" s="675" t="s">
        <v>21</v>
      </c>
      <c r="E3021" s="702"/>
      <c r="F3021" s="702"/>
      <c r="G3021" s="675"/>
      <c r="H3021" s="675"/>
      <c r="I3021" s="675"/>
      <c r="J3021" s="675"/>
      <c r="K3021" s="675"/>
      <c r="L3021" s="675"/>
      <c r="M3021" s="675"/>
    </row>
    <row r="3022" spans="1:13" x14ac:dyDescent="0.25">
      <c r="A3022" s="675" t="s">
        <v>2878</v>
      </c>
      <c r="B3022" s="675" t="s">
        <v>512</v>
      </c>
      <c r="C3022" s="675" t="s">
        <v>2901</v>
      </c>
      <c r="D3022" s="675" t="s">
        <v>21</v>
      </c>
      <c r="E3022" s="702"/>
      <c r="F3022" s="702"/>
      <c r="G3022" s="675"/>
      <c r="H3022" s="675"/>
      <c r="I3022" s="675"/>
      <c r="J3022" s="675"/>
      <c r="K3022" s="675"/>
      <c r="L3022" s="675"/>
      <c r="M3022" s="675"/>
    </row>
    <row r="3023" spans="1:13" x14ac:dyDescent="0.25">
      <c r="A3023" s="675" t="s">
        <v>2878</v>
      </c>
      <c r="B3023" s="675" t="s">
        <v>512</v>
      </c>
      <c r="C3023" s="675" t="s">
        <v>2902</v>
      </c>
      <c r="D3023" s="675" t="s">
        <v>21</v>
      </c>
      <c r="E3023" s="702"/>
      <c r="F3023" s="702"/>
      <c r="G3023" s="675"/>
      <c r="H3023" s="675"/>
      <c r="I3023" s="675"/>
      <c r="J3023" s="675"/>
      <c r="K3023" s="675"/>
      <c r="L3023" s="675"/>
      <c r="M3023" s="675"/>
    </row>
    <row r="3024" spans="1:13" x14ac:dyDescent="0.25">
      <c r="A3024" s="675" t="s">
        <v>2878</v>
      </c>
      <c r="B3024" s="675" t="s">
        <v>512</v>
      </c>
      <c r="C3024" s="675" t="s">
        <v>2903</v>
      </c>
      <c r="D3024" s="675" t="s">
        <v>21</v>
      </c>
      <c r="E3024" s="702"/>
      <c r="F3024" s="702"/>
      <c r="G3024" s="675"/>
      <c r="H3024" s="675"/>
      <c r="I3024" s="675"/>
      <c r="J3024" s="675"/>
      <c r="K3024" s="675"/>
      <c r="L3024" s="675"/>
      <c r="M3024" s="675"/>
    </row>
    <row r="3025" spans="1:13" x14ac:dyDescent="0.25">
      <c r="A3025" s="675" t="s">
        <v>2904</v>
      </c>
      <c r="B3025" s="675" t="s">
        <v>545</v>
      </c>
      <c r="C3025" s="675" t="s">
        <v>2905</v>
      </c>
      <c r="D3025" s="675" t="s">
        <v>21</v>
      </c>
      <c r="E3025" s="702"/>
      <c r="F3025" s="702"/>
      <c r="G3025" s="675"/>
      <c r="H3025" s="675"/>
      <c r="I3025" s="675"/>
      <c r="J3025" s="675"/>
      <c r="K3025" s="675"/>
      <c r="L3025" s="675"/>
      <c r="M3025" s="675"/>
    </row>
    <row r="3026" spans="1:13" x14ac:dyDescent="0.25">
      <c r="A3026" s="675" t="s">
        <v>2904</v>
      </c>
      <c r="B3026" s="675" t="s">
        <v>545</v>
      </c>
      <c r="C3026" s="675" t="s">
        <v>2906</v>
      </c>
      <c r="D3026" s="675" t="s">
        <v>21</v>
      </c>
      <c r="E3026" s="702"/>
      <c r="F3026" s="702"/>
      <c r="G3026" s="675"/>
      <c r="H3026" s="675"/>
      <c r="I3026" s="675"/>
      <c r="J3026" s="675"/>
      <c r="K3026" s="675"/>
      <c r="L3026" s="675"/>
      <c r="M3026" s="675"/>
    </row>
    <row r="3027" spans="1:13" x14ac:dyDescent="0.25">
      <c r="A3027" s="675" t="s">
        <v>2904</v>
      </c>
      <c r="B3027" s="675" t="s">
        <v>545</v>
      </c>
      <c r="C3027" s="675" t="s">
        <v>2907</v>
      </c>
      <c r="D3027" s="675" t="s">
        <v>21</v>
      </c>
      <c r="E3027" s="702"/>
      <c r="F3027" s="702"/>
      <c r="G3027" s="675"/>
      <c r="H3027" s="675"/>
      <c r="I3027" s="675"/>
      <c r="J3027" s="675"/>
      <c r="K3027" s="675"/>
      <c r="L3027" s="675"/>
      <c r="M3027" s="675"/>
    </row>
    <row r="3028" spans="1:13" x14ac:dyDescent="0.25">
      <c r="A3028" s="675" t="s">
        <v>2904</v>
      </c>
      <c r="B3028" s="675" t="s">
        <v>545</v>
      </c>
      <c r="C3028" s="675" t="s">
        <v>2908</v>
      </c>
      <c r="D3028" s="675" t="s">
        <v>21</v>
      </c>
      <c r="E3028" s="702"/>
      <c r="F3028" s="702"/>
      <c r="G3028" s="675"/>
      <c r="H3028" s="675"/>
      <c r="I3028" s="675"/>
      <c r="J3028" s="675"/>
      <c r="K3028" s="675"/>
      <c r="L3028" s="675"/>
      <c r="M3028" s="675"/>
    </row>
    <row r="3029" spans="1:13" x14ac:dyDescent="0.25">
      <c r="A3029" s="675" t="s">
        <v>2904</v>
      </c>
      <c r="B3029" s="675" t="s">
        <v>545</v>
      </c>
      <c r="C3029" s="675" t="s">
        <v>2909</v>
      </c>
      <c r="D3029" s="675" t="s">
        <v>21</v>
      </c>
      <c r="E3029" s="702"/>
      <c r="F3029" s="702"/>
      <c r="G3029" s="675"/>
      <c r="H3029" s="675"/>
      <c r="I3029" s="675"/>
      <c r="J3029" s="675"/>
      <c r="K3029" s="675"/>
      <c r="L3029" s="675"/>
      <c r="M3029" s="675"/>
    </row>
    <row r="3030" spans="1:13" x14ac:dyDescent="0.25">
      <c r="A3030" s="675" t="s">
        <v>2904</v>
      </c>
      <c r="B3030" s="675" t="s">
        <v>564</v>
      </c>
      <c r="C3030" s="675" t="s">
        <v>2910</v>
      </c>
      <c r="D3030" s="675" t="s">
        <v>21</v>
      </c>
      <c r="E3030" s="702"/>
      <c r="F3030" s="702"/>
      <c r="G3030" s="675"/>
      <c r="H3030" s="675"/>
      <c r="I3030" s="675"/>
      <c r="J3030" s="675"/>
      <c r="K3030" s="675"/>
      <c r="L3030" s="675"/>
      <c r="M3030" s="675"/>
    </row>
    <row r="3031" spans="1:13" x14ac:dyDescent="0.25">
      <c r="A3031" s="675" t="s">
        <v>2904</v>
      </c>
      <c r="B3031" s="675" t="s">
        <v>564</v>
      </c>
      <c r="C3031" s="675" t="s">
        <v>2911</v>
      </c>
      <c r="D3031" s="675" t="s">
        <v>21</v>
      </c>
      <c r="E3031" s="702"/>
      <c r="F3031" s="702"/>
      <c r="G3031" s="675"/>
      <c r="H3031" s="675"/>
      <c r="I3031" s="675"/>
      <c r="J3031" s="675"/>
      <c r="K3031" s="675"/>
      <c r="L3031" s="675"/>
      <c r="M3031" s="675"/>
    </row>
    <row r="3032" spans="1:13" x14ac:dyDescent="0.25">
      <c r="A3032" s="675" t="s">
        <v>2904</v>
      </c>
      <c r="B3032" s="675" t="s">
        <v>564</v>
      </c>
      <c r="C3032" s="675" t="s">
        <v>2912</v>
      </c>
      <c r="D3032" s="675" t="s">
        <v>21</v>
      </c>
      <c r="E3032" s="702"/>
      <c r="F3032" s="702"/>
      <c r="G3032" s="675"/>
      <c r="H3032" s="675"/>
      <c r="I3032" s="675"/>
      <c r="J3032" s="675"/>
      <c r="K3032" s="675"/>
      <c r="L3032" s="675"/>
      <c r="M3032" s="675"/>
    </row>
    <row r="3033" spans="1:13" x14ac:dyDescent="0.25">
      <c r="A3033" s="675" t="s">
        <v>2904</v>
      </c>
      <c r="B3033" s="675" t="s">
        <v>564</v>
      </c>
      <c r="C3033" s="675" t="s">
        <v>2913</v>
      </c>
      <c r="D3033" s="675" t="s">
        <v>21</v>
      </c>
      <c r="E3033" s="702"/>
      <c r="F3033" s="702"/>
      <c r="G3033" s="675"/>
      <c r="H3033" s="675"/>
      <c r="I3033" s="675"/>
      <c r="J3033" s="675"/>
      <c r="K3033" s="675"/>
      <c r="L3033" s="675"/>
      <c r="M3033" s="675"/>
    </row>
    <row r="3034" spans="1:13" x14ac:dyDescent="0.25">
      <c r="A3034" s="675" t="s">
        <v>2904</v>
      </c>
      <c r="B3034" s="675" t="s">
        <v>564</v>
      </c>
      <c r="C3034" s="675" t="s">
        <v>2914</v>
      </c>
      <c r="D3034" s="675" t="s">
        <v>21</v>
      </c>
      <c r="E3034" s="702"/>
      <c r="F3034" s="702"/>
      <c r="G3034" s="675"/>
      <c r="H3034" s="675"/>
      <c r="I3034" s="675"/>
      <c r="J3034" s="675"/>
      <c r="K3034" s="675"/>
      <c r="L3034" s="675"/>
      <c r="M3034" s="675"/>
    </row>
    <row r="3035" spans="1:13" x14ac:dyDescent="0.25">
      <c r="A3035" s="675" t="s">
        <v>2904</v>
      </c>
      <c r="B3035" s="675" t="s">
        <v>512</v>
      </c>
      <c r="C3035" s="675" t="s">
        <v>2915</v>
      </c>
      <c r="D3035" s="675" t="s">
        <v>21</v>
      </c>
      <c r="E3035" s="702"/>
      <c r="F3035" s="702"/>
      <c r="G3035" s="675"/>
      <c r="H3035" s="675"/>
      <c r="I3035" s="675"/>
      <c r="J3035" s="675"/>
      <c r="K3035" s="675"/>
      <c r="L3035" s="675"/>
      <c r="M3035" s="675"/>
    </row>
    <row r="3036" spans="1:13" x14ac:dyDescent="0.25">
      <c r="A3036" s="675" t="s">
        <v>2904</v>
      </c>
      <c r="B3036" s="675" t="s">
        <v>512</v>
      </c>
      <c r="C3036" s="675" t="s">
        <v>2916</v>
      </c>
      <c r="D3036" s="675" t="s">
        <v>21</v>
      </c>
      <c r="E3036" s="702"/>
      <c r="F3036" s="702"/>
      <c r="G3036" s="675"/>
      <c r="H3036" s="675"/>
      <c r="I3036" s="675"/>
      <c r="J3036" s="675"/>
      <c r="K3036" s="675"/>
      <c r="L3036" s="675"/>
      <c r="M3036" s="675"/>
    </row>
    <row r="3037" spans="1:13" x14ac:dyDescent="0.25">
      <c r="A3037" s="675" t="s">
        <v>2904</v>
      </c>
      <c r="B3037" s="675" t="s">
        <v>512</v>
      </c>
      <c r="C3037" s="675" t="s">
        <v>2917</v>
      </c>
      <c r="D3037" s="675" t="s">
        <v>21</v>
      </c>
      <c r="E3037" s="702"/>
      <c r="F3037" s="702"/>
      <c r="G3037" s="675"/>
      <c r="H3037" s="675"/>
      <c r="I3037" s="675"/>
      <c r="J3037" s="675"/>
      <c r="K3037" s="675"/>
      <c r="L3037" s="675"/>
      <c r="M3037" s="675"/>
    </row>
    <row r="3038" spans="1:13" x14ac:dyDescent="0.25">
      <c r="A3038" s="675" t="s">
        <v>2904</v>
      </c>
      <c r="B3038" s="675" t="s">
        <v>512</v>
      </c>
      <c r="C3038" s="675" t="s">
        <v>2918</v>
      </c>
      <c r="D3038" s="675" t="s">
        <v>21</v>
      </c>
      <c r="E3038" s="702"/>
      <c r="F3038" s="702"/>
      <c r="G3038" s="675"/>
      <c r="H3038" s="675"/>
      <c r="I3038" s="675"/>
      <c r="J3038" s="675"/>
      <c r="K3038" s="675"/>
      <c r="L3038" s="675"/>
      <c r="M3038" s="675"/>
    </row>
    <row r="3039" spans="1:13" x14ac:dyDescent="0.25">
      <c r="A3039" s="675" t="s">
        <v>2904</v>
      </c>
      <c r="B3039" s="675" t="s">
        <v>512</v>
      </c>
      <c r="C3039" s="675" t="s">
        <v>2919</v>
      </c>
      <c r="D3039" s="675" t="s">
        <v>21</v>
      </c>
      <c r="E3039" s="702"/>
      <c r="F3039" s="702"/>
      <c r="G3039" s="675"/>
      <c r="H3039" s="675"/>
      <c r="I3039" s="675"/>
      <c r="J3039" s="675"/>
      <c r="K3039" s="675"/>
      <c r="L3039" s="675"/>
      <c r="M3039" s="675"/>
    </row>
    <row r="3040" spans="1:13" x14ac:dyDescent="0.25">
      <c r="A3040" s="675" t="s">
        <v>2904</v>
      </c>
      <c r="B3040" s="675" t="s">
        <v>545</v>
      </c>
      <c r="C3040" s="675" t="s">
        <v>2920</v>
      </c>
      <c r="D3040" s="675" t="s">
        <v>21</v>
      </c>
      <c r="E3040" s="702"/>
      <c r="F3040" s="702"/>
      <c r="G3040" s="675"/>
      <c r="H3040" s="675"/>
      <c r="I3040" s="675"/>
      <c r="J3040" s="675"/>
      <c r="K3040" s="675"/>
      <c r="L3040" s="675"/>
      <c r="M3040" s="675"/>
    </row>
    <row r="3041" spans="1:13" x14ac:dyDescent="0.25">
      <c r="A3041" s="675" t="s">
        <v>2904</v>
      </c>
      <c r="B3041" s="675" t="s">
        <v>545</v>
      </c>
      <c r="C3041" s="675" t="s">
        <v>2921</v>
      </c>
      <c r="D3041" s="675" t="s">
        <v>21</v>
      </c>
      <c r="E3041" s="702"/>
      <c r="F3041" s="702"/>
      <c r="G3041" s="675"/>
      <c r="H3041" s="675"/>
      <c r="I3041" s="675"/>
      <c r="J3041" s="675"/>
      <c r="K3041" s="675"/>
      <c r="L3041" s="675"/>
      <c r="M3041" s="675"/>
    </row>
    <row r="3042" spans="1:13" x14ac:dyDescent="0.25">
      <c r="A3042" s="675" t="s">
        <v>2904</v>
      </c>
      <c r="B3042" s="675" t="s">
        <v>545</v>
      </c>
      <c r="C3042" s="675" t="s">
        <v>2922</v>
      </c>
      <c r="D3042" s="675" t="s">
        <v>21</v>
      </c>
      <c r="E3042" s="702"/>
      <c r="F3042" s="702"/>
      <c r="G3042" s="675"/>
      <c r="H3042" s="675"/>
      <c r="I3042" s="675"/>
      <c r="J3042" s="675"/>
      <c r="K3042" s="675"/>
      <c r="L3042" s="675"/>
      <c r="M3042" s="675"/>
    </row>
    <row r="3043" spans="1:13" x14ac:dyDescent="0.25">
      <c r="A3043" s="675" t="s">
        <v>2904</v>
      </c>
      <c r="B3043" s="675" t="s">
        <v>545</v>
      </c>
      <c r="C3043" s="675" t="s">
        <v>2923</v>
      </c>
      <c r="D3043" s="675" t="s">
        <v>21</v>
      </c>
      <c r="E3043" s="702"/>
      <c r="F3043" s="702"/>
      <c r="G3043" s="675"/>
      <c r="H3043" s="675"/>
      <c r="I3043" s="675"/>
      <c r="J3043" s="675"/>
      <c r="K3043" s="675"/>
      <c r="L3043" s="675"/>
      <c r="M3043" s="675"/>
    </row>
    <row r="3044" spans="1:13" x14ac:dyDescent="0.25">
      <c r="A3044" s="675" t="s">
        <v>2904</v>
      </c>
      <c r="B3044" s="675" t="s">
        <v>545</v>
      </c>
      <c r="C3044" s="675" t="s">
        <v>2924</v>
      </c>
      <c r="D3044" s="675" t="s">
        <v>21</v>
      </c>
      <c r="E3044" s="702"/>
      <c r="F3044" s="702"/>
      <c r="G3044" s="675"/>
      <c r="H3044" s="675"/>
      <c r="I3044" s="675"/>
      <c r="J3044" s="675"/>
      <c r="K3044" s="675"/>
      <c r="L3044" s="675"/>
      <c r="M3044" s="675"/>
    </row>
    <row r="3045" spans="1:13" x14ac:dyDescent="0.25">
      <c r="A3045" s="675" t="s">
        <v>2904</v>
      </c>
      <c r="B3045" s="675" t="s">
        <v>512</v>
      </c>
      <c r="C3045" s="675" t="s">
        <v>2925</v>
      </c>
      <c r="D3045" s="675" t="s">
        <v>21</v>
      </c>
      <c r="E3045" s="702"/>
      <c r="F3045" s="702"/>
      <c r="G3045" s="675"/>
      <c r="H3045" s="675"/>
      <c r="I3045" s="675"/>
      <c r="J3045" s="675"/>
      <c r="K3045" s="675"/>
      <c r="L3045" s="675"/>
      <c r="M3045" s="675"/>
    </row>
    <row r="3046" spans="1:13" x14ac:dyDescent="0.25">
      <c r="A3046" s="675" t="s">
        <v>2904</v>
      </c>
      <c r="B3046" s="675" t="s">
        <v>512</v>
      </c>
      <c r="C3046" s="675" t="s">
        <v>2926</v>
      </c>
      <c r="D3046" s="675" t="s">
        <v>21</v>
      </c>
      <c r="E3046" s="702"/>
      <c r="F3046" s="702"/>
      <c r="G3046" s="675"/>
      <c r="H3046" s="675"/>
      <c r="I3046" s="675"/>
      <c r="J3046" s="675"/>
      <c r="K3046" s="675"/>
      <c r="L3046" s="675"/>
      <c r="M3046" s="675"/>
    </row>
    <row r="3047" spans="1:13" x14ac:dyDescent="0.25">
      <c r="A3047" s="675" t="s">
        <v>2904</v>
      </c>
      <c r="B3047" s="675" t="s">
        <v>512</v>
      </c>
      <c r="C3047" s="675" t="s">
        <v>2927</v>
      </c>
      <c r="D3047" s="675" t="s">
        <v>21</v>
      </c>
      <c r="E3047" s="702"/>
      <c r="F3047" s="702"/>
      <c r="G3047" s="675"/>
      <c r="H3047" s="675"/>
      <c r="I3047" s="675"/>
      <c r="J3047" s="675"/>
      <c r="K3047" s="675"/>
      <c r="L3047" s="675"/>
      <c r="M3047" s="675"/>
    </row>
    <row r="3048" spans="1:13" x14ac:dyDescent="0.25">
      <c r="A3048" s="675" t="s">
        <v>2904</v>
      </c>
      <c r="B3048" s="675" t="s">
        <v>512</v>
      </c>
      <c r="C3048" s="675" t="s">
        <v>2928</v>
      </c>
      <c r="D3048" s="675" t="s">
        <v>21</v>
      </c>
      <c r="E3048" s="702"/>
      <c r="F3048" s="702"/>
      <c r="G3048" s="675"/>
      <c r="H3048" s="675"/>
      <c r="I3048" s="675"/>
      <c r="J3048" s="675"/>
      <c r="K3048" s="675"/>
      <c r="L3048" s="675"/>
      <c r="M3048" s="675"/>
    </row>
    <row r="3049" spans="1:13" x14ac:dyDescent="0.25">
      <c r="A3049" s="675" t="s">
        <v>2904</v>
      </c>
      <c r="B3049" s="675" t="s">
        <v>512</v>
      </c>
      <c r="C3049" s="675" t="s">
        <v>2929</v>
      </c>
      <c r="D3049" s="675" t="s">
        <v>21</v>
      </c>
      <c r="E3049" s="702"/>
      <c r="F3049" s="702"/>
      <c r="G3049" s="675"/>
      <c r="H3049" s="675"/>
      <c r="I3049" s="675"/>
      <c r="J3049" s="675"/>
      <c r="K3049" s="675"/>
      <c r="L3049" s="675"/>
      <c r="M3049" s="675"/>
    </row>
    <row r="3050" spans="1:13" x14ac:dyDescent="0.25">
      <c r="A3050" s="675" t="s">
        <v>2930</v>
      </c>
      <c r="B3050" s="675" t="s">
        <v>545</v>
      </c>
      <c r="C3050" s="675" t="s">
        <v>2931</v>
      </c>
      <c r="D3050" s="675" t="s">
        <v>21</v>
      </c>
      <c r="E3050" s="702"/>
      <c r="F3050" s="702"/>
      <c r="G3050" s="675"/>
      <c r="H3050" s="675"/>
      <c r="I3050" s="675"/>
      <c r="J3050" s="675"/>
      <c r="K3050" s="675"/>
      <c r="L3050" s="675"/>
      <c r="M3050" s="675"/>
    </row>
    <row r="3051" spans="1:13" x14ac:dyDescent="0.25">
      <c r="A3051" s="675" t="s">
        <v>2930</v>
      </c>
      <c r="B3051" s="675" t="s">
        <v>545</v>
      </c>
      <c r="C3051" s="675" t="s">
        <v>2932</v>
      </c>
      <c r="D3051" s="675" t="s">
        <v>21</v>
      </c>
      <c r="E3051" s="702"/>
      <c r="F3051" s="702"/>
      <c r="G3051" s="675"/>
      <c r="H3051" s="675"/>
      <c r="I3051" s="675"/>
      <c r="J3051" s="675"/>
      <c r="K3051" s="675"/>
      <c r="L3051" s="675"/>
      <c r="M3051" s="675"/>
    </row>
    <row r="3052" spans="1:13" x14ac:dyDescent="0.25">
      <c r="A3052" s="675" t="s">
        <v>2930</v>
      </c>
      <c r="B3052" s="675" t="s">
        <v>545</v>
      </c>
      <c r="C3052" s="675" t="s">
        <v>2933</v>
      </c>
      <c r="D3052" s="675" t="s">
        <v>21</v>
      </c>
      <c r="E3052" s="702"/>
      <c r="F3052" s="702"/>
      <c r="G3052" s="675"/>
      <c r="H3052" s="675"/>
      <c r="I3052" s="675"/>
      <c r="J3052" s="675"/>
      <c r="K3052" s="675"/>
      <c r="L3052" s="675"/>
      <c r="M3052" s="675"/>
    </row>
    <row r="3053" spans="1:13" x14ac:dyDescent="0.25">
      <c r="A3053" s="675" t="s">
        <v>2930</v>
      </c>
      <c r="B3053" s="675" t="s">
        <v>545</v>
      </c>
      <c r="C3053" s="675" t="s">
        <v>2934</v>
      </c>
      <c r="D3053" s="675" t="s">
        <v>21</v>
      </c>
      <c r="E3053" s="702"/>
      <c r="F3053" s="702"/>
      <c r="G3053" s="675"/>
      <c r="H3053" s="675"/>
      <c r="I3053" s="675"/>
      <c r="J3053" s="675"/>
      <c r="K3053" s="675"/>
      <c r="L3053" s="675"/>
      <c r="M3053" s="675"/>
    </row>
    <row r="3054" spans="1:13" x14ac:dyDescent="0.25">
      <c r="A3054" s="675" t="s">
        <v>2930</v>
      </c>
      <c r="B3054" s="675" t="s">
        <v>545</v>
      </c>
      <c r="C3054" s="675" t="s">
        <v>2935</v>
      </c>
      <c r="D3054" s="675" t="s">
        <v>21</v>
      </c>
      <c r="E3054" s="702"/>
      <c r="F3054" s="702"/>
      <c r="G3054" s="675"/>
      <c r="H3054" s="675"/>
      <c r="I3054" s="675"/>
      <c r="J3054" s="675"/>
      <c r="K3054" s="675"/>
      <c r="L3054" s="675"/>
      <c r="M3054" s="675"/>
    </row>
    <row r="3055" spans="1:13" x14ac:dyDescent="0.25">
      <c r="A3055" s="675" t="s">
        <v>2930</v>
      </c>
      <c r="B3055" s="675" t="s">
        <v>564</v>
      </c>
      <c r="C3055" s="675" t="s">
        <v>2936</v>
      </c>
      <c r="D3055" s="675" t="s">
        <v>21</v>
      </c>
      <c r="E3055" s="702"/>
      <c r="F3055" s="702"/>
      <c r="G3055" s="675"/>
      <c r="H3055" s="675"/>
      <c r="I3055" s="675"/>
      <c r="J3055" s="675"/>
      <c r="K3055" s="675"/>
      <c r="L3055" s="675"/>
      <c r="M3055" s="675"/>
    </row>
    <row r="3056" spans="1:13" x14ac:dyDescent="0.25">
      <c r="A3056" s="675" t="s">
        <v>2930</v>
      </c>
      <c r="B3056" s="675" t="s">
        <v>564</v>
      </c>
      <c r="C3056" s="675" t="s">
        <v>2937</v>
      </c>
      <c r="D3056" s="675" t="s">
        <v>21</v>
      </c>
      <c r="E3056" s="702"/>
      <c r="F3056" s="702"/>
      <c r="G3056" s="675"/>
      <c r="H3056" s="675"/>
      <c r="I3056" s="675"/>
      <c r="J3056" s="675"/>
      <c r="K3056" s="675"/>
      <c r="L3056" s="675"/>
      <c r="M3056" s="675"/>
    </row>
    <row r="3057" spans="1:13" x14ac:dyDescent="0.25">
      <c r="A3057" s="675" t="s">
        <v>2930</v>
      </c>
      <c r="B3057" s="675" t="s">
        <v>564</v>
      </c>
      <c r="C3057" s="675" t="s">
        <v>2938</v>
      </c>
      <c r="D3057" s="675" t="s">
        <v>21</v>
      </c>
      <c r="E3057" s="702"/>
      <c r="F3057" s="702"/>
      <c r="G3057" s="675"/>
      <c r="H3057" s="675"/>
      <c r="I3057" s="675"/>
      <c r="J3057" s="675"/>
      <c r="K3057" s="675"/>
      <c r="L3057" s="675"/>
      <c r="M3057" s="675"/>
    </row>
    <row r="3058" spans="1:13" x14ac:dyDescent="0.25">
      <c r="A3058" s="675" t="s">
        <v>2930</v>
      </c>
      <c r="B3058" s="675" t="s">
        <v>564</v>
      </c>
      <c r="C3058" s="675" t="s">
        <v>2939</v>
      </c>
      <c r="D3058" s="675" t="s">
        <v>21</v>
      </c>
      <c r="E3058" s="702"/>
      <c r="F3058" s="702"/>
      <c r="G3058" s="675"/>
      <c r="H3058" s="675"/>
      <c r="I3058" s="675"/>
      <c r="J3058" s="675"/>
      <c r="K3058" s="675"/>
      <c r="L3058" s="675"/>
      <c r="M3058" s="675"/>
    </row>
    <row r="3059" spans="1:13" x14ac:dyDescent="0.25">
      <c r="A3059" s="675" t="s">
        <v>2930</v>
      </c>
      <c r="B3059" s="675" t="s">
        <v>564</v>
      </c>
      <c r="C3059" s="675" t="s">
        <v>2940</v>
      </c>
      <c r="D3059" s="675" t="s">
        <v>21</v>
      </c>
      <c r="E3059" s="702"/>
      <c r="F3059" s="702"/>
      <c r="G3059" s="675"/>
      <c r="H3059" s="675"/>
      <c r="I3059" s="675"/>
      <c r="J3059" s="675"/>
      <c r="K3059" s="675"/>
      <c r="L3059" s="675"/>
      <c r="M3059" s="675"/>
    </row>
    <row r="3060" spans="1:13" x14ac:dyDescent="0.25">
      <c r="A3060" s="675" t="s">
        <v>2930</v>
      </c>
      <c r="B3060" s="675" t="s">
        <v>512</v>
      </c>
      <c r="C3060" s="675" t="s">
        <v>2941</v>
      </c>
      <c r="D3060" s="675" t="s">
        <v>21</v>
      </c>
      <c r="E3060" s="702"/>
      <c r="F3060" s="702"/>
      <c r="G3060" s="675"/>
      <c r="H3060" s="675"/>
      <c r="I3060" s="675"/>
      <c r="J3060" s="675"/>
      <c r="K3060" s="675"/>
      <c r="L3060" s="675"/>
      <c r="M3060" s="675"/>
    </row>
    <row r="3061" spans="1:13" x14ac:dyDescent="0.25">
      <c r="A3061" s="675" t="s">
        <v>2930</v>
      </c>
      <c r="B3061" s="675" t="s">
        <v>512</v>
      </c>
      <c r="C3061" s="675" t="s">
        <v>2942</v>
      </c>
      <c r="D3061" s="675" t="s">
        <v>21</v>
      </c>
      <c r="E3061" s="702"/>
      <c r="F3061" s="702"/>
      <c r="G3061" s="675"/>
      <c r="H3061" s="675"/>
      <c r="I3061" s="675"/>
      <c r="J3061" s="675"/>
      <c r="K3061" s="675"/>
      <c r="L3061" s="675"/>
      <c r="M3061" s="675"/>
    </row>
    <row r="3062" spans="1:13" x14ac:dyDescent="0.25">
      <c r="A3062" s="675" t="s">
        <v>2930</v>
      </c>
      <c r="B3062" s="675" t="s">
        <v>512</v>
      </c>
      <c r="C3062" s="675" t="s">
        <v>2943</v>
      </c>
      <c r="D3062" s="675" t="s">
        <v>21</v>
      </c>
      <c r="E3062" s="702"/>
      <c r="F3062" s="702"/>
      <c r="G3062" s="675"/>
      <c r="H3062" s="675"/>
      <c r="I3062" s="675"/>
      <c r="J3062" s="675"/>
      <c r="K3062" s="675"/>
      <c r="L3062" s="675"/>
      <c r="M3062" s="675"/>
    </row>
    <row r="3063" spans="1:13" x14ac:dyDescent="0.25">
      <c r="A3063" s="675" t="s">
        <v>2930</v>
      </c>
      <c r="B3063" s="675" t="s">
        <v>512</v>
      </c>
      <c r="C3063" s="675" t="s">
        <v>2944</v>
      </c>
      <c r="D3063" s="675" t="s">
        <v>21</v>
      </c>
      <c r="E3063" s="702"/>
      <c r="F3063" s="702"/>
      <c r="G3063" s="675"/>
      <c r="H3063" s="675"/>
      <c r="I3063" s="675"/>
      <c r="J3063" s="675"/>
      <c r="K3063" s="675"/>
      <c r="L3063" s="675"/>
      <c r="M3063" s="675"/>
    </row>
    <row r="3064" spans="1:13" x14ac:dyDescent="0.25">
      <c r="A3064" s="675" t="s">
        <v>2930</v>
      </c>
      <c r="B3064" s="675" t="s">
        <v>512</v>
      </c>
      <c r="C3064" s="675" t="s">
        <v>2945</v>
      </c>
      <c r="D3064" s="675" t="s">
        <v>21</v>
      </c>
      <c r="E3064" s="702"/>
      <c r="F3064" s="702"/>
      <c r="G3064" s="675"/>
      <c r="H3064" s="675"/>
      <c r="I3064" s="675"/>
      <c r="J3064" s="675"/>
      <c r="K3064" s="675"/>
      <c r="L3064" s="675"/>
      <c r="M3064" s="675"/>
    </row>
    <row r="3065" spans="1:13" x14ac:dyDescent="0.25">
      <c r="A3065" s="675" t="s">
        <v>2930</v>
      </c>
      <c r="B3065" s="675" t="s">
        <v>545</v>
      </c>
      <c r="C3065" s="675" t="s">
        <v>2946</v>
      </c>
      <c r="D3065" s="675" t="s">
        <v>21</v>
      </c>
      <c r="E3065" s="702"/>
      <c r="F3065" s="702"/>
      <c r="G3065" s="675"/>
      <c r="H3065" s="675"/>
      <c r="I3065" s="675"/>
      <c r="J3065" s="675"/>
      <c r="K3065" s="675"/>
      <c r="L3065" s="675"/>
      <c r="M3065" s="675"/>
    </row>
    <row r="3066" spans="1:13" x14ac:dyDescent="0.25">
      <c r="A3066" s="675" t="s">
        <v>2930</v>
      </c>
      <c r="B3066" s="675" t="s">
        <v>545</v>
      </c>
      <c r="C3066" s="675" t="s">
        <v>2947</v>
      </c>
      <c r="D3066" s="675" t="s">
        <v>21</v>
      </c>
      <c r="E3066" s="702"/>
      <c r="F3066" s="702"/>
      <c r="G3066" s="675"/>
      <c r="H3066" s="675"/>
      <c r="I3066" s="675"/>
      <c r="J3066" s="675"/>
      <c r="K3066" s="675"/>
      <c r="L3066" s="675"/>
      <c r="M3066" s="675"/>
    </row>
    <row r="3067" spans="1:13" x14ac:dyDescent="0.25">
      <c r="A3067" s="675" t="s">
        <v>2930</v>
      </c>
      <c r="B3067" s="675" t="s">
        <v>545</v>
      </c>
      <c r="C3067" s="675" t="s">
        <v>2948</v>
      </c>
      <c r="D3067" s="675" t="s">
        <v>21</v>
      </c>
      <c r="E3067" s="702"/>
      <c r="F3067" s="702"/>
      <c r="G3067" s="675"/>
      <c r="H3067" s="675"/>
      <c r="I3067" s="675"/>
      <c r="J3067" s="675"/>
      <c r="K3067" s="675"/>
      <c r="L3067" s="675"/>
      <c r="M3067" s="675"/>
    </row>
    <row r="3068" spans="1:13" x14ac:dyDescent="0.25">
      <c r="A3068" s="675" t="s">
        <v>2930</v>
      </c>
      <c r="B3068" s="675" t="s">
        <v>545</v>
      </c>
      <c r="C3068" s="675" t="s">
        <v>2949</v>
      </c>
      <c r="D3068" s="675" t="s">
        <v>21</v>
      </c>
      <c r="E3068" s="702"/>
      <c r="F3068" s="702"/>
      <c r="G3068" s="675"/>
      <c r="H3068" s="675"/>
      <c r="I3068" s="675"/>
      <c r="J3068" s="675"/>
      <c r="K3068" s="675"/>
      <c r="L3068" s="675"/>
      <c r="M3068" s="675"/>
    </row>
    <row r="3069" spans="1:13" x14ac:dyDescent="0.25">
      <c r="A3069" s="675" t="s">
        <v>2930</v>
      </c>
      <c r="B3069" s="675" t="s">
        <v>545</v>
      </c>
      <c r="C3069" s="675" t="s">
        <v>2950</v>
      </c>
      <c r="D3069" s="675" t="s">
        <v>21</v>
      </c>
      <c r="E3069" s="702"/>
      <c r="F3069" s="702"/>
      <c r="G3069" s="675"/>
      <c r="H3069" s="675"/>
      <c r="I3069" s="675"/>
      <c r="J3069" s="675"/>
      <c r="K3069" s="675"/>
      <c r="L3069" s="675"/>
      <c r="M3069" s="675"/>
    </row>
    <row r="3070" spans="1:13" x14ac:dyDescent="0.25">
      <c r="A3070" s="675" t="s">
        <v>2930</v>
      </c>
      <c r="B3070" s="675" t="s">
        <v>512</v>
      </c>
      <c r="C3070" s="675" t="s">
        <v>2951</v>
      </c>
      <c r="D3070" s="675" t="s">
        <v>21</v>
      </c>
      <c r="E3070" s="702"/>
      <c r="F3070" s="702"/>
      <c r="G3070" s="675"/>
      <c r="H3070" s="675"/>
      <c r="I3070" s="675"/>
      <c r="J3070" s="675"/>
      <c r="K3070" s="675"/>
      <c r="L3070" s="675"/>
      <c r="M3070" s="675"/>
    </row>
    <row r="3071" spans="1:13" x14ac:dyDescent="0.25">
      <c r="A3071" s="675" t="s">
        <v>2930</v>
      </c>
      <c r="B3071" s="675" t="s">
        <v>512</v>
      </c>
      <c r="C3071" s="675" t="s">
        <v>2952</v>
      </c>
      <c r="D3071" s="675" t="s">
        <v>21</v>
      </c>
      <c r="E3071" s="702"/>
      <c r="F3071" s="702"/>
      <c r="G3071" s="675"/>
      <c r="H3071" s="675"/>
      <c r="I3071" s="675"/>
      <c r="J3071" s="675"/>
      <c r="K3071" s="675"/>
      <c r="L3071" s="675"/>
      <c r="M3071" s="675"/>
    </row>
    <row r="3072" spans="1:13" x14ac:dyDescent="0.25">
      <c r="A3072" s="675" t="s">
        <v>2930</v>
      </c>
      <c r="B3072" s="675" t="s">
        <v>512</v>
      </c>
      <c r="C3072" s="675" t="s">
        <v>2953</v>
      </c>
      <c r="D3072" s="675" t="s">
        <v>21</v>
      </c>
      <c r="E3072" s="702"/>
      <c r="F3072" s="702"/>
      <c r="G3072" s="675"/>
      <c r="H3072" s="675"/>
      <c r="I3072" s="675"/>
      <c r="J3072" s="675"/>
      <c r="K3072" s="675"/>
      <c r="L3072" s="675"/>
      <c r="M3072" s="675"/>
    </row>
    <row r="3073" spans="1:13" x14ac:dyDescent="0.25">
      <c r="A3073" s="675" t="s">
        <v>2930</v>
      </c>
      <c r="B3073" s="675" t="s">
        <v>512</v>
      </c>
      <c r="C3073" s="675" t="s">
        <v>2954</v>
      </c>
      <c r="D3073" s="675" t="s">
        <v>21</v>
      </c>
      <c r="E3073" s="702"/>
      <c r="F3073" s="702"/>
      <c r="G3073" s="675"/>
      <c r="H3073" s="675"/>
      <c r="I3073" s="675"/>
      <c r="J3073" s="675"/>
      <c r="K3073" s="675"/>
      <c r="L3073" s="675"/>
      <c r="M3073" s="675"/>
    </row>
    <row r="3074" spans="1:13" x14ac:dyDescent="0.25">
      <c r="A3074" s="675" t="s">
        <v>2930</v>
      </c>
      <c r="B3074" s="675" t="s">
        <v>512</v>
      </c>
      <c r="C3074" s="675" t="s">
        <v>2955</v>
      </c>
      <c r="D3074" s="675" t="s">
        <v>21</v>
      </c>
      <c r="E3074" s="702"/>
      <c r="F3074" s="702"/>
      <c r="G3074" s="675"/>
      <c r="H3074" s="675"/>
      <c r="I3074" s="675"/>
      <c r="J3074" s="675"/>
      <c r="K3074" s="675"/>
      <c r="L3074" s="675"/>
      <c r="M3074" s="675"/>
    </row>
    <row r="3075" spans="1:13" x14ac:dyDescent="0.25">
      <c r="A3075" s="675" t="s">
        <v>2956</v>
      </c>
      <c r="B3075" s="675" t="s">
        <v>545</v>
      </c>
      <c r="C3075" s="675" t="s">
        <v>2957</v>
      </c>
      <c r="D3075" s="675" t="s">
        <v>21</v>
      </c>
      <c r="E3075" s="702"/>
      <c r="F3075" s="702"/>
      <c r="G3075" s="675"/>
      <c r="H3075" s="675"/>
      <c r="I3075" s="675"/>
      <c r="J3075" s="675"/>
      <c r="K3075" s="675"/>
      <c r="L3075" s="675"/>
      <c r="M3075" s="675"/>
    </row>
    <row r="3076" spans="1:13" x14ac:dyDescent="0.25">
      <c r="A3076" s="675" t="s">
        <v>2956</v>
      </c>
      <c r="B3076" s="675" t="s">
        <v>545</v>
      </c>
      <c r="C3076" s="675" t="s">
        <v>2958</v>
      </c>
      <c r="D3076" s="675" t="s">
        <v>21</v>
      </c>
      <c r="E3076" s="702"/>
      <c r="F3076" s="702"/>
      <c r="G3076" s="675"/>
      <c r="H3076" s="675"/>
      <c r="I3076" s="675"/>
      <c r="J3076" s="675"/>
      <c r="K3076" s="675"/>
      <c r="L3076" s="675"/>
      <c r="M3076" s="675"/>
    </row>
    <row r="3077" spans="1:13" x14ac:dyDescent="0.25">
      <c r="A3077" s="675" t="s">
        <v>2956</v>
      </c>
      <c r="B3077" s="675" t="s">
        <v>545</v>
      </c>
      <c r="C3077" s="675" t="s">
        <v>2959</v>
      </c>
      <c r="D3077" s="675" t="s">
        <v>21</v>
      </c>
      <c r="E3077" s="702"/>
      <c r="F3077" s="702"/>
      <c r="G3077" s="675"/>
      <c r="H3077" s="675"/>
      <c r="I3077" s="675"/>
      <c r="J3077" s="675"/>
      <c r="K3077" s="675"/>
      <c r="L3077" s="675"/>
      <c r="M3077" s="675"/>
    </row>
    <row r="3078" spans="1:13" x14ac:dyDescent="0.25">
      <c r="A3078" s="675" t="s">
        <v>2956</v>
      </c>
      <c r="B3078" s="675" t="s">
        <v>545</v>
      </c>
      <c r="C3078" s="675" t="s">
        <v>2960</v>
      </c>
      <c r="D3078" s="675" t="s">
        <v>21</v>
      </c>
      <c r="E3078" s="702"/>
      <c r="F3078" s="702"/>
      <c r="G3078" s="675"/>
      <c r="H3078" s="675"/>
      <c r="I3078" s="675"/>
      <c r="J3078" s="675"/>
      <c r="K3078" s="675"/>
      <c r="L3078" s="675"/>
      <c r="M3078" s="675"/>
    </row>
    <row r="3079" spans="1:13" x14ac:dyDescent="0.25">
      <c r="A3079" s="675" t="s">
        <v>2956</v>
      </c>
      <c r="B3079" s="675" t="s">
        <v>545</v>
      </c>
      <c r="C3079" s="675" t="s">
        <v>2961</v>
      </c>
      <c r="D3079" s="675" t="s">
        <v>21</v>
      </c>
      <c r="E3079" s="702"/>
      <c r="F3079" s="702"/>
      <c r="G3079" s="675"/>
      <c r="H3079" s="675"/>
      <c r="I3079" s="675"/>
      <c r="J3079" s="675"/>
      <c r="K3079" s="675"/>
      <c r="L3079" s="675"/>
      <c r="M3079" s="675"/>
    </row>
    <row r="3080" spans="1:13" x14ac:dyDescent="0.25">
      <c r="A3080" s="675" t="s">
        <v>2956</v>
      </c>
      <c r="B3080" s="675" t="s">
        <v>564</v>
      </c>
      <c r="C3080" s="675" t="s">
        <v>2962</v>
      </c>
      <c r="D3080" s="675" t="s">
        <v>21</v>
      </c>
      <c r="E3080" s="702"/>
      <c r="F3080" s="702"/>
      <c r="G3080" s="675"/>
      <c r="H3080" s="675"/>
      <c r="I3080" s="675"/>
      <c r="J3080" s="675"/>
      <c r="K3080" s="675"/>
      <c r="L3080" s="675"/>
      <c r="M3080" s="675"/>
    </row>
    <row r="3081" spans="1:13" x14ac:dyDescent="0.25">
      <c r="A3081" s="675" t="s">
        <v>2956</v>
      </c>
      <c r="B3081" s="675" t="s">
        <v>564</v>
      </c>
      <c r="C3081" s="675" t="s">
        <v>2963</v>
      </c>
      <c r="D3081" s="675" t="s">
        <v>21</v>
      </c>
      <c r="E3081" s="702"/>
      <c r="F3081" s="702"/>
      <c r="G3081" s="675"/>
      <c r="H3081" s="675"/>
      <c r="I3081" s="675"/>
      <c r="J3081" s="675"/>
      <c r="K3081" s="675"/>
      <c r="L3081" s="675"/>
      <c r="M3081" s="675"/>
    </row>
    <row r="3082" spans="1:13" x14ac:dyDescent="0.25">
      <c r="A3082" s="675" t="s">
        <v>2956</v>
      </c>
      <c r="B3082" s="675" t="s">
        <v>564</v>
      </c>
      <c r="C3082" s="675" t="s">
        <v>2964</v>
      </c>
      <c r="D3082" s="675" t="s">
        <v>21</v>
      </c>
      <c r="E3082" s="702"/>
      <c r="F3082" s="702"/>
      <c r="G3082" s="675"/>
      <c r="H3082" s="675"/>
      <c r="I3082" s="675"/>
      <c r="J3082" s="675"/>
      <c r="K3082" s="675"/>
      <c r="L3082" s="675"/>
      <c r="M3082" s="675"/>
    </row>
    <row r="3083" spans="1:13" x14ac:dyDescent="0.25">
      <c r="A3083" s="675" t="s">
        <v>2956</v>
      </c>
      <c r="B3083" s="675" t="s">
        <v>564</v>
      </c>
      <c r="C3083" s="675" t="s">
        <v>2965</v>
      </c>
      <c r="D3083" s="675" t="s">
        <v>21</v>
      </c>
      <c r="E3083" s="702"/>
      <c r="F3083" s="702"/>
      <c r="G3083" s="675"/>
      <c r="H3083" s="675"/>
      <c r="I3083" s="675"/>
      <c r="J3083" s="675"/>
      <c r="K3083" s="675"/>
      <c r="L3083" s="675"/>
      <c r="M3083" s="675"/>
    </row>
    <row r="3084" spans="1:13" x14ac:dyDescent="0.25">
      <c r="A3084" s="675" t="s">
        <v>2956</v>
      </c>
      <c r="B3084" s="675" t="s">
        <v>564</v>
      </c>
      <c r="C3084" s="675" t="s">
        <v>2966</v>
      </c>
      <c r="D3084" s="675" t="s">
        <v>21</v>
      </c>
      <c r="E3084" s="702"/>
      <c r="F3084" s="702"/>
      <c r="G3084" s="675"/>
      <c r="H3084" s="675"/>
      <c r="I3084" s="675"/>
      <c r="J3084" s="675"/>
      <c r="K3084" s="675"/>
      <c r="L3084" s="675"/>
      <c r="M3084" s="675"/>
    </row>
    <row r="3085" spans="1:13" x14ac:dyDescent="0.25">
      <c r="A3085" s="675" t="s">
        <v>2956</v>
      </c>
      <c r="B3085" s="675" t="s">
        <v>512</v>
      </c>
      <c r="C3085" s="675" t="s">
        <v>2967</v>
      </c>
      <c r="D3085" s="675" t="s">
        <v>21</v>
      </c>
      <c r="E3085" s="702"/>
      <c r="F3085" s="702"/>
      <c r="G3085" s="675"/>
      <c r="H3085" s="675"/>
      <c r="I3085" s="675"/>
      <c r="J3085" s="675"/>
      <c r="K3085" s="675"/>
      <c r="L3085" s="675"/>
      <c r="M3085" s="675"/>
    </row>
    <row r="3086" spans="1:13" x14ac:dyDescent="0.25">
      <c r="A3086" s="675" t="s">
        <v>2956</v>
      </c>
      <c r="B3086" s="675" t="s">
        <v>512</v>
      </c>
      <c r="C3086" s="675" t="s">
        <v>2968</v>
      </c>
      <c r="D3086" s="675" t="s">
        <v>21</v>
      </c>
      <c r="E3086" s="702"/>
      <c r="F3086" s="702"/>
      <c r="G3086" s="675"/>
      <c r="H3086" s="675"/>
      <c r="I3086" s="675"/>
      <c r="J3086" s="675"/>
      <c r="K3086" s="675"/>
      <c r="L3086" s="675"/>
      <c r="M3086" s="675"/>
    </row>
    <row r="3087" spans="1:13" x14ac:dyDescent="0.25">
      <c r="A3087" s="675" t="s">
        <v>2956</v>
      </c>
      <c r="B3087" s="675" t="s">
        <v>512</v>
      </c>
      <c r="C3087" s="675" t="s">
        <v>2969</v>
      </c>
      <c r="D3087" s="675" t="s">
        <v>21</v>
      </c>
      <c r="E3087" s="702"/>
      <c r="F3087" s="702"/>
      <c r="G3087" s="675"/>
      <c r="H3087" s="675"/>
      <c r="I3087" s="675"/>
      <c r="J3087" s="675"/>
      <c r="K3087" s="675"/>
      <c r="L3087" s="675"/>
      <c r="M3087" s="675"/>
    </row>
    <row r="3088" spans="1:13" x14ac:dyDescent="0.25">
      <c r="A3088" s="675" t="s">
        <v>2956</v>
      </c>
      <c r="B3088" s="675" t="s">
        <v>512</v>
      </c>
      <c r="C3088" s="675" t="s">
        <v>2970</v>
      </c>
      <c r="D3088" s="675" t="s">
        <v>21</v>
      </c>
      <c r="E3088" s="702"/>
      <c r="F3088" s="702"/>
      <c r="G3088" s="675"/>
      <c r="H3088" s="675"/>
      <c r="I3088" s="675"/>
      <c r="J3088" s="675"/>
      <c r="K3088" s="675"/>
      <c r="L3088" s="675"/>
      <c r="M3088" s="675"/>
    </row>
    <row r="3089" spans="1:13" x14ac:dyDescent="0.25">
      <c r="A3089" s="675" t="s">
        <v>2956</v>
      </c>
      <c r="B3089" s="675" t="s">
        <v>512</v>
      </c>
      <c r="C3089" s="675" t="s">
        <v>2971</v>
      </c>
      <c r="D3089" s="675" t="s">
        <v>21</v>
      </c>
      <c r="E3089" s="702"/>
      <c r="F3089" s="702"/>
      <c r="G3089" s="675"/>
      <c r="H3089" s="675"/>
      <c r="I3089" s="675"/>
      <c r="J3089" s="675"/>
      <c r="K3089" s="675"/>
      <c r="L3089" s="675"/>
      <c r="M3089" s="675"/>
    </row>
    <row r="3090" spans="1:13" x14ac:dyDescent="0.25">
      <c r="A3090" s="675" t="s">
        <v>2956</v>
      </c>
      <c r="B3090" s="675" t="s">
        <v>545</v>
      </c>
      <c r="C3090" s="675" t="s">
        <v>2972</v>
      </c>
      <c r="D3090" s="675" t="s">
        <v>21</v>
      </c>
      <c r="E3090" s="702"/>
      <c r="F3090" s="702"/>
      <c r="G3090" s="675"/>
      <c r="H3090" s="675"/>
      <c r="I3090" s="675"/>
      <c r="J3090" s="675"/>
      <c r="K3090" s="675"/>
      <c r="L3090" s="675"/>
      <c r="M3090" s="675"/>
    </row>
    <row r="3091" spans="1:13" x14ac:dyDescent="0.25">
      <c r="A3091" s="675" t="s">
        <v>2956</v>
      </c>
      <c r="B3091" s="675" t="s">
        <v>545</v>
      </c>
      <c r="C3091" s="675" t="s">
        <v>2973</v>
      </c>
      <c r="D3091" s="675" t="s">
        <v>21</v>
      </c>
      <c r="E3091" s="702"/>
      <c r="F3091" s="702"/>
      <c r="G3091" s="675"/>
      <c r="H3091" s="675"/>
      <c r="I3091" s="675"/>
      <c r="J3091" s="675"/>
      <c r="K3091" s="675"/>
      <c r="L3091" s="675"/>
      <c r="M3091" s="675"/>
    </row>
    <row r="3092" spans="1:13" x14ac:dyDescent="0.25">
      <c r="A3092" s="675" t="s">
        <v>2956</v>
      </c>
      <c r="B3092" s="675" t="s">
        <v>545</v>
      </c>
      <c r="C3092" s="675" t="s">
        <v>2974</v>
      </c>
      <c r="D3092" s="675" t="s">
        <v>21</v>
      </c>
      <c r="E3092" s="702"/>
      <c r="F3092" s="702"/>
      <c r="G3092" s="675"/>
      <c r="H3092" s="675"/>
      <c r="I3092" s="675"/>
      <c r="J3092" s="675"/>
      <c r="K3092" s="675"/>
      <c r="L3092" s="675"/>
      <c r="M3092" s="675"/>
    </row>
    <row r="3093" spans="1:13" x14ac:dyDescent="0.25">
      <c r="A3093" s="675" t="s">
        <v>2956</v>
      </c>
      <c r="B3093" s="675" t="s">
        <v>545</v>
      </c>
      <c r="C3093" s="675" t="s">
        <v>2975</v>
      </c>
      <c r="D3093" s="675" t="s">
        <v>21</v>
      </c>
      <c r="E3093" s="702"/>
      <c r="F3093" s="702"/>
      <c r="G3093" s="675"/>
      <c r="H3093" s="675"/>
      <c r="I3093" s="675"/>
      <c r="J3093" s="675"/>
      <c r="K3093" s="675"/>
      <c r="L3093" s="675"/>
      <c r="M3093" s="675"/>
    </row>
    <row r="3094" spans="1:13" x14ac:dyDescent="0.25">
      <c r="A3094" s="675" t="s">
        <v>2956</v>
      </c>
      <c r="B3094" s="675" t="s">
        <v>545</v>
      </c>
      <c r="C3094" s="675" t="s">
        <v>2976</v>
      </c>
      <c r="D3094" s="675" t="s">
        <v>21</v>
      </c>
      <c r="E3094" s="702"/>
      <c r="F3094" s="702"/>
      <c r="G3094" s="675"/>
      <c r="H3094" s="675"/>
      <c r="I3094" s="675"/>
      <c r="J3094" s="675"/>
      <c r="K3094" s="675"/>
      <c r="L3094" s="675"/>
      <c r="M3094" s="675"/>
    </row>
    <row r="3095" spans="1:13" x14ac:dyDescent="0.25">
      <c r="A3095" s="675" t="s">
        <v>2956</v>
      </c>
      <c r="B3095" s="675" t="s">
        <v>564</v>
      </c>
      <c r="C3095" s="675" t="s">
        <v>2977</v>
      </c>
      <c r="D3095" s="675" t="s">
        <v>21</v>
      </c>
      <c r="E3095" s="702"/>
      <c r="F3095" s="702"/>
      <c r="G3095" s="675"/>
      <c r="H3095" s="675"/>
      <c r="I3095" s="675"/>
      <c r="J3095" s="675"/>
      <c r="K3095" s="675"/>
      <c r="L3095" s="675"/>
      <c r="M3095" s="675"/>
    </row>
    <row r="3096" spans="1:13" x14ac:dyDescent="0.25">
      <c r="A3096" s="675" t="s">
        <v>2956</v>
      </c>
      <c r="B3096" s="675" t="s">
        <v>564</v>
      </c>
      <c r="C3096" s="675" t="s">
        <v>2978</v>
      </c>
      <c r="D3096" s="675" t="s">
        <v>21</v>
      </c>
      <c r="E3096" s="702"/>
      <c r="F3096" s="702"/>
      <c r="G3096" s="675"/>
      <c r="H3096" s="675"/>
      <c r="I3096" s="675"/>
      <c r="J3096" s="675"/>
      <c r="K3096" s="675"/>
      <c r="L3096" s="675"/>
      <c r="M3096" s="675"/>
    </row>
    <row r="3097" spans="1:13" x14ac:dyDescent="0.25">
      <c r="A3097" s="675" t="s">
        <v>2956</v>
      </c>
      <c r="B3097" s="675" t="s">
        <v>564</v>
      </c>
      <c r="C3097" s="675" t="s">
        <v>2979</v>
      </c>
      <c r="D3097" s="675" t="s">
        <v>21</v>
      </c>
      <c r="E3097" s="702"/>
      <c r="F3097" s="702"/>
      <c r="G3097" s="675"/>
      <c r="H3097" s="675"/>
      <c r="I3097" s="675"/>
      <c r="J3097" s="675"/>
      <c r="K3097" s="675"/>
      <c r="L3097" s="675"/>
      <c r="M3097" s="675"/>
    </row>
    <row r="3098" spans="1:13" x14ac:dyDescent="0.25">
      <c r="A3098" s="675" t="s">
        <v>2956</v>
      </c>
      <c r="B3098" s="675" t="s">
        <v>564</v>
      </c>
      <c r="C3098" s="675" t="s">
        <v>2980</v>
      </c>
      <c r="D3098" s="675" t="s">
        <v>21</v>
      </c>
      <c r="E3098" s="702"/>
      <c r="F3098" s="702"/>
      <c r="G3098" s="675"/>
      <c r="H3098" s="675"/>
      <c r="I3098" s="675"/>
      <c r="J3098" s="675"/>
      <c r="K3098" s="675"/>
      <c r="L3098" s="675"/>
      <c r="M3098" s="675"/>
    </row>
    <row r="3099" spans="1:13" x14ac:dyDescent="0.25">
      <c r="A3099" s="675" t="s">
        <v>2956</v>
      </c>
      <c r="B3099" s="675" t="s">
        <v>564</v>
      </c>
      <c r="C3099" s="675" t="s">
        <v>2981</v>
      </c>
      <c r="D3099" s="675" t="s">
        <v>21</v>
      </c>
      <c r="E3099" s="702"/>
      <c r="F3099" s="702"/>
      <c r="G3099" s="675"/>
      <c r="H3099" s="675"/>
      <c r="I3099" s="675"/>
      <c r="J3099" s="675"/>
      <c r="K3099" s="675"/>
      <c r="L3099" s="675"/>
      <c r="M3099" s="675"/>
    </row>
    <row r="3100" spans="1:13" x14ac:dyDescent="0.25">
      <c r="A3100" s="675" t="s">
        <v>2956</v>
      </c>
      <c r="B3100" s="675" t="s">
        <v>512</v>
      </c>
      <c r="C3100" s="675" t="s">
        <v>2982</v>
      </c>
      <c r="D3100" s="675" t="s">
        <v>21</v>
      </c>
      <c r="E3100" s="702"/>
      <c r="F3100" s="702"/>
      <c r="G3100" s="675"/>
      <c r="H3100" s="675"/>
      <c r="I3100" s="675"/>
      <c r="J3100" s="675"/>
      <c r="K3100" s="675"/>
      <c r="L3100" s="675"/>
      <c r="M3100" s="675"/>
    </row>
    <row r="3101" spans="1:13" x14ac:dyDescent="0.25">
      <c r="A3101" s="675" t="s">
        <v>2956</v>
      </c>
      <c r="B3101" s="675" t="s">
        <v>512</v>
      </c>
      <c r="C3101" s="675" t="s">
        <v>2983</v>
      </c>
      <c r="D3101" s="675" t="s">
        <v>21</v>
      </c>
      <c r="E3101" s="702"/>
      <c r="F3101" s="702"/>
      <c r="G3101" s="675"/>
      <c r="H3101" s="675"/>
      <c r="I3101" s="675"/>
      <c r="J3101" s="675"/>
      <c r="K3101" s="675"/>
      <c r="L3101" s="675"/>
      <c r="M3101" s="675"/>
    </row>
    <row r="3102" spans="1:13" x14ac:dyDescent="0.25">
      <c r="A3102" s="675" t="s">
        <v>2956</v>
      </c>
      <c r="B3102" s="675" t="s">
        <v>512</v>
      </c>
      <c r="C3102" s="675" t="s">
        <v>2984</v>
      </c>
      <c r="D3102" s="675" t="s">
        <v>21</v>
      </c>
      <c r="E3102" s="702"/>
      <c r="F3102" s="702"/>
      <c r="G3102" s="675"/>
      <c r="H3102" s="675"/>
      <c r="I3102" s="675"/>
      <c r="J3102" s="675"/>
      <c r="K3102" s="675"/>
      <c r="L3102" s="675"/>
      <c r="M3102" s="675"/>
    </row>
    <row r="3103" spans="1:13" x14ac:dyDescent="0.25">
      <c r="A3103" s="675" t="s">
        <v>2956</v>
      </c>
      <c r="B3103" s="675" t="s">
        <v>512</v>
      </c>
      <c r="C3103" s="675" t="s">
        <v>2985</v>
      </c>
      <c r="D3103" s="675" t="s">
        <v>21</v>
      </c>
      <c r="E3103" s="702"/>
      <c r="F3103" s="702"/>
      <c r="G3103" s="675"/>
      <c r="H3103" s="675"/>
      <c r="I3103" s="675"/>
      <c r="J3103" s="675"/>
      <c r="K3103" s="675"/>
      <c r="L3103" s="675"/>
      <c r="M3103" s="675"/>
    </row>
    <row r="3104" spans="1:13" x14ac:dyDescent="0.25">
      <c r="A3104" s="675" t="s">
        <v>2956</v>
      </c>
      <c r="B3104" s="675" t="s">
        <v>512</v>
      </c>
      <c r="C3104" s="675" t="s">
        <v>2986</v>
      </c>
      <c r="D3104" s="675" t="s">
        <v>21</v>
      </c>
      <c r="E3104" s="702"/>
      <c r="F3104" s="702"/>
      <c r="G3104" s="675"/>
      <c r="H3104" s="675"/>
      <c r="I3104" s="675"/>
      <c r="J3104" s="675"/>
      <c r="K3104" s="675"/>
      <c r="L3104" s="675"/>
      <c r="M3104" s="675"/>
    </row>
    <row r="3105" spans="1:13" x14ac:dyDescent="0.25">
      <c r="A3105" s="675" t="s">
        <v>2987</v>
      </c>
      <c r="B3105" s="675" t="s">
        <v>545</v>
      </c>
      <c r="C3105" s="676" t="s">
        <v>2988</v>
      </c>
      <c r="D3105" s="675" t="s">
        <v>21</v>
      </c>
      <c r="E3105" s="702"/>
      <c r="F3105" s="702"/>
      <c r="G3105" s="675"/>
      <c r="H3105" s="675"/>
      <c r="I3105" s="675"/>
      <c r="J3105" s="675"/>
      <c r="K3105" s="675"/>
      <c r="L3105" s="675"/>
      <c r="M3105" s="675"/>
    </row>
    <row r="3106" spans="1:13" x14ac:dyDescent="0.25">
      <c r="A3106" s="675" t="s">
        <v>2987</v>
      </c>
      <c r="B3106" s="675" t="s">
        <v>545</v>
      </c>
      <c r="C3106" s="676" t="s">
        <v>2989</v>
      </c>
      <c r="D3106" s="675" t="s">
        <v>21</v>
      </c>
      <c r="E3106" s="702"/>
      <c r="F3106" s="702"/>
      <c r="G3106" s="675"/>
      <c r="H3106" s="675"/>
      <c r="I3106" s="675"/>
      <c r="J3106" s="675"/>
      <c r="K3106" s="675"/>
      <c r="L3106" s="675"/>
      <c r="M3106" s="675"/>
    </row>
    <row r="3107" spans="1:13" x14ac:dyDescent="0.25">
      <c r="A3107" s="675" t="s">
        <v>2987</v>
      </c>
      <c r="B3107" s="675" t="s">
        <v>545</v>
      </c>
      <c r="C3107" s="676" t="s">
        <v>2990</v>
      </c>
      <c r="D3107" s="675" t="s">
        <v>21</v>
      </c>
      <c r="E3107" s="702"/>
      <c r="F3107" s="702"/>
      <c r="G3107" s="675"/>
      <c r="H3107" s="675"/>
      <c r="I3107" s="675"/>
      <c r="J3107" s="675"/>
      <c r="K3107" s="675"/>
      <c r="L3107" s="675"/>
      <c r="M3107" s="675"/>
    </row>
    <row r="3108" spans="1:13" x14ac:dyDescent="0.25">
      <c r="A3108" s="675" t="s">
        <v>2987</v>
      </c>
      <c r="B3108" s="675" t="s">
        <v>545</v>
      </c>
      <c r="C3108" s="676" t="s">
        <v>2991</v>
      </c>
      <c r="D3108" s="675" t="s">
        <v>21</v>
      </c>
      <c r="E3108" s="702"/>
      <c r="F3108" s="702"/>
      <c r="G3108" s="675"/>
      <c r="H3108" s="675"/>
      <c r="I3108" s="675"/>
      <c r="J3108" s="675"/>
      <c r="K3108" s="675"/>
      <c r="L3108" s="675"/>
      <c r="M3108" s="675"/>
    </row>
    <row r="3109" spans="1:13" x14ac:dyDescent="0.25">
      <c r="A3109" s="675" t="s">
        <v>2987</v>
      </c>
      <c r="B3109" s="675" t="s">
        <v>545</v>
      </c>
      <c r="C3109" s="676" t="s">
        <v>2992</v>
      </c>
      <c r="D3109" s="675" t="s">
        <v>21</v>
      </c>
      <c r="E3109" s="702"/>
      <c r="F3109" s="702"/>
      <c r="G3109" s="675"/>
      <c r="H3109" s="675"/>
      <c r="I3109" s="675"/>
      <c r="J3109" s="675"/>
      <c r="K3109" s="675"/>
      <c r="L3109" s="675"/>
      <c r="M3109" s="675"/>
    </row>
    <row r="3110" spans="1:13" x14ac:dyDescent="0.25">
      <c r="A3110" s="675" t="s">
        <v>2987</v>
      </c>
      <c r="B3110" s="675" t="s">
        <v>564</v>
      </c>
      <c r="C3110" s="676" t="s">
        <v>2993</v>
      </c>
      <c r="D3110" s="675" t="s">
        <v>21</v>
      </c>
      <c r="E3110" s="702"/>
      <c r="F3110" s="702"/>
      <c r="G3110" s="675"/>
      <c r="H3110" s="675"/>
      <c r="I3110" s="675"/>
      <c r="J3110" s="675"/>
      <c r="K3110" s="675"/>
      <c r="L3110" s="675"/>
      <c r="M3110" s="675"/>
    </row>
    <row r="3111" spans="1:13" x14ac:dyDescent="0.25">
      <c r="A3111" s="675" t="s">
        <v>2987</v>
      </c>
      <c r="B3111" s="675" t="s">
        <v>564</v>
      </c>
      <c r="C3111" s="676" t="s">
        <v>2994</v>
      </c>
      <c r="D3111" s="675" t="s">
        <v>21</v>
      </c>
      <c r="E3111" s="702"/>
      <c r="F3111" s="702"/>
      <c r="G3111" s="675"/>
      <c r="H3111" s="675"/>
      <c r="I3111" s="675"/>
      <c r="J3111" s="675"/>
      <c r="K3111" s="675"/>
      <c r="L3111" s="675"/>
      <c r="M3111" s="675"/>
    </row>
    <row r="3112" spans="1:13" x14ac:dyDescent="0.25">
      <c r="A3112" s="675" t="s">
        <v>2987</v>
      </c>
      <c r="B3112" s="675" t="s">
        <v>564</v>
      </c>
      <c r="C3112" s="676" t="s">
        <v>2995</v>
      </c>
      <c r="D3112" s="675" t="s">
        <v>21</v>
      </c>
      <c r="E3112" s="702"/>
      <c r="F3112" s="702"/>
      <c r="G3112" s="675"/>
      <c r="H3112" s="675"/>
      <c r="I3112" s="675"/>
      <c r="J3112" s="675"/>
      <c r="K3112" s="675"/>
      <c r="L3112" s="675"/>
      <c r="M3112" s="675"/>
    </row>
    <row r="3113" spans="1:13" x14ac:dyDescent="0.25">
      <c r="A3113" s="675" t="s">
        <v>2987</v>
      </c>
      <c r="B3113" s="675" t="s">
        <v>564</v>
      </c>
      <c r="C3113" s="676" t="s">
        <v>2996</v>
      </c>
      <c r="D3113" s="675" t="s">
        <v>21</v>
      </c>
      <c r="E3113" s="702"/>
      <c r="F3113" s="702"/>
      <c r="G3113" s="675"/>
      <c r="H3113" s="675"/>
      <c r="I3113" s="675"/>
      <c r="J3113" s="675"/>
      <c r="K3113" s="675"/>
      <c r="L3113" s="675"/>
      <c r="M3113" s="675"/>
    </row>
    <row r="3114" spans="1:13" x14ac:dyDescent="0.25">
      <c r="A3114" s="675" t="s">
        <v>2987</v>
      </c>
      <c r="B3114" s="675" t="s">
        <v>564</v>
      </c>
      <c r="C3114" s="676" t="s">
        <v>2997</v>
      </c>
      <c r="D3114" s="675" t="s">
        <v>21</v>
      </c>
      <c r="E3114" s="702"/>
      <c r="F3114" s="702"/>
      <c r="G3114" s="675"/>
      <c r="H3114" s="675"/>
      <c r="I3114" s="675"/>
      <c r="J3114" s="675"/>
      <c r="K3114" s="675"/>
      <c r="L3114" s="675"/>
      <c r="M3114" s="675"/>
    </row>
    <row r="3115" spans="1:13" x14ac:dyDescent="0.25">
      <c r="A3115" s="675" t="s">
        <v>2987</v>
      </c>
      <c r="B3115" s="675" t="s">
        <v>512</v>
      </c>
      <c r="C3115" s="676" t="s">
        <v>2998</v>
      </c>
      <c r="D3115" s="675" t="s">
        <v>21</v>
      </c>
      <c r="E3115" s="702"/>
      <c r="F3115" s="702"/>
      <c r="G3115" s="675"/>
      <c r="H3115" s="675"/>
      <c r="I3115" s="675"/>
      <c r="J3115" s="675"/>
      <c r="K3115" s="675"/>
      <c r="L3115" s="675"/>
      <c r="M3115" s="675"/>
    </row>
    <row r="3116" spans="1:13" x14ac:dyDescent="0.25">
      <c r="A3116" s="675" t="s">
        <v>2987</v>
      </c>
      <c r="B3116" s="675" t="s">
        <v>512</v>
      </c>
      <c r="C3116" s="676" t="s">
        <v>2999</v>
      </c>
      <c r="D3116" s="675" t="s">
        <v>21</v>
      </c>
      <c r="E3116" s="702"/>
      <c r="F3116" s="702"/>
      <c r="G3116" s="675"/>
      <c r="H3116" s="675"/>
      <c r="I3116" s="675"/>
      <c r="J3116" s="675"/>
      <c r="K3116" s="675"/>
      <c r="L3116" s="675"/>
      <c r="M3116" s="675"/>
    </row>
    <row r="3117" spans="1:13" x14ac:dyDescent="0.25">
      <c r="A3117" s="675" t="s">
        <v>2987</v>
      </c>
      <c r="B3117" s="675" t="s">
        <v>512</v>
      </c>
      <c r="C3117" s="676" t="s">
        <v>3000</v>
      </c>
      <c r="D3117" s="675" t="s">
        <v>21</v>
      </c>
      <c r="E3117" s="702"/>
      <c r="F3117" s="702"/>
      <c r="G3117" s="675"/>
      <c r="H3117" s="675"/>
      <c r="I3117" s="675"/>
      <c r="J3117" s="675"/>
      <c r="K3117" s="675"/>
      <c r="L3117" s="675"/>
      <c r="M3117" s="675"/>
    </row>
    <row r="3118" spans="1:13" x14ac:dyDescent="0.25">
      <c r="A3118" s="675" t="s">
        <v>2987</v>
      </c>
      <c r="B3118" s="675" t="s">
        <v>512</v>
      </c>
      <c r="C3118" s="676" t="s">
        <v>3001</v>
      </c>
      <c r="D3118" s="675" t="s">
        <v>21</v>
      </c>
      <c r="E3118" s="702"/>
      <c r="F3118" s="702"/>
      <c r="G3118" s="675"/>
      <c r="H3118" s="675"/>
      <c r="I3118" s="675"/>
      <c r="J3118" s="675"/>
      <c r="K3118" s="675"/>
      <c r="L3118" s="675"/>
      <c r="M3118" s="675"/>
    </row>
    <row r="3119" spans="1:13" x14ac:dyDescent="0.25">
      <c r="A3119" s="675" t="s">
        <v>2987</v>
      </c>
      <c r="B3119" s="675" t="s">
        <v>512</v>
      </c>
      <c r="C3119" s="676" t="s">
        <v>3002</v>
      </c>
      <c r="D3119" s="675" t="s">
        <v>21</v>
      </c>
      <c r="E3119" s="702"/>
      <c r="F3119" s="702"/>
      <c r="G3119" s="675"/>
      <c r="H3119" s="675"/>
      <c r="I3119" s="675"/>
      <c r="J3119" s="675"/>
      <c r="K3119" s="675"/>
      <c r="L3119" s="675"/>
      <c r="M3119" s="675"/>
    </row>
    <row r="3120" spans="1:13" x14ac:dyDescent="0.25">
      <c r="A3120" s="675" t="s">
        <v>2987</v>
      </c>
      <c r="B3120" s="675" t="s">
        <v>545</v>
      </c>
      <c r="C3120" s="676" t="s">
        <v>3003</v>
      </c>
      <c r="D3120" s="675" t="s">
        <v>21</v>
      </c>
      <c r="E3120" s="702"/>
      <c r="F3120" s="702"/>
      <c r="G3120" s="675"/>
      <c r="H3120" s="675"/>
      <c r="I3120" s="675"/>
      <c r="J3120" s="675"/>
      <c r="K3120" s="675"/>
      <c r="L3120" s="675"/>
      <c r="M3120" s="675"/>
    </row>
    <row r="3121" spans="1:13" x14ac:dyDescent="0.25">
      <c r="A3121" s="675" t="s">
        <v>2987</v>
      </c>
      <c r="B3121" s="675" t="s">
        <v>545</v>
      </c>
      <c r="C3121" s="676" t="s">
        <v>3004</v>
      </c>
      <c r="D3121" s="675" t="s">
        <v>21</v>
      </c>
      <c r="E3121" s="702"/>
      <c r="F3121" s="702"/>
      <c r="G3121" s="675"/>
      <c r="H3121" s="675"/>
      <c r="I3121" s="675"/>
      <c r="J3121" s="675"/>
      <c r="K3121" s="675"/>
      <c r="L3121" s="675"/>
      <c r="M3121" s="675"/>
    </row>
    <row r="3122" spans="1:13" x14ac:dyDescent="0.25">
      <c r="A3122" s="675" t="s">
        <v>2987</v>
      </c>
      <c r="B3122" s="675" t="s">
        <v>545</v>
      </c>
      <c r="C3122" s="676" t="s">
        <v>3005</v>
      </c>
      <c r="D3122" s="675" t="s">
        <v>21</v>
      </c>
      <c r="E3122" s="702"/>
      <c r="F3122" s="702"/>
      <c r="G3122" s="675"/>
      <c r="H3122" s="675"/>
      <c r="I3122" s="675"/>
      <c r="J3122" s="675"/>
      <c r="K3122" s="675"/>
      <c r="L3122" s="675"/>
      <c r="M3122" s="675"/>
    </row>
    <row r="3123" spans="1:13" x14ac:dyDescent="0.25">
      <c r="A3123" s="675" t="s">
        <v>2987</v>
      </c>
      <c r="B3123" s="675" t="s">
        <v>545</v>
      </c>
      <c r="C3123" s="676" t="s">
        <v>3006</v>
      </c>
      <c r="D3123" s="675" t="s">
        <v>21</v>
      </c>
      <c r="E3123" s="702"/>
      <c r="F3123" s="702"/>
      <c r="G3123" s="675"/>
      <c r="H3123" s="675"/>
      <c r="I3123" s="675"/>
      <c r="J3123" s="675"/>
      <c r="K3123" s="675"/>
      <c r="L3123" s="675"/>
      <c r="M3123" s="675"/>
    </row>
    <row r="3124" spans="1:13" x14ac:dyDescent="0.25">
      <c r="A3124" s="675" t="s">
        <v>2987</v>
      </c>
      <c r="B3124" s="675" t="s">
        <v>545</v>
      </c>
      <c r="C3124" s="676" t="s">
        <v>3007</v>
      </c>
      <c r="D3124" s="675" t="s">
        <v>21</v>
      </c>
      <c r="E3124" s="702"/>
      <c r="F3124" s="702"/>
      <c r="G3124" s="675"/>
      <c r="H3124" s="675"/>
      <c r="I3124" s="675"/>
      <c r="J3124" s="675"/>
      <c r="K3124" s="675"/>
      <c r="L3124" s="675"/>
      <c r="M3124" s="675"/>
    </row>
    <row r="3125" spans="1:13" x14ac:dyDescent="0.25">
      <c r="A3125" s="675" t="s">
        <v>2987</v>
      </c>
      <c r="B3125" s="675" t="s">
        <v>564</v>
      </c>
      <c r="C3125" s="676" t="s">
        <v>3008</v>
      </c>
      <c r="D3125" s="675" t="s">
        <v>21</v>
      </c>
      <c r="E3125" s="702"/>
      <c r="F3125" s="702"/>
      <c r="G3125" s="675"/>
      <c r="H3125" s="675"/>
      <c r="I3125" s="675"/>
      <c r="J3125" s="675"/>
      <c r="K3125" s="675"/>
      <c r="L3125" s="675"/>
      <c r="M3125" s="675"/>
    </row>
    <row r="3126" spans="1:13" x14ac:dyDescent="0.25">
      <c r="A3126" s="675" t="s">
        <v>2987</v>
      </c>
      <c r="B3126" s="675" t="s">
        <v>564</v>
      </c>
      <c r="C3126" s="676" t="s">
        <v>3009</v>
      </c>
      <c r="D3126" s="675" t="s">
        <v>21</v>
      </c>
      <c r="E3126" s="702"/>
      <c r="F3126" s="702"/>
      <c r="G3126" s="675"/>
      <c r="H3126" s="675"/>
      <c r="I3126" s="675"/>
      <c r="J3126" s="675"/>
      <c r="K3126" s="675"/>
      <c r="L3126" s="675"/>
      <c r="M3126" s="675"/>
    </row>
    <row r="3127" spans="1:13" x14ac:dyDescent="0.25">
      <c r="A3127" s="675" t="s">
        <v>2987</v>
      </c>
      <c r="B3127" s="675" t="s">
        <v>564</v>
      </c>
      <c r="C3127" s="676" t="s">
        <v>3010</v>
      </c>
      <c r="D3127" s="675" t="s">
        <v>21</v>
      </c>
      <c r="E3127" s="702"/>
      <c r="F3127" s="702"/>
      <c r="G3127" s="675"/>
      <c r="H3127" s="675"/>
      <c r="I3127" s="675"/>
      <c r="J3127" s="675"/>
      <c r="K3127" s="675"/>
      <c r="L3127" s="675"/>
      <c r="M3127" s="675"/>
    </row>
    <row r="3128" spans="1:13" x14ac:dyDescent="0.25">
      <c r="A3128" s="675" t="s">
        <v>2987</v>
      </c>
      <c r="B3128" s="675" t="s">
        <v>564</v>
      </c>
      <c r="C3128" s="676" t="s">
        <v>3011</v>
      </c>
      <c r="D3128" s="675" t="s">
        <v>21</v>
      </c>
      <c r="E3128" s="702"/>
      <c r="F3128" s="702"/>
      <c r="G3128" s="675"/>
      <c r="H3128" s="675"/>
      <c r="I3128" s="675"/>
      <c r="J3128" s="675"/>
      <c r="K3128" s="675"/>
      <c r="L3128" s="675"/>
      <c r="M3128" s="675"/>
    </row>
    <row r="3129" spans="1:13" x14ac:dyDescent="0.25">
      <c r="A3129" s="675" t="s">
        <v>2987</v>
      </c>
      <c r="B3129" s="675" t="s">
        <v>564</v>
      </c>
      <c r="C3129" s="676" t="s">
        <v>3012</v>
      </c>
      <c r="D3129" s="675" t="s">
        <v>21</v>
      </c>
      <c r="E3129" s="702"/>
      <c r="F3129" s="702"/>
      <c r="G3129" s="675"/>
      <c r="H3129" s="675"/>
      <c r="I3129" s="675"/>
      <c r="J3129" s="675"/>
      <c r="K3129" s="675"/>
      <c r="L3129" s="675"/>
      <c r="M3129" s="675"/>
    </row>
    <row r="3130" spans="1:13" x14ac:dyDescent="0.25">
      <c r="A3130" s="675" t="s">
        <v>2987</v>
      </c>
      <c r="B3130" s="675" t="s">
        <v>512</v>
      </c>
      <c r="C3130" s="676" t="s">
        <v>3013</v>
      </c>
      <c r="D3130" s="675" t="s">
        <v>21</v>
      </c>
      <c r="E3130" s="702"/>
      <c r="F3130" s="702"/>
      <c r="G3130" s="675"/>
      <c r="H3130" s="675"/>
      <c r="I3130" s="675"/>
      <c r="J3130" s="675"/>
      <c r="K3130" s="675"/>
      <c r="L3130" s="675"/>
      <c r="M3130" s="675"/>
    </row>
    <row r="3131" spans="1:13" x14ac:dyDescent="0.25">
      <c r="A3131" s="675" t="s">
        <v>2987</v>
      </c>
      <c r="B3131" s="675" t="s">
        <v>512</v>
      </c>
      <c r="C3131" s="676" t="s">
        <v>3014</v>
      </c>
      <c r="D3131" s="675" t="s">
        <v>21</v>
      </c>
      <c r="E3131" s="702"/>
      <c r="F3131" s="702"/>
      <c r="G3131" s="675"/>
      <c r="H3131" s="675"/>
      <c r="I3131" s="675"/>
      <c r="J3131" s="675"/>
      <c r="K3131" s="675"/>
      <c r="L3131" s="675"/>
      <c r="M3131" s="675"/>
    </row>
    <row r="3132" spans="1:13" x14ac:dyDescent="0.25">
      <c r="A3132" s="675" t="s">
        <v>2987</v>
      </c>
      <c r="B3132" s="675" t="s">
        <v>512</v>
      </c>
      <c r="C3132" s="676" t="s">
        <v>3015</v>
      </c>
      <c r="D3132" s="675" t="s">
        <v>21</v>
      </c>
      <c r="E3132" s="702"/>
      <c r="F3132" s="702"/>
      <c r="G3132" s="675"/>
      <c r="H3132" s="675"/>
      <c r="I3132" s="675"/>
      <c r="J3132" s="675"/>
      <c r="K3132" s="675"/>
      <c r="L3132" s="675"/>
      <c r="M3132" s="675"/>
    </row>
    <row r="3133" spans="1:13" x14ac:dyDescent="0.25">
      <c r="A3133" s="675" t="s">
        <v>2987</v>
      </c>
      <c r="B3133" s="675" t="s">
        <v>512</v>
      </c>
      <c r="C3133" s="676" t="s">
        <v>3016</v>
      </c>
      <c r="D3133" s="675" t="s">
        <v>21</v>
      </c>
      <c r="E3133" s="702"/>
      <c r="F3133" s="702"/>
      <c r="G3133" s="675"/>
      <c r="H3133" s="675"/>
      <c r="I3133" s="675"/>
      <c r="J3133" s="675"/>
      <c r="K3133" s="675"/>
      <c r="L3133" s="675"/>
      <c r="M3133" s="675"/>
    </row>
    <row r="3134" spans="1:13" x14ac:dyDescent="0.25">
      <c r="A3134" s="675" t="s">
        <v>2987</v>
      </c>
      <c r="B3134" s="675" t="s">
        <v>512</v>
      </c>
      <c r="C3134" s="676" t="s">
        <v>3017</v>
      </c>
      <c r="D3134" s="675" t="s">
        <v>21</v>
      </c>
      <c r="E3134" s="702"/>
      <c r="F3134" s="702"/>
      <c r="G3134" s="675"/>
      <c r="H3134" s="675"/>
      <c r="I3134" s="675"/>
      <c r="J3134" s="675"/>
      <c r="K3134" s="675"/>
      <c r="L3134" s="675"/>
      <c r="M3134" s="675"/>
    </row>
    <row r="3135" spans="1:13" x14ac:dyDescent="0.25">
      <c r="A3135" s="675" t="s">
        <v>3018</v>
      </c>
      <c r="B3135" s="675" t="s">
        <v>545</v>
      </c>
      <c r="C3135" s="676" t="s">
        <v>3019</v>
      </c>
      <c r="D3135" s="675" t="s">
        <v>21</v>
      </c>
      <c r="E3135" s="702"/>
      <c r="F3135" s="702"/>
      <c r="G3135" s="675"/>
      <c r="H3135" s="675"/>
      <c r="I3135" s="675"/>
      <c r="J3135" s="675"/>
      <c r="K3135" s="675"/>
      <c r="L3135" s="675"/>
      <c r="M3135" s="675"/>
    </row>
    <row r="3136" spans="1:13" x14ac:dyDescent="0.25">
      <c r="A3136" s="675" t="s">
        <v>3018</v>
      </c>
      <c r="B3136" s="675" t="s">
        <v>545</v>
      </c>
      <c r="C3136" s="676" t="s">
        <v>3020</v>
      </c>
      <c r="D3136" s="675" t="s">
        <v>21</v>
      </c>
      <c r="E3136" s="702"/>
      <c r="F3136" s="702"/>
      <c r="G3136" s="675"/>
      <c r="H3136" s="675"/>
      <c r="I3136" s="675"/>
      <c r="J3136" s="675"/>
      <c r="K3136" s="675"/>
      <c r="L3136" s="675"/>
      <c r="M3136" s="675"/>
    </row>
    <row r="3137" spans="1:13" x14ac:dyDescent="0.25">
      <c r="A3137" s="675" t="s">
        <v>3018</v>
      </c>
      <c r="B3137" s="675" t="s">
        <v>545</v>
      </c>
      <c r="C3137" s="676" t="s">
        <v>3021</v>
      </c>
      <c r="D3137" s="675" t="s">
        <v>21</v>
      </c>
      <c r="E3137" s="702"/>
      <c r="F3137" s="702"/>
      <c r="G3137" s="675"/>
      <c r="H3137" s="675"/>
      <c r="I3137" s="675"/>
      <c r="J3137" s="675"/>
      <c r="K3137" s="675"/>
      <c r="L3137" s="675"/>
      <c r="M3137" s="675"/>
    </row>
    <row r="3138" spans="1:13" x14ac:dyDescent="0.25">
      <c r="A3138" s="675" t="s">
        <v>3018</v>
      </c>
      <c r="B3138" s="675" t="s">
        <v>545</v>
      </c>
      <c r="C3138" s="676" t="s">
        <v>3022</v>
      </c>
      <c r="D3138" s="675" t="s">
        <v>21</v>
      </c>
      <c r="E3138" s="702"/>
      <c r="F3138" s="702"/>
      <c r="G3138" s="675"/>
      <c r="H3138" s="675"/>
      <c r="I3138" s="675"/>
      <c r="J3138" s="675"/>
      <c r="K3138" s="675"/>
      <c r="L3138" s="675"/>
      <c r="M3138" s="675"/>
    </row>
    <row r="3139" spans="1:13" x14ac:dyDescent="0.25">
      <c r="A3139" s="675" t="s">
        <v>3018</v>
      </c>
      <c r="B3139" s="675" t="s">
        <v>545</v>
      </c>
      <c r="C3139" s="676" t="s">
        <v>3023</v>
      </c>
      <c r="D3139" s="675" t="s">
        <v>21</v>
      </c>
      <c r="E3139" s="702"/>
      <c r="F3139" s="702"/>
      <c r="G3139" s="675"/>
      <c r="H3139" s="675"/>
      <c r="I3139" s="675"/>
      <c r="J3139" s="675"/>
      <c r="K3139" s="675"/>
      <c r="L3139" s="675"/>
      <c r="M3139" s="675"/>
    </row>
    <row r="3140" spans="1:13" x14ac:dyDescent="0.25">
      <c r="A3140" s="675" t="s">
        <v>3018</v>
      </c>
      <c r="B3140" s="675" t="s">
        <v>564</v>
      </c>
      <c r="C3140" s="676" t="s">
        <v>3024</v>
      </c>
      <c r="D3140" s="675" t="s">
        <v>21</v>
      </c>
      <c r="E3140" s="702"/>
      <c r="F3140" s="702"/>
      <c r="G3140" s="675"/>
      <c r="H3140" s="675"/>
      <c r="I3140" s="675"/>
      <c r="J3140" s="675"/>
      <c r="K3140" s="675"/>
      <c r="L3140" s="675"/>
      <c r="M3140" s="675"/>
    </row>
    <row r="3141" spans="1:13" x14ac:dyDescent="0.25">
      <c r="A3141" s="675" t="s">
        <v>3018</v>
      </c>
      <c r="B3141" s="675" t="s">
        <v>564</v>
      </c>
      <c r="C3141" s="676" t="s">
        <v>3025</v>
      </c>
      <c r="D3141" s="675" t="s">
        <v>21</v>
      </c>
      <c r="E3141" s="702"/>
      <c r="F3141" s="702"/>
      <c r="G3141" s="675"/>
      <c r="H3141" s="675"/>
      <c r="I3141" s="675"/>
      <c r="J3141" s="675"/>
      <c r="K3141" s="675"/>
      <c r="L3141" s="675"/>
      <c r="M3141" s="675"/>
    </row>
    <row r="3142" spans="1:13" x14ac:dyDescent="0.25">
      <c r="A3142" s="675" t="s">
        <v>3018</v>
      </c>
      <c r="B3142" s="675" t="s">
        <v>564</v>
      </c>
      <c r="C3142" s="676" t="s">
        <v>3026</v>
      </c>
      <c r="D3142" s="675" t="s">
        <v>21</v>
      </c>
      <c r="E3142" s="702"/>
      <c r="F3142" s="702"/>
      <c r="G3142" s="675"/>
      <c r="H3142" s="675"/>
      <c r="I3142" s="675"/>
      <c r="J3142" s="675"/>
      <c r="K3142" s="675"/>
      <c r="L3142" s="675"/>
      <c r="M3142" s="675"/>
    </row>
    <row r="3143" spans="1:13" x14ac:dyDescent="0.25">
      <c r="A3143" s="675" t="s">
        <v>3018</v>
      </c>
      <c r="B3143" s="675" t="s">
        <v>564</v>
      </c>
      <c r="C3143" s="676" t="s">
        <v>3027</v>
      </c>
      <c r="D3143" s="675" t="s">
        <v>21</v>
      </c>
      <c r="E3143" s="702"/>
      <c r="F3143" s="702"/>
      <c r="G3143" s="675"/>
      <c r="H3143" s="675"/>
      <c r="I3143" s="675"/>
      <c r="J3143" s="675"/>
      <c r="K3143" s="675"/>
      <c r="L3143" s="675"/>
      <c r="M3143" s="675"/>
    </row>
    <row r="3144" spans="1:13" x14ac:dyDescent="0.25">
      <c r="A3144" s="675" t="s">
        <v>3018</v>
      </c>
      <c r="B3144" s="675" t="s">
        <v>564</v>
      </c>
      <c r="C3144" s="676" t="s">
        <v>3028</v>
      </c>
      <c r="D3144" s="675" t="s">
        <v>21</v>
      </c>
      <c r="E3144" s="702"/>
      <c r="F3144" s="702"/>
      <c r="G3144" s="675"/>
      <c r="H3144" s="675"/>
      <c r="I3144" s="675"/>
      <c r="J3144" s="675"/>
      <c r="K3144" s="675"/>
      <c r="L3144" s="675"/>
      <c r="M3144" s="675"/>
    </row>
    <row r="3145" spans="1:13" x14ac:dyDescent="0.25">
      <c r="A3145" s="675" t="s">
        <v>3018</v>
      </c>
      <c r="B3145" s="675" t="s">
        <v>512</v>
      </c>
      <c r="C3145" s="676" t="s">
        <v>3029</v>
      </c>
      <c r="D3145" s="675" t="s">
        <v>21</v>
      </c>
      <c r="E3145" s="702"/>
      <c r="F3145" s="702"/>
      <c r="G3145" s="675"/>
      <c r="H3145" s="675"/>
      <c r="I3145" s="675"/>
      <c r="J3145" s="675"/>
      <c r="K3145" s="675"/>
      <c r="L3145" s="675"/>
      <c r="M3145" s="675"/>
    </row>
    <row r="3146" spans="1:13" x14ac:dyDescent="0.25">
      <c r="A3146" s="675" t="s">
        <v>3018</v>
      </c>
      <c r="B3146" s="675" t="s">
        <v>512</v>
      </c>
      <c r="C3146" s="676" t="s">
        <v>3030</v>
      </c>
      <c r="D3146" s="675" t="s">
        <v>21</v>
      </c>
      <c r="E3146" s="702"/>
      <c r="F3146" s="702"/>
      <c r="G3146" s="675"/>
      <c r="H3146" s="675"/>
      <c r="I3146" s="675"/>
      <c r="J3146" s="675"/>
      <c r="K3146" s="675"/>
      <c r="L3146" s="675"/>
      <c r="M3146" s="675"/>
    </row>
    <row r="3147" spans="1:13" x14ac:dyDescent="0.25">
      <c r="A3147" s="675" t="s">
        <v>3018</v>
      </c>
      <c r="B3147" s="675" t="s">
        <v>512</v>
      </c>
      <c r="C3147" s="676" t="s">
        <v>3031</v>
      </c>
      <c r="D3147" s="675" t="s">
        <v>21</v>
      </c>
      <c r="E3147" s="702"/>
      <c r="F3147" s="702"/>
      <c r="G3147" s="675"/>
      <c r="H3147" s="675"/>
      <c r="I3147" s="675"/>
      <c r="J3147" s="675"/>
      <c r="K3147" s="675"/>
      <c r="L3147" s="675"/>
      <c r="M3147" s="675"/>
    </row>
    <row r="3148" spans="1:13" x14ac:dyDescent="0.25">
      <c r="A3148" s="675" t="s">
        <v>3018</v>
      </c>
      <c r="B3148" s="675" t="s">
        <v>512</v>
      </c>
      <c r="C3148" s="676" t="s">
        <v>3032</v>
      </c>
      <c r="D3148" s="675" t="s">
        <v>21</v>
      </c>
      <c r="E3148" s="702"/>
      <c r="F3148" s="702"/>
      <c r="G3148" s="675"/>
      <c r="H3148" s="675"/>
      <c r="I3148" s="675"/>
      <c r="J3148" s="675"/>
      <c r="K3148" s="675"/>
      <c r="L3148" s="675"/>
      <c r="M3148" s="675"/>
    </row>
    <row r="3149" spans="1:13" x14ac:dyDescent="0.25">
      <c r="A3149" s="675" t="s">
        <v>3018</v>
      </c>
      <c r="B3149" s="675" t="s">
        <v>512</v>
      </c>
      <c r="C3149" s="676" t="s">
        <v>3033</v>
      </c>
      <c r="D3149" s="675" t="s">
        <v>21</v>
      </c>
      <c r="E3149" s="702"/>
      <c r="F3149" s="702"/>
      <c r="G3149" s="675"/>
      <c r="H3149" s="675"/>
      <c r="I3149" s="675"/>
      <c r="J3149" s="675"/>
      <c r="K3149" s="675"/>
      <c r="L3149" s="675"/>
      <c r="M3149" s="675"/>
    </row>
    <row r="3150" spans="1:13" x14ac:dyDescent="0.25">
      <c r="A3150" s="675" t="s">
        <v>3018</v>
      </c>
      <c r="B3150" s="675" t="s">
        <v>545</v>
      </c>
      <c r="C3150" s="676" t="s">
        <v>3034</v>
      </c>
      <c r="D3150" s="675" t="s">
        <v>21</v>
      </c>
      <c r="E3150" s="702"/>
      <c r="F3150" s="702"/>
      <c r="G3150" s="675"/>
      <c r="H3150" s="675"/>
      <c r="I3150" s="675"/>
      <c r="J3150" s="675"/>
      <c r="K3150" s="675"/>
      <c r="L3150" s="675"/>
      <c r="M3150" s="675"/>
    </row>
    <row r="3151" spans="1:13" x14ac:dyDescent="0.25">
      <c r="A3151" s="675" t="s">
        <v>3018</v>
      </c>
      <c r="B3151" s="675" t="s">
        <v>545</v>
      </c>
      <c r="C3151" s="676" t="s">
        <v>3035</v>
      </c>
      <c r="D3151" s="675" t="s">
        <v>21</v>
      </c>
      <c r="E3151" s="702"/>
      <c r="F3151" s="702"/>
      <c r="G3151" s="675"/>
      <c r="H3151" s="675"/>
      <c r="I3151" s="675"/>
      <c r="J3151" s="675"/>
      <c r="K3151" s="675"/>
      <c r="L3151" s="675"/>
      <c r="M3151" s="675"/>
    </row>
    <row r="3152" spans="1:13" x14ac:dyDescent="0.25">
      <c r="A3152" s="675" t="s">
        <v>3018</v>
      </c>
      <c r="B3152" s="675" t="s">
        <v>545</v>
      </c>
      <c r="C3152" s="676" t="s">
        <v>3036</v>
      </c>
      <c r="D3152" s="675" t="s">
        <v>21</v>
      </c>
      <c r="E3152" s="702"/>
      <c r="F3152" s="702"/>
      <c r="G3152" s="675"/>
      <c r="H3152" s="675"/>
      <c r="I3152" s="675"/>
      <c r="J3152" s="675"/>
      <c r="K3152" s="675"/>
      <c r="L3152" s="675"/>
      <c r="M3152" s="675"/>
    </row>
    <row r="3153" spans="1:13" x14ac:dyDescent="0.25">
      <c r="A3153" s="675" t="s">
        <v>3018</v>
      </c>
      <c r="B3153" s="675" t="s">
        <v>545</v>
      </c>
      <c r="C3153" s="676" t="s">
        <v>3037</v>
      </c>
      <c r="D3153" s="675" t="s">
        <v>21</v>
      </c>
      <c r="E3153" s="702"/>
      <c r="F3153" s="702"/>
      <c r="G3153" s="675"/>
      <c r="H3153" s="675"/>
      <c r="I3153" s="675"/>
      <c r="J3153" s="675"/>
      <c r="K3153" s="675"/>
      <c r="L3153" s="675"/>
      <c r="M3153" s="675"/>
    </row>
    <row r="3154" spans="1:13" x14ac:dyDescent="0.25">
      <c r="A3154" s="675" t="s">
        <v>3018</v>
      </c>
      <c r="B3154" s="675" t="s">
        <v>545</v>
      </c>
      <c r="C3154" s="676" t="s">
        <v>3038</v>
      </c>
      <c r="D3154" s="675" t="s">
        <v>21</v>
      </c>
      <c r="E3154" s="702"/>
      <c r="F3154" s="702"/>
      <c r="G3154" s="675"/>
      <c r="H3154" s="675"/>
      <c r="I3154" s="675"/>
      <c r="J3154" s="675"/>
      <c r="K3154" s="675"/>
      <c r="L3154" s="675"/>
      <c r="M3154" s="675"/>
    </row>
    <row r="3155" spans="1:13" x14ac:dyDescent="0.25">
      <c r="A3155" s="675" t="s">
        <v>3018</v>
      </c>
      <c r="B3155" s="675" t="s">
        <v>564</v>
      </c>
      <c r="C3155" s="676" t="s">
        <v>3039</v>
      </c>
      <c r="D3155" s="675" t="s">
        <v>21</v>
      </c>
      <c r="E3155" s="702"/>
      <c r="F3155" s="702"/>
      <c r="G3155" s="675"/>
      <c r="H3155" s="675"/>
      <c r="I3155" s="675"/>
      <c r="J3155" s="675"/>
      <c r="K3155" s="675"/>
      <c r="L3155" s="675"/>
      <c r="M3155" s="675"/>
    </row>
    <row r="3156" spans="1:13" x14ac:dyDescent="0.25">
      <c r="A3156" s="675" t="s">
        <v>3018</v>
      </c>
      <c r="B3156" s="675" t="s">
        <v>564</v>
      </c>
      <c r="C3156" s="676" t="s">
        <v>3040</v>
      </c>
      <c r="D3156" s="675" t="s">
        <v>21</v>
      </c>
      <c r="E3156" s="702"/>
      <c r="F3156" s="702"/>
      <c r="G3156" s="675"/>
      <c r="H3156" s="675"/>
      <c r="I3156" s="675"/>
      <c r="J3156" s="675"/>
      <c r="K3156" s="675"/>
      <c r="L3156" s="675"/>
      <c r="M3156" s="675"/>
    </row>
    <row r="3157" spans="1:13" x14ac:dyDescent="0.25">
      <c r="A3157" s="675" t="s">
        <v>3018</v>
      </c>
      <c r="B3157" s="675" t="s">
        <v>564</v>
      </c>
      <c r="C3157" s="676" t="s">
        <v>3041</v>
      </c>
      <c r="D3157" s="675" t="s">
        <v>21</v>
      </c>
      <c r="E3157" s="702"/>
      <c r="F3157" s="702"/>
      <c r="G3157" s="675"/>
      <c r="H3157" s="675"/>
      <c r="I3157" s="675"/>
      <c r="J3157" s="675"/>
      <c r="K3157" s="675"/>
      <c r="L3157" s="675"/>
      <c r="M3157" s="675"/>
    </row>
    <row r="3158" spans="1:13" x14ac:dyDescent="0.25">
      <c r="A3158" s="675" t="s">
        <v>3018</v>
      </c>
      <c r="B3158" s="675" t="s">
        <v>564</v>
      </c>
      <c r="C3158" s="676" t="s">
        <v>3042</v>
      </c>
      <c r="D3158" s="675" t="s">
        <v>21</v>
      </c>
      <c r="E3158" s="702"/>
      <c r="F3158" s="702"/>
      <c r="G3158" s="675"/>
      <c r="H3158" s="675"/>
      <c r="I3158" s="675"/>
      <c r="J3158" s="675"/>
      <c r="K3158" s="675"/>
      <c r="L3158" s="675"/>
      <c r="M3158" s="675"/>
    </row>
    <row r="3159" spans="1:13" ht="30" x14ac:dyDescent="0.25">
      <c r="A3159" s="675" t="s">
        <v>3018</v>
      </c>
      <c r="B3159" s="675" t="s">
        <v>564</v>
      </c>
      <c r="C3159" s="676" t="s">
        <v>3043</v>
      </c>
      <c r="D3159" s="675" t="s">
        <v>21</v>
      </c>
      <c r="E3159" s="702"/>
      <c r="F3159" s="702"/>
      <c r="G3159" s="675"/>
      <c r="H3159" s="675"/>
      <c r="I3159" s="675"/>
      <c r="J3159" s="675"/>
      <c r="K3159" s="675"/>
      <c r="L3159" s="675"/>
      <c r="M3159" s="675"/>
    </row>
    <row r="3160" spans="1:13" x14ac:dyDescent="0.25">
      <c r="A3160" s="675" t="s">
        <v>3018</v>
      </c>
      <c r="B3160" s="675" t="s">
        <v>512</v>
      </c>
      <c r="C3160" s="676" t="s">
        <v>3044</v>
      </c>
      <c r="D3160" s="675" t="s">
        <v>21</v>
      </c>
      <c r="E3160" s="702"/>
      <c r="F3160" s="702"/>
      <c r="G3160" s="675"/>
      <c r="H3160" s="675"/>
      <c r="I3160" s="675"/>
      <c r="J3160" s="675"/>
      <c r="K3160" s="675"/>
      <c r="L3160" s="675"/>
      <c r="M3160" s="675"/>
    </row>
    <row r="3161" spans="1:13" x14ac:dyDescent="0.25">
      <c r="A3161" s="675" t="s">
        <v>3018</v>
      </c>
      <c r="B3161" s="675" t="s">
        <v>512</v>
      </c>
      <c r="C3161" s="676" t="s">
        <v>3045</v>
      </c>
      <c r="D3161" s="675" t="s">
        <v>21</v>
      </c>
      <c r="E3161" s="702"/>
      <c r="F3161" s="702"/>
      <c r="G3161" s="675"/>
      <c r="H3161" s="675"/>
      <c r="I3161" s="675"/>
      <c r="J3161" s="675"/>
      <c r="K3161" s="675"/>
      <c r="L3161" s="675"/>
      <c r="M3161" s="675"/>
    </row>
    <row r="3162" spans="1:13" x14ac:dyDescent="0.25">
      <c r="A3162" s="675" t="s">
        <v>3018</v>
      </c>
      <c r="B3162" s="675" t="s">
        <v>512</v>
      </c>
      <c r="C3162" s="676" t="s">
        <v>3046</v>
      </c>
      <c r="D3162" s="675" t="s">
        <v>21</v>
      </c>
      <c r="E3162" s="702"/>
      <c r="F3162" s="702"/>
      <c r="G3162" s="675"/>
      <c r="H3162" s="675"/>
      <c r="I3162" s="675"/>
      <c r="J3162" s="675"/>
      <c r="K3162" s="675"/>
      <c r="L3162" s="675"/>
      <c r="M3162" s="675"/>
    </row>
    <row r="3163" spans="1:13" x14ac:dyDescent="0.25">
      <c r="A3163" s="675" t="s">
        <v>3018</v>
      </c>
      <c r="B3163" s="675" t="s">
        <v>512</v>
      </c>
      <c r="C3163" s="676" t="s">
        <v>3047</v>
      </c>
      <c r="D3163" s="675" t="s">
        <v>21</v>
      </c>
      <c r="E3163" s="702"/>
      <c r="F3163" s="702"/>
      <c r="G3163" s="675"/>
      <c r="H3163" s="675"/>
      <c r="I3163" s="675"/>
      <c r="J3163" s="675"/>
      <c r="K3163" s="675"/>
      <c r="L3163" s="675"/>
      <c r="M3163" s="675"/>
    </row>
    <row r="3164" spans="1:13" x14ac:dyDescent="0.25">
      <c r="A3164" s="675" t="s">
        <v>3018</v>
      </c>
      <c r="B3164" s="675" t="s">
        <v>512</v>
      </c>
      <c r="C3164" s="676" t="s">
        <v>3048</v>
      </c>
      <c r="D3164" s="675" t="s">
        <v>21</v>
      </c>
      <c r="E3164" s="702"/>
      <c r="F3164" s="702"/>
      <c r="G3164" s="675"/>
      <c r="H3164" s="675"/>
      <c r="I3164" s="675"/>
      <c r="J3164" s="675"/>
      <c r="K3164" s="675"/>
      <c r="L3164" s="675"/>
      <c r="M3164" s="675"/>
    </row>
    <row r="3165" spans="1:13" x14ac:dyDescent="0.25">
      <c r="A3165" s="675" t="s">
        <v>3049</v>
      </c>
      <c r="B3165" s="675" t="s">
        <v>545</v>
      </c>
      <c r="C3165" s="676" t="s">
        <v>3050</v>
      </c>
      <c r="D3165" s="675" t="s">
        <v>21</v>
      </c>
      <c r="E3165" s="702"/>
      <c r="F3165" s="702"/>
      <c r="G3165" s="675"/>
      <c r="H3165" s="675"/>
      <c r="I3165" s="675"/>
      <c r="J3165" s="675"/>
      <c r="K3165" s="675"/>
      <c r="L3165" s="675"/>
      <c r="M3165" s="675"/>
    </row>
    <row r="3166" spans="1:13" x14ac:dyDescent="0.25">
      <c r="A3166" s="675" t="s">
        <v>3049</v>
      </c>
      <c r="B3166" s="675" t="s">
        <v>545</v>
      </c>
      <c r="C3166" s="676" t="s">
        <v>3051</v>
      </c>
      <c r="D3166" s="675" t="s">
        <v>21</v>
      </c>
      <c r="E3166" s="702"/>
      <c r="F3166" s="702"/>
      <c r="G3166" s="675"/>
      <c r="H3166" s="675"/>
      <c r="I3166" s="675"/>
      <c r="J3166" s="675"/>
      <c r="K3166" s="675"/>
      <c r="L3166" s="675"/>
      <c r="M3166" s="675"/>
    </row>
    <row r="3167" spans="1:13" x14ac:dyDescent="0.25">
      <c r="A3167" s="675" t="s">
        <v>3049</v>
      </c>
      <c r="B3167" s="675" t="s">
        <v>545</v>
      </c>
      <c r="C3167" s="676" t="s">
        <v>3052</v>
      </c>
      <c r="D3167" s="675" t="s">
        <v>21</v>
      </c>
      <c r="E3167" s="702"/>
      <c r="F3167" s="702"/>
      <c r="G3167" s="675"/>
      <c r="H3167" s="675"/>
      <c r="I3167" s="675"/>
      <c r="J3167" s="675"/>
      <c r="K3167" s="675"/>
      <c r="L3167" s="675"/>
      <c r="M3167" s="675"/>
    </row>
    <row r="3168" spans="1:13" x14ac:dyDescent="0.25">
      <c r="A3168" s="675" t="s">
        <v>3049</v>
      </c>
      <c r="B3168" s="675" t="s">
        <v>545</v>
      </c>
      <c r="C3168" s="676" t="s">
        <v>3053</v>
      </c>
      <c r="D3168" s="675" t="s">
        <v>21</v>
      </c>
      <c r="E3168" s="702"/>
      <c r="F3168" s="702"/>
      <c r="G3168" s="675"/>
      <c r="H3168" s="675"/>
      <c r="I3168" s="675"/>
      <c r="J3168" s="675"/>
      <c r="K3168" s="675"/>
      <c r="L3168" s="675"/>
      <c r="M3168" s="675"/>
    </row>
    <row r="3169" spans="1:13" x14ac:dyDescent="0.25">
      <c r="A3169" s="675" t="s">
        <v>3049</v>
      </c>
      <c r="B3169" s="675" t="s">
        <v>545</v>
      </c>
      <c r="C3169" s="676" t="s">
        <v>3054</v>
      </c>
      <c r="D3169" s="675" t="s">
        <v>21</v>
      </c>
      <c r="E3169" s="702"/>
      <c r="F3169" s="702"/>
      <c r="G3169" s="675"/>
      <c r="H3169" s="675"/>
      <c r="I3169" s="675"/>
      <c r="J3169" s="675"/>
      <c r="K3169" s="675"/>
      <c r="L3169" s="675"/>
      <c r="M3169" s="675"/>
    </row>
    <row r="3170" spans="1:13" x14ac:dyDescent="0.25">
      <c r="A3170" s="675" t="s">
        <v>3049</v>
      </c>
      <c r="B3170" s="675" t="s">
        <v>564</v>
      </c>
      <c r="C3170" s="676" t="s">
        <v>3055</v>
      </c>
      <c r="D3170" s="675" t="s">
        <v>21</v>
      </c>
      <c r="E3170" s="702"/>
      <c r="F3170" s="702"/>
      <c r="G3170" s="675"/>
      <c r="H3170" s="675"/>
      <c r="I3170" s="675"/>
      <c r="J3170" s="675"/>
      <c r="K3170" s="675"/>
      <c r="L3170" s="675"/>
      <c r="M3170" s="675"/>
    </row>
    <row r="3171" spans="1:13" x14ac:dyDescent="0.25">
      <c r="A3171" s="675" t="s">
        <v>3049</v>
      </c>
      <c r="B3171" s="675" t="s">
        <v>564</v>
      </c>
      <c r="C3171" s="676" t="s">
        <v>3056</v>
      </c>
      <c r="D3171" s="675" t="s">
        <v>21</v>
      </c>
      <c r="E3171" s="702"/>
      <c r="F3171" s="702"/>
      <c r="G3171" s="675"/>
      <c r="H3171" s="675"/>
      <c r="I3171" s="675"/>
      <c r="J3171" s="675"/>
      <c r="K3171" s="675"/>
      <c r="L3171" s="675"/>
      <c r="M3171" s="675"/>
    </row>
    <row r="3172" spans="1:13" x14ac:dyDescent="0.25">
      <c r="A3172" s="675" t="s">
        <v>3049</v>
      </c>
      <c r="B3172" s="675" t="s">
        <v>564</v>
      </c>
      <c r="C3172" s="676" t="s">
        <v>3057</v>
      </c>
      <c r="D3172" s="675" t="s">
        <v>21</v>
      </c>
      <c r="E3172" s="702"/>
      <c r="F3172" s="702"/>
      <c r="G3172" s="675"/>
      <c r="H3172" s="675"/>
      <c r="I3172" s="675"/>
      <c r="J3172" s="675"/>
      <c r="K3172" s="675"/>
      <c r="L3172" s="675"/>
      <c r="M3172" s="675"/>
    </row>
    <row r="3173" spans="1:13" x14ac:dyDescent="0.25">
      <c r="A3173" s="675" t="s">
        <v>3049</v>
      </c>
      <c r="B3173" s="675" t="s">
        <v>564</v>
      </c>
      <c r="C3173" s="676" t="s">
        <v>3058</v>
      </c>
      <c r="D3173" s="675" t="s">
        <v>21</v>
      </c>
      <c r="E3173" s="702"/>
      <c r="F3173" s="702"/>
      <c r="G3173" s="675"/>
      <c r="H3173" s="675"/>
      <c r="I3173" s="675"/>
      <c r="J3173" s="675"/>
      <c r="K3173" s="675"/>
      <c r="L3173" s="675"/>
      <c r="M3173" s="675"/>
    </row>
    <row r="3174" spans="1:13" x14ac:dyDescent="0.25">
      <c r="A3174" s="675" t="s">
        <v>3049</v>
      </c>
      <c r="B3174" s="675" t="s">
        <v>564</v>
      </c>
      <c r="C3174" s="676" t="s">
        <v>3059</v>
      </c>
      <c r="D3174" s="675" t="s">
        <v>21</v>
      </c>
      <c r="E3174" s="702"/>
      <c r="F3174" s="702"/>
      <c r="G3174" s="675"/>
      <c r="H3174" s="675"/>
      <c r="I3174" s="675"/>
      <c r="J3174" s="675"/>
      <c r="K3174" s="675"/>
      <c r="L3174" s="675"/>
      <c r="M3174" s="675"/>
    </row>
    <row r="3175" spans="1:13" x14ac:dyDescent="0.25">
      <c r="A3175" s="675" t="s">
        <v>3049</v>
      </c>
      <c r="B3175" s="675" t="s">
        <v>512</v>
      </c>
      <c r="C3175" s="676" t="s">
        <v>3060</v>
      </c>
      <c r="D3175" s="675" t="s">
        <v>21</v>
      </c>
      <c r="E3175" s="702"/>
      <c r="F3175" s="702"/>
      <c r="G3175" s="675"/>
      <c r="H3175" s="675"/>
      <c r="I3175" s="675"/>
      <c r="J3175" s="675"/>
      <c r="K3175" s="675"/>
      <c r="L3175" s="675"/>
      <c r="M3175" s="675"/>
    </row>
    <row r="3176" spans="1:13" x14ac:dyDescent="0.25">
      <c r="A3176" s="675" t="s">
        <v>3049</v>
      </c>
      <c r="B3176" s="675" t="s">
        <v>512</v>
      </c>
      <c r="C3176" s="676" t="s">
        <v>3061</v>
      </c>
      <c r="D3176" s="675" t="s">
        <v>21</v>
      </c>
      <c r="E3176" s="702"/>
      <c r="F3176" s="702"/>
      <c r="G3176" s="675"/>
      <c r="H3176" s="675"/>
      <c r="I3176" s="675"/>
      <c r="J3176" s="675"/>
      <c r="K3176" s="675"/>
      <c r="L3176" s="675"/>
      <c r="M3176" s="675"/>
    </row>
    <row r="3177" spans="1:13" x14ac:dyDescent="0.25">
      <c r="A3177" s="675" t="s">
        <v>3049</v>
      </c>
      <c r="B3177" s="675" t="s">
        <v>512</v>
      </c>
      <c r="C3177" s="676" t="s">
        <v>3062</v>
      </c>
      <c r="D3177" s="675" t="s">
        <v>21</v>
      </c>
      <c r="E3177" s="702"/>
      <c r="F3177" s="702"/>
      <c r="G3177" s="675"/>
      <c r="H3177" s="675"/>
      <c r="I3177" s="675"/>
      <c r="J3177" s="675"/>
      <c r="K3177" s="675"/>
      <c r="L3177" s="675"/>
      <c r="M3177" s="675"/>
    </row>
    <row r="3178" spans="1:13" x14ac:dyDescent="0.25">
      <c r="A3178" s="675" t="s">
        <v>3049</v>
      </c>
      <c r="B3178" s="675" t="s">
        <v>512</v>
      </c>
      <c r="C3178" s="676" t="s">
        <v>3063</v>
      </c>
      <c r="D3178" s="675" t="s">
        <v>21</v>
      </c>
      <c r="E3178" s="702"/>
      <c r="F3178" s="702"/>
      <c r="G3178" s="675"/>
      <c r="H3178" s="675"/>
      <c r="I3178" s="675"/>
      <c r="J3178" s="675"/>
      <c r="K3178" s="675"/>
      <c r="L3178" s="675"/>
      <c r="M3178" s="675"/>
    </row>
    <row r="3179" spans="1:13" ht="30" x14ac:dyDescent="0.25">
      <c r="A3179" s="675" t="s">
        <v>3049</v>
      </c>
      <c r="B3179" s="675" t="s">
        <v>512</v>
      </c>
      <c r="C3179" s="676" t="s">
        <v>3064</v>
      </c>
      <c r="D3179" s="675" t="s">
        <v>21</v>
      </c>
      <c r="E3179" s="702"/>
      <c r="F3179" s="702"/>
      <c r="G3179" s="675"/>
      <c r="H3179" s="675"/>
      <c r="I3179" s="675"/>
      <c r="J3179" s="675"/>
      <c r="K3179" s="675"/>
      <c r="L3179" s="675"/>
      <c r="M3179" s="675"/>
    </row>
    <row r="3180" spans="1:13" x14ac:dyDescent="0.25">
      <c r="A3180" s="675" t="s">
        <v>3049</v>
      </c>
      <c r="B3180" s="675" t="s">
        <v>545</v>
      </c>
      <c r="C3180" s="676" t="s">
        <v>3065</v>
      </c>
      <c r="D3180" s="675" t="s">
        <v>21</v>
      </c>
      <c r="E3180" s="702"/>
      <c r="F3180" s="702"/>
      <c r="G3180" s="675"/>
      <c r="H3180" s="675"/>
      <c r="I3180" s="675"/>
      <c r="J3180" s="675"/>
      <c r="K3180" s="675"/>
      <c r="L3180" s="675"/>
      <c r="M3180" s="675"/>
    </row>
    <row r="3181" spans="1:13" x14ac:dyDescent="0.25">
      <c r="A3181" s="675" t="s">
        <v>3049</v>
      </c>
      <c r="B3181" s="675" t="s">
        <v>545</v>
      </c>
      <c r="C3181" s="676" t="s">
        <v>3066</v>
      </c>
      <c r="D3181" s="675" t="s">
        <v>21</v>
      </c>
      <c r="E3181" s="702"/>
      <c r="F3181" s="702"/>
      <c r="G3181" s="675"/>
      <c r="H3181" s="675"/>
      <c r="I3181" s="675"/>
      <c r="J3181" s="675"/>
      <c r="K3181" s="675"/>
      <c r="L3181" s="675"/>
      <c r="M3181" s="675"/>
    </row>
    <row r="3182" spans="1:13" x14ac:dyDescent="0.25">
      <c r="A3182" s="675" t="s">
        <v>3049</v>
      </c>
      <c r="B3182" s="675" t="s">
        <v>545</v>
      </c>
      <c r="C3182" s="676" t="s">
        <v>3067</v>
      </c>
      <c r="D3182" s="675" t="s">
        <v>21</v>
      </c>
      <c r="E3182" s="702"/>
      <c r="F3182" s="702"/>
      <c r="G3182" s="675"/>
      <c r="H3182" s="675"/>
      <c r="I3182" s="675"/>
      <c r="J3182" s="675"/>
      <c r="K3182" s="675"/>
      <c r="L3182" s="675"/>
      <c r="M3182" s="675"/>
    </row>
    <row r="3183" spans="1:13" x14ac:dyDescent="0.25">
      <c r="A3183" s="675" t="s">
        <v>3049</v>
      </c>
      <c r="B3183" s="675" t="s">
        <v>545</v>
      </c>
      <c r="C3183" s="676" t="s">
        <v>3068</v>
      </c>
      <c r="D3183" s="675" t="s">
        <v>21</v>
      </c>
      <c r="E3183" s="702"/>
      <c r="F3183" s="702"/>
      <c r="G3183" s="675"/>
      <c r="H3183" s="675"/>
      <c r="I3183" s="675"/>
      <c r="J3183" s="675"/>
      <c r="K3183" s="675"/>
      <c r="L3183" s="675"/>
      <c r="M3183" s="675"/>
    </row>
    <row r="3184" spans="1:13" x14ac:dyDescent="0.25">
      <c r="A3184" s="675" t="s">
        <v>3049</v>
      </c>
      <c r="B3184" s="675" t="s">
        <v>545</v>
      </c>
      <c r="C3184" s="676" t="s">
        <v>3069</v>
      </c>
      <c r="D3184" s="675" t="s">
        <v>21</v>
      </c>
      <c r="E3184" s="702"/>
      <c r="F3184" s="702"/>
      <c r="G3184" s="675"/>
      <c r="H3184" s="675"/>
      <c r="I3184" s="675"/>
      <c r="J3184" s="675"/>
      <c r="K3184" s="675"/>
      <c r="L3184" s="675"/>
      <c r="M3184" s="675"/>
    </row>
    <row r="3185" spans="1:13" x14ac:dyDescent="0.25">
      <c r="A3185" s="675" t="s">
        <v>3049</v>
      </c>
      <c r="B3185" s="675" t="s">
        <v>564</v>
      </c>
      <c r="C3185" s="676" t="s">
        <v>3070</v>
      </c>
      <c r="D3185" s="675" t="s">
        <v>21</v>
      </c>
      <c r="E3185" s="702"/>
      <c r="F3185" s="702"/>
      <c r="G3185" s="675"/>
      <c r="H3185" s="675"/>
      <c r="I3185" s="675"/>
      <c r="J3185" s="675"/>
      <c r="K3185" s="675"/>
      <c r="L3185" s="675"/>
      <c r="M3185" s="675"/>
    </row>
    <row r="3186" spans="1:13" x14ac:dyDescent="0.25">
      <c r="A3186" s="675" t="s">
        <v>3049</v>
      </c>
      <c r="B3186" s="675" t="s">
        <v>564</v>
      </c>
      <c r="C3186" s="676" t="s">
        <v>3071</v>
      </c>
      <c r="D3186" s="675" t="s">
        <v>21</v>
      </c>
      <c r="E3186" s="702"/>
      <c r="F3186" s="702"/>
      <c r="G3186" s="675"/>
      <c r="H3186" s="675"/>
      <c r="I3186" s="675"/>
      <c r="J3186" s="675"/>
      <c r="K3186" s="675"/>
      <c r="L3186" s="675"/>
      <c r="M3186" s="675"/>
    </row>
    <row r="3187" spans="1:13" x14ac:dyDescent="0.25">
      <c r="A3187" s="675" t="s">
        <v>3049</v>
      </c>
      <c r="B3187" s="675" t="s">
        <v>564</v>
      </c>
      <c r="C3187" s="676" t="s">
        <v>3072</v>
      </c>
      <c r="D3187" s="675" t="s">
        <v>21</v>
      </c>
      <c r="E3187" s="702"/>
      <c r="F3187" s="702"/>
      <c r="G3187" s="675"/>
      <c r="H3187" s="675"/>
      <c r="I3187" s="675"/>
      <c r="J3187" s="675"/>
      <c r="K3187" s="675"/>
      <c r="L3187" s="675"/>
      <c r="M3187" s="675"/>
    </row>
    <row r="3188" spans="1:13" x14ac:dyDescent="0.25">
      <c r="A3188" s="675" t="s">
        <v>3049</v>
      </c>
      <c r="B3188" s="675" t="s">
        <v>564</v>
      </c>
      <c r="C3188" s="676" t="s">
        <v>3073</v>
      </c>
      <c r="D3188" s="675" t="s">
        <v>21</v>
      </c>
      <c r="E3188" s="702"/>
      <c r="F3188" s="702"/>
      <c r="G3188" s="675"/>
      <c r="H3188" s="675"/>
      <c r="I3188" s="675"/>
      <c r="J3188" s="675"/>
      <c r="K3188" s="675"/>
      <c r="L3188" s="675"/>
      <c r="M3188" s="675"/>
    </row>
    <row r="3189" spans="1:13" x14ac:dyDescent="0.25">
      <c r="A3189" s="675" t="s">
        <v>3049</v>
      </c>
      <c r="B3189" s="675" t="s">
        <v>564</v>
      </c>
      <c r="C3189" s="676" t="s">
        <v>3074</v>
      </c>
      <c r="D3189" s="675" t="s">
        <v>21</v>
      </c>
      <c r="E3189" s="702"/>
      <c r="F3189" s="702"/>
      <c r="G3189" s="675"/>
      <c r="H3189" s="675"/>
      <c r="I3189" s="675"/>
      <c r="J3189" s="675"/>
      <c r="K3189" s="675"/>
      <c r="L3189" s="675"/>
      <c r="M3189" s="675"/>
    </row>
    <row r="3190" spans="1:13" x14ac:dyDescent="0.25">
      <c r="A3190" s="675" t="s">
        <v>3049</v>
      </c>
      <c r="B3190" s="675" t="s">
        <v>512</v>
      </c>
      <c r="C3190" s="676" t="s">
        <v>3075</v>
      </c>
      <c r="D3190" s="675" t="s">
        <v>21</v>
      </c>
      <c r="E3190" s="702"/>
      <c r="F3190" s="702"/>
      <c r="G3190" s="675"/>
      <c r="H3190" s="675"/>
      <c r="I3190" s="675"/>
      <c r="J3190" s="675"/>
      <c r="K3190" s="675"/>
      <c r="L3190" s="675"/>
      <c r="M3190" s="675"/>
    </row>
    <row r="3191" spans="1:13" x14ac:dyDescent="0.25">
      <c r="A3191" s="675" t="s">
        <v>3049</v>
      </c>
      <c r="B3191" s="675" t="s">
        <v>512</v>
      </c>
      <c r="C3191" s="676" t="s">
        <v>3076</v>
      </c>
      <c r="D3191" s="675" t="s">
        <v>21</v>
      </c>
      <c r="E3191" s="702"/>
      <c r="F3191" s="702"/>
      <c r="G3191" s="675"/>
      <c r="H3191" s="675"/>
      <c r="I3191" s="675"/>
      <c r="J3191" s="675"/>
      <c r="K3191" s="675"/>
      <c r="L3191" s="675"/>
      <c r="M3191" s="675"/>
    </row>
    <row r="3192" spans="1:13" x14ac:dyDescent="0.25">
      <c r="A3192" s="675" t="s">
        <v>3049</v>
      </c>
      <c r="B3192" s="675" t="s">
        <v>512</v>
      </c>
      <c r="C3192" s="676" t="s">
        <v>3077</v>
      </c>
      <c r="D3192" s="675" t="s">
        <v>21</v>
      </c>
      <c r="E3192" s="702"/>
      <c r="F3192" s="702"/>
      <c r="G3192" s="675"/>
      <c r="H3192" s="675"/>
      <c r="I3192" s="675"/>
      <c r="J3192" s="675"/>
      <c r="K3192" s="675"/>
      <c r="L3192" s="675"/>
      <c r="M3192" s="675"/>
    </row>
    <row r="3193" spans="1:13" x14ac:dyDescent="0.25">
      <c r="A3193" s="675" t="s">
        <v>3049</v>
      </c>
      <c r="B3193" s="675" t="s">
        <v>512</v>
      </c>
      <c r="C3193" s="676" t="s">
        <v>3078</v>
      </c>
      <c r="D3193" s="675" t="s">
        <v>21</v>
      </c>
      <c r="E3193" s="702"/>
      <c r="F3193" s="702"/>
      <c r="G3193" s="675"/>
      <c r="H3193" s="675"/>
      <c r="I3193" s="675"/>
      <c r="J3193" s="675"/>
      <c r="K3193" s="675"/>
      <c r="L3193" s="675"/>
      <c r="M3193" s="675"/>
    </row>
    <row r="3194" spans="1:13" x14ac:dyDescent="0.25">
      <c r="A3194" s="675" t="s">
        <v>3049</v>
      </c>
      <c r="B3194" s="675" t="s">
        <v>512</v>
      </c>
      <c r="C3194" s="676" t="s">
        <v>3079</v>
      </c>
      <c r="D3194" s="675" t="s">
        <v>21</v>
      </c>
      <c r="E3194" s="702"/>
      <c r="F3194" s="702"/>
      <c r="G3194" s="675"/>
      <c r="H3194" s="675"/>
      <c r="I3194" s="675"/>
      <c r="J3194" s="675"/>
      <c r="K3194" s="675"/>
      <c r="L3194" s="675"/>
      <c r="M3194" s="675"/>
    </row>
    <row r="3195" spans="1:13" x14ac:dyDescent="0.25">
      <c r="A3195" s="675" t="s">
        <v>3080</v>
      </c>
      <c r="B3195" s="675" t="s">
        <v>545</v>
      </c>
      <c r="C3195" s="676" t="s">
        <v>3081</v>
      </c>
      <c r="D3195" s="675" t="s">
        <v>21</v>
      </c>
      <c r="E3195" s="702"/>
      <c r="F3195" s="702"/>
      <c r="G3195" s="675"/>
      <c r="H3195" s="675"/>
      <c r="I3195" s="675"/>
      <c r="J3195" s="675"/>
      <c r="K3195" s="675"/>
      <c r="L3195" s="675"/>
      <c r="M3195" s="675"/>
    </row>
    <row r="3196" spans="1:13" x14ac:dyDescent="0.25">
      <c r="A3196" s="675" t="s">
        <v>3080</v>
      </c>
      <c r="B3196" s="675" t="s">
        <v>545</v>
      </c>
      <c r="C3196" s="676" t="s">
        <v>3082</v>
      </c>
      <c r="D3196" s="675" t="s">
        <v>21</v>
      </c>
      <c r="E3196" s="702"/>
      <c r="F3196" s="702"/>
      <c r="G3196" s="675"/>
      <c r="H3196" s="675"/>
      <c r="I3196" s="675"/>
      <c r="J3196" s="675"/>
      <c r="K3196" s="675"/>
      <c r="L3196" s="675"/>
      <c r="M3196" s="675"/>
    </row>
    <row r="3197" spans="1:13" ht="30" x14ac:dyDescent="0.25">
      <c r="A3197" s="675" t="s">
        <v>3080</v>
      </c>
      <c r="B3197" s="675" t="s">
        <v>545</v>
      </c>
      <c r="C3197" s="676" t="s">
        <v>3083</v>
      </c>
      <c r="D3197" s="675" t="s">
        <v>21</v>
      </c>
      <c r="E3197" s="702"/>
      <c r="F3197" s="702"/>
      <c r="G3197" s="675"/>
      <c r="H3197" s="675"/>
      <c r="I3197" s="675"/>
      <c r="J3197" s="675"/>
      <c r="K3197" s="675"/>
      <c r="L3197" s="675"/>
      <c r="M3197" s="675"/>
    </row>
    <row r="3198" spans="1:13" x14ac:dyDescent="0.25">
      <c r="A3198" s="675" t="s">
        <v>3080</v>
      </c>
      <c r="B3198" s="675" t="s">
        <v>545</v>
      </c>
      <c r="C3198" s="676" t="s">
        <v>3084</v>
      </c>
      <c r="D3198" s="675" t="s">
        <v>21</v>
      </c>
      <c r="E3198" s="702"/>
      <c r="F3198" s="702"/>
      <c r="G3198" s="675"/>
      <c r="H3198" s="675"/>
      <c r="I3198" s="675"/>
      <c r="J3198" s="675"/>
      <c r="K3198" s="675"/>
      <c r="L3198" s="675"/>
      <c r="M3198" s="675"/>
    </row>
    <row r="3199" spans="1:13" x14ac:dyDescent="0.25">
      <c r="A3199" s="675" t="s">
        <v>3080</v>
      </c>
      <c r="B3199" s="675" t="s">
        <v>545</v>
      </c>
      <c r="C3199" s="676" t="s">
        <v>3085</v>
      </c>
      <c r="D3199" s="675" t="s">
        <v>21</v>
      </c>
      <c r="E3199" s="702"/>
      <c r="F3199" s="702"/>
      <c r="G3199" s="675"/>
      <c r="H3199" s="675"/>
      <c r="I3199" s="675"/>
      <c r="J3199" s="675"/>
      <c r="K3199" s="675"/>
      <c r="L3199" s="675"/>
      <c r="M3199" s="675"/>
    </row>
    <row r="3200" spans="1:13" x14ac:dyDescent="0.25">
      <c r="A3200" s="675" t="s">
        <v>3080</v>
      </c>
      <c r="B3200" s="675" t="s">
        <v>564</v>
      </c>
      <c r="C3200" s="676" t="s">
        <v>3086</v>
      </c>
      <c r="D3200" s="675" t="s">
        <v>21</v>
      </c>
      <c r="E3200" s="702"/>
      <c r="F3200" s="702"/>
      <c r="G3200" s="675"/>
      <c r="H3200" s="675"/>
      <c r="I3200" s="675"/>
      <c r="J3200" s="675"/>
      <c r="K3200" s="675"/>
      <c r="L3200" s="675"/>
      <c r="M3200" s="675"/>
    </row>
    <row r="3201" spans="1:13" x14ac:dyDescent="0.25">
      <c r="A3201" s="675" t="s">
        <v>3080</v>
      </c>
      <c r="B3201" s="675" t="s">
        <v>564</v>
      </c>
      <c r="C3201" s="676" t="s">
        <v>3087</v>
      </c>
      <c r="D3201" s="675" t="s">
        <v>21</v>
      </c>
      <c r="E3201" s="702"/>
      <c r="F3201" s="702"/>
      <c r="G3201" s="675"/>
      <c r="H3201" s="675"/>
      <c r="I3201" s="675"/>
      <c r="J3201" s="675"/>
      <c r="K3201" s="675"/>
      <c r="L3201" s="675"/>
      <c r="M3201" s="675"/>
    </row>
    <row r="3202" spans="1:13" x14ac:dyDescent="0.25">
      <c r="A3202" s="675" t="s">
        <v>3080</v>
      </c>
      <c r="B3202" s="675" t="s">
        <v>564</v>
      </c>
      <c r="C3202" s="676" t="s">
        <v>3088</v>
      </c>
      <c r="D3202" s="675" t="s">
        <v>21</v>
      </c>
      <c r="E3202" s="702"/>
      <c r="F3202" s="702"/>
      <c r="G3202" s="675"/>
      <c r="H3202" s="675"/>
      <c r="I3202" s="675"/>
      <c r="J3202" s="675"/>
      <c r="K3202" s="675"/>
      <c r="L3202" s="675"/>
      <c r="M3202" s="675"/>
    </row>
    <row r="3203" spans="1:13" x14ac:dyDescent="0.25">
      <c r="A3203" s="675" t="s">
        <v>3080</v>
      </c>
      <c r="B3203" s="675" t="s">
        <v>564</v>
      </c>
      <c r="C3203" s="676" t="s">
        <v>3089</v>
      </c>
      <c r="D3203" s="675" t="s">
        <v>21</v>
      </c>
      <c r="E3203" s="702"/>
      <c r="F3203" s="702"/>
      <c r="G3203" s="675"/>
      <c r="H3203" s="675"/>
      <c r="I3203" s="675"/>
      <c r="J3203" s="675"/>
      <c r="K3203" s="675"/>
      <c r="L3203" s="675"/>
      <c r="M3203" s="675"/>
    </row>
    <row r="3204" spans="1:13" x14ac:dyDescent="0.25">
      <c r="A3204" s="675" t="s">
        <v>3080</v>
      </c>
      <c r="B3204" s="675" t="s">
        <v>564</v>
      </c>
      <c r="C3204" s="676" t="s">
        <v>3090</v>
      </c>
      <c r="D3204" s="675" t="s">
        <v>21</v>
      </c>
      <c r="E3204" s="702"/>
      <c r="F3204" s="702"/>
      <c r="G3204" s="675"/>
      <c r="H3204" s="675"/>
      <c r="I3204" s="675"/>
      <c r="J3204" s="675"/>
      <c r="K3204" s="675"/>
      <c r="L3204" s="675"/>
      <c r="M3204" s="675"/>
    </row>
    <row r="3205" spans="1:13" x14ac:dyDescent="0.25">
      <c r="A3205" s="675" t="s">
        <v>3080</v>
      </c>
      <c r="B3205" s="675" t="s">
        <v>512</v>
      </c>
      <c r="C3205" s="676" t="s">
        <v>3091</v>
      </c>
      <c r="D3205" s="675" t="s">
        <v>21</v>
      </c>
      <c r="E3205" s="702"/>
      <c r="F3205" s="702"/>
      <c r="G3205" s="675"/>
      <c r="H3205" s="675"/>
      <c r="I3205" s="675"/>
      <c r="J3205" s="675"/>
      <c r="K3205" s="675"/>
      <c r="L3205" s="675"/>
      <c r="M3205" s="675"/>
    </row>
    <row r="3206" spans="1:13" x14ac:dyDescent="0.25">
      <c r="A3206" s="675" t="s">
        <v>3080</v>
      </c>
      <c r="B3206" s="675" t="s">
        <v>512</v>
      </c>
      <c r="C3206" s="676" t="s">
        <v>3092</v>
      </c>
      <c r="D3206" s="675" t="s">
        <v>21</v>
      </c>
      <c r="E3206" s="702"/>
      <c r="F3206" s="702"/>
      <c r="G3206" s="675"/>
      <c r="H3206" s="675"/>
      <c r="I3206" s="675"/>
      <c r="J3206" s="675"/>
      <c r="K3206" s="675"/>
      <c r="L3206" s="675"/>
      <c r="M3206" s="675"/>
    </row>
    <row r="3207" spans="1:13" x14ac:dyDescent="0.25">
      <c r="A3207" s="675" t="s">
        <v>3080</v>
      </c>
      <c r="B3207" s="675" t="s">
        <v>512</v>
      </c>
      <c r="C3207" s="676" t="s">
        <v>3093</v>
      </c>
      <c r="D3207" s="675" t="s">
        <v>21</v>
      </c>
      <c r="E3207" s="702"/>
      <c r="F3207" s="702"/>
      <c r="G3207" s="675"/>
      <c r="H3207" s="675"/>
      <c r="I3207" s="675"/>
      <c r="J3207" s="675"/>
      <c r="K3207" s="675"/>
      <c r="L3207" s="675"/>
      <c r="M3207" s="675"/>
    </row>
    <row r="3208" spans="1:13" x14ac:dyDescent="0.25">
      <c r="A3208" s="675" t="s">
        <v>3080</v>
      </c>
      <c r="B3208" s="675" t="s">
        <v>512</v>
      </c>
      <c r="C3208" s="676" t="s">
        <v>3094</v>
      </c>
      <c r="D3208" s="675" t="s">
        <v>21</v>
      </c>
      <c r="E3208" s="702"/>
      <c r="F3208" s="702"/>
      <c r="G3208" s="675"/>
      <c r="H3208" s="675"/>
      <c r="I3208" s="675"/>
      <c r="J3208" s="675"/>
      <c r="K3208" s="675"/>
      <c r="L3208" s="675"/>
      <c r="M3208" s="675"/>
    </row>
    <row r="3209" spans="1:13" x14ac:dyDescent="0.25">
      <c r="A3209" s="675" t="s">
        <v>3080</v>
      </c>
      <c r="B3209" s="675" t="s">
        <v>512</v>
      </c>
      <c r="C3209" s="676" t="s">
        <v>3095</v>
      </c>
      <c r="D3209" s="675" t="s">
        <v>21</v>
      </c>
      <c r="E3209" s="702"/>
      <c r="F3209" s="702"/>
      <c r="G3209" s="675"/>
      <c r="H3209" s="675"/>
      <c r="I3209" s="675"/>
      <c r="J3209" s="675"/>
      <c r="K3209" s="675"/>
      <c r="L3209" s="675"/>
      <c r="M3209" s="675"/>
    </row>
    <row r="3210" spans="1:13" ht="30" x14ac:dyDescent="0.25">
      <c r="A3210" s="675" t="s">
        <v>3080</v>
      </c>
      <c r="B3210" s="675" t="s">
        <v>545</v>
      </c>
      <c r="C3210" s="676" t="s">
        <v>3096</v>
      </c>
      <c r="D3210" s="675" t="s">
        <v>21</v>
      </c>
      <c r="E3210" s="702"/>
      <c r="F3210" s="702"/>
      <c r="G3210" s="675"/>
      <c r="H3210" s="675"/>
      <c r="I3210" s="675"/>
      <c r="J3210" s="675"/>
      <c r="K3210" s="675"/>
      <c r="L3210" s="675"/>
      <c r="M3210" s="675"/>
    </row>
    <row r="3211" spans="1:13" ht="30" x14ac:dyDescent="0.25">
      <c r="A3211" s="675" t="s">
        <v>3080</v>
      </c>
      <c r="B3211" s="675" t="s">
        <v>545</v>
      </c>
      <c r="C3211" s="676" t="s">
        <v>3097</v>
      </c>
      <c r="D3211" s="675" t="s">
        <v>21</v>
      </c>
      <c r="E3211" s="702"/>
      <c r="F3211" s="702"/>
      <c r="G3211" s="675"/>
      <c r="H3211" s="675"/>
      <c r="I3211" s="675"/>
      <c r="J3211" s="675"/>
      <c r="K3211" s="675"/>
      <c r="L3211" s="675"/>
      <c r="M3211" s="675"/>
    </row>
    <row r="3212" spans="1:13" x14ac:dyDescent="0.25">
      <c r="A3212" s="675" t="s">
        <v>3080</v>
      </c>
      <c r="B3212" s="675" t="s">
        <v>545</v>
      </c>
      <c r="C3212" s="676" t="s">
        <v>3098</v>
      </c>
      <c r="D3212" s="675" t="s">
        <v>21</v>
      </c>
      <c r="E3212" s="702"/>
      <c r="F3212" s="702"/>
      <c r="G3212" s="675"/>
      <c r="H3212" s="675"/>
      <c r="I3212" s="675"/>
      <c r="J3212" s="675"/>
      <c r="K3212" s="675"/>
      <c r="L3212" s="675"/>
      <c r="M3212" s="675"/>
    </row>
    <row r="3213" spans="1:13" x14ac:dyDescent="0.25">
      <c r="A3213" s="675" t="s">
        <v>3080</v>
      </c>
      <c r="B3213" s="675" t="s">
        <v>545</v>
      </c>
      <c r="C3213" s="676" t="s">
        <v>3099</v>
      </c>
      <c r="D3213" s="675" t="s">
        <v>21</v>
      </c>
      <c r="E3213" s="702"/>
      <c r="F3213" s="702"/>
      <c r="G3213" s="675"/>
      <c r="H3213" s="675"/>
      <c r="I3213" s="675"/>
      <c r="J3213" s="675"/>
      <c r="K3213" s="675"/>
      <c r="L3213" s="675"/>
      <c r="M3213" s="675"/>
    </row>
    <row r="3214" spans="1:13" ht="30" x14ac:dyDescent="0.25">
      <c r="A3214" s="675" t="s">
        <v>3080</v>
      </c>
      <c r="B3214" s="675" t="s">
        <v>545</v>
      </c>
      <c r="C3214" s="676" t="s">
        <v>3100</v>
      </c>
      <c r="D3214" s="675" t="s">
        <v>21</v>
      </c>
      <c r="E3214" s="702"/>
      <c r="F3214" s="702"/>
      <c r="G3214" s="675"/>
      <c r="H3214" s="675"/>
      <c r="I3214" s="675"/>
      <c r="J3214" s="675"/>
      <c r="K3214" s="675"/>
      <c r="L3214" s="675"/>
      <c r="M3214" s="675"/>
    </row>
    <row r="3215" spans="1:13" x14ac:dyDescent="0.25">
      <c r="A3215" s="675" t="s">
        <v>3080</v>
      </c>
      <c r="B3215" s="675" t="s">
        <v>564</v>
      </c>
      <c r="C3215" s="676" t="s">
        <v>3101</v>
      </c>
      <c r="D3215" s="675" t="s">
        <v>21</v>
      </c>
      <c r="E3215" s="702"/>
      <c r="F3215" s="702"/>
      <c r="G3215" s="675"/>
      <c r="H3215" s="675"/>
      <c r="I3215" s="675"/>
      <c r="J3215" s="675"/>
      <c r="K3215" s="675"/>
      <c r="L3215" s="675"/>
      <c r="M3215" s="675"/>
    </row>
    <row r="3216" spans="1:13" x14ac:dyDescent="0.25">
      <c r="A3216" s="675" t="s">
        <v>3080</v>
      </c>
      <c r="B3216" s="675" t="s">
        <v>564</v>
      </c>
      <c r="C3216" s="676" t="s">
        <v>3102</v>
      </c>
      <c r="D3216" s="675" t="s">
        <v>21</v>
      </c>
      <c r="E3216" s="702"/>
      <c r="F3216" s="702"/>
      <c r="G3216" s="675"/>
      <c r="H3216" s="675"/>
      <c r="I3216" s="675"/>
      <c r="J3216" s="675"/>
      <c r="K3216" s="675"/>
      <c r="L3216" s="675"/>
      <c r="M3216" s="675"/>
    </row>
    <row r="3217" spans="1:13" x14ac:dyDescent="0.25">
      <c r="A3217" s="675" t="s">
        <v>3080</v>
      </c>
      <c r="B3217" s="675" t="s">
        <v>564</v>
      </c>
      <c r="C3217" s="676" t="s">
        <v>3103</v>
      </c>
      <c r="D3217" s="675" t="s">
        <v>21</v>
      </c>
      <c r="E3217" s="702"/>
      <c r="F3217" s="702"/>
      <c r="G3217" s="675"/>
      <c r="H3217" s="675"/>
      <c r="I3217" s="675"/>
      <c r="J3217" s="675"/>
      <c r="K3217" s="675"/>
      <c r="L3217" s="675"/>
      <c r="M3217" s="675"/>
    </row>
    <row r="3218" spans="1:13" x14ac:dyDescent="0.25">
      <c r="A3218" s="675" t="s">
        <v>3080</v>
      </c>
      <c r="B3218" s="675" t="s">
        <v>564</v>
      </c>
      <c r="C3218" s="676" t="s">
        <v>3104</v>
      </c>
      <c r="D3218" s="675" t="s">
        <v>21</v>
      </c>
      <c r="E3218" s="702"/>
      <c r="F3218" s="702"/>
      <c r="G3218" s="675"/>
      <c r="H3218" s="675"/>
      <c r="I3218" s="675"/>
      <c r="J3218" s="675"/>
      <c r="K3218" s="675"/>
      <c r="L3218" s="675"/>
      <c r="M3218" s="675"/>
    </row>
    <row r="3219" spans="1:13" x14ac:dyDescent="0.25">
      <c r="A3219" s="675" t="s">
        <v>3080</v>
      </c>
      <c r="B3219" s="675" t="s">
        <v>564</v>
      </c>
      <c r="C3219" s="676" t="s">
        <v>3105</v>
      </c>
      <c r="D3219" s="675" t="s">
        <v>21</v>
      </c>
      <c r="E3219" s="702"/>
      <c r="F3219" s="702"/>
      <c r="G3219" s="675"/>
      <c r="H3219" s="675"/>
      <c r="I3219" s="675"/>
      <c r="J3219" s="675"/>
      <c r="K3219" s="675"/>
      <c r="L3219" s="675"/>
      <c r="M3219" s="675"/>
    </row>
    <row r="3220" spans="1:13" x14ac:dyDescent="0.25">
      <c r="A3220" s="675" t="s">
        <v>3080</v>
      </c>
      <c r="B3220" s="675" t="s">
        <v>512</v>
      </c>
      <c r="C3220" s="676" t="s">
        <v>3106</v>
      </c>
      <c r="D3220" s="675" t="s">
        <v>21</v>
      </c>
      <c r="E3220" s="702"/>
      <c r="F3220" s="702"/>
      <c r="G3220" s="675"/>
      <c r="H3220" s="675"/>
      <c r="I3220" s="675"/>
      <c r="J3220" s="675"/>
      <c r="K3220" s="675"/>
      <c r="L3220" s="675"/>
      <c r="M3220" s="675"/>
    </row>
    <row r="3221" spans="1:13" x14ac:dyDescent="0.25">
      <c r="A3221" s="675" t="s">
        <v>3080</v>
      </c>
      <c r="B3221" s="675" t="s">
        <v>512</v>
      </c>
      <c r="C3221" s="676" t="s">
        <v>3107</v>
      </c>
      <c r="D3221" s="675" t="s">
        <v>21</v>
      </c>
      <c r="E3221" s="702"/>
      <c r="F3221" s="702"/>
      <c r="G3221" s="675"/>
      <c r="H3221" s="675"/>
      <c r="I3221" s="675"/>
      <c r="J3221" s="675"/>
      <c r="K3221" s="675"/>
      <c r="L3221" s="675"/>
      <c r="M3221" s="675"/>
    </row>
    <row r="3222" spans="1:13" x14ac:dyDescent="0.25">
      <c r="A3222" s="675" t="s">
        <v>3080</v>
      </c>
      <c r="B3222" s="675" t="s">
        <v>512</v>
      </c>
      <c r="C3222" s="676" t="s">
        <v>3108</v>
      </c>
      <c r="D3222" s="675" t="s">
        <v>21</v>
      </c>
      <c r="E3222" s="702"/>
      <c r="F3222" s="702"/>
      <c r="G3222" s="675"/>
      <c r="H3222" s="675"/>
      <c r="I3222" s="675"/>
      <c r="J3222" s="675"/>
      <c r="K3222" s="675"/>
      <c r="L3222" s="675"/>
      <c r="M3222" s="675"/>
    </row>
    <row r="3223" spans="1:13" x14ac:dyDescent="0.25">
      <c r="A3223" s="675" t="s">
        <v>3080</v>
      </c>
      <c r="B3223" s="675" t="s">
        <v>512</v>
      </c>
      <c r="C3223" s="676" t="s">
        <v>3109</v>
      </c>
      <c r="D3223" s="675" t="s">
        <v>21</v>
      </c>
      <c r="E3223" s="702"/>
      <c r="F3223" s="702"/>
      <c r="G3223" s="675"/>
      <c r="H3223" s="675"/>
      <c r="I3223" s="675"/>
      <c r="J3223" s="675"/>
      <c r="K3223" s="675"/>
      <c r="L3223" s="675"/>
      <c r="M3223" s="675"/>
    </row>
    <row r="3224" spans="1:13" x14ac:dyDescent="0.25">
      <c r="A3224" s="675" t="s">
        <v>3080</v>
      </c>
      <c r="B3224" s="675" t="s">
        <v>512</v>
      </c>
      <c r="C3224" s="676" t="s">
        <v>3110</v>
      </c>
      <c r="D3224" s="675" t="s">
        <v>21</v>
      </c>
      <c r="E3224" s="702"/>
      <c r="F3224" s="702"/>
      <c r="G3224" s="675"/>
      <c r="H3224" s="675"/>
      <c r="I3224" s="675"/>
      <c r="J3224" s="675"/>
      <c r="K3224" s="675"/>
      <c r="L3224" s="675"/>
      <c r="M3224" s="675"/>
    </row>
    <row r="3225" spans="1:13" ht="30" x14ac:dyDescent="0.25">
      <c r="A3225" s="675" t="s">
        <v>3111</v>
      </c>
      <c r="B3225" s="675" t="s">
        <v>545</v>
      </c>
      <c r="C3225" s="676" t="s">
        <v>3112</v>
      </c>
      <c r="D3225" s="675" t="s">
        <v>21</v>
      </c>
      <c r="E3225" s="702"/>
      <c r="F3225" s="702"/>
      <c r="G3225" s="675"/>
      <c r="H3225" s="675"/>
      <c r="I3225" s="675"/>
      <c r="J3225" s="675"/>
      <c r="K3225" s="675"/>
      <c r="L3225" s="675"/>
      <c r="M3225" s="675"/>
    </row>
    <row r="3226" spans="1:13" ht="30" x14ac:dyDescent="0.25">
      <c r="A3226" s="675" t="s">
        <v>3111</v>
      </c>
      <c r="B3226" s="675" t="s">
        <v>545</v>
      </c>
      <c r="C3226" s="676" t="s">
        <v>3113</v>
      </c>
      <c r="D3226" s="675" t="s">
        <v>21</v>
      </c>
      <c r="E3226" s="702"/>
      <c r="F3226" s="702"/>
      <c r="G3226" s="675"/>
      <c r="H3226" s="675"/>
      <c r="I3226" s="675"/>
      <c r="J3226" s="675"/>
      <c r="K3226" s="675"/>
      <c r="L3226" s="675"/>
      <c r="M3226" s="675"/>
    </row>
    <row r="3227" spans="1:13" ht="30" x14ac:dyDescent="0.25">
      <c r="A3227" s="675" t="s">
        <v>3111</v>
      </c>
      <c r="B3227" s="675" t="s">
        <v>545</v>
      </c>
      <c r="C3227" s="676" t="s">
        <v>3114</v>
      </c>
      <c r="D3227" s="675" t="s">
        <v>21</v>
      </c>
      <c r="E3227" s="702"/>
      <c r="F3227" s="702"/>
      <c r="G3227" s="675"/>
      <c r="H3227" s="675"/>
      <c r="I3227" s="675"/>
      <c r="J3227" s="675"/>
      <c r="K3227" s="675"/>
      <c r="L3227" s="675"/>
      <c r="M3227" s="675"/>
    </row>
    <row r="3228" spans="1:13" ht="30" x14ac:dyDescent="0.25">
      <c r="A3228" s="675" t="s">
        <v>3111</v>
      </c>
      <c r="B3228" s="675" t="s">
        <v>545</v>
      </c>
      <c r="C3228" s="676" t="s">
        <v>3115</v>
      </c>
      <c r="D3228" s="675" t="s">
        <v>21</v>
      </c>
      <c r="E3228" s="702"/>
      <c r="F3228" s="702"/>
      <c r="G3228" s="675"/>
      <c r="H3228" s="675"/>
      <c r="I3228" s="675"/>
      <c r="J3228" s="675"/>
      <c r="K3228" s="675"/>
      <c r="L3228" s="675"/>
      <c r="M3228" s="675"/>
    </row>
    <row r="3229" spans="1:13" ht="30" x14ac:dyDescent="0.25">
      <c r="A3229" s="675" t="s">
        <v>3111</v>
      </c>
      <c r="B3229" s="675" t="s">
        <v>545</v>
      </c>
      <c r="C3229" s="676" t="s">
        <v>3116</v>
      </c>
      <c r="D3229" s="675" t="s">
        <v>21</v>
      </c>
      <c r="E3229" s="702"/>
      <c r="F3229" s="702"/>
      <c r="G3229" s="675"/>
      <c r="H3229" s="675"/>
      <c r="I3229" s="675"/>
      <c r="J3229" s="675"/>
      <c r="K3229" s="675"/>
      <c r="L3229" s="675"/>
      <c r="M3229" s="675"/>
    </row>
    <row r="3230" spans="1:13" ht="30" x14ac:dyDescent="0.25">
      <c r="A3230" s="675" t="s">
        <v>3111</v>
      </c>
      <c r="B3230" s="675" t="s">
        <v>564</v>
      </c>
      <c r="C3230" s="676" t="s">
        <v>3117</v>
      </c>
      <c r="D3230" s="675" t="s">
        <v>21</v>
      </c>
      <c r="E3230" s="702"/>
      <c r="F3230" s="702"/>
      <c r="G3230" s="675"/>
      <c r="H3230" s="675"/>
      <c r="I3230" s="675"/>
      <c r="J3230" s="675"/>
      <c r="K3230" s="675"/>
      <c r="L3230" s="675"/>
      <c r="M3230" s="675"/>
    </row>
    <row r="3231" spans="1:13" x14ac:dyDescent="0.25">
      <c r="A3231" s="675" t="s">
        <v>3111</v>
      </c>
      <c r="B3231" s="675" t="s">
        <v>564</v>
      </c>
      <c r="C3231" s="676" t="s">
        <v>3118</v>
      </c>
      <c r="D3231" s="675" t="s">
        <v>21</v>
      </c>
      <c r="E3231" s="702"/>
      <c r="F3231" s="702"/>
      <c r="G3231" s="675"/>
      <c r="H3231" s="675"/>
      <c r="I3231" s="675"/>
      <c r="J3231" s="675"/>
      <c r="K3231" s="675"/>
      <c r="L3231" s="675"/>
      <c r="M3231" s="675"/>
    </row>
    <row r="3232" spans="1:13" ht="30" x14ac:dyDescent="0.25">
      <c r="A3232" s="675" t="s">
        <v>3111</v>
      </c>
      <c r="B3232" s="675" t="s">
        <v>564</v>
      </c>
      <c r="C3232" s="676" t="s">
        <v>3119</v>
      </c>
      <c r="D3232" s="675" t="s">
        <v>21</v>
      </c>
      <c r="E3232" s="702"/>
      <c r="F3232" s="702"/>
      <c r="G3232" s="675"/>
      <c r="H3232" s="675"/>
      <c r="I3232" s="675"/>
      <c r="J3232" s="675"/>
      <c r="K3232" s="675"/>
      <c r="L3232" s="675"/>
      <c r="M3232" s="675"/>
    </row>
    <row r="3233" spans="1:13" ht="30" x14ac:dyDescent="0.25">
      <c r="A3233" s="675" t="s">
        <v>3111</v>
      </c>
      <c r="B3233" s="675" t="s">
        <v>564</v>
      </c>
      <c r="C3233" s="676" t="s">
        <v>3120</v>
      </c>
      <c r="D3233" s="675" t="s">
        <v>21</v>
      </c>
      <c r="E3233" s="702"/>
      <c r="F3233" s="702"/>
      <c r="G3233" s="675"/>
      <c r="H3233" s="675"/>
      <c r="I3233" s="675"/>
      <c r="J3233" s="675"/>
      <c r="K3233" s="675"/>
      <c r="L3233" s="675"/>
      <c r="M3233" s="675"/>
    </row>
    <row r="3234" spans="1:13" ht="30" x14ac:dyDescent="0.25">
      <c r="A3234" s="675" t="s">
        <v>3111</v>
      </c>
      <c r="B3234" s="675" t="s">
        <v>564</v>
      </c>
      <c r="C3234" s="676" t="s">
        <v>3121</v>
      </c>
      <c r="D3234" s="675" t="s">
        <v>21</v>
      </c>
      <c r="E3234" s="702"/>
      <c r="F3234" s="702"/>
      <c r="G3234" s="675"/>
      <c r="H3234" s="675"/>
      <c r="I3234" s="675"/>
      <c r="J3234" s="675"/>
      <c r="K3234" s="675"/>
      <c r="L3234" s="675"/>
      <c r="M3234" s="675"/>
    </row>
    <row r="3235" spans="1:13" ht="30" x14ac:dyDescent="0.25">
      <c r="A3235" s="675" t="s">
        <v>3111</v>
      </c>
      <c r="B3235" s="675" t="s">
        <v>512</v>
      </c>
      <c r="C3235" s="676" t="s">
        <v>3122</v>
      </c>
      <c r="D3235" s="675" t="s">
        <v>21</v>
      </c>
      <c r="E3235" s="702"/>
      <c r="F3235" s="702"/>
      <c r="G3235" s="675"/>
      <c r="H3235" s="675"/>
      <c r="I3235" s="675"/>
      <c r="J3235" s="675"/>
      <c r="K3235" s="675"/>
      <c r="L3235" s="675"/>
      <c r="M3235" s="675"/>
    </row>
    <row r="3236" spans="1:13" ht="30" x14ac:dyDescent="0.25">
      <c r="A3236" s="675" t="s">
        <v>3111</v>
      </c>
      <c r="B3236" s="675" t="s">
        <v>512</v>
      </c>
      <c r="C3236" s="676" t="s">
        <v>3123</v>
      </c>
      <c r="D3236" s="675" t="s">
        <v>21</v>
      </c>
      <c r="E3236" s="702"/>
      <c r="F3236" s="702"/>
      <c r="G3236" s="675"/>
      <c r="H3236" s="675"/>
      <c r="I3236" s="675"/>
      <c r="J3236" s="675"/>
      <c r="K3236" s="675"/>
      <c r="L3236" s="675"/>
      <c r="M3236" s="675"/>
    </row>
    <row r="3237" spans="1:13" ht="30" x14ac:dyDescent="0.25">
      <c r="A3237" s="675" t="s">
        <v>3111</v>
      </c>
      <c r="B3237" s="675" t="s">
        <v>512</v>
      </c>
      <c r="C3237" s="676" t="s">
        <v>3124</v>
      </c>
      <c r="D3237" s="675" t="s">
        <v>21</v>
      </c>
      <c r="E3237" s="702"/>
      <c r="F3237" s="702"/>
      <c r="G3237" s="675"/>
      <c r="H3237" s="675"/>
      <c r="I3237" s="675"/>
      <c r="J3237" s="675"/>
      <c r="K3237" s="675"/>
      <c r="L3237" s="675"/>
      <c r="M3237" s="675"/>
    </row>
    <row r="3238" spans="1:13" ht="30" x14ac:dyDescent="0.25">
      <c r="A3238" s="675" t="s">
        <v>3111</v>
      </c>
      <c r="B3238" s="675" t="s">
        <v>512</v>
      </c>
      <c r="C3238" s="676" t="s">
        <v>3125</v>
      </c>
      <c r="D3238" s="675" t="s">
        <v>21</v>
      </c>
      <c r="E3238" s="702"/>
      <c r="F3238" s="702"/>
      <c r="G3238" s="675"/>
      <c r="H3238" s="675"/>
      <c r="I3238" s="675"/>
      <c r="J3238" s="675"/>
      <c r="K3238" s="675"/>
      <c r="L3238" s="675"/>
      <c r="M3238" s="675"/>
    </row>
    <row r="3239" spans="1:13" ht="30" x14ac:dyDescent="0.25">
      <c r="A3239" s="675" t="s">
        <v>3111</v>
      </c>
      <c r="B3239" s="675" t="s">
        <v>512</v>
      </c>
      <c r="C3239" s="676" t="s">
        <v>3126</v>
      </c>
      <c r="D3239" s="675" t="s">
        <v>21</v>
      </c>
      <c r="E3239" s="702"/>
      <c r="F3239" s="702"/>
      <c r="G3239" s="675"/>
      <c r="H3239" s="675"/>
      <c r="I3239" s="675"/>
      <c r="J3239" s="675"/>
      <c r="K3239" s="675"/>
      <c r="L3239" s="675"/>
      <c r="M3239" s="675"/>
    </row>
    <row r="3240" spans="1:13" ht="30" x14ac:dyDescent="0.25">
      <c r="A3240" s="675" t="s">
        <v>3111</v>
      </c>
      <c r="B3240" s="675" t="s">
        <v>545</v>
      </c>
      <c r="C3240" s="676" t="s">
        <v>3127</v>
      </c>
      <c r="D3240" s="675" t="s">
        <v>21</v>
      </c>
      <c r="E3240" s="702"/>
      <c r="F3240" s="702"/>
      <c r="G3240" s="675"/>
      <c r="H3240" s="675"/>
      <c r="I3240" s="675"/>
      <c r="J3240" s="675"/>
      <c r="K3240" s="675"/>
      <c r="L3240" s="675"/>
      <c r="M3240" s="675"/>
    </row>
    <row r="3241" spans="1:13" ht="30" x14ac:dyDescent="0.25">
      <c r="A3241" s="675" t="s">
        <v>3111</v>
      </c>
      <c r="B3241" s="675" t="s">
        <v>545</v>
      </c>
      <c r="C3241" s="676" t="s">
        <v>3128</v>
      </c>
      <c r="D3241" s="675" t="s">
        <v>21</v>
      </c>
      <c r="E3241" s="702"/>
      <c r="F3241" s="702"/>
      <c r="G3241" s="675"/>
      <c r="H3241" s="675"/>
      <c r="I3241" s="675"/>
      <c r="J3241" s="675"/>
      <c r="K3241" s="675"/>
      <c r="L3241" s="675"/>
      <c r="M3241" s="675"/>
    </row>
    <row r="3242" spans="1:13" ht="30" x14ac:dyDescent="0.25">
      <c r="A3242" s="675" t="s">
        <v>3111</v>
      </c>
      <c r="B3242" s="675" t="s">
        <v>545</v>
      </c>
      <c r="C3242" s="676" t="s">
        <v>3129</v>
      </c>
      <c r="D3242" s="675" t="s">
        <v>21</v>
      </c>
      <c r="E3242" s="702"/>
      <c r="F3242" s="702"/>
      <c r="G3242" s="675"/>
      <c r="H3242" s="675"/>
      <c r="I3242" s="675"/>
      <c r="J3242" s="675"/>
      <c r="K3242" s="675"/>
      <c r="L3242" s="675"/>
      <c r="M3242" s="675"/>
    </row>
    <row r="3243" spans="1:13" ht="30" x14ac:dyDescent="0.25">
      <c r="A3243" s="675" t="s">
        <v>3111</v>
      </c>
      <c r="B3243" s="675" t="s">
        <v>545</v>
      </c>
      <c r="C3243" s="676" t="s">
        <v>3130</v>
      </c>
      <c r="D3243" s="675" t="s">
        <v>21</v>
      </c>
      <c r="E3243" s="702"/>
      <c r="F3243" s="702"/>
      <c r="G3243" s="675"/>
      <c r="H3243" s="675"/>
      <c r="I3243" s="675"/>
      <c r="J3243" s="675"/>
      <c r="K3243" s="675"/>
      <c r="L3243" s="675"/>
      <c r="M3243" s="675"/>
    </row>
    <row r="3244" spans="1:13" ht="30" x14ac:dyDescent="0.25">
      <c r="A3244" s="675" t="s">
        <v>3111</v>
      </c>
      <c r="B3244" s="675" t="s">
        <v>545</v>
      </c>
      <c r="C3244" s="676" t="s">
        <v>3131</v>
      </c>
      <c r="D3244" s="675" t="s">
        <v>21</v>
      </c>
      <c r="E3244" s="702"/>
      <c r="F3244" s="702"/>
      <c r="G3244" s="675"/>
      <c r="H3244" s="675"/>
      <c r="I3244" s="675"/>
      <c r="J3244" s="675"/>
      <c r="K3244" s="675"/>
      <c r="L3244" s="675"/>
      <c r="M3244" s="675"/>
    </row>
    <row r="3245" spans="1:13" ht="30" x14ac:dyDescent="0.25">
      <c r="A3245" s="675" t="s">
        <v>3111</v>
      </c>
      <c r="B3245" s="675" t="s">
        <v>564</v>
      </c>
      <c r="C3245" s="676" t="s">
        <v>3132</v>
      </c>
      <c r="D3245" s="675" t="s">
        <v>21</v>
      </c>
      <c r="E3245" s="702"/>
      <c r="F3245" s="702"/>
      <c r="G3245" s="675"/>
      <c r="H3245" s="675"/>
      <c r="I3245" s="675"/>
      <c r="J3245" s="675"/>
      <c r="K3245" s="675"/>
      <c r="L3245" s="675"/>
      <c r="M3245" s="675"/>
    </row>
    <row r="3246" spans="1:13" ht="30" x14ac:dyDescent="0.25">
      <c r="A3246" s="675" t="s">
        <v>3111</v>
      </c>
      <c r="B3246" s="675" t="s">
        <v>564</v>
      </c>
      <c r="C3246" s="676" t="s">
        <v>3133</v>
      </c>
      <c r="D3246" s="675" t="s">
        <v>21</v>
      </c>
      <c r="E3246" s="702"/>
      <c r="F3246" s="702"/>
      <c r="G3246" s="675"/>
      <c r="H3246" s="675"/>
      <c r="I3246" s="675"/>
      <c r="J3246" s="675"/>
      <c r="K3246" s="675"/>
      <c r="L3246" s="675"/>
      <c r="M3246" s="675"/>
    </row>
    <row r="3247" spans="1:13" ht="30" x14ac:dyDescent="0.25">
      <c r="A3247" s="675" t="s">
        <v>3111</v>
      </c>
      <c r="B3247" s="675" t="s">
        <v>564</v>
      </c>
      <c r="C3247" s="676" t="s">
        <v>3134</v>
      </c>
      <c r="D3247" s="675" t="s">
        <v>21</v>
      </c>
      <c r="E3247" s="702"/>
      <c r="F3247" s="702"/>
      <c r="G3247" s="675"/>
      <c r="H3247" s="675"/>
      <c r="I3247" s="675"/>
      <c r="J3247" s="675"/>
      <c r="K3247" s="675"/>
      <c r="L3247" s="675"/>
      <c r="M3247" s="675"/>
    </row>
    <row r="3248" spans="1:13" ht="30" x14ac:dyDescent="0.25">
      <c r="A3248" s="675" t="s">
        <v>3111</v>
      </c>
      <c r="B3248" s="675" t="s">
        <v>564</v>
      </c>
      <c r="C3248" s="676" t="s">
        <v>3135</v>
      </c>
      <c r="D3248" s="675" t="s">
        <v>21</v>
      </c>
      <c r="E3248" s="702"/>
      <c r="F3248" s="702"/>
      <c r="G3248" s="675"/>
      <c r="H3248" s="675"/>
      <c r="I3248" s="675"/>
      <c r="J3248" s="675"/>
      <c r="K3248" s="675"/>
      <c r="L3248" s="675"/>
      <c r="M3248" s="675"/>
    </row>
    <row r="3249" spans="1:13" ht="30" x14ac:dyDescent="0.25">
      <c r="A3249" s="675" t="s">
        <v>3111</v>
      </c>
      <c r="B3249" s="675" t="s">
        <v>564</v>
      </c>
      <c r="C3249" s="676" t="s">
        <v>3136</v>
      </c>
      <c r="D3249" s="675" t="s">
        <v>21</v>
      </c>
      <c r="E3249" s="702"/>
      <c r="F3249" s="702"/>
      <c r="G3249" s="675"/>
      <c r="H3249" s="675"/>
      <c r="I3249" s="675"/>
      <c r="J3249" s="675"/>
      <c r="K3249" s="675"/>
      <c r="L3249" s="675"/>
      <c r="M3249" s="675"/>
    </row>
    <row r="3250" spans="1:13" ht="30" x14ac:dyDescent="0.25">
      <c r="A3250" s="675" t="s">
        <v>3111</v>
      </c>
      <c r="B3250" s="675" t="s">
        <v>512</v>
      </c>
      <c r="C3250" s="676" t="s">
        <v>3137</v>
      </c>
      <c r="D3250" s="675" t="s">
        <v>21</v>
      </c>
      <c r="E3250" s="702"/>
      <c r="F3250" s="702"/>
      <c r="G3250" s="675"/>
      <c r="H3250" s="675"/>
      <c r="I3250" s="675"/>
      <c r="J3250" s="675"/>
      <c r="K3250" s="675"/>
      <c r="L3250" s="675"/>
      <c r="M3250" s="675"/>
    </row>
    <row r="3251" spans="1:13" ht="30" x14ac:dyDescent="0.25">
      <c r="A3251" s="675" t="s">
        <v>3111</v>
      </c>
      <c r="B3251" s="675" t="s">
        <v>512</v>
      </c>
      <c r="C3251" s="676" t="s">
        <v>3138</v>
      </c>
      <c r="D3251" s="675" t="s">
        <v>21</v>
      </c>
      <c r="E3251" s="702"/>
      <c r="F3251" s="702"/>
      <c r="G3251" s="675"/>
      <c r="H3251" s="675"/>
      <c r="I3251" s="675"/>
      <c r="J3251" s="675"/>
      <c r="K3251" s="675"/>
      <c r="L3251" s="675"/>
      <c r="M3251" s="675"/>
    </row>
    <row r="3252" spans="1:13" ht="30" x14ac:dyDescent="0.25">
      <c r="A3252" s="675" t="s">
        <v>3111</v>
      </c>
      <c r="B3252" s="675" t="s">
        <v>512</v>
      </c>
      <c r="C3252" s="676" t="s">
        <v>3139</v>
      </c>
      <c r="D3252" s="675" t="s">
        <v>21</v>
      </c>
      <c r="E3252" s="702"/>
      <c r="F3252" s="702"/>
      <c r="G3252" s="675"/>
      <c r="H3252" s="675"/>
      <c r="I3252" s="675"/>
      <c r="J3252" s="675"/>
      <c r="K3252" s="675"/>
      <c r="L3252" s="675"/>
      <c r="M3252" s="675"/>
    </row>
    <row r="3253" spans="1:13" ht="30" x14ac:dyDescent="0.25">
      <c r="A3253" s="675" t="s">
        <v>3111</v>
      </c>
      <c r="B3253" s="675" t="s">
        <v>512</v>
      </c>
      <c r="C3253" s="676" t="s">
        <v>3140</v>
      </c>
      <c r="D3253" s="675" t="s">
        <v>21</v>
      </c>
      <c r="E3253" s="702"/>
      <c r="F3253" s="702"/>
      <c r="G3253" s="675"/>
      <c r="H3253" s="675"/>
      <c r="I3253" s="675"/>
      <c r="J3253" s="675"/>
      <c r="K3253" s="675"/>
      <c r="L3253" s="675"/>
      <c r="M3253" s="675"/>
    </row>
    <row r="3254" spans="1:13" ht="30" x14ac:dyDescent="0.25">
      <c r="A3254" s="675" t="s">
        <v>3111</v>
      </c>
      <c r="B3254" s="675" t="s">
        <v>512</v>
      </c>
      <c r="C3254" s="676" t="s">
        <v>3141</v>
      </c>
      <c r="D3254" s="675" t="s">
        <v>21</v>
      </c>
      <c r="E3254" s="702"/>
      <c r="F3254" s="702"/>
      <c r="G3254" s="675"/>
      <c r="H3254" s="675"/>
      <c r="I3254" s="675"/>
      <c r="J3254" s="675"/>
      <c r="K3254" s="675"/>
      <c r="L3254" s="675"/>
      <c r="M3254" s="675"/>
    </row>
    <row r="3255" spans="1:13" ht="30" x14ac:dyDescent="0.25">
      <c r="A3255" s="675" t="s">
        <v>2028</v>
      </c>
      <c r="B3255" s="675" t="s">
        <v>545</v>
      </c>
      <c r="C3255" s="676" t="s">
        <v>3142</v>
      </c>
      <c r="D3255" s="675"/>
      <c r="E3255" s="702"/>
      <c r="F3255" s="702"/>
      <c r="G3255" s="675"/>
      <c r="H3255" s="675"/>
      <c r="I3255" s="675"/>
      <c r="J3255" s="675"/>
      <c r="K3255" s="675"/>
      <c r="L3255" s="675"/>
      <c r="M3255" s="675"/>
    </row>
    <row r="3256" spans="1:13" ht="30" x14ac:dyDescent="0.25">
      <c r="A3256" s="675" t="s">
        <v>2028</v>
      </c>
      <c r="B3256" s="675" t="s">
        <v>545</v>
      </c>
      <c r="C3256" s="676" t="s">
        <v>3143</v>
      </c>
      <c r="D3256" s="675"/>
      <c r="E3256" s="702"/>
      <c r="F3256" s="702"/>
      <c r="G3256" s="675"/>
      <c r="H3256" s="675"/>
      <c r="I3256" s="675"/>
      <c r="J3256" s="675"/>
      <c r="K3256" s="675"/>
      <c r="L3256" s="675"/>
      <c r="M3256" s="675"/>
    </row>
    <row r="3257" spans="1:13" ht="30" x14ac:dyDescent="0.25">
      <c r="A3257" s="675" t="s">
        <v>2028</v>
      </c>
      <c r="B3257" s="675" t="s">
        <v>545</v>
      </c>
      <c r="C3257" s="676" t="s">
        <v>3144</v>
      </c>
      <c r="D3257" s="675"/>
      <c r="E3257" s="702"/>
      <c r="F3257" s="702"/>
      <c r="G3257" s="675"/>
      <c r="H3257" s="675"/>
      <c r="I3257" s="675"/>
      <c r="J3257" s="675"/>
      <c r="K3257" s="675"/>
      <c r="L3257" s="675"/>
      <c r="M3257" s="675"/>
    </row>
    <row r="3258" spans="1:13" ht="30" x14ac:dyDescent="0.25">
      <c r="A3258" s="675" t="s">
        <v>2028</v>
      </c>
      <c r="B3258" s="675" t="s">
        <v>545</v>
      </c>
      <c r="C3258" s="676" t="s">
        <v>3145</v>
      </c>
      <c r="D3258" s="675"/>
      <c r="E3258" s="702"/>
      <c r="F3258" s="702"/>
      <c r="G3258" s="675"/>
      <c r="H3258" s="675"/>
      <c r="I3258" s="675"/>
      <c r="J3258" s="675"/>
      <c r="K3258" s="675"/>
      <c r="L3258" s="675"/>
      <c r="M3258" s="675"/>
    </row>
    <row r="3259" spans="1:13" ht="30" x14ac:dyDescent="0.25">
      <c r="A3259" s="675" t="s">
        <v>2028</v>
      </c>
      <c r="B3259" s="675" t="s">
        <v>545</v>
      </c>
      <c r="C3259" s="676" t="s">
        <v>3146</v>
      </c>
      <c r="D3259" s="675"/>
      <c r="E3259" s="702"/>
      <c r="F3259" s="702"/>
      <c r="G3259" s="675"/>
      <c r="H3259" s="675"/>
      <c r="I3259" s="675"/>
      <c r="J3259" s="675"/>
      <c r="K3259" s="675"/>
      <c r="L3259" s="675"/>
      <c r="M3259" s="675"/>
    </row>
    <row r="3260" spans="1:13" ht="30" x14ac:dyDescent="0.25">
      <c r="A3260" s="675" t="s">
        <v>2028</v>
      </c>
      <c r="B3260" s="675" t="s">
        <v>564</v>
      </c>
      <c r="C3260" s="676" t="s">
        <v>3147</v>
      </c>
      <c r="D3260" s="675"/>
      <c r="E3260" s="702"/>
      <c r="F3260" s="702"/>
      <c r="G3260" s="675"/>
      <c r="H3260" s="675"/>
      <c r="I3260" s="675"/>
      <c r="J3260" s="675"/>
      <c r="K3260" s="675"/>
      <c r="L3260" s="675"/>
      <c r="M3260" s="675"/>
    </row>
    <row r="3261" spans="1:13" ht="30" x14ac:dyDescent="0.25">
      <c r="A3261" s="675" t="s">
        <v>2028</v>
      </c>
      <c r="B3261" s="675" t="s">
        <v>564</v>
      </c>
      <c r="C3261" s="676" t="s">
        <v>3148</v>
      </c>
      <c r="D3261" s="675"/>
      <c r="E3261" s="702"/>
      <c r="F3261" s="702"/>
      <c r="G3261" s="675"/>
      <c r="H3261" s="675"/>
      <c r="I3261" s="675"/>
      <c r="J3261" s="675"/>
      <c r="K3261" s="675"/>
      <c r="L3261" s="675"/>
      <c r="M3261" s="675"/>
    </row>
    <row r="3262" spans="1:13" ht="30" x14ac:dyDescent="0.25">
      <c r="A3262" s="675" t="s">
        <v>2028</v>
      </c>
      <c r="B3262" s="675" t="s">
        <v>564</v>
      </c>
      <c r="C3262" s="676" t="s">
        <v>3149</v>
      </c>
      <c r="D3262" s="675"/>
      <c r="E3262" s="702"/>
      <c r="F3262" s="702"/>
      <c r="G3262" s="675"/>
      <c r="H3262" s="675"/>
      <c r="I3262" s="675"/>
      <c r="J3262" s="675"/>
      <c r="K3262" s="675"/>
      <c r="L3262" s="675"/>
      <c r="M3262" s="675"/>
    </row>
    <row r="3263" spans="1:13" ht="30" x14ac:dyDescent="0.25">
      <c r="A3263" s="675" t="s">
        <v>2028</v>
      </c>
      <c r="B3263" s="675" t="s">
        <v>564</v>
      </c>
      <c r="C3263" s="676" t="s">
        <v>3150</v>
      </c>
      <c r="D3263" s="675"/>
      <c r="E3263" s="702"/>
      <c r="F3263" s="702"/>
      <c r="G3263" s="675"/>
      <c r="H3263" s="675"/>
      <c r="I3263" s="675"/>
      <c r="J3263" s="675"/>
      <c r="K3263" s="675"/>
      <c r="L3263" s="675"/>
      <c r="M3263" s="675"/>
    </row>
    <row r="3264" spans="1:13" ht="30" x14ac:dyDescent="0.25">
      <c r="A3264" s="675" t="s">
        <v>2028</v>
      </c>
      <c r="B3264" s="675" t="s">
        <v>564</v>
      </c>
      <c r="C3264" s="676" t="s">
        <v>3151</v>
      </c>
      <c r="D3264" s="675"/>
      <c r="E3264" s="702"/>
      <c r="F3264" s="702"/>
      <c r="G3264" s="675"/>
      <c r="H3264" s="675"/>
      <c r="I3264" s="675"/>
      <c r="J3264" s="675"/>
      <c r="K3264" s="675"/>
      <c r="L3264" s="675"/>
      <c r="M3264" s="675"/>
    </row>
    <row r="3265" spans="1:13" ht="30" x14ac:dyDescent="0.25">
      <c r="A3265" s="675" t="s">
        <v>2028</v>
      </c>
      <c r="B3265" s="675" t="s">
        <v>512</v>
      </c>
      <c r="C3265" s="676" t="s">
        <v>3152</v>
      </c>
      <c r="D3265" s="675"/>
      <c r="E3265" s="702"/>
      <c r="F3265" s="702"/>
      <c r="G3265" s="675"/>
      <c r="H3265" s="675"/>
      <c r="I3265" s="675"/>
      <c r="J3265" s="675"/>
      <c r="K3265" s="675"/>
      <c r="L3265" s="675"/>
      <c r="M3265" s="675"/>
    </row>
    <row r="3266" spans="1:13" ht="30" x14ac:dyDescent="0.25">
      <c r="A3266" s="675" t="s">
        <v>2028</v>
      </c>
      <c r="B3266" s="675" t="s">
        <v>512</v>
      </c>
      <c r="C3266" s="676" t="s">
        <v>3153</v>
      </c>
      <c r="D3266" s="675"/>
      <c r="E3266" s="702"/>
      <c r="F3266" s="702"/>
      <c r="G3266" s="675"/>
      <c r="H3266" s="675"/>
      <c r="I3266" s="675"/>
      <c r="J3266" s="675"/>
      <c r="K3266" s="675"/>
      <c r="L3266" s="675"/>
      <c r="M3266" s="675"/>
    </row>
    <row r="3267" spans="1:13" ht="30" x14ac:dyDescent="0.25">
      <c r="A3267" s="675" t="s">
        <v>2028</v>
      </c>
      <c r="B3267" s="675" t="s">
        <v>512</v>
      </c>
      <c r="C3267" s="676" t="s">
        <v>3154</v>
      </c>
      <c r="D3267" s="675"/>
      <c r="E3267" s="702"/>
      <c r="F3267" s="702"/>
      <c r="G3267" s="675"/>
      <c r="H3267" s="675"/>
      <c r="I3267" s="675"/>
      <c r="J3267" s="675"/>
      <c r="K3267" s="675"/>
      <c r="L3267" s="675"/>
      <c r="M3267" s="675"/>
    </row>
    <row r="3268" spans="1:13" ht="30" x14ac:dyDescent="0.25">
      <c r="A3268" s="675" t="s">
        <v>2028</v>
      </c>
      <c r="B3268" s="675" t="s">
        <v>512</v>
      </c>
      <c r="C3268" s="676" t="s">
        <v>3155</v>
      </c>
      <c r="D3268" s="675"/>
      <c r="E3268" s="702"/>
      <c r="F3268" s="702"/>
      <c r="G3268" s="675"/>
      <c r="H3268" s="675"/>
      <c r="I3268" s="675"/>
      <c r="J3268" s="675"/>
      <c r="K3268" s="675"/>
      <c r="L3268" s="675"/>
      <c r="M3268" s="675"/>
    </row>
    <row r="3269" spans="1:13" ht="30" x14ac:dyDescent="0.25">
      <c r="A3269" s="675" t="s">
        <v>2028</v>
      </c>
      <c r="B3269" s="675" t="s">
        <v>512</v>
      </c>
      <c r="C3269" s="676" t="s">
        <v>3156</v>
      </c>
      <c r="D3269" s="675"/>
      <c r="E3269" s="702"/>
      <c r="F3269" s="702"/>
      <c r="G3269" s="675"/>
      <c r="H3269" s="675"/>
      <c r="I3269" s="675"/>
      <c r="J3269" s="675"/>
      <c r="K3269" s="675"/>
      <c r="L3269" s="675"/>
      <c r="M3269" s="675"/>
    </row>
    <row r="3270" spans="1:13" ht="30" x14ac:dyDescent="0.25">
      <c r="A3270" s="675" t="s">
        <v>1187</v>
      </c>
      <c r="B3270" s="675" t="s">
        <v>545</v>
      </c>
      <c r="C3270" s="676" t="s">
        <v>3157</v>
      </c>
      <c r="D3270" s="675"/>
      <c r="E3270" s="702"/>
      <c r="F3270" s="702"/>
      <c r="G3270" s="675"/>
      <c r="H3270" s="675"/>
      <c r="I3270" s="675"/>
      <c r="J3270" s="675"/>
      <c r="K3270" s="675"/>
      <c r="L3270" s="675"/>
      <c r="M3270" s="675"/>
    </row>
    <row r="3271" spans="1:13" ht="30" x14ac:dyDescent="0.25">
      <c r="A3271" s="675" t="s">
        <v>1187</v>
      </c>
      <c r="B3271" s="675" t="s">
        <v>545</v>
      </c>
      <c r="C3271" s="676" t="s">
        <v>3158</v>
      </c>
      <c r="D3271" s="675"/>
      <c r="E3271" s="702"/>
      <c r="F3271" s="702"/>
      <c r="G3271" s="675"/>
      <c r="H3271" s="675"/>
      <c r="I3271" s="675"/>
      <c r="J3271" s="675"/>
      <c r="K3271" s="675"/>
      <c r="L3271" s="675"/>
      <c r="M3271" s="675"/>
    </row>
    <row r="3272" spans="1:13" ht="30" x14ac:dyDescent="0.25">
      <c r="A3272" s="675" t="s">
        <v>1187</v>
      </c>
      <c r="B3272" s="675" t="s">
        <v>545</v>
      </c>
      <c r="C3272" s="676" t="s">
        <v>3159</v>
      </c>
      <c r="D3272" s="675"/>
      <c r="E3272" s="702"/>
      <c r="F3272" s="702"/>
      <c r="G3272" s="675"/>
      <c r="H3272" s="675"/>
      <c r="I3272" s="675"/>
      <c r="J3272" s="675"/>
      <c r="K3272" s="675"/>
      <c r="L3272" s="675"/>
      <c r="M3272" s="675"/>
    </row>
    <row r="3273" spans="1:13" x14ac:dyDescent="0.25">
      <c r="A3273" s="675" t="s">
        <v>1187</v>
      </c>
      <c r="B3273" s="675" t="s">
        <v>545</v>
      </c>
      <c r="C3273" s="676" t="s">
        <v>3160</v>
      </c>
      <c r="D3273" s="675"/>
      <c r="E3273" s="702"/>
      <c r="F3273" s="702"/>
      <c r="G3273" s="675"/>
      <c r="H3273" s="675"/>
      <c r="I3273" s="675"/>
      <c r="J3273" s="675"/>
      <c r="K3273" s="675"/>
      <c r="L3273" s="675"/>
      <c r="M3273" s="675"/>
    </row>
    <row r="3274" spans="1:13" ht="30" x14ac:dyDescent="0.25">
      <c r="A3274" s="675" t="s">
        <v>1187</v>
      </c>
      <c r="B3274" s="675" t="s">
        <v>545</v>
      </c>
      <c r="C3274" s="676" t="s">
        <v>3161</v>
      </c>
      <c r="D3274" s="675"/>
      <c r="E3274" s="702"/>
      <c r="F3274" s="702"/>
      <c r="G3274" s="675"/>
      <c r="H3274" s="675"/>
      <c r="I3274" s="675"/>
      <c r="J3274" s="675"/>
      <c r="K3274" s="675"/>
      <c r="L3274" s="675"/>
      <c r="M3274" s="675"/>
    </row>
    <row r="3275" spans="1:13" x14ac:dyDescent="0.25">
      <c r="A3275" s="675" t="s">
        <v>1187</v>
      </c>
      <c r="B3275" s="675" t="s">
        <v>564</v>
      </c>
      <c r="C3275" s="676" t="s">
        <v>3162</v>
      </c>
      <c r="D3275" s="675"/>
      <c r="E3275" s="702"/>
      <c r="F3275" s="702"/>
      <c r="G3275" s="675"/>
      <c r="H3275" s="675"/>
      <c r="I3275" s="675"/>
      <c r="J3275" s="675"/>
      <c r="K3275" s="675"/>
      <c r="L3275" s="675"/>
      <c r="M3275" s="675"/>
    </row>
    <row r="3276" spans="1:13" ht="30" x14ac:dyDescent="0.25">
      <c r="A3276" s="675" t="s">
        <v>1187</v>
      </c>
      <c r="B3276" s="675" t="s">
        <v>564</v>
      </c>
      <c r="C3276" s="676" t="s">
        <v>3163</v>
      </c>
      <c r="D3276" s="675"/>
      <c r="E3276" s="702"/>
      <c r="F3276" s="702"/>
      <c r="G3276" s="675"/>
      <c r="H3276" s="675"/>
      <c r="I3276" s="675"/>
      <c r="J3276" s="675"/>
      <c r="K3276" s="675"/>
      <c r="L3276" s="675"/>
      <c r="M3276" s="675"/>
    </row>
    <row r="3277" spans="1:13" ht="30" x14ac:dyDescent="0.25">
      <c r="A3277" s="675" t="s">
        <v>1187</v>
      </c>
      <c r="B3277" s="675" t="s">
        <v>564</v>
      </c>
      <c r="C3277" s="676" t="s">
        <v>3164</v>
      </c>
      <c r="D3277" s="675"/>
      <c r="E3277" s="702"/>
      <c r="F3277" s="702"/>
      <c r="G3277" s="675"/>
      <c r="H3277" s="675"/>
      <c r="I3277" s="675"/>
      <c r="J3277" s="675"/>
      <c r="K3277" s="675"/>
      <c r="L3277" s="675"/>
      <c r="M3277" s="675"/>
    </row>
    <row r="3278" spans="1:13" ht="30" x14ac:dyDescent="0.25">
      <c r="A3278" s="675" t="s">
        <v>1187</v>
      </c>
      <c r="B3278" s="675" t="s">
        <v>564</v>
      </c>
      <c r="C3278" s="676" t="s">
        <v>3165</v>
      </c>
      <c r="D3278" s="675"/>
      <c r="E3278" s="702"/>
      <c r="F3278" s="702"/>
      <c r="G3278" s="675"/>
      <c r="H3278" s="675"/>
      <c r="I3278" s="675"/>
      <c r="J3278" s="675"/>
      <c r="K3278" s="675"/>
      <c r="L3278" s="675"/>
      <c r="M3278" s="675"/>
    </row>
    <row r="3279" spans="1:13" ht="30" x14ac:dyDescent="0.25">
      <c r="A3279" s="675" t="s">
        <v>1187</v>
      </c>
      <c r="B3279" s="675" t="s">
        <v>564</v>
      </c>
      <c r="C3279" s="676" t="s">
        <v>3166</v>
      </c>
      <c r="D3279" s="675"/>
      <c r="E3279" s="702"/>
      <c r="F3279" s="702"/>
      <c r="G3279" s="675"/>
      <c r="H3279" s="675"/>
      <c r="I3279" s="675"/>
      <c r="J3279" s="675"/>
      <c r="K3279" s="675"/>
      <c r="L3279" s="675"/>
      <c r="M3279" s="675"/>
    </row>
    <row r="3280" spans="1:13" x14ac:dyDescent="0.25">
      <c r="A3280" s="675" t="s">
        <v>1187</v>
      </c>
      <c r="B3280" s="675" t="s">
        <v>512</v>
      </c>
      <c r="C3280" s="676" t="s">
        <v>3167</v>
      </c>
      <c r="D3280" s="675"/>
      <c r="E3280" s="702"/>
      <c r="F3280" s="702"/>
      <c r="G3280" s="675"/>
      <c r="H3280" s="675"/>
      <c r="I3280" s="675"/>
      <c r="J3280" s="675"/>
      <c r="K3280" s="675"/>
      <c r="L3280" s="675"/>
      <c r="M3280" s="675"/>
    </row>
    <row r="3281" spans="1:13" ht="30" x14ac:dyDescent="0.25">
      <c r="A3281" s="675" t="s">
        <v>1187</v>
      </c>
      <c r="B3281" s="675" t="s">
        <v>512</v>
      </c>
      <c r="C3281" s="676" t="s">
        <v>3168</v>
      </c>
      <c r="D3281" s="675"/>
      <c r="E3281" s="702"/>
      <c r="F3281" s="702"/>
      <c r="G3281" s="675"/>
      <c r="H3281" s="675"/>
      <c r="I3281" s="675"/>
      <c r="J3281" s="675"/>
      <c r="K3281" s="675"/>
      <c r="L3281" s="675"/>
      <c r="M3281" s="675"/>
    </row>
    <row r="3282" spans="1:13" ht="30" x14ac:dyDescent="0.25">
      <c r="A3282" s="675" t="s">
        <v>1187</v>
      </c>
      <c r="B3282" s="675" t="s">
        <v>512</v>
      </c>
      <c r="C3282" s="676" t="s">
        <v>3169</v>
      </c>
      <c r="D3282" s="675"/>
      <c r="E3282" s="702"/>
      <c r="F3282" s="702"/>
      <c r="G3282" s="675"/>
      <c r="H3282" s="675"/>
      <c r="I3282" s="675"/>
      <c r="J3282" s="675"/>
      <c r="K3282" s="675"/>
      <c r="L3282" s="675"/>
      <c r="M3282" s="675"/>
    </row>
    <row r="3283" spans="1:13" ht="30" x14ac:dyDescent="0.25">
      <c r="A3283" s="675" t="s">
        <v>1187</v>
      </c>
      <c r="B3283" s="675" t="s">
        <v>512</v>
      </c>
      <c r="C3283" s="676" t="s">
        <v>3170</v>
      </c>
      <c r="D3283" s="675"/>
      <c r="E3283" s="702"/>
      <c r="F3283" s="702"/>
      <c r="G3283" s="675"/>
      <c r="H3283" s="675"/>
      <c r="I3283" s="675"/>
      <c r="J3283" s="675"/>
      <c r="K3283" s="675"/>
      <c r="L3283" s="675"/>
      <c r="M3283" s="675"/>
    </row>
    <row r="3284" spans="1:13" ht="30" x14ac:dyDescent="0.25">
      <c r="A3284" s="675" t="s">
        <v>1187</v>
      </c>
      <c r="B3284" s="675" t="s">
        <v>512</v>
      </c>
      <c r="C3284" s="676" t="s">
        <v>3171</v>
      </c>
      <c r="D3284" s="675"/>
      <c r="E3284" s="702"/>
      <c r="F3284" s="702"/>
      <c r="G3284" s="675"/>
      <c r="H3284" s="675"/>
      <c r="I3284" s="675"/>
      <c r="J3284" s="675"/>
      <c r="K3284" s="675"/>
      <c r="L3284" s="675"/>
      <c r="M3284" s="675"/>
    </row>
    <row r="3285" spans="1:13" ht="30" x14ac:dyDescent="0.25">
      <c r="A3285" s="675" t="s">
        <v>1187</v>
      </c>
      <c r="B3285" s="675" t="s">
        <v>545</v>
      </c>
      <c r="C3285" s="676" t="s">
        <v>3172</v>
      </c>
      <c r="D3285" s="675"/>
      <c r="E3285" s="702"/>
      <c r="F3285" s="702"/>
      <c r="G3285" s="675"/>
      <c r="H3285" s="675"/>
      <c r="I3285" s="675"/>
      <c r="J3285" s="675"/>
      <c r="K3285" s="675"/>
      <c r="L3285" s="675"/>
      <c r="M3285" s="675"/>
    </row>
    <row r="3286" spans="1:13" ht="30" x14ac:dyDescent="0.25">
      <c r="A3286" s="675" t="s">
        <v>1187</v>
      </c>
      <c r="B3286" s="675" t="s">
        <v>545</v>
      </c>
      <c r="C3286" s="676" t="s">
        <v>3173</v>
      </c>
      <c r="D3286" s="675"/>
      <c r="E3286" s="702"/>
      <c r="F3286" s="702"/>
      <c r="G3286" s="675"/>
      <c r="H3286" s="675"/>
      <c r="I3286" s="675"/>
      <c r="J3286" s="675"/>
      <c r="K3286" s="675"/>
      <c r="L3286" s="675"/>
      <c r="M3286" s="675"/>
    </row>
    <row r="3287" spans="1:13" ht="30" x14ac:dyDescent="0.25">
      <c r="A3287" s="675" t="s">
        <v>1187</v>
      </c>
      <c r="B3287" s="675" t="s">
        <v>545</v>
      </c>
      <c r="C3287" s="676" t="s">
        <v>3174</v>
      </c>
      <c r="D3287" s="675"/>
      <c r="E3287" s="702"/>
      <c r="F3287" s="702"/>
      <c r="G3287" s="675"/>
      <c r="H3287" s="675"/>
      <c r="I3287" s="675"/>
      <c r="J3287" s="675"/>
      <c r="K3287" s="675"/>
      <c r="L3287" s="675"/>
      <c r="M3287" s="675"/>
    </row>
    <row r="3288" spans="1:13" ht="30" x14ac:dyDescent="0.25">
      <c r="A3288" s="675" t="s">
        <v>1187</v>
      </c>
      <c r="B3288" s="675" t="s">
        <v>545</v>
      </c>
      <c r="C3288" s="676" t="s">
        <v>3175</v>
      </c>
      <c r="D3288" s="675"/>
      <c r="E3288" s="702"/>
      <c r="F3288" s="702"/>
      <c r="G3288" s="675"/>
      <c r="H3288" s="675"/>
      <c r="I3288" s="675"/>
      <c r="J3288" s="675"/>
      <c r="K3288" s="675"/>
      <c r="L3288" s="675"/>
      <c r="M3288" s="675"/>
    </row>
    <row r="3289" spans="1:13" ht="30" x14ac:dyDescent="0.25">
      <c r="A3289" s="675" t="s">
        <v>1187</v>
      </c>
      <c r="B3289" s="675" t="s">
        <v>545</v>
      </c>
      <c r="C3289" s="676" t="s">
        <v>3176</v>
      </c>
      <c r="D3289" s="675"/>
      <c r="E3289" s="702"/>
      <c r="F3289" s="702"/>
      <c r="G3289" s="675"/>
      <c r="H3289" s="675"/>
      <c r="I3289" s="675"/>
      <c r="J3289" s="675"/>
      <c r="K3289" s="675"/>
      <c r="L3289" s="675"/>
      <c r="M3289" s="675"/>
    </row>
    <row r="3290" spans="1:13" ht="30" x14ac:dyDescent="0.25">
      <c r="A3290" s="675" t="s">
        <v>1187</v>
      </c>
      <c r="B3290" s="675" t="s">
        <v>564</v>
      </c>
      <c r="C3290" s="676" t="s">
        <v>3177</v>
      </c>
      <c r="D3290" s="675"/>
      <c r="E3290" s="702"/>
      <c r="F3290" s="702"/>
      <c r="G3290" s="675"/>
      <c r="H3290" s="675"/>
      <c r="I3290" s="675"/>
      <c r="J3290" s="675"/>
      <c r="K3290" s="675"/>
      <c r="L3290" s="675"/>
      <c r="M3290" s="675"/>
    </row>
    <row r="3291" spans="1:13" ht="30" x14ac:dyDescent="0.25">
      <c r="A3291" s="675" t="s">
        <v>1187</v>
      </c>
      <c r="B3291" s="675" t="s">
        <v>564</v>
      </c>
      <c r="C3291" s="676" t="s">
        <v>3178</v>
      </c>
      <c r="D3291" s="675"/>
      <c r="E3291" s="702"/>
      <c r="F3291" s="702"/>
      <c r="G3291" s="675"/>
      <c r="H3291" s="675"/>
      <c r="I3291" s="675"/>
      <c r="J3291" s="675"/>
      <c r="K3291" s="675"/>
      <c r="L3291" s="675"/>
      <c r="M3291" s="675"/>
    </row>
    <row r="3292" spans="1:13" ht="30" x14ac:dyDescent="0.25">
      <c r="A3292" s="675" t="s">
        <v>1187</v>
      </c>
      <c r="B3292" s="675" t="s">
        <v>564</v>
      </c>
      <c r="C3292" s="676" t="s">
        <v>3179</v>
      </c>
      <c r="D3292" s="675"/>
      <c r="E3292" s="702"/>
      <c r="F3292" s="702"/>
      <c r="G3292" s="675"/>
      <c r="H3292" s="675"/>
      <c r="I3292" s="675"/>
      <c r="J3292" s="675"/>
      <c r="K3292" s="675"/>
      <c r="L3292" s="675"/>
      <c r="M3292" s="675"/>
    </row>
    <row r="3293" spans="1:13" ht="30" x14ac:dyDescent="0.25">
      <c r="A3293" s="675" t="s">
        <v>1187</v>
      </c>
      <c r="B3293" s="675" t="s">
        <v>564</v>
      </c>
      <c r="C3293" s="676" t="s">
        <v>3180</v>
      </c>
      <c r="D3293" s="675"/>
      <c r="E3293" s="702"/>
      <c r="F3293" s="702"/>
      <c r="G3293" s="675"/>
      <c r="H3293" s="675"/>
      <c r="I3293" s="675"/>
      <c r="J3293" s="675"/>
      <c r="K3293" s="675"/>
      <c r="L3293" s="675"/>
      <c r="M3293" s="675"/>
    </row>
    <row r="3294" spans="1:13" ht="30" x14ac:dyDescent="0.25">
      <c r="A3294" s="675" t="s">
        <v>1187</v>
      </c>
      <c r="B3294" s="675" t="s">
        <v>564</v>
      </c>
      <c r="C3294" s="676" t="s">
        <v>3181</v>
      </c>
      <c r="D3294" s="675"/>
      <c r="E3294" s="702"/>
      <c r="F3294" s="702"/>
      <c r="G3294" s="675"/>
      <c r="H3294" s="675"/>
      <c r="I3294" s="675"/>
      <c r="J3294" s="675"/>
      <c r="K3294" s="675"/>
      <c r="L3294" s="675"/>
      <c r="M3294" s="675"/>
    </row>
    <row r="3295" spans="1:13" ht="30" x14ac:dyDescent="0.25">
      <c r="A3295" s="675" t="s">
        <v>1187</v>
      </c>
      <c r="B3295" s="675" t="s">
        <v>512</v>
      </c>
      <c r="C3295" s="676" t="s">
        <v>3182</v>
      </c>
      <c r="D3295" s="675"/>
      <c r="E3295" s="702"/>
      <c r="F3295" s="702"/>
      <c r="G3295" s="675"/>
      <c r="H3295" s="675"/>
      <c r="I3295" s="675"/>
      <c r="J3295" s="675"/>
      <c r="K3295" s="675"/>
      <c r="L3295" s="675"/>
      <c r="M3295" s="675"/>
    </row>
    <row r="3296" spans="1:13" ht="30" x14ac:dyDescent="0.25">
      <c r="A3296" s="675" t="s">
        <v>1187</v>
      </c>
      <c r="B3296" s="675" t="s">
        <v>512</v>
      </c>
      <c r="C3296" s="676" t="s">
        <v>3183</v>
      </c>
      <c r="D3296" s="675"/>
      <c r="E3296" s="702"/>
      <c r="F3296" s="702"/>
      <c r="G3296" s="675"/>
      <c r="H3296" s="675"/>
      <c r="I3296" s="675"/>
      <c r="J3296" s="675"/>
      <c r="K3296" s="675"/>
      <c r="L3296" s="675"/>
      <c r="M3296" s="675"/>
    </row>
    <row r="3297" spans="1:13" ht="30" x14ac:dyDescent="0.25">
      <c r="A3297" s="675" t="s">
        <v>1187</v>
      </c>
      <c r="B3297" s="675" t="s">
        <v>512</v>
      </c>
      <c r="C3297" s="676" t="s">
        <v>3184</v>
      </c>
      <c r="D3297" s="675"/>
      <c r="E3297" s="702"/>
      <c r="F3297" s="702"/>
      <c r="G3297" s="675"/>
      <c r="H3297" s="675"/>
      <c r="I3297" s="675"/>
      <c r="J3297" s="675"/>
      <c r="K3297" s="675"/>
      <c r="L3297" s="675"/>
      <c r="M3297" s="675"/>
    </row>
    <row r="3298" spans="1:13" ht="30" x14ac:dyDescent="0.25">
      <c r="A3298" s="675" t="s">
        <v>1187</v>
      </c>
      <c r="B3298" s="675" t="s">
        <v>512</v>
      </c>
      <c r="C3298" s="676" t="s">
        <v>3185</v>
      </c>
      <c r="D3298" s="675"/>
      <c r="E3298" s="702"/>
      <c r="F3298" s="702"/>
      <c r="G3298" s="675"/>
      <c r="H3298" s="675"/>
      <c r="I3298" s="675"/>
      <c r="J3298" s="675"/>
      <c r="K3298" s="675"/>
      <c r="L3298" s="675"/>
      <c r="M3298" s="675"/>
    </row>
    <row r="3299" spans="1:13" ht="30" x14ac:dyDescent="0.25">
      <c r="A3299" s="675" t="s">
        <v>1187</v>
      </c>
      <c r="B3299" s="675" t="s">
        <v>512</v>
      </c>
      <c r="C3299" s="676" t="s">
        <v>3186</v>
      </c>
      <c r="D3299" s="675"/>
      <c r="E3299" s="702"/>
      <c r="F3299" s="702"/>
      <c r="G3299" s="675"/>
      <c r="H3299" s="675"/>
      <c r="I3299" s="675"/>
      <c r="J3299" s="675"/>
      <c r="K3299" s="675"/>
      <c r="L3299" s="675"/>
      <c r="M3299" s="675"/>
    </row>
    <row r="3300" spans="1:13" x14ac:dyDescent="0.25">
      <c r="A3300" s="675" t="s">
        <v>2482</v>
      </c>
      <c r="B3300" s="675" t="s">
        <v>545</v>
      </c>
      <c r="C3300" s="676" t="s">
        <v>3187</v>
      </c>
      <c r="D3300" s="675"/>
      <c r="E3300" s="702"/>
      <c r="F3300" s="702"/>
      <c r="G3300" s="675"/>
      <c r="H3300" s="675"/>
      <c r="I3300" s="675"/>
      <c r="J3300" s="675"/>
      <c r="K3300" s="675"/>
      <c r="L3300" s="675"/>
      <c r="M3300" s="675"/>
    </row>
    <row r="3301" spans="1:13" x14ac:dyDescent="0.25">
      <c r="A3301" s="675" t="s">
        <v>2482</v>
      </c>
      <c r="B3301" s="675" t="s">
        <v>545</v>
      </c>
      <c r="C3301" s="676" t="s">
        <v>3188</v>
      </c>
      <c r="D3301" s="675"/>
      <c r="E3301" s="702"/>
      <c r="F3301" s="702"/>
      <c r="G3301" s="675"/>
      <c r="H3301" s="675"/>
      <c r="I3301" s="675"/>
      <c r="J3301" s="675"/>
      <c r="K3301" s="675"/>
      <c r="L3301" s="675"/>
      <c r="M3301" s="675"/>
    </row>
    <row r="3302" spans="1:13" x14ac:dyDescent="0.25">
      <c r="A3302" s="675" t="s">
        <v>2482</v>
      </c>
      <c r="B3302" s="675" t="s">
        <v>545</v>
      </c>
      <c r="C3302" s="676" t="s">
        <v>3189</v>
      </c>
      <c r="D3302" s="675"/>
      <c r="E3302" s="702"/>
      <c r="F3302" s="702"/>
      <c r="G3302" s="675"/>
      <c r="H3302" s="675"/>
      <c r="I3302" s="675"/>
      <c r="J3302" s="675"/>
      <c r="K3302" s="675"/>
      <c r="L3302" s="675"/>
      <c r="M3302" s="675"/>
    </row>
    <row r="3303" spans="1:13" x14ac:dyDescent="0.25">
      <c r="A3303" s="675" t="s">
        <v>2482</v>
      </c>
      <c r="B3303" s="675" t="s">
        <v>545</v>
      </c>
      <c r="C3303" s="676" t="s">
        <v>3190</v>
      </c>
      <c r="D3303" s="675"/>
      <c r="E3303" s="702"/>
      <c r="F3303" s="702"/>
      <c r="G3303" s="675"/>
      <c r="H3303" s="675"/>
      <c r="I3303" s="675"/>
      <c r="J3303" s="675"/>
      <c r="K3303" s="675"/>
      <c r="L3303" s="675"/>
      <c r="M3303" s="675"/>
    </row>
    <row r="3304" spans="1:13" x14ac:dyDescent="0.25">
      <c r="A3304" s="675" t="s">
        <v>2482</v>
      </c>
      <c r="B3304" s="675" t="s">
        <v>545</v>
      </c>
      <c r="C3304" s="676" t="s">
        <v>3191</v>
      </c>
      <c r="D3304" s="675"/>
      <c r="E3304" s="702"/>
      <c r="F3304" s="702"/>
      <c r="G3304" s="675"/>
      <c r="H3304" s="675"/>
      <c r="I3304" s="675"/>
      <c r="J3304" s="675"/>
      <c r="K3304" s="675"/>
      <c r="L3304" s="675"/>
      <c r="M3304" s="675"/>
    </row>
    <row r="3305" spans="1:13" x14ac:dyDescent="0.25">
      <c r="A3305" s="675" t="s">
        <v>2482</v>
      </c>
      <c r="B3305" s="675" t="s">
        <v>564</v>
      </c>
      <c r="C3305" s="676" t="s">
        <v>3192</v>
      </c>
      <c r="D3305" s="675"/>
      <c r="E3305" s="702"/>
      <c r="F3305" s="702"/>
      <c r="G3305" s="675"/>
      <c r="H3305" s="675"/>
      <c r="I3305" s="675"/>
      <c r="J3305" s="675"/>
      <c r="K3305" s="675"/>
      <c r="L3305" s="675"/>
      <c r="M3305" s="675"/>
    </row>
    <row r="3306" spans="1:13" ht="30" x14ac:dyDescent="0.25">
      <c r="A3306" s="675" t="s">
        <v>2482</v>
      </c>
      <c r="B3306" s="675" t="s">
        <v>564</v>
      </c>
      <c r="C3306" s="676" t="s">
        <v>3193</v>
      </c>
      <c r="D3306" s="675"/>
      <c r="E3306" s="702"/>
      <c r="F3306" s="702"/>
      <c r="G3306" s="675"/>
      <c r="H3306" s="675"/>
      <c r="I3306" s="675"/>
      <c r="J3306" s="675"/>
      <c r="K3306" s="675"/>
      <c r="L3306" s="675"/>
      <c r="M3306" s="675"/>
    </row>
    <row r="3307" spans="1:13" x14ac:dyDescent="0.25">
      <c r="A3307" s="675" t="s">
        <v>2482</v>
      </c>
      <c r="B3307" s="675" t="s">
        <v>564</v>
      </c>
      <c r="C3307" s="676" t="s">
        <v>3194</v>
      </c>
      <c r="D3307" s="675"/>
      <c r="E3307" s="702"/>
      <c r="F3307" s="702"/>
      <c r="G3307" s="675"/>
      <c r="H3307" s="675"/>
      <c r="I3307" s="675"/>
      <c r="J3307" s="675"/>
      <c r="K3307" s="675"/>
      <c r="L3307" s="675"/>
      <c r="M3307" s="675"/>
    </row>
    <row r="3308" spans="1:13" ht="30" x14ac:dyDescent="0.25">
      <c r="A3308" s="675" t="s">
        <v>2482</v>
      </c>
      <c r="B3308" s="675" t="s">
        <v>564</v>
      </c>
      <c r="C3308" s="676" t="s">
        <v>3195</v>
      </c>
      <c r="D3308" s="675"/>
      <c r="E3308" s="702"/>
      <c r="F3308" s="702"/>
      <c r="G3308" s="675"/>
      <c r="H3308" s="675"/>
      <c r="I3308" s="675"/>
      <c r="J3308" s="675"/>
      <c r="K3308" s="675"/>
      <c r="L3308" s="675"/>
      <c r="M3308" s="675"/>
    </row>
    <row r="3309" spans="1:13" x14ac:dyDescent="0.25">
      <c r="A3309" s="675" t="s">
        <v>2482</v>
      </c>
      <c r="B3309" s="675" t="s">
        <v>564</v>
      </c>
      <c r="C3309" s="676" t="s">
        <v>3196</v>
      </c>
      <c r="D3309" s="675"/>
      <c r="E3309" s="702"/>
      <c r="F3309" s="702"/>
      <c r="G3309" s="675"/>
      <c r="H3309" s="675"/>
      <c r="I3309" s="675"/>
      <c r="J3309" s="675"/>
      <c r="K3309" s="675"/>
      <c r="L3309" s="675"/>
      <c r="M3309" s="675"/>
    </row>
    <row r="3310" spans="1:13" x14ac:dyDescent="0.25">
      <c r="A3310" s="675" t="s">
        <v>2482</v>
      </c>
      <c r="B3310" s="675" t="s">
        <v>512</v>
      </c>
      <c r="C3310" s="676" t="s">
        <v>3197</v>
      </c>
      <c r="D3310" s="675"/>
      <c r="E3310" s="702"/>
      <c r="F3310" s="702"/>
      <c r="G3310" s="675"/>
      <c r="H3310" s="675"/>
      <c r="I3310" s="675"/>
      <c r="J3310" s="675"/>
      <c r="K3310" s="675"/>
      <c r="L3310" s="675"/>
      <c r="M3310" s="675"/>
    </row>
    <row r="3311" spans="1:13" x14ac:dyDescent="0.25">
      <c r="A3311" s="675" t="s">
        <v>2482</v>
      </c>
      <c r="B3311" s="675" t="s">
        <v>512</v>
      </c>
      <c r="C3311" s="676" t="s">
        <v>3198</v>
      </c>
      <c r="D3311" s="675"/>
      <c r="E3311" s="702"/>
      <c r="F3311" s="702"/>
      <c r="G3311" s="675"/>
      <c r="H3311" s="675"/>
      <c r="I3311" s="675"/>
      <c r="J3311" s="675"/>
      <c r="K3311" s="675"/>
      <c r="L3311" s="675"/>
      <c r="M3311" s="675"/>
    </row>
    <row r="3312" spans="1:13" x14ac:dyDescent="0.25">
      <c r="A3312" s="675" t="s">
        <v>2482</v>
      </c>
      <c r="B3312" s="675" t="s">
        <v>512</v>
      </c>
      <c r="C3312" s="676" t="s">
        <v>3199</v>
      </c>
      <c r="D3312" s="675"/>
      <c r="E3312" s="702"/>
      <c r="F3312" s="702"/>
      <c r="G3312" s="675"/>
      <c r="H3312" s="675"/>
      <c r="I3312" s="675"/>
      <c r="J3312" s="675"/>
      <c r="K3312" s="675"/>
      <c r="L3312" s="675"/>
      <c r="M3312" s="675"/>
    </row>
    <row r="3313" spans="1:13" x14ac:dyDescent="0.25">
      <c r="A3313" s="675" t="s">
        <v>2482</v>
      </c>
      <c r="B3313" s="675" t="s">
        <v>512</v>
      </c>
      <c r="C3313" s="676" t="s">
        <v>3200</v>
      </c>
      <c r="D3313" s="675"/>
      <c r="E3313" s="702"/>
      <c r="F3313" s="702"/>
      <c r="G3313" s="675"/>
      <c r="H3313" s="675"/>
      <c r="I3313" s="675"/>
      <c r="J3313" s="675"/>
      <c r="K3313" s="675"/>
      <c r="L3313" s="675"/>
      <c r="M3313" s="675"/>
    </row>
    <row r="3314" spans="1:13" x14ac:dyDescent="0.25">
      <c r="A3314" s="675" t="s">
        <v>2482</v>
      </c>
      <c r="B3314" s="675" t="s">
        <v>512</v>
      </c>
      <c r="C3314" s="676" t="s">
        <v>3201</v>
      </c>
      <c r="D3314" s="675"/>
      <c r="E3314" s="702"/>
      <c r="F3314" s="702"/>
      <c r="G3314" s="675"/>
      <c r="H3314" s="675"/>
      <c r="I3314" s="675"/>
      <c r="J3314" s="675"/>
      <c r="K3314" s="675"/>
      <c r="L3314" s="675"/>
      <c r="M3314" s="675"/>
    </row>
    <row r="3315" spans="1:13" x14ac:dyDescent="0.25">
      <c r="A3315" s="675" t="s">
        <v>3202</v>
      </c>
      <c r="B3315" s="675" t="s">
        <v>545</v>
      </c>
      <c r="C3315" s="676" t="s">
        <v>3203</v>
      </c>
      <c r="D3315" s="675"/>
      <c r="E3315" s="702"/>
      <c r="F3315" s="702"/>
      <c r="G3315" s="675"/>
      <c r="H3315" s="675"/>
      <c r="I3315" s="675"/>
      <c r="J3315" s="675"/>
      <c r="K3315" s="675"/>
      <c r="L3315" s="675"/>
      <c r="M3315" s="675"/>
    </row>
    <row r="3316" spans="1:13" x14ac:dyDescent="0.25">
      <c r="A3316" s="675" t="s">
        <v>3202</v>
      </c>
      <c r="B3316" s="675" t="s">
        <v>545</v>
      </c>
      <c r="C3316" s="676" t="s">
        <v>3204</v>
      </c>
      <c r="D3316" s="675"/>
      <c r="E3316" s="702"/>
      <c r="F3316" s="702"/>
      <c r="G3316" s="675"/>
      <c r="H3316" s="675"/>
      <c r="I3316" s="675"/>
      <c r="J3316" s="675"/>
      <c r="K3316" s="675"/>
      <c r="L3316" s="675"/>
      <c r="M3316" s="675"/>
    </row>
    <row r="3317" spans="1:13" x14ac:dyDescent="0.25">
      <c r="A3317" s="675" t="s">
        <v>3202</v>
      </c>
      <c r="B3317" s="675" t="s">
        <v>545</v>
      </c>
      <c r="C3317" s="676" t="s">
        <v>3205</v>
      </c>
      <c r="D3317" s="675"/>
      <c r="E3317" s="702"/>
      <c r="F3317" s="702"/>
      <c r="G3317" s="675"/>
      <c r="H3317" s="675"/>
      <c r="I3317" s="675"/>
      <c r="J3317" s="675"/>
      <c r="K3317" s="675"/>
      <c r="L3317" s="675"/>
      <c r="M3317" s="675"/>
    </row>
    <row r="3318" spans="1:13" x14ac:dyDescent="0.25">
      <c r="A3318" s="675" t="s">
        <v>3202</v>
      </c>
      <c r="B3318" s="675" t="s">
        <v>545</v>
      </c>
      <c r="C3318" s="676" t="s">
        <v>3206</v>
      </c>
      <c r="D3318" s="675"/>
      <c r="E3318" s="702"/>
      <c r="F3318" s="702"/>
      <c r="G3318" s="675"/>
      <c r="H3318" s="675"/>
      <c r="I3318" s="675"/>
      <c r="J3318" s="675"/>
      <c r="K3318" s="675"/>
      <c r="L3318" s="675"/>
      <c r="M3318" s="675"/>
    </row>
    <row r="3319" spans="1:13" ht="30" x14ac:dyDescent="0.25">
      <c r="A3319" s="675" t="s">
        <v>3202</v>
      </c>
      <c r="B3319" s="675" t="s">
        <v>545</v>
      </c>
      <c r="C3319" s="676" t="s">
        <v>3207</v>
      </c>
      <c r="D3319" s="675"/>
      <c r="E3319" s="702"/>
      <c r="F3319" s="702"/>
      <c r="G3319" s="675"/>
      <c r="H3319" s="675"/>
      <c r="I3319" s="675"/>
      <c r="J3319" s="675"/>
      <c r="K3319" s="675"/>
      <c r="L3319" s="675"/>
      <c r="M3319" s="675"/>
    </row>
    <row r="3320" spans="1:13" ht="30" x14ac:dyDescent="0.25">
      <c r="A3320" s="675" t="s">
        <v>3202</v>
      </c>
      <c r="B3320" s="675" t="s">
        <v>564</v>
      </c>
      <c r="C3320" s="676" t="s">
        <v>3208</v>
      </c>
      <c r="D3320" s="675"/>
      <c r="E3320" s="702"/>
      <c r="F3320" s="702"/>
      <c r="G3320" s="675"/>
      <c r="H3320" s="675"/>
      <c r="I3320" s="675"/>
      <c r="J3320" s="675"/>
      <c r="K3320" s="675"/>
      <c r="L3320" s="675"/>
      <c r="M3320" s="675"/>
    </row>
    <row r="3321" spans="1:13" x14ac:dyDescent="0.25">
      <c r="A3321" s="675" t="s">
        <v>3202</v>
      </c>
      <c r="B3321" s="675" t="s">
        <v>564</v>
      </c>
      <c r="C3321" s="676" t="s">
        <v>3209</v>
      </c>
      <c r="D3321" s="675"/>
      <c r="E3321" s="702"/>
      <c r="F3321" s="702"/>
      <c r="G3321" s="675"/>
      <c r="H3321" s="675"/>
      <c r="I3321" s="675"/>
      <c r="J3321" s="675"/>
      <c r="K3321" s="675"/>
      <c r="L3321" s="675"/>
      <c r="M3321" s="675"/>
    </row>
    <row r="3322" spans="1:13" x14ac:dyDescent="0.25">
      <c r="A3322" s="675" t="s">
        <v>3202</v>
      </c>
      <c r="B3322" s="675" t="s">
        <v>564</v>
      </c>
      <c r="C3322" s="676" t="s">
        <v>3210</v>
      </c>
      <c r="D3322" s="675"/>
      <c r="E3322" s="702"/>
      <c r="F3322" s="702"/>
      <c r="G3322" s="675"/>
      <c r="H3322" s="675"/>
      <c r="I3322" s="675"/>
      <c r="J3322" s="675"/>
      <c r="K3322" s="675"/>
      <c r="L3322" s="675"/>
      <c r="M3322" s="675"/>
    </row>
    <row r="3323" spans="1:13" x14ac:dyDescent="0.25">
      <c r="A3323" s="675" t="s">
        <v>3202</v>
      </c>
      <c r="B3323" s="675" t="s">
        <v>564</v>
      </c>
      <c r="C3323" s="676" t="s">
        <v>3211</v>
      </c>
      <c r="D3323" s="675"/>
      <c r="E3323" s="702"/>
      <c r="F3323" s="702"/>
      <c r="G3323" s="675"/>
      <c r="H3323" s="675"/>
      <c r="I3323" s="675"/>
      <c r="J3323" s="675"/>
      <c r="K3323" s="675"/>
      <c r="L3323" s="675"/>
      <c r="M3323" s="675"/>
    </row>
    <row r="3324" spans="1:13" x14ac:dyDescent="0.25">
      <c r="A3324" s="675" t="s">
        <v>3202</v>
      </c>
      <c r="B3324" s="675" t="s">
        <v>564</v>
      </c>
      <c r="C3324" s="676" t="s">
        <v>3212</v>
      </c>
      <c r="D3324" s="675"/>
      <c r="E3324" s="702"/>
      <c r="F3324" s="702"/>
      <c r="G3324" s="675"/>
      <c r="H3324" s="675"/>
      <c r="I3324" s="675"/>
      <c r="J3324" s="675"/>
      <c r="K3324" s="675"/>
      <c r="L3324" s="675"/>
      <c r="M3324" s="675"/>
    </row>
    <row r="3325" spans="1:13" ht="30" x14ac:dyDescent="0.25">
      <c r="A3325" s="675" t="s">
        <v>3202</v>
      </c>
      <c r="B3325" s="675" t="s">
        <v>512</v>
      </c>
      <c r="C3325" s="676" t="s">
        <v>3213</v>
      </c>
      <c r="D3325" s="675"/>
      <c r="E3325" s="702"/>
      <c r="F3325" s="702"/>
      <c r="G3325" s="675"/>
      <c r="H3325" s="675"/>
      <c r="I3325" s="675"/>
      <c r="J3325" s="675"/>
      <c r="K3325" s="675"/>
      <c r="L3325" s="675"/>
      <c r="M3325" s="675"/>
    </row>
    <row r="3326" spans="1:13" x14ac:dyDescent="0.25">
      <c r="A3326" s="675" t="s">
        <v>3202</v>
      </c>
      <c r="B3326" s="675" t="s">
        <v>512</v>
      </c>
      <c r="C3326" s="676" t="s">
        <v>3214</v>
      </c>
      <c r="D3326" s="675"/>
      <c r="E3326" s="702"/>
      <c r="F3326" s="702"/>
      <c r="G3326" s="675"/>
      <c r="H3326" s="675"/>
      <c r="I3326" s="675"/>
      <c r="J3326" s="675"/>
      <c r="K3326" s="675"/>
      <c r="L3326" s="675"/>
      <c r="M3326" s="675"/>
    </row>
    <row r="3327" spans="1:13" x14ac:dyDescent="0.25">
      <c r="A3327" s="675" t="s">
        <v>3202</v>
      </c>
      <c r="B3327" s="675" t="s">
        <v>512</v>
      </c>
      <c r="C3327" s="676" t="s">
        <v>3215</v>
      </c>
      <c r="D3327" s="675"/>
      <c r="E3327" s="702"/>
      <c r="F3327" s="702"/>
      <c r="G3327" s="675"/>
      <c r="H3327" s="675"/>
      <c r="I3327" s="675"/>
      <c r="J3327" s="675"/>
      <c r="K3327" s="675"/>
      <c r="L3327" s="675"/>
      <c r="M3327" s="675"/>
    </row>
    <row r="3328" spans="1:13" x14ac:dyDescent="0.25">
      <c r="A3328" s="675" t="s">
        <v>3202</v>
      </c>
      <c r="B3328" s="675" t="s">
        <v>512</v>
      </c>
      <c r="C3328" s="676" t="s">
        <v>3216</v>
      </c>
      <c r="D3328" s="675"/>
      <c r="E3328" s="702"/>
      <c r="F3328" s="702"/>
      <c r="G3328" s="675"/>
      <c r="H3328" s="675"/>
      <c r="I3328" s="675"/>
      <c r="J3328" s="675"/>
      <c r="K3328" s="675"/>
      <c r="L3328" s="675"/>
      <c r="M3328" s="675"/>
    </row>
    <row r="3329" spans="1:13" ht="30" x14ac:dyDescent="0.25">
      <c r="A3329" s="675" t="s">
        <v>3202</v>
      </c>
      <c r="B3329" s="675" t="s">
        <v>512</v>
      </c>
      <c r="C3329" s="676" t="s">
        <v>3217</v>
      </c>
      <c r="D3329" s="675"/>
      <c r="E3329" s="702"/>
      <c r="F3329" s="702"/>
      <c r="G3329" s="675"/>
      <c r="H3329" s="675"/>
      <c r="I3329" s="675"/>
      <c r="J3329" s="675"/>
      <c r="K3329" s="675"/>
      <c r="L3329" s="675"/>
      <c r="M3329" s="675"/>
    </row>
    <row r="3330" spans="1:13" x14ac:dyDescent="0.25">
      <c r="A3330" s="675" t="s">
        <v>3218</v>
      </c>
      <c r="B3330" s="675" t="s">
        <v>545</v>
      </c>
      <c r="C3330" s="676" t="s">
        <v>3219</v>
      </c>
      <c r="D3330" s="675"/>
      <c r="E3330" s="702"/>
      <c r="F3330" s="702"/>
      <c r="G3330" s="675"/>
      <c r="H3330" s="675"/>
      <c r="I3330" s="675"/>
      <c r="J3330" s="675"/>
      <c r="K3330" s="675"/>
      <c r="L3330" s="675"/>
      <c r="M3330" s="675"/>
    </row>
    <row r="3331" spans="1:13" x14ac:dyDescent="0.25">
      <c r="A3331" s="675" t="s">
        <v>3218</v>
      </c>
      <c r="B3331" s="675" t="s">
        <v>545</v>
      </c>
      <c r="C3331" s="676" t="s">
        <v>3220</v>
      </c>
      <c r="D3331" s="675"/>
      <c r="E3331" s="702"/>
      <c r="F3331" s="702"/>
      <c r="G3331" s="675"/>
      <c r="H3331" s="675"/>
      <c r="I3331" s="675"/>
      <c r="J3331" s="675"/>
      <c r="K3331" s="675"/>
      <c r="L3331" s="675"/>
      <c r="M3331" s="675"/>
    </row>
    <row r="3332" spans="1:13" ht="30" x14ac:dyDescent="0.25">
      <c r="A3332" s="675" t="s">
        <v>3218</v>
      </c>
      <c r="B3332" s="675" t="s">
        <v>545</v>
      </c>
      <c r="C3332" s="676" t="s">
        <v>3221</v>
      </c>
      <c r="D3332" s="675"/>
      <c r="E3332" s="702"/>
      <c r="F3332" s="702"/>
      <c r="G3332" s="675"/>
      <c r="H3332" s="675"/>
      <c r="I3332" s="675"/>
      <c r="J3332" s="675"/>
      <c r="K3332" s="675"/>
      <c r="L3332" s="675"/>
      <c r="M3332" s="675"/>
    </row>
    <row r="3333" spans="1:13" x14ac:dyDescent="0.25">
      <c r="A3333" s="675" t="s">
        <v>3218</v>
      </c>
      <c r="B3333" s="675" t="s">
        <v>545</v>
      </c>
      <c r="C3333" s="676" t="s">
        <v>3222</v>
      </c>
      <c r="D3333" s="675"/>
      <c r="E3333" s="702"/>
      <c r="F3333" s="702"/>
      <c r="G3333" s="675"/>
      <c r="H3333" s="675"/>
      <c r="I3333" s="675"/>
      <c r="J3333" s="675"/>
      <c r="K3333" s="675"/>
      <c r="L3333" s="675"/>
      <c r="M3333" s="675"/>
    </row>
    <row r="3334" spans="1:13" x14ac:dyDescent="0.25">
      <c r="A3334" s="675" t="s">
        <v>3218</v>
      </c>
      <c r="B3334" s="675" t="s">
        <v>545</v>
      </c>
      <c r="C3334" s="676" t="s">
        <v>3223</v>
      </c>
      <c r="D3334" s="675"/>
      <c r="E3334" s="702"/>
      <c r="F3334" s="702"/>
      <c r="G3334" s="675"/>
      <c r="H3334" s="675"/>
      <c r="I3334" s="675"/>
      <c r="J3334" s="675"/>
      <c r="K3334" s="675"/>
      <c r="L3334" s="675"/>
      <c r="M3334" s="675"/>
    </row>
    <row r="3335" spans="1:13" ht="30" x14ac:dyDescent="0.25">
      <c r="A3335" s="675" t="s">
        <v>3218</v>
      </c>
      <c r="B3335" s="675" t="s">
        <v>564</v>
      </c>
      <c r="C3335" s="676" t="s">
        <v>3224</v>
      </c>
      <c r="D3335" s="675"/>
      <c r="E3335" s="702"/>
      <c r="F3335" s="702"/>
      <c r="G3335" s="675"/>
      <c r="H3335" s="675"/>
      <c r="I3335" s="675"/>
      <c r="J3335" s="675"/>
      <c r="K3335" s="675"/>
      <c r="L3335" s="675"/>
      <c r="M3335" s="675"/>
    </row>
    <row r="3336" spans="1:13" x14ac:dyDescent="0.25">
      <c r="A3336" s="675" t="s">
        <v>3218</v>
      </c>
      <c r="B3336" s="675" t="s">
        <v>564</v>
      </c>
      <c r="C3336" s="676" t="s">
        <v>3225</v>
      </c>
      <c r="D3336" s="675"/>
      <c r="E3336" s="702"/>
      <c r="F3336" s="702"/>
      <c r="G3336" s="675"/>
      <c r="H3336" s="675"/>
      <c r="I3336" s="675"/>
      <c r="J3336" s="675"/>
      <c r="K3336" s="675"/>
      <c r="L3336" s="675"/>
      <c r="M3336" s="675"/>
    </row>
    <row r="3337" spans="1:13" x14ac:dyDescent="0.25">
      <c r="A3337" s="675" t="s">
        <v>3218</v>
      </c>
      <c r="B3337" s="675" t="s">
        <v>564</v>
      </c>
      <c r="C3337" s="676" t="s">
        <v>3226</v>
      </c>
      <c r="D3337" s="675"/>
      <c r="E3337" s="702"/>
      <c r="F3337" s="702"/>
      <c r="G3337" s="675"/>
      <c r="H3337" s="675"/>
      <c r="I3337" s="675"/>
      <c r="J3337" s="675"/>
      <c r="K3337" s="675"/>
      <c r="L3337" s="675"/>
      <c r="M3337" s="675"/>
    </row>
    <row r="3338" spans="1:13" ht="30" x14ac:dyDescent="0.25">
      <c r="A3338" s="675" t="s">
        <v>3218</v>
      </c>
      <c r="B3338" s="675" t="s">
        <v>564</v>
      </c>
      <c r="C3338" s="676" t="s">
        <v>3227</v>
      </c>
      <c r="D3338" s="675"/>
      <c r="E3338" s="702"/>
      <c r="F3338" s="702"/>
      <c r="G3338" s="675"/>
      <c r="H3338" s="675"/>
      <c r="I3338" s="675"/>
      <c r="J3338" s="675"/>
      <c r="K3338" s="675"/>
      <c r="L3338" s="675"/>
      <c r="M3338" s="675"/>
    </row>
    <row r="3339" spans="1:13" x14ac:dyDescent="0.25">
      <c r="A3339" s="675" t="s">
        <v>3218</v>
      </c>
      <c r="B3339" s="675" t="s">
        <v>564</v>
      </c>
      <c r="C3339" s="676" t="s">
        <v>3228</v>
      </c>
      <c r="D3339" s="675"/>
      <c r="E3339" s="702"/>
      <c r="F3339" s="702"/>
      <c r="G3339" s="675"/>
      <c r="H3339" s="675"/>
      <c r="I3339" s="675"/>
      <c r="J3339" s="675"/>
      <c r="K3339" s="675"/>
      <c r="L3339" s="675"/>
      <c r="M3339" s="675"/>
    </row>
    <row r="3340" spans="1:13" x14ac:dyDescent="0.25">
      <c r="A3340" s="675" t="s">
        <v>3218</v>
      </c>
      <c r="B3340" s="675" t="s">
        <v>512</v>
      </c>
      <c r="C3340" s="676" t="s">
        <v>3229</v>
      </c>
      <c r="D3340" s="675"/>
      <c r="E3340" s="702"/>
      <c r="F3340" s="702"/>
      <c r="G3340" s="675"/>
      <c r="H3340" s="675"/>
      <c r="I3340" s="675"/>
      <c r="J3340" s="675"/>
      <c r="K3340" s="675"/>
      <c r="L3340" s="675"/>
      <c r="M3340" s="675"/>
    </row>
    <row r="3341" spans="1:13" x14ac:dyDescent="0.25">
      <c r="A3341" s="675" t="s">
        <v>3218</v>
      </c>
      <c r="B3341" s="675" t="s">
        <v>512</v>
      </c>
      <c r="C3341" s="676" t="s">
        <v>3230</v>
      </c>
      <c r="D3341" s="675"/>
      <c r="E3341" s="702"/>
      <c r="F3341" s="702"/>
      <c r="G3341" s="675"/>
      <c r="H3341" s="675"/>
      <c r="I3341" s="675"/>
      <c r="J3341" s="675"/>
      <c r="K3341" s="675"/>
      <c r="L3341" s="675"/>
      <c r="M3341" s="675"/>
    </row>
    <row r="3342" spans="1:13" x14ac:dyDescent="0.25">
      <c r="A3342" s="675" t="s">
        <v>3218</v>
      </c>
      <c r="B3342" s="675" t="s">
        <v>512</v>
      </c>
      <c r="C3342" s="676" t="s">
        <v>3231</v>
      </c>
      <c r="D3342" s="675"/>
      <c r="E3342" s="702"/>
      <c r="F3342" s="702"/>
      <c r="G3342" s="675"/>
      <c r="H3342" s="675"/>
      <c r="I3342" s="675"/>
      <c r="J3342" s="675"/>
      <c r="K3342" s="675"/>
      <c r="L3342" s="675"/>
      <c r="M3342" s="675"/>
    </row>
    <row r="3343" spans="1:13" x14ac:dyDescent="0.25">
      <c r="A3343" s="675" t="s">
        <v>3218</v>
      </c>
      <c r="B3343" s="675" t="s">
        <v>512</v>
      </c>
      <c r="C3343" s="676" t="s">
        <v>3232</v>
      </c>
      <c r="D3343" s="675"/>
      <c r="E3343" s="702"/>
      <c r="F3343" s="702"/>
      <c r="G3343" s="675"/>
      <c r="H3343" s="675"/>
      <c r="I3343" s="675"/>
      <c r="J3343" s="675"/>
      <c r="K3343" s="675"/>
      <c r="L3343" s="675"/>
      <c r="M3343" s="675"/>
    </row>
    <row r="3344" spans="1:13" x14ac:dyDescent="0.25">
      <c r="A3344" s="675" t="s">
        <v>3218</v>
      </c>
      <c r="B3344" s="675" t="s">
        <v>512</v>
      </c>
      <c r="C3344" s="676" t="s">
        <v>3233</v>
      </c>
      <c r="D3344" s="675"/>
      <c r="E3344" s="702"/>
      <c r="F3344" s="702"/>
      <c r="G3344" s="675"/>
      <c r="H3344" s="675"/>
      <c r="I3344" s="675"/>
      <c r="J3344" s="675"/>
      <c r="K3344" s="675"/>
      <c r="L3344" s="675"/>
      <c r="M3344" s="675"/>
    </row>
    <row r="3345" spans="1:13" x14ac:dyDescent="0.25">
      <c r="A3345" s="675" t="s">
        <v>2724</v>
      </c>
      <c r="B3345" s="675" t="s">
        <v>545</v>
      </c>
      <c r="C3345" s="676" t="s">
        <v>3234</v>
      </c>
      <c r="D3345" s="675"/>
      <c r="E3345" s="702"/>
      <c r="F3345" s="702"/>
      <c r="G3345" s="675"/>
      <c r="H3345" s="675"/>
      <c r="I3345" s="675"/>
      <c r="J3345" s="675"/>
      <c r="K3345" s="675"/>
      <c r="L3345" s="675"/>
      <c r="M3345" s="675"/>
    </row>
    <row r="3346" spans="1:13" x14ac:dyDescent="0.25">
      <c r="A3346" s="675" t="s">
        <v>2724</v>
      </c>
      <c r="B3346" s="675" t="s">
        <v>545</v>
      </c>
      <c r="C3346" s="676" t="s">
        <v>3235</v>
      </c>
      <c r="D3346" s="675"/>
      <c r="E3346" s="702"/>
      <c r="F3346" s="702"/>
      <c r="G3346" s="675"/>
      <c r="H3346" s="675"/>
      <c r="I3346" s="675"/>
      <c r="J3346" s="675"/>
      <c r="K3346" s="675"/>
      <c r="L3346" s="675"/>
      <c r="M3346" s="675"/>
    </row>
    <row r="3347" spans="1:13" ht="30" x14ac:dyDescent="0.25">
      <c r="A3347" s="675" t="s">
        <v>2724</v>
      </c>
      <c r="B3347" s="675" t="s">
        <v>545</v>
      </c>
      <c r="C3347" s="676" t="s">
        <v>3236</v>
      </c>
      <c r="D3347" s="675"/>
      <c r="E3347" s="702"/>
      <c r="F3347" s="702"/>
      <c r="G3347" s="675"/>
      <c r="H3347" s="675"/>
      <c r="I3347" s="675"/>
      <c r="J3347" s="675"/>
      <c r="K3347" s="675"/>
      <c r="L3347" s="675"/>
      <c r="M3347" s="675"/>
    </row>
    <row r="3348" spans="1:13" x14ac:dyDescent="0.25">
      <c r="A3348" s="675" t="s">
        <v>2724</v>
      </c>
      <c r="B3348" s="675" t="s">
        <v>545</v>
      </c>
      <c r="C3348" s="676" t="s">
        <v>3237</v>
      </c>
      <c r="D3348" s="675"/>
      <c r="E3348" s="702"/>
      <c r="F3348" s="702"/>
      <c r="G3348" s="675"/>
      <c r="H3348" s="675"/>
      <c r="I3348" s="675"/>
      <c r="J3348" s="675"/>
      <c r="K3348" s="675"/>
      <c r="L3348" s="675"/>
      <c r="M3348" s="675"/>
    </row>
    <row r="3349" spans="1:13" x14ac:dyDescent="0.25">
      <c r="A3349" s="675" t="s">
        <v>2724</v>
      </c>
      <c r="B3349" s="675" t="s">
        <v>545</v>
      </c>
      <c r="C3349" s="676" t="s">
        <v>3238</v>
      </c>
      <c r="D3349" s="675"/>
      <c r="E3349" s="702"/>
      <c r="F3349" s="702"/>
      <c r="G3349" s="675"/>
      <c r="H3349" s="675"/>
      <c r="I3349" s="675"/>
      <c r="J3349" s="675"/>
      <c r="K3349" s="675"/>
      <c r="L3349" s="675"/>
      <c r="M3349" s="675"/>
    </row>
    <row r="3350" spans="1:13" x14ac:dyDescent="0.25">
      <c r="A3350" s="675" t="s">
        <v>2724</v>
      </c>
      <c r="B3350" s="675" t="s">
        <v>564</v>
      </c>
      <c r="C3350" s="676" t="s">
        <v>3239</v>
      </c>
      <c r="D3350" s="675"/>
      <c r="E3350" s="702"/>
      <c r="F3350" s="702"/>
      <c r="G3350" s="675"/>
      <c r="H3350" s="675"/>
      <c r="I3350" s="675"/>
      <c r="J3350" s="675"/>
      <c r="K3350" s="675"/>
      <c r="L3350" s="675"/>
      <c r="M3350" s="675"/>
    </row>
    <row r="3351" spans="1:13" x14ac:dyDescent="0.25">
      <c r="A3351" s="675" t="s">
        <v>2724</v>
      </c>
      <c r="B3351" s="675" t="s">
        <v>564</v>
      </c>
      <c r="C3351" s="676" t="s">
        <v>3240</v>
      </c>
      <c r="D3351" s="675"/>
      <c r="E3351" s="702"/>
      <c r="F3351" s="702"/>
      <c r="G3351" s="675"/>
      <c r="H3351" s="675"/>
      <c r="I3351" s="675"/>
      <c r="J3351" s="675"/>
      <c r="K3351" s="675"/>
      <c r="L3351" s="675"/>
      <c r="M3351" s="675"/>
    </row>
    <row r="3352" spans="1:13" x14ac:dyDescent="0.25">
      <c r="A3352" s="675" t="s">
        <v>2724</v>
      </c>
      <c r="B3352" s="675" t="s">
        <v>564</v>
      </c>
      <c r="C3352" s="676" t="s">
        <v>3241</v>
      </c>
      <c r="D3352" s="675"/>
      <c r="E3352" s="702"/>
      <c r="F3352" s="702"/>
      <c r="G3352" s="675"/>
      <c r="H3352" s="675"/>
      <c r="I3352" s="675"/>
      <c r="J3352" s="675"/>
      <c r="K3352" s="675"/>
      <c r="L3352" s="675"/>
      <c r="M3352" s="675"/>
    </row>
    <row r="3353" spans="1:13" x14ac:dyDescent="0.25">
      <c r="A3353" s="675" t="s">
        <v>2724</v>
      </c>
      <c r="B3353" s="675" t="s">
        <v>564</v>
      </c>
      <c r="C3353" s="676" t="s">
        <v>3242</v>
      </c>
      <c r="D3353" s="675"/>
      <c r="E3353" s="702"/>
      <c r="F3353" s="702"/>
      <c r="G3353" s="675"/>
      <c r="H3353" s="675"/>
      <c r="I3353" s="675"/>
      <c r="J3353" s="675"/>
      <c r="K3353" s="675"/>
      <c r="L3353" s="675"/>
      <c r="M3353" s="675"/>
    </row>
    <row r="3354" spans="1:13" x14ac:dyDescent="0.25">
      <c r="A3354" s="675" t="s">
        <v>2724</v>
      </c>
      <c r="B3354" s="675" t="s">
        <v>564</v>
      </c>
      <c r="C3354" s="676" t="s">
        <v>3243</v>
      </c>
      <c r="D3354" s="675"/>
      <c r="E3354" s="702"/>
      <c r="F3354" s="702"/>
      <c r="G3354" s="675"/>
      <c r="H3354" s="675"/>
      <c r="I3354" s="675"/>
      <c r="J3354" s="675"/>
      <c r="K3354" s="675"/>
      <c r="L3354" s="675"/>
      <c r="M3354" s="675"/>
    </row>
    <row r="3355" spans="1:13" x14ac:dyDescent="0.25">
      <c r="A3355" s="675" t="s">
        <v>2724</v>
      </c>
      <c r="B3355" s="675" t="s">
        <v>512</v>
      </c>
      <c r="C3355" s="676" t="s">
        <v>3244</v>
      </c>
      <c r="D3355" s="675"/>
      <c r="E3355" s="702"/>
      <c r="F3355" s="702"/>
      <c r="G3355" s="675"/>
      <c r="H3355" s="675"/>
      <c r="I3355" s="675"/>
      <c r="J3355" s="675"/>
      <c r="K3355" s="675"/>
      <c r="L3355" s="675"/>
      <c r="M3355" s="675"/>
    </row>
    <row r="3356" spans="1:13" x14ac:dyDescent="0.25">
      <c r="A3356" s="675" t="s">
        <v>2724</v>
      </c>
      <c r="B3356" s="675" t="s">
        <v>512</v>
      </c>
      <c r="C3356" s="676" t="s">
        <v>3245</v>
      </c>
      <c r="D3356" s="675"/>
      <c r="E3356" s="702"/>
      <c r="F3356" s="702"/>
      <c r="G3356" s="675"/>
      <c r="H3356" s="675"/>
      <c r="I3356" s="675"/>
      <c r="J3356" s="675"/>
      <c r="K3356" s="675"/>
      <c r="L3356" s="675"/>
      <c r="M3356" s="675"/>
    </row>
    <row r="3357" spans="1:13" x14ac:dyDescent="0.25">
      <c r="A3357" s="675" t="s">
        <v>2724</v>
      </c>
      <c r="B3357" s="675" t="s">
        <v>512</v>
      </c>
      <c r="C3357" s="676" t="s">
        <v>3246</v>
      </c>
      <c r="D3357" s="675"/>
      <c r="E3357" s="702"/>
      <c r="F3357" s="702"/>
      <c r="G3357" s="675"/>
      <c r="H3357" s="675"/>
      <c r="I3357" s="675"/>
      <c r="J3357" s="675"/>
      <c r="K3357" s="675"/>
      <c r="L3357" s="675"/>
      <c r="M3357" s="675"/>
    </row>
    <row r="3358" spans="1:13" x14ac:dyDescent="0.25">
      <c r="A3358" s="675" t="s">
        <v>2724</v>
      </c>
      <c r="B3358" s="675" t="s">
        <v>512</v>
      </c>
      <c r="C3358" s="676" t="s">
        <v>3247</v>
      </c>
      <c r="D3358" s="675"/>
      <c r="E3358" s="702"/>
      <c r="F3358" s="702"/>
      <c r="G3358" s="675"/>
      <c r="H3358" s="675"/>
      <c r="I3358" s="675"/>
      <c r="J3358" s="675"/>
      <c r="K3358" s="675"/>
      <c r="L3358" s="675"/>
      <c r="M3358" s="675"/>
    </row>
    <row r="3359" spans="1:13" x14ac:dyDescent="0.25">
      <c r="A3359" s="675" t="s">
        <v>2724</v>
      </c>
      <c r="B3359" s="675" t="s">
        <v>512</v>
      </c>
      <c r="C3359" s="676" t="s">
        <v>3248</v>
      </c>
      <c r="D3359" s="675"/>
      <c r="E3359" s="702"/>
      <c r="F3359" s="702"/>
      <c r="G3359" s="675"/>
      <c r="H3359" s="675"/>
      <c r="I3359" s="675"/>
      <c r="J3359" s="675"/>
      <c r="K3359" s="675"/>
      <c r="L3359" s="675"/>
      <c r="M3359" s="675"/>
    </row>
    <row r="3360" spans="1:13" x14ac:dyDescent="0.25">
      <c r="A3360" s="675" t="s">
        <v>3249</v>
      </c>
      <c r="B3360" s="675" t="s">
        <v>545</v>
      </c>
      <c r="C3360" s="676" t="s">
        <v>3250</v>
      </c>
      <c r="D3360" s="675"/>
      <c r="E3360" s="702"/>
      <c r="F3360" s="702"/>
      <c r="G3360" s="675"/>
      <c r="H3360" s="675"/>
      <c r="I3360" s="675"/>
      <c r="J3360" s="675"/>
      <c r="K3360" s="675"/>
      <c r="L3360" s="675"/>
      <c r="M3360" s="675"/>
    </row>
    <row r="3361" spans="1:13" ht="30" x14ac:dyDescent="0.25">
      <c r="A3361" s="675" t="s">
        <v>3249</v>
      </c>
      <c r="B3361" s="675" t="s">
        <v>545</v>
      </c>
      <c r="C3361" s="676" t="s">
        <v>3251</v>
      </c>
      <c r="D3361" s="675"/>
      <c r="E3361" s="702"/>
      <c r="F3361" s="702"/>
      <c r="G3361" s="675"/>
      <c r="H3361" s="675"/>
      <c r="I3361" s="675"/>
      <c r="J3361" s="675"/>
      <c r="K3361" s="675"/>
      <c r="L3361" s="675"/>
      <c r="M3361" s="675"/>
    </row>
    <row r="3362" spans="1:13" x14ac:dyDescent="0.25">
      <c r="A3362" s="675" t="s">
        <v>3249</v>
      </c>
      <c r="B3362" s="675" t="s">
        <v>545</v>
      </c>
      <c r="C3362" s="676" t="s">
        <v>3252</v>
      </c>
      <c r="D3362" s="675"/>
      <c r="E3362" s="702"/>
      <c r="F3362" s="702"/>
      <c r="G3362" s="675"/>
      <c r="H3362" s="675"/>
      <c r="I3362" s="675"/>
      <c r="J3362" s="675"/>
      <c r="K3362" s="675"/>
      <c r="L3362" s="675"/>
      <c r="M3362" s="675"/>
    </row>
    <row r="3363" spans="1:13" ht="30" x14ac:dyDescent="0.25">
      <c r="A3363" s="675" t="s">
        <v>3249</v>
      </c>
      <c r="B3363" s="675" t="s">
        <v>545</v>
      </c>
      <c r="C3363" s="676" t="s">
        <v>3253</v>
      </c>
      <c r="D3363" s="675"/>
      <c r="E3363" s="702"/>
      <c r="F3363" s="702"/>
      <c r="G3363" s="675"/>
      <c r="H3363" s="675"/>
      <c r="I3363" s="675"/>
      <c r="J3363" s="675"/>
      <c r="K3363" s="675"/>
      <c r="L3363" s="675"/>
      <c r="M3363" s="675"/>
    </row>
    <row r="3364" spans="1:13" x14ac:dyDescent="0.25">
      <c r="A3364" s="675" t="s">
        <v>3249</v>
      </c>
      <c r="B3364" s="675" t="s">
        <v>545</v>
      </c>
      <c r="C3364" s="676" t="s">
        <v>3254</v>
      </c>
      <c r="D3364" s="675"/>
      <c r="E3364" s="702"/>
      <c r="F3364" s="702"/>
      <c r="G3364" s="675"/>
      <c r="H3364" s="675"/>
      <c r="I3364" s="675"/>
      <c r="J3364" s="675"/>
      <c r="K3364" s="675"/>
      <c r="L3364" s="675"/>
      <c r="M3364" s="675"/>
    </row>
    <row r="3365" spans="1:13" x14ac:dyDescent="0.25">
      <c r="A3365" s="675" t="s">
        <v>3249</v>
      </c>
      <c r="B3365" s="675" t="s">
        <v>564</v>
      </c>
      <c r="C3365" s="676" t="s">
        <v>3255</v>
      </c>
      <c r="D3365" s="675"/>
      <c r="E3365" s="702"/>
      <c r="F3365" s="702"/>
      <c r="G3365" s="675"/>
      <c r="H3365" s="675"/>
      <c r="I3365" s="675"/>
      <c r="J3365" s="675"/>
      <c r="K3365" s="675"/>
      <c r="L3365" s="675"/>
      <c r="M3365" s="675"/>
    </row>
    <row r="3366" spans="1:13" ht="30" x14ac:dyDescent="0.25">
      <c r="A3366" s="675" t="s">
        <v>3249</v>
      </c>
      <c r="B3366" s="675" t="s">
        <v>564</v>
      </c>
      <c r="C3366" s="676" t="s">
        <v>3256</v>
      </c>
      <c r="D3366" s="675"/>
      <c r="E3366" s="702"/>
      <c r="F3366" s="702"/>
      <c r="G3366" s="675"/>
      <c r="H3366" s="675"/>
      <c r="I3366" s="675"/>
      <c r="J3366" s="675"/>
      <c r="K3366" s="675"/>
      <c r="L3366" s="675"/>
      <c r="M3366" s="675"/>
    </row>
    <row r="3367" spans="1:13" x14ac:dyDescent="0.25">
      <c r="A3367" s="675" t="s">
        <v>3249</v>
      </c>
      <c r="B3367" s="675" t="s">
        <v>564</v>
      </c>
      <c r="C3367" s="676" t="s">
        <v>3257</v>
      </c>
      <c r="D3367" s="675"/>
      <c r="E3367" s="702"/>
      <c r="F3367" s="702"/>
      <c r="G3367" s="675"/>
      <c r="H3367" s="675"/>
      <c r="I3367" s="675"/>
      <c r="J3367" s="675"/>
      <c r="K3367" s="675"/>
      <c r="L3367" s="675"/>
      <c r="M3367" s="675"/>
    </row>
    <row r="3368" spans="1:13" x14ac:dyDescent="0.25">
      <c r="A3368" s="675" t="s">
        <v>3249</v>
      </c>
      <c r="B3368" s="675" t="s">
        <v>564</v>
      </c>
      <c r="C3368" s="676" t="s">
        <v>3258</v>
      </c>
      <c r="D3368" s="675"/>
      <c r="E3368" s="702"/>
      <c r="F3368" s="702"/>
      <c r="G3368" s="675"/>
      <c r="H3368" s="675"/>
      <c r="I3368" s="675"/>
      <c r="J3368" s="675"/>
      <c r="K3368" s="675"/>
      <c r="L3368" s="675"/>
      <c r="M3368" s="675"/>
    </row>
    <row r="3369" spans="1:13" x14ac:dyDescent="0.25">
      <c r="A3369" s="675" t="s">
        <v>3249</v>
      </c>
      <c r="B3369" s="675" t="s">
        <v>564</v>
      </c>
      <c r="C3369" s="676" t="s">
        <v>3259</v>
      </c>
      <c r="D3369" s="675"/>
      <c r="E3369" s="702"/>
      <c r="F3369" s="702"/>
      <c r="G3369" s="675"/>
      <c r="H3369" s="675"/>
      <c r="I3369" s="675"/>
      <c r="J3369" s="675"/>
      <c r="K3369" s="675"/>
      <c r="L3369" s="675"/>
      <c r="M3369" s="675"/>
    </row>
    <row r="3370" spans="1:13" x14ac:dyDescent="0.25">
      <c r="A3370" s="675" t="s">
        <v>3249</v>
      </c>
      <c r="B3370" s="675" t="s">
        <v>512</v>
      </c>
      <c r="C3370" s="676" t="s">
        <v>3260</v>
      </c>
      <c r="D3370" s="675"/>
      <c r="E3370" s="702"/>
      <c r="F3370" s="702"/>
      <c r="G3370" s="675"/>
      <c r="H3370" s="675"/>
      <c r="I3370" s="675"/>
      <c r="J3370" s="675"/>
      <c r="K3370" s="675"/>
      <c r="L3370" s="675"/>
      <c r="M3370" s="675"/>
    </row>
    <row r="3371" spans="1:13" x14ac:dyDescent="0.25">
      <c r="A3371" s="675" t="s">
        <v>3249</v>
      </c>
      <c r="B3371" s="675" t="s">
        <v>512</v>
      </c>
      <c r="C3371" s="676" t="s">
        <v>3261</v>
      </c>
      <c r="D3371" s="675"/>
      <c r="E3371" s="702"/>
      <c r="F3371" s="702"/>
      <c r="G3371" s="675"/>
      <c r="H3371" s="675"/>
      <c r="I3371" s="675"/>
      <c r="J3371" s="675"/>
      <c r="K3371" s="675"/>
      <c r="L3371" s="675"/>
      <c r="M3371" s="675"/>
    </row>
    <row r="3372" spans="1:13" x14ac:dyDescent="0.25">
      <c r="A3372" s="675" t="s">
        <v>3249</v>
      </c>
      <c r="B3372" s="675" t="s">
        <v>512</v>
      </c>
      <c r="C3372" s="676" t="s">
        <v>3262</v>
      </c>
      <c r="D3372" s="675"/>
      <c r="E3372" s="702"/>
      <c r="F3372" s="702"/>
      <c r="G3372" s="675"/>
      <c r="H3372" s="675"/>
      <c r="I3372" s="675"/>
      <c r="J3372" s="675"/>
      <c r="K3372" s="675"/>
      <c r="L3372" s="675"/>
      <c r="M3372" s="675"/>
    </row>
    <row r="3373" spans="1:13" x14ac:dyDescent="0.25">
      <c r="A3373" s="675" t="s">
        <v>3249</v>
      </c>
      <c r="B3373" s="675" t="s">
        <v>512</v>
      </c>
      <c r="C3373" s="676" t="s">
        <v>3263</v>
      </c>
      <c r="D3373" s="675"/>
      <c r="E3373" s="702"/>
      <c r="F3373" s="702"/>
      <c r="G3373" s="675"/>
      <c r="H3373" s="675"/>
      <c r="I3373" s="675"/>
      <c r="J3373" s="675"/>
      <c r="K3373" s="675"/>
      <c r="L3373" s="675"/>
      <c r="M3373" s="675"/>
    </row>
    <row r="3374" spans="1:13" x14ac:dyDescent="0.25">
      <c r="A3374" s="675" t="s">
        <v>3249</v>
      </c>
      <c r="B3374" s="675" t="s">
        <v>512</v>
      </c>
      <c r="C3374" s="676" t="s">
        <v>3264</v>
      </c>
      <c r="D3374" s="675"/>
      <c r="E3374" s="702"/>
      <c r="F3374" s="702"/>
      <c r="G3374" s="675"/>
      <c r="H3374" s="675"/>
      <c r="I3374" s="675"/>
      <c r="J3374" s="675"/>
      <c r="K3374" s="675"/>
      <c r="L3374" s="675"/>
      <c r="M3374" s="675"/>
    </row>
    <row r="3375" spans="1:13" x14ac:dyDescent="0.25">
      <c r="A3375" s="675" t="s">
        <v>3265</v>
      </c>
      <c r="B3375" s="675" t="s">
        <v>545</v>
      </c>
      <c r="C3375" s="676" t="s">
        <v>3266</v>
      </c>
      <c r="D3375" s="675"/>
      <c r="E3375" s="702"/>
      <c r="F3375" s="702"/>
      <c r="G3375" s="675"/>
      <c r="H3375" s="675"/>
      <c r="I3375" s="675"/>
      <c r="J3375" s="675"/>
      <c r="K3375" s="675"/>
      <c r="L3375" s="675"/>
      <c r="M3375" s="675"/>
    </row>
    <row r="3376" spans="1:13" x14ac:dyDescent="0.25">
      <c r="A3376" s="675" t="s">
        <v>3265</v>
      </c>
      <c r="B3376" s="675" t="s">
        <v>545</v>
      </c>
      <c r="C3376" s="676" t="s">
        <v>3267</v>
      </c>
      <c r="D3376" s="675"/>
      <c r="E3376" s="702"/>
      <c r="F3376" s="702"/>
      <c r="G3376" s="675"/>
      <c r="H3376" s="675"/>
      <c r="I3376" s="675"/>
      <c r="J3376" s="675"/>
      <c r="K3376" s="675"/>
      <c r="L3376" s="675"/>
      <c r="M3376" s="675"/>
    </row>
    <row r="3377" spans="1:13" x14ac:dyDescent="0.25">
      <c r="A3377" s="675" t="s">
        <v>3265</v>
      </c>
      <c r="B3377" s="675" t="s">
        <v>545</v>
      </c>
      <c r="C3377" s="676" t="s">
        <v>3268</v>
      </c>
      <c r="D3377" s="675"/>
      <c r="E3377" s="702"/>
      <c r="F3377" s="702"/>
      <c r="G3377" s="675"/>
      <c r="H3377" s="675"/>
      <c r="I3377" s="675"/>
      <c r="J3377" s="675"/>
      <c r="K3377" s="675"/>
      <c r="L3377" s="675"/>
      <c r="M3377" s="675"/>
    </row>
    <row r="3378" spans="1:13" ht="30" x14ac:dyDescent="0.25">
      <c r="A3378" s="675" t="s">
        <v>3265</v>
      </c>
      <c r="B3378" s="675" t="s">
        <v>545</v>
      </c>
      <c r="C3378" s="676" t="s">
        <v>3269</v>
      </c>
      <c r="D3378" s="675"/>
      <c r="E3378" s="702"/>
      <c r="F3378" s="702"/>
      <c r="G3378" s="675"/>
      <c r="H3378" s="675"/>
      <c r="I3378" s="675"/>
      <c r="J3378" s="675"/>
      <c r="K3378" s="675"/>
      <c r="L3378" s="675"/>
      <c r="M3378" s="675"/>
    </row>
    <row r="3379" spans="1:13" x14ac:dyDescent="0.25">
      <c r="A3379" s="675" t="s">
        <v>3265</v>
      </c>
      <c r="B3379" s="675" t="s">
        <v>545</v>
      </c>
      <c r="C3379" s="676" t="s">
        <v>3270</v>
      </c>
      <c r="D3379" s="675"/>
      <c r="E3379" s="702"/>
      <c r="F3379" s="702"/>
      <c r="G3379" s="675"/>
      <c r="H3379" s="675"/>
      <c r="I3379" s="675"/>
      <c r="J3379" s="675"/>
      <c r="K3379" s="675"/>
      <c r="L3379" s="675"/>
      <c r="M3379" s="675"/>
    </row>
    <row r="3380" spans="1:13" ht="30" x14ac:dyDescent="0.25">
      <c r="A3380" s="675" t="s">
        <v>3265</v>
      </c>
      <c r="B3380" s="675" t="s">
        <v>564</v>
      </c>
      <c r="C3380" s="676" t="s">
        <v>3271</v>
      </c>
      <c r="D3380" s="675"/>
      <c r="E3380" s="702"/>
      <c r="F3380" s="702"/>
      <c r="G3380" s="675"/>
      <c r="H3380" s="675"/>
      <c r="I3380" s="675"/>
      <c r="J3380" s="675"/>
      <c r="K3380" s="675"/>
      <c r="L3380" s="675"/>
      <c r="M3380" s="675"/>
    </row>
    <row r="3381" spans="1:13" x14ac:dyDescent="0.25">
      <c r="A3381" s="675" t="s">
        <v>3265</v>
      </c>
      <c r="B3381" s="675" t="s">
        <v>564</v>
      </c>
      <c r="C3381" s="676" t="s">
        <v>3272</v>
      </c>
      <c r="D3381" s="675"/>
      <c r="E3381" s="702"/>
      <c r="F3381" s="702"/>
      <c r="G3381" s="675"/>
      <c r="H3381" s="675"/>
      <c r="I3381" s="675"/>
      <c r="J3381" s="675"/>
      <c r="K3381" s="675"/>
      <c r="L3381" s="675"/>
      <c r="M3381" s="675"/>
    </row>
    <row r="3382" spans="1:13" x14ac:dyDescent="0.25">
      <c r="A3382" s="675" t="s">
        <v>3265</v>
      </c>
      <c r="B3382" s="675" t="s">
        <v>564</v>
      </c>
      <c r="C3382" s="676" t="s">
        <v>3273</v>
      </c>
      <c r="D3382" s="675"/>
      <c r="E3382" s="702"/>
      <c r="F3382" s="702"/>
      <c r="G3382" s="675"/>
      <c r="H3382" s="675"/>
      <c r="I3382" s="675"/>
      <c r="J3382" s="675"/>
      <c r="K3382" s="675"/>
      <c r="L3382" s="675"/>
      <c r="M3382" s="675"/>
    </row>
    <row r="3383" spans="1:13" x14ac:dyDescent="0.25">
      <c r="A3383" s="675" t="s">
        <v>3265</v>
      </c>
      <c r="B3383" s="675" t="s">
        <v>564</v>
      </c>
      <c r="C3383" s="676" t="s">
        <v>3274</v>
      </c>
      <c r="D3383" s="675"/>
      <c r="E3383" s="702"/>
      <c r="F3383" s="702"/>
      <c r="G3383" s="675"/>
      <c r="H3383" s="675"/>
      <c r="I3383" s="675"/>
      <c r="J3383" s="675"/>
      <c r="K3383" s="675"/>
      <c r="L3383" s="675"/>
      <c r="M3383" s="675"/>
    </row>
    <row r="3384" spans="1:13" ht="30" x14ac:dyDescent="0.25">
      <c r="A3384" s="675" t="s">
        <v>3265</v>
      </c>
      <c r="B3384" s="675" t="s">
        <v>564</v>
      </c>
      <c r="C3384" s="676" t="s">
        <v>3275</v>
      </c>
      <c r="D3384" s="675"/>
      <c r="E3384" s="702"/>
      <c r="F3384" s="702"/>
      <c r="G3384" s="675"/>
      <c r="H3384" s="675"/>
      <c r="I3384" s="675"/>
      <c r="J3384" s="675"/>
      <c r="K3384" s="675"/>
      <c r="L3384" s="675"/>
      <c r="M3384" s="675"/>
    </row>
    <row r="3385" spans="1:13" x14ac:dyDescent="0.25">
      <c r="A3385" s="675" t="s">
        <v>3265</v>
      </c>
      <c r="B3385" s="675" t="s">
        <v>512</v>
      </c>
      <c r="C3385" s="676" t="s">
        <v>3276</v>
      </c>
      <c r="D3385" s="675"/>
      <c r="E3385" s="702"/>
      <c r="F3385" s="702"/>
      <c r="G3385" s="675"/>
      <c r="H3385" s="675"/>
      <c r="I3385" s="675"/>
      <c r="J3385" s="675"/>
      <c r="K3385" s="675"/>
      <c r="L3385" s="675"/>
      <c r="M3385" s="675"/>
    </row>
    <row r="3386" spans="1:13" x14ac:dyDescent="0.25">
      <c r="A3386" s="675" t="s">
        <v>3265</v>
      </c>
      <c r="B3386" s="675" t="s">
        <v>512</v>
      </c>
      <c r="C3386" s="676" t="s">
        <v>3277</v>
      </c>
      <c r="D3386" s="675"/>
      <c r="E3386" s="702"/>
      <c r="F3386" s="702"/>
      <c r="G3386" s="675"/>
      <c r="H3386" s="675"/>
      <c r="I3386" s="675"/>
      <c r="J3386" s="675"/>
      <c r="K3386" s="675"/>
      <c r="L3386" s="675"/>
      <c r="M3386" s="675"/>
    </row>
    <row r="3387" spans="1:13" x14ac:dyDescent="0.25">
      <c r="A3387" s="675" t="s">
        <v>3265</v>
      </c>
      <c r="B3387" s="675" t="s">
        <v>512</v>
      </c>
      <c r="C3387" s="676" t="s">
        <v>3278</v>
      </c>
      <c r="D3387" s="675"/>
      <c r="E3387" s="702"/>
      <c r="F3387" s="702"/>
      <c r="G3387" s="675"/>
      <c r="H3387" s="675"/>
      <c r="I3387" s="675"/>
      <c r="J3387" s="675"/>
      <c r="K3387" s="675"/>
      <c r="L3387" s="675"/>
      <c r="M3387" s="675"/>
    </row>
    <row r="3388" spans="1:13" x14ac:dyDescent="0.25">
      <c r="A3388" s="675" t="s">
        <v>3265</v>
      </c>
      <c r="B3388" s="675" t="s">
        <v>512</v>
      </c>
      <c r="C3388" s="676" t="s">
        <v>3279</v>
      </c>
      <c r="D3388" s="675"/>
      <c r="E3388" s="702"/>
      <c r="F3388" s="702"/>
      <c r="G3388" s="675"/>
      <c r="H3388" s="675"/>
      <c r="I3388" s="675"/>
      <c r="J3388" s="675"/>
      <c r="K3388" s="675"/>
      <c r="L3388" s="675"/>
      <c r="M3388" s="675"/>
    </row>
    <row r="3389" spans="1:13" x14ac:dyDescent="0.25">
      <c r="A3389" s="675" t="s">
        <v>3265</v>
      </c>
      <c r="B3389" s="675" t="s">
        <v>512</v>
      </c>
      <c r="C3389" s="676" t="s">
        <v>3280</v>
      </c>
      <c r="D3389" s="675"/>
      <c r="E3389" s="702"/>
      <c r="F3389" s="702"/>
      <c r="G3389" s="675"/>
      <c r="H3389" s="675"/>
      <c r="I3389" s="675"/>
      <c r="J3389" s="675"/>
      <c r="K3389" s="675"/>
      <c r="L3389" s="675"/>
      <c r="M3389" s="675"/>
    </row>
    <row r="3390" spans="1:13" ht="30" x14ac:dyDescent="0.25">
      <c r="A3390" s="675" t="s">
        <v>2739</v>
      </c>
      <c r="B3390" s="675" t="s">
        <v>545</v>
      </c>
      <c r="C3390" s="676" t="s">
        <v>3281</v>
      </c>
      <c r="D3390" s="675"/>
      <c r="E3390" s="702"/>
      <c r="F3390" s="702"/>
      <c r="G3390" s="675"/>
      <c r="H3390" s="675"/>
      <c r="I3390" s="675"/>
      <c r="J3390" s="675"/>
      <c r="K3390" s="675"/>
      <c r="L3390" s="675"/>
      <c r="M3390" s="675"/>
    </row>
    <row r="3391" spans="1:13" ht="30" x14ac:dyDescent="0.25">
      <c r="A3391" s="675" t="s">
        <v>2739</v>
      </c>
      <c r="B3391" s="675" t="s">
        <v>545</v>
      </c>
      <c r="C3391" s="676" t="s">
        <v>3282</v>
      </c>
      <c r="D3391" s="675"/>
      <c r="E3391" s="702"/>
      <c r="F3391" s="702"/>
      <c r="G3391" s="675"/>
      <c r="H3391" s="675"/>
      <c r="I3391" s="675"/>
      <c r="J3391" s="675"/>
      <c r="K3391" s="675"/>
      <c r="L3391" s="675"/>
      <c r="M3391" s="675"/>
    </row>
    <row r="3392" spans="1:13" ht="30" x14ac:dyDescent="0.25">
      <c r="A3392" s="675" t="s">
        <v>2739</v>
      </c>
      <c r="B3392" s="675" t="s">
        <v>545</v>
      </c>
      <c r="C3392" s="676" t="s">
        <v>3283</v>
      </c>
      <c r="D3392" s="675"/>
      <c r="E3392" s="702"/>
      <c r="F3392" s="702"/>
      <c r="G3392" s="675"/>
      <c r="H3392" s="675"/>
      <c r="I3392" s="675"/>
      <c r="J3392" s="675"/>
      <c r="K3392" s="675"/>
      <c r="L3392" s="675"/>
      <c r="M3392" s="675"/>
    </row>
    <row r="3393" spans="1:13" x14ac:dyDescent="0.25">
      <c r="A3393" s="675" t="s">
        <v>2739</v>
      </c>
      <c r="B3393" s="675" t="s">
        <v>545</v>
      </c>
      <c r="C3393" s="676" t="s">
        <v>3284</v>
      </c>
      <c r="D3393" s="675"/>
      <c r="E3393" s="702"/>
      <c r="F3393" s="702"/>
      <c r="G3393" s="675"/>
      <c r="H3393" s="675"/>
      <c r="I3393" s="675"/>
      <c r="J3393" s="675"/>
      <c r="K3393" s="675"/>
      <c r="L3393" s="675"/>
      <c r="M3393" s="675"/>
    </row>
    <row r="3394" spans="1:13" ht="30" x14ac:dyDescent="0.25">
      <c r="A3394" s="675" t="s">
        <v>2739</v>
      </c>
      <c r="B3394" s="675" t="s">
        <v>545</v>
      </c>
      <c r="C3394" s="676" t="s">
        <v>3285</v>
      </c>
      <c r="D3394" s="675"/>
      <c r="E3394" s="702"/>
      <c r="F3394" s="702"/>
      <c r="G3394" s="675"/>
      <c r="H3394" s="675"/>
      <c r="I3394" s="675"/>
      <c r="J3394" s="675"/>
      <c r="K3394" s="675"/>
      <c r="L3394" s="675"/>
      <c r="M3394" s="675"/>
    </row>
    <row r="3395" spans="1:13" ht="30" x14ac:dyDescent="0.25">
      <c r="A3395" s="675" t="s">
        <v>2739</v>
      </c>
      <c r="B3395" s="675" t="s">
        <v>564</v>
      </c>
      <c r="C3395" s="676" t="s">
        <v>3286</v>
      </c>
      <c r="D3395" s="675"/>
      <c r="E3395" s="702"/>
      <c r="F3395" s="702"/>
      <c r="G3395" s="675"/>
      <c r="H3395" s="675"/>
      <c r="I3395" s="675"/>
      <c r="J3395" s="675"/>
      <c r="K3395" s="675"/>
      <c r="L3395" s="675"/>
      <c r="M3395" s="675"/>
    </row>
    <row r="3396" spans="1:13" x14ac:dyDescent="0.25">
      <c r="A3396" s="675" t="s">
        <v>2739</v>
      </c>
      <c r="B3396" s="675" t="s">
        <v>564</v>
      </c>
      <c r="C3396" s="676" t="s">
        <v>3287</v>
      </c>
      <c r="D3396" s="675"/>
      <c r="E3396" s="702"/>
      <c r="F3396" s="702"/>
      <c r="G3396" s="675"/>
      <c r="H3396" s="675"/>
      <c r="I3396" s="675"/>
      <c r="J3396" s="675"/>
      <c r="K3396" s="675"/>
      <c r="L3396" s="675"/>
      <c r="M3396" s="675"/>
    </row>
    <row r="3397" spans="1:13" ht="30" x14ac:dyDescent="0.25">
      <c r="A3397" s="675" t="s">
        <v>2739</v>
      </c>
      <c r="B3397" s="675" t="s">
        <v>564</v>
      </c>
      <c r="C3397" s="676" t="s">
        <v>3288</v>
      </c>
      <c r="D3397" s="675"/>
      <c r="E3397" s="702"/>
      <c r="F3397" s="702"/>
      <c r="G3397" s="675"/>
      <c r="H3397" s="675"/>
      <c r="I3397" s="675"/>
      <c r="J3397" s="675"/>
      <c r="K3397" s="675"/>
      <c r="L3397" s="675"/>
      <c r="M3397" s="675"/>
    </row>
    <row r="3398" spans="1:13" x14ac:dyDescent="0.25">
      <c r="A3398" s="675" t="s">
        <v>2739</v>
      </c>
      <c r="B3398" s="675" t="s">
        <v>564</v>
      </c>
      <c r="C3398" s="676" t="s">
        <v>3289</v>
      </c>
      <c r="D3398" s="675"/>
      <c r="E3398" s="702"/>
      <c r="F3398" s="702"/>
      <c r="G3398" s="675"/>
      <c r="H3398" s="675"/>
      <c r="I3398" s="675"/>
      <c r="J3398" s="675"/>
      <c r="K3398" s="675"/>
      <c r="L3398" s="675"/>
      <c r="M3398" s="675"/>
    </row>
    <row r="3399" spans="1:13" x14ac:dyDescent="0.25">
      <c r="A3399" s="675" t="s">
        <v>2739</v>
      </c>
      <c r="B3399" s="675" t="s">
        <v>564</v>
      </c>
      <c r="C3399" s="676" t="s">
        <v>3290</v>
      </c>
      <c r="D3399" s="675"/>
      <c r="E3399" s="702"/>
      <c r="F3399" s="702"/>
      <c r="G3399" s="675"/>
      <c r="H3399" s="675"/>
      <c r="I3399" s="675"/>
      <c r="J3399" s="675"/>
      <c r="K3399" s="675"/>
      <c r="L3399" s="675"/>
      <c r="M3399" s="675"/>
    </row>
    <row r="3400" spans="1:13" ht="30" x14ac:dyDescent="0.25">
      <c r="A3400" s="675" t="s">
        <v>2739</v>
      </c>
      <c r="B3400" s="675" t="s">
        <v>512</v>
      </c>
      <c r="C3400" s="676" t="s">
        <v>3291</v>
      </c>
      <c r="D3400" s="675"/>
      <c r="E3400" s="702"/>
      <c r="F3400" s="702"/>
      <c r="G3400" s="675"/>
      <c r="H3400" s="675"/>
      <c r="I3400" s="675"/>
      <c r="J3400" s="675"/>
      <c r="K3400" s="675"/>
      <c r="L3400" s="675"/>
      <c r="M3400" s="675"/>
    </row>
    <row r="3401" spans="1:13" ht="30" x14ac:dyDescent="0.25">
      <c r="A3401" s="675" t="s">
        <v>2739</v>
      </c>
      <c r="B3401" s="675" t="s">
        <v>512</v>
      </c>
      <c r="C3401" s="676" t="s">
        <v>3292</v>
      </c>
      <c r="D3401" s="675"/>
      <c r="E3401" s="702"/>
      <c r="F3401" s="702"/>
      <c r="G3401" s="675"/>
      <c r="H3401" s="675"/>
      <c r="I3401" s="675"/>
      <c r="J3401" s="675"/>
      <c r="K3401" s="675"/>
      <c r="L3401" s="675"/>
      <c r="M3401" s="675"/>
    </row>
    <row r="3402" spans="1:13" x14ac:dyDescent="0.25">
      <c r="A3402" s="675" t="s">
        <v>2739</v>
      </c>
      <c r="B3402" s="675" t="s">
        <v>512</v>
      </c>
      <c r="C3402" s="676" t="s">
        <v>3293</v>
      </c>
      <c r="D3402" s="675"/>
      <c r="E3402" s="702"/>
      <c r="F3402" s="702"/>
      <c r="G3402" s="675"/>
      <c r="H3402" s="675"/>
      <c r="I3402" s="675"/>
      <c r="J3402" s="675"/>
      <c r="K3402" s="675"/>
      <c r="L3402" s="675"/>
      <c r="M3402" s="675"/>
    </row>
    <row r="3403" spans="1:13" x14ac:dyDescent="0.25">
      <c r="A3403" s="675" t="s">
        <v>2739</v>
      </c>
      <c r="B3403" s="675" t="s">
        <v>512</v>
      </c>
      <c r="C3403" s="676" t="s">
        <v>3294</v>
      </c>
      <c r="D3403" s="675"/>
      <c r="E3403" s="702"/>
      <c r="F3403" s="702"/>
      <c r="G3403" s="675"/>
      <c r="H3403" s="675"/>
      <c r="I3403" s="675"/>
      <c r="J3403" s="675"/>
      <c r="K3403" s="675"/>
      <c r="L3403" s="675"/>
      <c r="M3403" s="675"/>
    </row>
    <row r="3404" spans="1:13" ht="30" x14ac:dyDescent="0.25">
      <c r="A3404" s="675" t="s">
        <v>2739</v>
      </c>
      <c r="B3404" s="675" t="s">
        <v>512</v>
      </c>
      <c r="C3404" s="676" t="s">
        <v>3295</v>
      </c>
      <c r="D3404" s="675"/>
      <c r="E3404" s="702"/>
      <c r="F3404" s="702"/>
      <c r="G3404" s="675"/>
      <c r="H3404" s="675"/>
      <c r="I3404" s="675"/>
      <c r="J3404" s="675"/>
      <c r="K3404" s="675"/>
      <c r="L3404" s="675"/>
      <c r="M3404" s="675"/>
    </row>
    <row r="3405" spans="1:13" x14ac:dyDescent="0.25">
      <c r="A3405" s="675" t="s">
        <v>3296</v>
      </c>
      <c r="B3405" s="675" t="s">
        <v>545</v>
      </c>
      <c r="C3405" s="676" t="s">
        <v>3297</v>
      </c>
      <c r="D3405" s="675"/>
      <c r="E3405" s="702"/>
      <c r="F3405" s="702"/>
      <c r="G3405" s="675"/>
      <c r="H3405" s="675"/>
      <c r="I3405" s="675"/>
      <c r="J3405" s="675"/>
      <c r="K3405" s="675"/>
      <c r="L3405" s="675"/>
      <c r="M3405" s="675"/>
    </row>
    <row r="3406" spans="1:13" x14ac:dyDescent="0.25">
      <c r="A3406" s="675" t="s">
        <v>3296</v>
      </c>
      <c r="B3406" s="675" t="s">
        <v>545</v>
      </c>
      <c r="C3406" s="676" t="s">
        <v>3298</v>
      </c>
      <c r="D3406" s="675"/>
      <c r="E3406" s="702"/>
      <c r="F3406" s="702"/>
      <c r="G3406" s="675"/>
      <c r="H3406" s="675"/>
      <c r="I3406" s="675"/>
      <c r="J3406" s="675"/>
      <c r="K3406" s="675"/>
      <c r="L3406" s="675"/>
      <c r="M3406" s="675"/>
    </row>
    <row r="3407" spans="1:13" x14ac:dyDescent="0.25">
      <c r="A3407" s="675" t="s">
        <v>3296</v>
      </c>
      <c r="B3407" s="675" t="s">
        <v>545</v>
      </c>
      <c r="C3407" s="676" t="s">
        <v>3299</v>
      </c>
      <c r="D3407" s="675"/>
      <c r="E3407" s="702"/>
      <c r="F3407" s="702"/>
      <c r="G3407" s="675"/>
      <c r="H3407" s="675"/>
      <c r="I3407" s="675"/>
      <c r="J3407" s="675"/>
      <c r="K3407" s="675"/>
      <c r="L3407" s="675"/>
      <c r="M3407" s="675"/>
    </row>
    <row r="3408" spans="1:13" ht="30" x14ac:dyDescent="0.25">
      <c r="A3408" s="675" t="s">
        <v>3296</v>
      </c>
      <c r="B3408" s="675" t="s">
        <v>545</v>
      </c>
      <c r="C3408" s="676" t="s">
        <v>3300</v>
      </c>
      <c r="D3408" s="675"/>
      <c r="E3408" s="702"/>
      <c r="F3408" s="702"/>
      <c r="G3408" s="675"/>
      <c r="H3408" s="675"/>
      <c r="I3408" s="675"/>
      <c r="J3408" s="675"/>
      <c r="K3408" s="675"/>
      <c r="L3408" s="675"/>
      <c r="M3408" s="675"/>
    </row>
    <row r="3409" spans="1:13" ht="30" x14ac:dyDescent="0.25">
      <c r="A3409" s="675" t="s">
        <v>3296</v>
      </c>
      <c r="B3409" s="675" t="s">
        <v>545</v>
      </c>
      <c r="C3409" s="676" t="s">
        <v>3301</v>
      </c>
      <c r="D3409" s="675"/>
      <c r="E3409" s="702"/>
      <c r="F3409" s="702"/>
      <c r="G3409" s="675"/>
      <c r="H3409" s="675"/>
      <c r="I3409" s="675"/>
      <c r="J3409" s="675"/>
      <c r="K3409" s="675"/>
      <c r="L3409" s="675"/>
      <c r="M3409" s="675"/>
    </row>
    <row r="3410" spans="1:13" ht="30" x14ac:dyDescent="0.25">
      <c r="A3410" s="675" t="s">
        <v>3296</v>
      </c>
      <c r="B3410" s="675" t="s">
        <v>564</v>
      </c>
      <c r="C3410" s="676" t="s">
        <v>3302</v>
      </c>
      <c r="D3410" s="675"/>
      <c r="E3410" s="702"/>
      <c r="F3410" s="702"/>
      <c r="G3410" s="675"/>
      <c r="H3410" s="675"/>
      <c r="I3410" s="675"/>
      <c r="J3410" s="675"/>
      <c r="K3410" s="675"/>
      <c r="L3410" s="675"/>
      <c r="M3410" s="675"/>
    </row>
    <row r="3411" spans="1:13" x14ac:dyDescent="0.25">
      <c r="A3411" s="675" t="s">
        <v>3296</v>
      </c>
      <c r="B3411" s="675" t="s">
        <v>564</v>
      </c>
      <c r="C3411" s="676" t="s">
        <v>3303</v>
      </c>
      <c r="D3411" s="675"/>
      <c r="E3411" s="702"/>
      <c r="F3411" s="702"/>
      <c r="G3411" s="675"/>
      <c r="H3411" s="675"/>
      <c r="I3411" s="675"/>
      <c r="J3411" s="675"/>
      <c r="K3411" s="675"/>
      <c r="L3411" s="675"/>
      <c r="M3411" s="675"/>
    </row>
    <row r="3412" spans="1:13" ht="30" x14ac:dyDescent="0.25">
      <c r="A3412" s="675" t="s">
        <v>3296</v>
      </c>
      <c r="B3412" s="675" t="s">
        <v>564</v>
      </c>
      <c r="C3412" s="676" t="s">
        <v>3304</v>
      </c>
      <c r="D3412" s="675"/>
      <c r="E3412" s="702"/>
      <c r="F3412" s="702"/>
      <c r="G3412" s="675"/>
      <c r="H3412" s="675"/>
      <c r="I3412" s="675"/>
      <c r="J3412" s="675"/>
      <c r="K3412" s="675"/>
      <c r="L3412" s="675"/>
      <c r="M3412" s="675"/>
    </row>
    <row r="3413" spans="1:13" x14ac:dyDescent="0.25">
      <c r="A3413" s="675" t="s">
        <v>3296</v>
      </c>
      <c r="B3413" s="675" t="s">
        <v>564</v>
      </c>
      <c r="C3413" s="676" t="s">
        <v>3305</v>
      </c>
      <c r="D3413" s="675"/>
      <c r="E3413" s="702"/>
      <c r="F3413" s="702"/>
      <c r="G3413" s="675"/>
      <c r="H3413" s="675"/>
      <c r="I3413" s="675"/>
      <c r="J3413" s="675"/>
      <c r="K3413" s="675"/>
      <c r="L3413" s="675"/>
      <c r="M3413" s="675"/>
    </row>
    <row r="3414" spans="1:13" ht="30" x14ac:dyDescent="0.25">
      <c r="A3414" s="675" t="s">
        <v>3296</v>
      </c>
      <c r="B3414" s="675" t="s">
        <v>564</v>
      </c>
      <c r="C3414" s="676" t="s">
        <v>3306</v>
      </c>
      <c r="D3414" s="675"/>
      <c r="E3414" s="702"/>
      <c r="F3414" s="702"/>
      <c r="G3414" s="675"/>
      <c r="H3414" s="675"/>
      <c r="I3414" s="675"/>
      <c r="J3414" s="675"/>
      <c r="K3414" s="675"/>
      <c r="L3414" s="675"/>
      <c r="M3414" s="675"/>
    </row>
    <row r="3415" spans="1:13" ht="30" x14ac:dyDescent="0.25">
      <c r="A3415" s="675" t="s">
        <v>3296</v>
      </c>
      <c r="B3415" s="675" t="s">
        <v>512</v>
      </c>
      <c r="C3415" s="676" t="s">
        <v>3307</v>
      </c>
      <c r="D3415" s="675"/>
      <c r="E3415" s="702"/>
      <c r="F3415" s="702"/>
      <c r="G3415" s="675"/>
      <c r="H3415" s="675"/>
      <c r="I3415" s="675"/>
      <c r="J3415" s="675"/>
      <c r="K3415" s="675"/>
      <c r="L3415" s="675"/>
      <c r="M3415" s="675"/>
    </row>
    <row r="3416" spans="1:13" ht="30" x14ac:dyDescent="0.25">
      <c r="A3416" s="675" t="s">
        <v>3296</v>
      </c>
      <c r="B3416" s="675" t="s">
        <v>512</v>
      </c>
      <c r="C3416" s="676" t="s">
        <v>3308</v>
      </c>
      <c r="D3416" s="675"/>
      <c r="E3416" s="702"/>
      <c r="F3416" s="702"/>
      <c r="G3416" s="675"/>
      <c r="H3416" s="675"/>
      <c r="I3416" s="675"/>
      <c r="J3416" s="675"/>
      <c r="K3416" s="675"/>
      <c r="L3416" s="675"/>
      <c r="M3416" s="675"/>
    </row>
    <row r="3417" spans="1:13" ht="30" x14ac:dyDescent="0.25">
      <c r="A3417" s="675" t="s">
        <v>3296</v>
      </c>
      <c r="B3417" s="675" t="s">
        <v>512</v>
      </c>
      <c r="C3417" s="676" t="s">
        <v>3309</v>
      </c>
      <c r="D3417" s="675"/>
      <c r="E3417" s="702"/>
      <c r="F3417" s="702"/>
      <c r="G3417" s="675"/>
      <c r="H3417" s="675"/>
      <c r="I3417" s="675"/>
      <c r="J3417" s="675"/>
      <c r="K3417" s="675"/>
      <c r="L3417" s="675"/>
      <c r="M3417" s="675"/>
    </row>
    <row r="3418" spans="1:13" ht="30" x14ac:dyDescent="0.25">
      <c r="A3418" s="675" t="s">
        <v>3296</v>
      </c>
      <c r="B3418" s="675" t="s">
        <v>512</v>
      </c>
      <c r="C3418" s="676" t="s">
        <v>3310</v>
      </c>
      <c r="D3418" s="675"/>
      <c r="E3418" s="702"/>
      <c r="F3418" s="702"/>
      <c r="G3418" s="675"/>
      <c r="H3418" s="675"/>
      <c r="I3418" s="675"/>
      <c r="J3418" s="675"/>
      <c r="K3418" s="675"/>
      <c r="L3418" s="675"/>
      <c r="M3418" s="675"/>
    </row>
    <row r="3419" spans="1:13" ht="30" x14ac:dyDescent="0.25">
      <c r="A3419" s="675" t="s">
        <v>3296</v>
      </c>
      <c r="B3419" s="675" t="s">
        <v>512</v>
      </c>
      <c r="C3419" s="676" t="s">
        <v>3311</v>
      </c>
      <c r="D3419" s="675"/>
      <c r="E3419" s="702"/>
      <c r="F3419" s="702"/>
      <c r="G3419" s="675"/>
      <c r="H3419" s="675"/>
      <c r="I3419" s="675"/>
      <c r="J3419" s="675"/>
      <c r="K3419" s="675"/>
      <c r="L3419" s="675"/>
      <c r="M3419" s="675"/>
    </row>
    <row r="3420" spans="1:13" ht="30" x14ac:dyDescent="0.25">
      <c r="A3420" s="675" t="s">
        <v>3296</v>
      </c>
      <c r="B3420" s="675" t="s">
        <v>545</v>
      </c>
      <c r="C3420" s="676" t="s">
        <v>3312</v>
      </c>
      <c r="D3420" s="675"/>
      <c r="E3420" s="702"/>
      <c r="F3420" s="702"/>
      <c r="G3420" s="675"/>
      <c r="H3420" s="675"/>
      <c r="I3420" s="675"/>
      <c r="J3420" s="675"/>
      <c r="K3420" s="675"/>
      <c r="L3420" s="675"/>
      <c r="M3420" s="675"/>
    </row>
    <row r="3421" spans="1:13" ht="30" x14ac:dyDescent="0.25">
      <c r="A3421" s="675" t="s">
        <v>3296</v>
      </c>
      <c r="B3421" s="675" t="s">
        <v>545</v>
      </c>
      <c r="C3421" s="676" t="s">
        <v>3313</v>
      </c>
      <c r="D3421" s="675"/>
      <c r="E3421" s="702"/>
      <c r="F3421" s="702"/>
      <c r="G3421" s="675"/>
      <c r="H3421" s="675"/>
      <c r="I3421" s="675"/>
      <c r="J3421" s="675"/>
      <c r="K3421" s="675"/>
      <c r="L3421" s="675"/>
      <c r="M3421" s="675"/>
    </row>
    <row r="3422" spans="1:13" ht="30" x14ac:dyDescent="0.25">
      <c r="A3422" s="675" t="s">
        <v>3296</v>
      </c>
      <c r="B3422" s="675" t="s">
        <v>545</v>
      </c>
      <c r="C3422" s="676" t="s">
        <v>3314</v>
      </c>
      <c r="D3422" s="675"/>
      <c r="E3422" s="702"/>
      <c r="F3422" s="702"/>
      <c r="G3422" s="675"/>
      <c r="H3422" s="675"/>
      <c r="I3422" s="675"/>
      <c r="J3422" s="675"/>
      <c r="K3422" s="675"/>
      <c r="L3422" s="675"/>
      <c r="M3422" s="675"/>
    </row>
    <row r="3423" spans="1:13" ht="30" x14ac:dyDescent="0.25">
      <c r="A3423" s="675" t="s">
        <v>3296</v>
      </c>
      <c r="B3423" s="675" t="s">
        <v>545</v>
      </c>
      <c r="C3423" s="676" t="s">
        <v>3315</v>
      </c>
      <c r="D3423" s="675"/>
      <c r="E3423" s="702"/>
      <c r="F3423" s="702"/>
      <c r="G3423" s="675"/>
      <c r="H3423" s="675"/>
      <c r="I3423" s="675"/>
      <c r="J3423" s="675"/>
      <c r="K3423" s="675"/>
      <c r="L3423" s="675"/>
      <c r="M3423" s="675"/>
    </row>
    <row r="3424" spans="1:13" ht="30" x14ac:dyDescent="0.25">
      <c r="A3424" s="675" t="s">
        <v>3296</v>
      </c>
      <c r="B3424" s="675" t="s">
        <v>545</v>
      </c>
      <c r="C3424" s="676" t="s">
        <v>3316</v>
      </c>
      <c r="D3424" s="675"/>
      <c r="E3424" s="702"/>
      <c r="F3424" s="702"/>
      <c r="G3424" s="675"/>
      <c r="H3424" s="675"/>
      <c r="I3424" s="675"/>
      <c r="J3424" s="675"/>
      <c r="K3424" s="675"/>
      <c r="L3424" s="675"/>
      <c r="M3424" s="675"/>
    </row>
    <row r="3425" spans="1:13" x14ac:dyDescent="0.25">
      <c r="A3425" s="675" t="s">
        <v>3296</v>
      </c>
      <c r="B3425" s="675" t="s">
        <v>564</v>
      </c>
      <c r="C3425" s="676" t="s">
        <v>3317</v>
      </c>
      <c r="D3425" s="675"/>
      <c r="E3425" s="702"/>
      <c r="F3425" s="702"/>
      <c r="G3425" s="675"/>
      <c r="H3425" s="675"/>
      <c r="I3425" s="675"/>
      <c r="J3425" s="675"/>
      <c r="K3425" s="675"/>
      <c r="L3425" s="675"/>
      <c r="M3425" s="675"/>
    </row>
    <row r="3426" spans="1:13" ht="30" x14ac:dyDescent="0.25">
      <c r="A3426" s="675" t="s">
        <v>3296</v>
      </c>
      <c r="B3426" s="675" t="s">
        <v>564</v>
      </c>
      <c r="C3426" s="676" t="s">
        <v>3318</v>
      </c>
      <c r="D3426" s="675"/>
      <c r="E3426" s="702"/>
      <c r="F3426" s="702"/>
      <c r="G3426" s="675"/>
      <c r="H3426" s="675"/>
      <c r="I3426" s="675"/>
      <c r="J3426" s="675"/>
      <c r="K3426" s="675"/>
      <c r="L3426" s="675"/>
      <c r="M3426" s="675"/>
    </row>
    <row r="3427" spans="1:13" ht="30" x14ac:dyDescent="0.25">
      <c r="A3427" s="675" t="s">
        <v>3296</v>
      </c>
      <c r="B3427" s="675" t="s">
        <v>564</v>
      </c>
      <c r="C3427" s="676" t="s">
        <v>3319</v>
      </c>
      <c r="D3427" s="675"/>
      <c r="E3427" s="702"/>
      <c r="F3427" s="702"/>
      <c r="G3427" s="675"/>
      <c r="H3427" s="675"/>
      <c r="I3427" s="675"/>
      <c r="J3427" s="675"/>
      <c r="K3427" s="675"/>
      <c r="L3427" s="675"/>
      <c r="M3427" s="675"/>
    </row>
    <row r="3428" spans="1:13" ht="30" x14ac:dyDescent="0.25">
      <c r="A3428" s="675" t="s">
        <v>3296</v>
      </c>
      <c r="B3428" s="675" t="s">
        <v>564</v>
      </c>
      <c r="C3428" s="676" t="s">
        <v>3320</v>
      </c>
      <c r="D3428" s="675"/>
      <c r="E3428" s="702"/>
      <c r="F3428" s="702"/>
      <c r="G3428" s="675"/>
      <c r="H3428" s="675"/>
      <c r="I3428" s="675"/>
      <c r="J3428" s="675"/>
      <c r="K3428" s="675"/>
      <c r="L3428" s="675"/>
      <c r="M3428" s="675"/>
    </row>
    <row r="3429" spans="1:13" ht="30" x14ac:dyDescent="0.25">
      <c r="A3429" s="675" t="s">
        <v>3296</v>
      </c>
      <c r="B3429" s="675" t="s">
        <v>564</v>
      </c>
      <c r="C3429" s="676" t="s">
        <v>3321</v>
      </c>
      <c r="D3429" s="675"/>
      <c r="E3429" s="702"/>
      <c r="F3429" s="702"/>
      <c r="G3429" s="675"/>
      <c r="H3429" s="675"/>
      <c r="I3429" s="675"/>
      <c r="J3429" s="675"/>
      <c r="K3429" s="675"/>
      <c r="L3429" s="675"/>
      <c r="M3429" s="675"/>
    </row>
    <row r="3430" spans="1:13" ht="30" x14ac:dyDescent="0.25">
      <c r="A3430" s="675" t="s">
        <v>3296</v>
      </c>
      <c r="B3430" s="675" t="s">
        <v>512</v>
      </c>
      <c r="C3430" s="676" t="s">
        <v>3322</v>
      </c>
      <c r="D3430" s="675"/>
      <c r="E3430" s="702"/>
      <c r="F3430" s="702"/>
      <c r="G3430" s="675"/>
      <c r="H3430" s="675"/>
      <c r="I3430" s="675"/>
      <c r="J3430" s="675"/>
      <c r="K3430" s="675"/>
      <c r="L3430" s="675"/>
      <c r="M3430" s="675"/>
    </row>
    <row r="3431" spans="1:13" ht="30" x14ac:dyDescent="0.25">
      <c r="A3431" s="675" t="s">
        <v>3296</v>
      </c>
      <c r="B3431" s="675" t="s">
        <v>512</v>
      </c>
      <c r="C3431" s="676" t="s">
        <v>3323</v>
      </c>
      <c r="D3431" s="675"/>
      <c r="E3431" s="702"/>
      <c r="F3431" s="702"/>
      <c r="G3431" s="675"/>
      <c r="H3431" s="675"/>
      <c r="I3431" s="675"/>
      <c r="J3431" s="675"/>
      <c r="K3431" s="675"/>
      <c r="L3431" s="675"/>
      <c r="M3431" s="675"/>
    </row>
    <row r="3432" spans="1:13" ht="30" x14ac:dyDescent="0.25">
      <c r="A3432" s="675" t="s">
        <v>3296</v>
      </c>
      <c r="B3432" s="675" t="s">
        <v>512</v>
      </c>
      <c r="C3432" s="676" t="s">
        <v>3324</v>
      </c>
      <c r="D3432" s="675"/>
      <c r="E3432" s="702"/>
      <c r="F3432" s="702"/>
      <c r="G3432" s="675"/>
      <c r="H3432" s="675"/>
      <c r="I3432" s="675"/>
      <c r="J3432" s="675"/>
      <c r="K3432" s="675"/>
      <c r="L3432" s="675"/>
      <c r="M3432" s="675"/>
    </row>
    <row r="3433" spans="1:13" ht="30" x14ac:dyDescent="0.25">
      <c r="A3433" s="675" t="s">
        <v>3296</v>
      </c>
      <c r="B3433" s="675" t="s">
        <v>512</v>
      </c>
      <c r="C3433" s="676" t="s">
        <v>3325</v>
      </c>
      <c r="D3433" s="675"/>
      <c r="E3433" s="702"/>
      <c r="F3433" s="702"/>
      <c r="G3433" s="675"/>
      <c r="H3433" s="675"/>
      <c r="I3433" s="675"/>
      <c r="J3433" s="675"/>
      <c r="K3433" s="675"/>
      <c r="L3433" s="675"/>
      <c r="M3433" s="675"/>
    </row>
    <row r="3434" spans="1:13" ht="30" x14ac:dyDescent="0.25">
      <c r="A3434" s="675" t="s">
        <v>3296</v>
      </c>
      <c r="B3434" s="675" t="s">
        <v>512</v>
      </c>
      <c r="C3434" s="676" t="s">
        <v>3326</v>
      </c>
      <c r="D3434" s="675"/>
      <c r="E3434" s="702"/>
      <c r="F3434" s="702"/>
      <c r="G3434" s="675"/>
      <c r="H3434" s="675"/>
      <c r="I3434" s="675"/>
      <c r="J3434" s="675"/>
      <c r="K3434" s="675"/>
      <c r="L3434" s="675"/>
      <c r="M3434" s="675"/>
    </row>
    <row r="3435" spans="1:13" x14ac:dyDescent="0.25">
      <c r="A3435" s="675" t="s">
        <v>3327</v>
      </c>
      <c r="B3435" s="675" t="s">
        <v>545</v>
      </c>
      <c r="C3435" s="676" t="s">
        <v>3328</v>
      </c>
      <c r="D3435" s="675"/>
      <c r="E3435" s="702"/>
      <c r="F3435" s="702"/>
      <c r="G3435" s="675"/>
      <c r="H3435" s="675"/>
      <c r="I3435" s="675"/>
      <c r="J3435" s="675"/>
      <c r="K3435" s="675"/>
      <c r="L3435" s="675"/>
      <c r="M3435" s="675"/>
    </row>
    <row r="3436" spans="1:13" ht="30" x14ac:dyDescent="0.25">
      <c r="A3436" s="675" t="s">
        <v>3327</v>
      </c>
      <c r="B3436" s="675" t="s">
        <v>545</v>
      </c>
      <c r="C3436" s="676" t="s">
        <v>3329</v>
      </c>
      <c r="D3436" s="675"/>
      <c r="E3436" s="702"/>
      <c r="F3436" s="702"/>
      <c r="G3436" s="675"/>
      <c r="H3436" s="675"/>
      <c r="I3436" s="675"/>
      <c r="J3436" s="675"/>
      <c r="K3436" s="675"/>
      <c r="L3436" s="675"/>
      <c r="M3436" s="675"/>
    </row>
    <row r="3437" spans="1:13" x14ac:dyDescent="0.25">
      <c r="A3437" s="675" t="s">
        <v>3327</v>
      </c>
      <c r="B3437" s="675" t="s">
        <v>545</v>
      </c>
      <c r="C3437" s="676" t="s">
        <v>3330</v>
      </c>
      <c r="D3437" s="675"/>
      <c r="E3437" s="702"/>
      <c r="F3437" s="702"/>
      <c r="G3437" s="675"/>
      <c r="H3437" s="675"/>
      <c r="I3437" s="675"/>
      <c r="J3437" s="675"/>
      <c r="K3437" s="675"/>
      <c r="L3437" s="675"/>
      <c r="M3437" s="675"/>
    </row>
    <row r="3438" spans="1:13" ht="30" x14ac:dyDescent="0.25">
      <c r="A3438" s="675" t="s">
        <v>3327</v>
      </c>
      <c r="B3438" s="675" t="s">
        <v>545</v>
      </c>
      <c r="C3438" s="676" t="s">
        <v>3331</v>
      </c>
      <c r="D3438" s="675"/>
      <c r="E3438" s="702"/>
      <c r="F3438" s="702"/>
      <c r="G3438" s="675"/>
      <c r="H3438" s="675"/>
      <c r="I3438" s="675"/>
      <c r="J3438" s="675"/>
      <c r="K3438" s="675"/>
      <c r="L3438" s="675"/>
      <c r="M3438" s="675"/>
    </row>
    <row r="3439" spans="1:13" x14ac:dyDescent="0.25">
      <c r="A3439" s="675" t="s">
        <v>3327</v>
      </c>
      <c r="B3439" s="675" t="s">
        <v>545</v>
      </c>
      <c r="C3439" s="676" t="s">
        <v>3332</v>
      </c>
      <c r="D3439" s="675"/>
      <c r="E3439" s="702"/>
      <c r="F3439" s="702"/>
      <c r="G3439" s="675"/>
      <c r="H3439" s="675"/>
      <c r="I3439" s="675"/>
      <c r="J3439" s="675"/>
      <c r="K3439" s="675"/>
      <c r="L3439" s="675"/>
      <c r="M3439" s="675"/>
    </row>
    <row r="3440" spans="1:13" ht="30" x14ac:dyDescent="0.25">
      <c r="A3440" s="675" t="s">
        <v>3327</v>
      </c>
      <c r="B3440" s="675" t="s">
        <v>564</v>
      </c>
      <c r="C3440" s="676" t="s">
        <v>3333</v>
      </c>
      <c r="D3440" s="675"/>
      <c r="E3440" s="702"/>
      <c r="F3440" s="702"/>
      <c r="G3440" s="675"/>
      <c r="H3440" s="675"/>
      <c r="I3440" s="675"/>
      <c r="J3440" s="675"/>
      <c r="K3440" s="675"/>
      <c r="L3440" s="675"/>
      <c r="M3440" s="675"/>
    </row>
    <row r="3441" spans="1:13" ht="30" x14ac:dyDescent="0.25">
      <c r="A3441" s="675" t="s">
        <v>3327</v>
      </c>
      <c r="B3441" s="675" t="s">
        <v>564</v>
      </c>
      <c r="C3441" s="676" t="s">
        <v>3334</v>
      </c>
      <c r="D3441" s="675"/>
      <c r="E3441" s="702"/>
      <c r="F3441" s="702"/>
      <c r="G3441" s="675"/>
      <c r="H3441" s="675"/>
      <c r="I3441" s="675"/>
      <c r="J3441" s="675"/>
      <c r="K3441" s="675"/>
      <c r="L3441" s="675"/>
      <c r="M3441" s="675"/>
    </row>
    <row r="3442" spans="1:13" x14ac:dyDescent="0.25">
      <c r="A3442" s="675" t="s">
        <v>3327</v>
      </c>
      <c r="B3442" s="675" t="s">
        <v>564</v>
      </c>
      <c r="C3442" s="676" t="s">
        <v>3335</v>
      </c>
      <c r="D3442" s="675"/>
      <c r="E3442" s="702"/>
      <c r="F3442" s="702"/>
      <c r="G3442" s="675"/>
      <c r="H3442" s="675"/>
      <c r="I3442" s="675"/>
      <c r="J3442" s="675"/>
      <c r="K3442" s="675"/>
      <c r="L3442" s="675"/>
      <c r="M3442" s="675"/>
    </row>
    <row r="3443" spans="1:13" x14ac:dyDescent="0.25">
      <c r="A3443" s="675" t="s">
        <v>3327</v>
      </c>
      <c r="B3443" s="675" t="s">
        <v>564</v>
      </c>
      <c r="C3443" s="676" t="s">
        <v>3336</v>
      </c>
      <c r="D3443" s="675"/>
      <c r="E3443" s="702"/>
      <c r="F3443" s="702"/>
      <c r="G3443" s="675"/>
      <c r="H3443" s="675"/>
      <c r="I3443" s="675"/>
      <c r="J3443" s="675"/>
      <c r="K3443" s="675"/>
      <c r="L3443" s="675"/>
      <c r="M3443" s="675"/>
    </row>
    <row r="3444" spans="1:13" ht="30" x14ac:dyDescent="0.25">
      <c r="A3444" s="675" t="s">
        <v>3327</v>
      </c>
      <c r="B3444" s="675" t="s">
        <v>564</v>
      </c>
      <c r="C3444" s="676" t="s">
        <v>3337</v>
      </c>
      <c r="D3444" s="675"/>
      <c r="E3444" s="702"/>
      <c r="F3444" s="702"/>
      <c r="G3444" s="675"/>
      <c r="H3444" s="675"/>
      <c r="I3444" s="675"/>
      <c r="J3444" s="675"/>
      <c r="K3444" s="675"/>
      <c r="L3444" s="675"/>
      <c r="M3444" s="675"/>
    </row>
    <row r="3445" spans="1:13" ht="30" x14ac:dyDescent="0.25">
      <c r="A3445" s="675" t="s">
        <v>3327</v>
      </c>
      <c r="B3445" s="675" t="s">
        <v>512</v>
      </c>
      <c r="C3445" s="676" t="s">
        <v>3338</v>
      </c>
      <c r="D3445" s="675"/>
      <c r="E3445" s="702"/>
      <c r="F3445" s="702"/>
      <c r="G3445" s="675"/>
      <c r="H3445" s="675"/>
      <c r="I3445" s="675"/>
      <c r="J3445" s="675"/>
      <c r="K3445" s="675"/>
      <c r="L3445" s="675"/>
      <c r="M3445" s="675"/>
    </row>
    <row r="3446" spans="1:13" ht="30" x14ac:dyDescent="0.25">
      <c r="A3446" s="675" t="s">
        <v>3327</v>
      </c>
      <c r="B3446" s="675" t="s">
        <v>512</v>
      </c>
      <c r="C3446" s="676" t="s">
        <v>3339</v>
      </c>
      <c r="D3446" s="675"/>
      <c r="E3446" s="702"/>
      <c r="F3446" s="702"/>
      <c r="G3446" s="675"/>
      <c r="H3446" s="675"/>
      <c r="I3446" s="675"/>
      <c r="J3446" s="675"/>
      <c r="K3446" s="675"/>
      <c r="L3446" s="675"/>
      <c r="M3446" s="675"/>
    </row>
    <row r="3447" spans="1:13" ht="30" x14ac:dyDescent="0.25">
      <c r="A3447" s="675" t="s">
        <v>3327</v>
      </c>
      <c r="B3447" s="675" t="s">
        <v>512</v>
      </c>
      <c r="C3447" s="676" t="s">
        <v>3340</v>
      </c>
      <c r="D3447" s="675"/>
      <c r="E3447" s="702"/>
      <c r="F3447" s="702"/>
      <c r="G3447" s="675"/>
      <c r="H3447" s="675"/>
      <c r="I3447" s="675"/>
      <c r="J3447" s="675"/>
      <c r="K3447" s="675"/>
      <c r="L3447" s="675"/>
      <c r="M3447" s="675"/>
    </row>
    <row r="3448" spans="1:13" ht="30" x14ac:dyDescent="0.25">
      <c r="A3448" s="675" t="s">
        <v>3327</v>
      </c>
      <c r="B3448" s="675" t="s">
        <v>512</v>
      </c>
      <c r="C3448" s="676" t="s">
        <v>3341</v>
      </c>
      <c r="D3448" s="675"/>
      <c r="E3448" s="702"/>
      <c r="F3448" s="702"/>
      <c r="G3448" s="675"/>
      <c r="H3448" s="675"/>
      <c r="I3448" s="675"/>
      <c r="J3448" s="675"/>
      <c r="K3448" s="675"/>
      <c r="L3448" s="675"/>
      <c r="M3448" s="675"/>
    </row>
    <row r="3449" spans="1:13" ht="30" x14ac:dyDescent="0.25">
      <c r="A3449" s="675" t="s">
        <v>3327</v>
      </c>
      <c r="B3449" s="675" t="s">
        <v>512</v>
      </c>
      <c r="C3449" s="676" t="s">
        <v>3342</v>
      </c>
      <c r="D3449" s="675"/>
      <c r="E3449" s="702"/>
      <c r="F3449" s="702"/>
      <c r="G3449" s="675"/>
      <c r="H3449" s="675"/>
      <c r="I3449" s="675"/>
      <c r="J3449" s="675"/>
      <c r="K3449" s="675"/>
      <c r="L3449" s="675"/>
      <c r="M3449" s="675"/>
    </row>
    <row r="3450" spans="1:13" ht="30" x14ac:dyDescent="0.25">
      <c r="A3450" s="675" t="s">
        <v>3327</v>
      </c>
      <c r="B3450" s="675" t="s">
        <v>545</v>
      </c>
      <c r="C3450" s="676" t="s">
        <v>3343</v>
      </c>
      <c r="D3450" s="675"/>
      <c r="E3450" s="702"/>
      <c r="F3450" s="702"/>
      <c r="G3450" s="675"/>
      <c r="H3450" s="675"/>
      <c r="I3450" s="675"/>
      <c r="J3450" s="675"/>
      <c r="K3450" s="675"/>
      <c r="L3450" s="675"/>
      <c r="M3450" s="675"/>
    </row>
    <row r="3451" spans="1:13" x14ac:dyDescent="0.25">
      <c r="A3451" s="675" t="s">
        <v>3327</v>
      </c>
      <c r="B3451" s="675" t="s">
        <v>545</v>
      </c>
      <c r="C3451" s="676" t="s">
        <v>3344</v>
      </c>
      <c r="D3451" s="675"/>
      <c r="E3451" s="702"/>
      <c r="F3451" s="702"/>
      <c r="G3451" s="675"/>
      <c r="H3451" s="675"/>
      <c r="I3451" s="675"/>
      <c r="J3451" s="675"/>
      <c r="K3451" s="675"/>
      <c r="L3451" s="675"/>
      <c r="M3451" s="675"/>
    </row>
    <row r="3452" spans="1:13" ht="30" x14ac:dyDescent="0.25">
      <c r="A3452" s="675" t="s">
        <v>3327</v>
      </c>
      <c r="B3452" s="675" t="s">
        <v>545</v>
      </c>
      <c r="C3452" s="676" t="s">
        <v>3345</v>
      </c>
      <c r="D3452" s="675"/>
      <c r="E3452" s="702"/>
      <c r="F3452" s="702"/>
      <c r="G3452" s="675"/>
      <c r="H3452" s="675"/>
      <c r="I3452" s="675"/>
      <c r="J3452" s="675"/>
      <c r="K3452" s="675"/>
      <c r="L3452" s="675"/>
      <c r="M3452" s="675"/>
    </row>
    <row r="3453" spans="1:13" x14ac:dyDescent="0.25">
      <c r="A3453" s="675" t="s">
        <v>3327</v>
      </c>
      <c r="B3453" s="675" t="s">
        <v>545</v>
      </c>
      <c r="C3453" s="676" t="s">
        <v>3346</v>
      </c>
      <c r="D3453" s="675"/>
      <c r="E3453" s="702"/>
      <c r="F3453" s="702"/>
      <c r="G3453" s="675"/>
      <c r="H3453" s="675"/>
      <c r="I3453" s="675"/>
      <c r="J3453" s="675"/>
      <c r="K3453" s="675"/>
      <c r="L3453" s="675"/>
      <c r="M3453" s="675"/>
    </row>
    <row r="3454" spans="1:13" x14ac:dyDescent="0.25">
      <c r="A3454" s="675" t="s">
        <v>3327</v>
      </c>
      <c r="B3454" s="675" t="s">
        <v>545</v>
      </c>
      <c r="C3454" s="676" t="s">
        <v>3347</v>
      </c>
      <c r="D3454" s="675"/>
      <c r="E3454" s="702"/>
      <c r="F3454" s="702"/>
      <c r="G3454" s="675"/>
      <c r="H3454" s="675"/>
      <c r="I3454" s="675"/>
      <c r="J3454" s="675"/>
      <c r="K3454" s="675"/>
      <c r="L3454" s="675"/>
      <c r="M3454" s="675"/>
    </row>
    <row r="3455" spans="1:13" ht="30" x14ac:dyDescent="0.25">
      <c r="A3455" s="675" t="s">
        <v>3327</v>
      </c>
      <c r="B3455" s="675" t="s">
        <v>564</v>
      </c>
      <c r="C3455" s="676" t="s">
        <v>3348</v>
      </c>
      <c r="D3455" s="675"/>
      <c r="E3455" s="702"/>
      <c r="F3455" s="702"/>
      <c r="G3455" s="675"/>
      <c r="H3455" s="675"/>
      <c r="I3455" s="675"/>
      <c r="J3455" s="675"/>
      <c r="K3455" s="675"/>
      <c r="L3455" s="675"/>
      <c r="M3455" s="675"/>
    </row>
    <row r="3456" spans="1:13" x14ac:dyDescent="0.25">
      <c r="A3456" s="675" t="s">
        <v>3327</v>
      </c>
      <c r="B3456" s="675" t="s">
        <v>564</v>
      </c>
      <c r="C3456" s="676" t="s">
        <v>3349</v>
      </c>
      <c r="D3456" s="675"/>
      <c r="E3456" s="702"/>
      <c r="F3456" s="702"/>
      <c r="G3456" s="675"/>
      <c r="H3456" s="675"/>
      <c r="I3456" s="675"/>
      <c r="J3456" s="675"/>
      <c r="K3456" s="675"/>
      <c r="L3456" s="675"/>
      <c r="M3456" s="675"/>
    </row>
    <row r="3457" spans="1:13" x14ac:dyDescent="0.25">
      <c r="A3457" s="675" t="s">
        <v>3327</v>
      </c>
      <c r="B3457" s="675" t="s">
        <v>564</v>
      </c>
      <c r="C3457" s="676" t="s">
        <v>3350</v>
      </c>
      <c r="D3457" s="675"/>
      <c r="E3457" s="702"/>
      <c r="F3457" s="702"/>
      <c r="G3457" s="675"/>
      <c r="H3457" s="675"/>
      <c r="I3457" s="675"/>
      <c r="J3457" s="675"/>
      <c r="K3457" s="675"/>
      <c r="L3457" s="675"/>
      <c r="M3457" s="675"/>
    </row>
    <row r="3458" spans="1:13" ht="30" x14ac:dyDescent="0.25">
      <c r="A3458" s="675" t="s">
        <v>3327</v>
      </c>
      <c r="B3458" s="675" t="s">
        <v>564</v>
      </c>
      <c r="C3458" s="676" t="s">
        <v>3351</v>
      </c>
      <c r="D3458" s="675"/>
      <c r="E3458" s="702"/>
      <c r="F3458" s="702"/>
      <c r="G3458" s="675"/>
      <c r="H3458" s="675"/>
      <c r="I3458" s="675"/>
      <c r="J3458" s="675"/>
      <c r="K3458" s="675"/>
      <c r="L3458" s="675"/>
      <c r="M3458" s="675"/>
    </row>
    <row r="3459" spans="1:13" ht="30" x14ac:dyDescent="0.25">
      <c r="A3459" s="675" t="s">
        <v>3327</v>
      </c>
      <c r="B3459" s="675" t="s">
        <v>564</v>
      </c>
      <c r="C3459" s="676" t="s">
        <v>3352</v>
      </c>
      <c r="D3459" s="675"/>
      <c r="E3459" s="702"/>
      <c r="F3459" s="702"/>
      <c r="G3459" s="675"/>
      <c r="H3459" s="675"/>
      <c r="I3459" s="675"/>
      <c r="J3459" s="675"/>
      <c r="K3459" s="675"/>
      <c r="L3459" s="675"/>
      <c r="M3459" s="675"/>
    </row>
    <row r="3460" spans="1:13" ht="30" x14ac:dyDescent="0.25">
      <c r="A3460" s="675" t="s">
        <v>3327</v>
      </c>
      <c r="B3460" s="675" t="s">
        <v>512</v>
      </c>
      <c r="C3460" s="676" t="s">
        <v>3353</v>
      </c>
      <c r="D3460" s="675"/>
      <c r="E3460" s="702"/>
      <c r="F3460" s="702"/>
      <c r="G3460" s="675"/>
      <c r="H3460" s="675"/>
      <c r="I3460" s="675"/>
      <c r="J3460" s="675"/>
      <c r="K3460" s="675"/>
      <c r="L3460" s="675"/>
      <c r="M3460" s="675"/>
    </row>
    <row r="3461" spans="1:13" x14ac:dyDescent="0.25">
      <c r="A3461" s="675" t="s">
        <v>3327</v>
      </c>
      <c r="B3461" s="675" t="s">
        <v>512</v>
      </c>
      <c r="C3461" s="676" t="s">
        <v>3354</v>
      </c>
      <c r="D3461" s="675"/>
      <c r="E3461" s="702"/>
      <c r="F3461" s="702"/>
      <c r="G3461" s="675"/>
      <c r="H3461" s="675"/>
      <c r="I3461" s="675"/>
      <c r="J3461" s="675"/>
      <c r="K3461" s="675"/>
      <c r="L3461" s="675"/>
      <c r="M3461" s="675"/>
    </row>
    <row r="3462" spans="1:13" ht="30" x14ac:dyDescent="0.25">
      <c r="A3462" s="675" t="s">
        <v>3327</v>
      </c>
      <c r="B3462" s="675" t="s">
        <v>512</v>
      </c>
      <c r="C3462" s="676" t="s">
        <v>3355</v>
      </c>
      <c r="D3462" s="675"/>
      <c r="E3462" s="702"/>
      <c r="F3462" s="702"/>
      <c r="G3462" s="675"/>
      <c r="H3462" s="675"/>
      <c r="I3462" s="675"/>
      <c r="J3462" s="675"/>
      <c r="K3462" s="675"/>
      <c r="L3462" s="675"/>
      <c r="M3462" s="675"/>
    </row>
    <row r="3463" spans="1:13" ht="30" x14ac:dyDescent="0.25">
      <c r="A3463" s="675" t="s">
        <v>3327</v>
      </c>
      <c r="B3463" s="675" t="s">
        <v>512</v>
      </c>
      <c r="C3463" s="676" t="s">
        <v>3356</v>
      </c>
      <c r="D3463" s="675"/>
      <c r="E3463" s="702"/>
      <c r="F3463" s="702"/>
      <c r="G3463" s="675"/>
      <c r="H3463" s="675"/>
      <c r="I3463" s="675"/>
      <c r="J3463" s="675"/>
      <c r="K3463" s="675"/>
      <c r="L3463" s="675"/>
      <c r="M3463" s="675"/>
    </row>
    <row r="3464" spans="1:13" ht="30" x14ac:dyDescent="0.25">
      <c r="A3464" s="675" t="s">
        <v>3327</v>
      </c>
      <c r="B3464" s="675" t="s">
        <v>512</v>
      </c>
      <c r="C3464" s="676" t="s">
        <v>3357</v>
      </c>
      <c r="D3464" s="675"/>
      <c r="E3464" s="702"/>
      <c r="F3464" s="702"/>
      <c r="G3464" s="675"/>
      <c r="H3464" s="675"/>
      <c r="I3464" s="675"/>
      <c r="J3464" s="675"/>
      <c r="K3464" s="675"/>
      <c r="L3464" s="675"/>
      <c r="M3464" s="675"/>
    </row>
    <row r="3465" spans="1:13" ht="30" x14ac:dyDescent="0.25">
      <c r="A3465" s="675" t="s">
        <v>3358</v>
      </c>
      <c r="B3465" s="675" t="s">
        <v>545</v>
      </c>
      <c r="C3465" s="676" t="s">
        <v>3359</v>
      </c>
      <c r="D3465" s="675"/>
      <c r="E3465" s="702"/>
      <c r="F3465" s="702"/>
      <c r="G3465" s="675"/>
      <c r="H3465" s="675"/>
      <c r="I3465" s="675"/>
      <c r="J3465" s="675"/>
      <c r="K3465" s="675"/>
      <c r="L3465" s="675"/>
      <c r="M3465" s="675"/>
    </row>
    <row r="3466" spans="1:13" ht="30" x14ac:dyDescent="0.25">
      <c r="A3466" s="675" t="s">
        <v>3358</v>
      </c>
      <c r="B3466" s="675" t="s">
        <v>545</v>
      </c>
      <c r="C3466" s="676" t="s">
        <v>3360</v>
      </c>
      <c r="D3466" s="675"/>
      <c r="E3466" s="702"/>
      <c r="F3466" s="702"/>
      <c r="G3466" s="675"/>
      <c r="H3466" s="675"/>
      <c r="I3466" s="675"/>
      <c r="J3466" s="675"/>
      <c r="K3466" s="675"/>
      <c r="L3466" s="675"/>
      <c r="M3466" s="675"/>
    </row>
    <row r="3467" spans="1:13" ht="30" x14ac:dyDescent="0.25">
      <c r="A3467" s="675" t="s">
        <v>3358</v>
      </c>
      <c r="B3467" s="675" t="s">
        <v>545</v>
      </c>
      <c r="C3467" s="676" t="s">
        <v>3361</v>
      </c>
      <c r="D3467" s="675"/>
      <c r="E3467" s="702"/>
      <c r="F3467" s="702"/>
      <c r="G3467" s="675"/>
      <c r="H3467" s="675"/>
      <c r="I3467" s="675"/>
      <c r="J3467" s="675"/>
      <c r="K3467" s="675"/>
      <c r="L3467" s="675"/>
      <c r="M3467" s="675"/>
    </row>
    <row r="3468" spans="1:13" ht="30" x14ac:dyDescent="0.25">
      <c r="A3468" s="675" t="s">
        <v>3358</v>
      </c>
      <c r="B3468" s="675" t="s">
        <v>545</v>
      </c>
      <c r="C3468" s="676" t="s">
        <v>3362</v>
      </c>
      <c r="D3468" s="675"/>
      <c r="E3468" s="702"/>
      <c r="F3468" s="702"/>
      <c r="G3468" s="675"/>
      <c r="H3468" s="675"/>
      <c r="I3468" s="675"/>
      <c r="J3468" s="675"/>
      <c r="K3468" s="675"/>
      <c r="L3468" s="675"/>
      <c r="M3468" s="675"/>
    </row>
    <row r="3469" spans="1:13" ht="30" x14ac:dyDescent="0.25">
      <c r="A3469" s="675" t="s">
        <v>3358</v>
      </c>
      <c r="B3469" s="675" t="s">
        <v>545</v>
      </c>
      <c r="C3469" s="676" t="s">
        <v>3363</v>
      </c>
      <c r="D3469" s="675"/>
      <c r="E3469" s="702"/>
      <c r="F3469" s="702"/>
      <c r="G3469" s="675"/>
      <c r="H3469" s="675"/>
      <c r="I3469" s="675"/>
      <c r="J3469" s="675"/>
      <c r="K3469" s="675"/>
      <c r="L3469" s="675"/>
      <c r="M3469" s="675"/>
    </row>
    <row r="3470" spans="1:13" ht="30" x14ac:dyDescent="0.25">
      <c r="A3470" s="675" t="s">
        <v>3358</v>
      </c>
      <c r="B3470" s="675" t="s">
        <v>564</v>
      </c>
      <c r="C3470" s="676" t="s">
        <v>3364</v>
      </c>
      <c r="D3470" s="675"/>
      <c r="E3470" s="702"/>
      <c r="F3470" s="702"/>
      <c r="G3470" s="675"/>
      <c r="H3470" s="675"/>
      <c r="I3470" s="675"/>
      <c r="J3470" s="675"/>
      <c r="K3470" s="675"/>
      <c r="L3470" s="675"/>
      <c r="M3470" s="675"/>
    </row>
    <row r="3471" spans="1:13" ht="30" x14ac:dyDescent="0.25">
      <c r="A3471" s="675" t="s">
        <v>3358</v>
      </c>
      <c r="B3471" s="675" t="s">
        <v>564</v>
      </c>
      <c r="C3471" s="676" t="s">
        <v>3365</v>
      </c>
      <c r="D3471" s="675"/>
      <c r="E3471" s="702"/>
      <c r="F3471" s="702"/>
      <c r="G3471" s="675"/>
      <c r="H3471" s="675"/>
      <c r="I3471" s="675"/>
      <c r="J3471" s="675"/>
      <c r="K3471" s="675"/>
      <c r="L3471" s="675"/>
      <c r="M3471" s="675"/>
    </row>
    <row r="3472" spans="1:13" ht="30" x14ac:dyDescent="0.25">
      <c r="A3472" s="675" t="s">
        <v>3358</v>
      </c>
      <c r="B3472" s="675" t="s">
        <v>564</v>
      </c>
      <c r="C3472" s="676" t="s">
        <v>3366</v>
      </c>
      <c r="D3472" s="675"/>
      <c r="E3472" s="702"/>
      <c r="F3472" s="702"/>
      <c r="G3472" s="675"/>
      <c r="H3472" s="675"/>
      <c r="I3472" s="675"/>
      <c r="J3472" s="675"/>
      <c r="K3472" s="675"/>
      <c r="L3472" s="675"/>
      <c r="M3472" s="675"/>
    </row>
    <row r="3473" spans="1:13" ht="30" x14ac:dyDescent="0.25">
      <c r="A3473" s="675" t="s">
        <v>3358</v>
      </c>
      <c r="B3473" s="675" t="s">
        <v>564</v>
      </c>
      <c r="C3473" s="676" t="s">
        <v>3367</v>
      </c>
      <c r="D3473" s="675"/>
      <c r="E3473" s="702"/>
      <c r="F3473" s="702"/>
      <c r="G3473" s="675"/>
      <c r="H3473" s="675"/>
      <c r="I3473" s="675"/>
      <c r="J3473" s="675"/>
      <c r="K3473" s="675"/>
      <c r="L3473" s="675"/>
      <c r="M3473" s="675"/>
    </row>
    <row r="3474" spans="1:13" ht="30" x14ac:dyDescent="0.25">
      <c r="A3474" s="675" t="s">
        <v>3358</v>
      </c>
      <c r="B3474" s="675" t="s">
        <v>564</v>
      </c>
      <c r="C3474" s="676" t="s">
        <v>3368</v>
      </c>
      <c r="D3474" s="675"/>
      <c r="E3474" s="702"/>
      <c r="F3474" s="702"/>
      <c r="G3474" s="675"/>
      <c r="H3474" s="675"/>
      <c r="I3474" s="675"/>
      <c r="J3474" s="675"/>
      <c r="K3474" s="675"/>
      <c r="L3474" s="675"/>
      <c r="M3474" s="675"/>
    </row>
    <row r="3475" spans="1:13" ht="30" x14ac:dyDescent="0.25">
      <c r="A3475" s="675" t="s">
        <v>3358</v>
      </c>
      <c r="B3475" s="675" t="s">
        <v>512</v>
      </c>
      <c r="C3475" s="676" t="s">
        <v>3369</v>
      </c>
      <c r="D3475" s="675"/>
      <c r="E3475" s="702"/>
      <c r="F3475" s="702"/>
      <c r="G3475" s="675"/>
      <c r="H3475" s="675"/>
      <c r="I3475" s="675"/>
      <c r="J3475" s="675"/>
      <c r="K3475" s="675"/>
      <c r="L3475" s="675"/>
      <c r="M3475" s="675"/>
    </row>
    <row r="3476" spans="1:13" ht="30" x14ac:dyDescent="0.25">
      <c r="A3476" s="675" t="s">
        <v>3358</v>
      </c>
      <c r="B3476" s="675" t="s">
        <v>512</v>
      </c>
      <c r="C3476" s="676" t="s">
        <v>3370</v>
      </c>
      <c r="D3476" s="675"/>
      <c r="E3476" s="702"/>
      <c r="F3476" s="702"/>
      <c r="G3476" s="675"/>
      <c r="H3476" s="675"/>
      <c r="I3476" s="675"/>
      <c r="J3476" s="675"/>
      <c r="K3476" s="675"/>
      <c r="L3476" s="675"/>
      <c r="M3476" s="675"/>
    </row>
    <row r="3477" spans="1:13" ht="30" x14ac:dyDescent="0.25">
      <c r="A3477" s="675" t="s">
        <v>3358</v>
      </c>
      <c r="B3477" s="675" t="s">
        <v>512</v>
      </c>
      <c r="C3477" s="676" t="s">
        <v>3371</v>
      </c>
      <c r="D3477" s="675"/>
      <c r="E3477" s="702"/>
      <c r="F3477" s="702"/>
      <c r="G3477" s="675"/>
      <c r="H3477" s="675"/>
      <c r="I3477" s="675"/>
      <c r="J3477" s="675"/>
      <c r="K3477" s="675"/>
      <c r="L3477" s="675"/>
      <c r="M3477" s="675"/>
    </row>
    <row r="3478" spans="1:13" ht="30" x14ac:dyDescent="0.25">
      <c r="A3478" s="675" t="s">
        <v>3358</v>
      </c>
      <c r="B3478" s="675" t="s">
        <v>512</v>
      </c>
      <c r="C3478" s="676" t="s">
        <v>3372</v>
      </c>
      <c r="D3478" s="675"/>
      <c r="E3478" s="702"/>
      <c r="F3478" s="702"/>
      <c r="G3478" s="675"/>
      <c r="H3478" s="675"/>
      <c r="I3478" s="675"/>
      <c r="J3478" s="675"/>
      <c r="K3478" s="675"/>
      <c r="L3478" s="675"/>
      <c r="M3478" s="675"/>
    </row>
    <row r="3479" spans="1:13" ht="30" x14ac:dyDescent="0.25">
      <c r="A3479" s="675" t="s">
        <v>3358</v>
      </c>
      <c r="B3479" s="675" t="s">
        <v>512</v>
      </c>
      <c r="C3479" s="676" t="s">
        <v>3373</v>
      </c>
      <c r="D3479" s="675"/>
      <c r="E3479" s="702"/>
      <c r="F3479" s="702"/>
      <c r="G3479" s="675"/>
      <c r="H3479" s="675"/>
      <c r="I3479" s="675"/>
      <c r="J3479" s="675"/>
      <c r="K3479" s="675"/>
      <c r="L3479" s="675"/>
      <c r="M3479" s="675"/>
    </row>
    <row r="3480" spans="1:13" ht="30" x14ac:dyDescent="0.25">
      <c r="A3480" s="675" t="s">
        <v>3358</v>
      </c>
      <c r="B3480" s="675" t="s">
        <v>545</v>
      </c>
      <c r="C3480" s="676" t="s">
        <v>3374</v>
      </c>
      <c r="D3480" s="675"/>
      <c r="E3480" s="702"/>
      <c r="F3480" s="702"/>
      <c r="G3480" s="675"/>
      <c r="H3480" s="675"/>
      <c r="I3480" s="675"/>
      <c r="J3480" s="675"/>
      <c r="K3480" s="675"/>
      <c r="L3480" s="675"/>
      <c r="M3480" s="675"/>
    </row>
    <row r="3481" spans="1:13" ht="30" x14ac:dyDescent="0.25">
      <c r="A3481" s="675" t="s">
        <v>3358</v>
      </c>
      <c r="B3481" s="675" t="s">
        <v>545</v>
      </c>
      <c r="C3481" s="676" t="s">
        <v>3375</v>
      </c>
      <c r="D3481" s="675"/>
      <c r="E3481" s="702"/>
      <c r="F3481" s="702"/>
      <c r="G3481" s="675"/>
      <c r="H3481" s="675"/>
      <c r="I3481" s="675"/>
      <c r="J3481" s="675"/>
      <c r="K3481" s="675"/>
      <c r="L3481" s="675"/>
      <c r="M3481" s="675"/>
    </row>
    <row r="3482" spans="1:13" ht="30" x14ac:dyDescent="0.25">
      <c r="A3482" s="675" t="s">
        <v>3358</v>
      </c>
      <c r="B3482" s="675" t="s">
        <v>545</v>
      </c>
      <c r="C3482" s="676" t="s">
        <v>3376</v>
      </c>
      <c r="D3482" s="675"/>
      <c r="E3482" s="702"/>
      <c r="F3482" s="702"/>
      <c r="G3482" s="675"/>
      <c r="H3482" s="675"/>
      <c r="I3482" s="675"/>
      <c r="J3482" s="675"/>
      <c r="K3482" s="675"/>
      <c r="L3482" s="675"/>
      <c r="M3482" s="675"/>
    </row>
    <row r="3483" spans="1:13" ht="30" x14ac:dyDescent="0.25">
      <c r="A3483" s="675" t="s">
        <v>3358</v>
      </c>
      <c r="B3483" s="675" t="s">
        <v>545</v>
      </c>
      <c r="C3483" s="676" t="s">
        <v>3377</v>
      </c>
      <c r="D3483" s="675"/>
      <c r="E3483" s="702"/>
      <c r="F3483" s="702"/>
      <c r="G3483" s="675"/>
      <c r="H3483" s="675"/>
      <c r="I3483" s="675"/>
      <c r="J3483" s="675"/>
      <c r="K3483" s="675"/>
      <c r="L3483" s="675"/>
      <c r="M3483" s="675"/>
    </row>
    <row r="3484" spans="1:13" ht="30" x14ac:dyDescent="0.25">
      <c r="A3484" s="675" t="s">
        <v>3358</v>
      </c>
      <c r="B3484" s="675" t="s">
        <v>545</v>
      </c>
      <c r="C3484" s="676" t="s">
        <v>3378</v>
      </c>
      <c r="D3484" s="675"/>
      <c r="E3484" s="702"/>
      <c r="F3484" s="702"/>
      <c r="G3484" s="675"/>
      <c r="H3484" s="675"/>
      <c r="I3484" s="675"/>
      <c r="J3484" s="675"/>
      <c r="K3484" s="675"/>
      <c r="L3484" s="675"/>
      <c r="M3484" s="675"/>
    </row>
    <row r="3485" spans="1:13" ht="30" x14ac:dyDescent="0.25">
      <c r="A3485" s="675" t="s">
        <v>3358</v>
      </c>
      <c r="B3485" s="675" t="s">
        <v>564</v>
      </c>
      <c r="C3485" s="676" t="s">
        <v>3379</v>
      </c>
      <c r="D3485" s="675"/>
      <c r="E3485" s="702"/>
      <c r="F3485" s="702"/>
      <c r="G3485" s="675"/>
      <c r="H3485" s="675"/>
      <c r="I3485" s="675"/>
      <c r="J3485" s="675"/>
      <c r="K3485" s="675"/>
      <c r="L3485" s="675"/>
      <c r="M3485" s="675"/>
    </row>
    <row r="3486" spans="1:13" ht="30" x14ac:dyDescent="0.25">
      <c r="A3486" s="675" t="s">
        <v>3358</v>
      </c>
      <c r="B3486" s="675" t="s">
        <v>564</v>
      </c>
      <c r="C3486" s="676" t="s">
        <v>3380</v>
      </c>
      <c r="D3486" s="675"/>
      <c r="E3486" s="702"/>
      <c r="F3486" s="702"/>
      <c r="G3486" s="675"/>
      <c r="H3486" s="675"/>
      <c r="I3486" s="675"/>
      <c r="J3486" s="675"/>
      <c r="K3486" s="675"/>
      <c r="L3486" s="675"/>
      <c r="M3486" s="675"/>
    </row>
    <row r="3487" spans="1:13" ht="30" x14ac:dyDescent="0.25">
      <c r="A3487" s="675" t="s">
        <v>3358</v>
      </c>
      <c r="B3487" s="675" t="s">
        <v>564</v>
      </c>
      <c r="C3487" s="676" t="s">
        <v>3381</v>
      </c>
      <c r="D3487" s="675"/>
      <c r="E3487" s="702"/>
      <c r="F3487" s="702"/>
      <c r="G3487" s="675"/>
      <c r="H3487" s="675"/>
      <c r="I3487" s="675"/>
      <c r="J3487" s="675"/>
      <c r="K3487" s="675"/>
      <c r="L3487" s="675"/>
      <c r="M3487" s="675"/>
    </row>
    <row r="3488" spans="1:13" ht="30" x14ac:dyDescent="0.25">
      <c r="A3488" s="675" t="s">
        <v>3358</v>
      </c>
      <c r="B3488" s="675" t="s">
        <v>564</v>
      </c>
      <c r="C3488" s="676" t="s">
        <v>3382</v>
      </c>
      <c r="D3488" s="675"/>
      <c r="E3488" s="702"/>
      <c r="F3488" s="702"/>
      <c r="G3488" s="675"/>
      <c r="H3488" s="675"/>
      <c r="I3488" s="675"/>
      <c r="J3488" s="675"/>
      <c r="K3488" s="675"/>
      <c r="L3488" s="675"/>
      <c r="M3488" s="675"/>
    </row>
    <row r="3489" spans="1:13" ht="30" x14ac:dyDescent="0.25">
      <c r="A3489" s="675" t="s">
        <v>3358</v>
      </c>
      <c r="B3489" s="675" t="s">
        <v>564</v>
      </c>
      <c r="C3489" s="676" t="s">
        <v>3383</v>
      </c>
      <c r="D3489" s="675"/>
      <c r="E3489" s="702"/>
      <c r="F3489" s="702"/>
      <c r="G3489" s="675"/>
      <c r="H3489" s="675"/>
      <c r="I3489" s="675"/>
      <c r="J3489" s="675"/>
      <c r="K3489" s="675"/>
      <c r="L3489" s="675"/>
      <c r="M3489" s="675"/>
    </row>
    <row r="3490" spans="1:13" ht="30" x14ac:dyDescent="0.25">
      <c r="A3490" s="675" t="s">
        <v>3358</v>
      </c>
      <c r="B3490" s="675" t="s">
        <v>512</v>
      </c>
      <c r="C3490" s="676" t="s">
        <v>3384</v>
      </c>
      <c r="D3490" s="675"/>
      <c r="E3490" s="702"/>
      <c r="F3490" s="702"/>
      <c r="G3490" s="675"/>
      <c r="H3490" s="675"/>
      <c r="I3490" s="675"/>
      <c r="J3490" s="675"/>
      <c r="K3490" s="675"/>
      <c r="L3490" s="675"/>
      <c r="M3490" s="675"/>
    </row>
    <row r="3491" spans="1:13" ht="30" x14ac:dyDescent="0.25">
      <c r="A3491" s="675" t="s">
        <v>3358</v>
      </c>
      <c r="B3491" s="675" t="s">
        <v>512</v>
      </c>
      <c r="C3491" s="676" t="s">
        <v>3385</v>
      </c>
      <c r="D3491" s="675"/>
      <c r="E3491" s="702"/>
      <c r="F3491" s="702"/>
      <c r="G3491" s="675"/>
      <c r="H3491" s="675"/>
      <c r="I3491" s="675"/>
      <c r="J3491" s="675"/>
      <c r="K3491" s="675"/>
      <c r="L3491" s="675"/>
      <c r="M3491" s="675"/>
    </row>
    <row r="3492" spans="1:13" ht="30" x14ac:dyDescent="0.25">
      <c r="A3492" s="675" t="s">
        <v>3358</v>
      </c>
      <c r="B3492" s="675" t="s">
        <v>512</v>
      </c>
      <c r="C3492" s="676" t="s">
        <v>3386</v>
      </c>
      <c r="D3492" s="675"/>
      <c r="E3492" s="702"/>
      <c r="F3492" s="702"/>
      <c r="G3492" s="675"/>
      <c r="H3492" s="675"/>
      <c r="I3492" s="675"/>
      <c r="J3492" s="675"/>
      <c r="K3492" s="675"/>
      <c r="L3492" s="675"/>
      <c r="M3492" s="675"/>
    </row>
    <row r="3493" spans="1:13" ht="30" x14ac:dyDescent="0.25">
      <c r="A3493" s="675" t="s">
        <v>3358</v>
      </c>
      <c r="B3493" s="675" t="s">
        <v>512</v>
      </c>
      <c r="C3493" s="676" t="s">
        <v>3387</v>
      </c>
      <c r="D3493" s="675"/>
      <c r="E3493" s="702"/>
      <c r="F3493" s="702"/>
      <c r="G3493" s="675"/>
      <c r="H3493" s="675"/>
      <c r="I3493" s="675"/>
      <c r="J3493" s="675"/>
      <c r="K3493" s="675"/>
      <c r="L3493" s="675"/>
      <c r="M3493" s="675"/>
    </row>
    <row r="3494" spans="1:13" ht="30" x14ac:dyDescent="0.25">
      <c r="A3494" s="675" t="s">
        <v>3358</v>
      </c>
      <c r="B3494" s="675" t="s">
        <v>512</v>
      </c>
      <c r="C3494" s="676" t="s">
        <v>3388</v>
      </c>
      <c r="D3494" s="675"/>
      <c r="E3494" s="702"/>
      <c r="F3494" s="702"/>
      <c r="G3494" s="675"/>
      <c r="H3494" s="675"/>
      <c r="I3494" s="675"/>
      <c r="J3494" s="675"/>
      <c r="K3494" s="675"/>
      <c r="L3494" s="675"/>
      <c r="M3494" s="675"/>
    </row>
    <row r="3495" spans="1:13" ht="30" x14ac:dyDescent="0.25">
      <c r="A3495" s="675" t="s">
        <v>3389</v>
      </c>
      <c r="B3495" s="675" t="s">
        <v>545</v>
      </c>
      <c r="C3495" s="676" t="s">
        <v>3390</v>
      </c>
      <c r="D3495" s="675"/>
      <c r="E3495" s="702"/>
      <c r="F3495" s="702"/>
      <c r="G3495" s="675"/>
      <c r="H3495" s="675"/>
      <c r="I3495" s="675"/>
      <c r="J3495" s="675"/>
      <c r="K3495" s="675"/>
      <c r="L3495" s="675"/>
      <c r="M3495" s="675"/>
    </row>
    <row r="3496" spans="1:13" ht="30" x14ac:dyDescent="0.25">
      <c r="A3496" s="675" t="s">
        <v>3389</v>
      </c>
      <c r="B3496" s="675" t="s">
        <v>545</v>
      </c>
      <c r="C3496" s="676" t="s">
        <v>3391</v>
      </c>
      <c r="D3496" s="675"/>
      <c r="E3496" s="702"/>
      <c r="F3496" s="702"/>
      <c r="G3496" s="675"/>
      <c r="H3496" s="675"/>
      <c r="I3496" s="675"/>
      <c r="J3496" s="675"/>
      <c r="K3496" s="675"/>
      <c r="L3496" s="675"/>
      <c r="M3496" s="675"/>
    </row>
    <row r="3497" spans="1:13" ht="30" x14ac:dyDescent="0.25">
      <c r="A3497" s="675" t="s">
        <v>3389</v>
      </c>
      <c r="B3497" s="675" t="s">
        <v>545</v>
      </c>
      <c r="C3497" s="676" t="s">
        <v>3392</v>
      </c>
      <c r="D3497" s="675"/>
      <c r="E3497" s="702"/>
      <c r="F3497" s="702"/>
      <c r="G3497" s="675"/>
      <c r="H3497" s="675"/>
      <c r="I3497" s="675"/>
      <c r="J3497" s="675"/>
      <c r="K3497" s="675"/>
      <c r="L3497" s="675"/>
      <c r="M3497" s="675"/>
    </row>
    <row r="3498" spans="1:13" ht="30" x14ac:dyDescent="0.25">
      <c r="A3498" s="675" t="s">
        <v>3389</v>
      </c>
      <c r="B3498" s="675" t="s">
        <v>545</v>
      </c>
      <c r="C3498" s="676" t="s">
        <v>3393</v>
      </c>
      <c r="D3498" s="675"/>
      <c r="E3498" s="702"/>
      <c r="F3498" s="702"/>
      <c r="G3498" s="675"/>
      <c r="H3498" s="675"/>
      <c r="I3498" s="675"/>
      <c r="J3498" s="675"/>
      <c r="K3498" s="675"/>
      <c r="L3498" s="675"/>
      <c r="M3498" s="675"/>
    </row>
    <row r="3499" spans="1:13" ht="30" x14ac:dyDescent="0.25">
      <c r="A3499" s="675" t="s">
        <v>3389</v>
      </c>
      <c r="B3499" s="675" t="s">
        <v>545</v>
      </c>
      <c r="C3499" s="676" t="s">
        <v>3394</v>
      </c>
      <c r="D3499" s="675"/>
      <c r="E3499" s="702"/>
      <c r="F3499" s="702"/>
      <c r="G3499" s="675"/>
      <c r="H3499" s="675"/>
      <c r="I3499" s="675"/>
      <c r="J3499" s="675"/>
      <c r="K3499" s="675"/>
      <c r="L3499" s="675"/>
      <c r="M3499" s="675"/>
    </row>
    <row r="3500" spans="1:13" ht="30" x14ac:dyDescent="0.25">
      <c r="A3500" s="675" t="s">
        <v>3389</v>
      </c>
      <c r="B3500" s="675" t="s">
        <v>564</v>
      </c>
      <c r="C3500" s="676" t="s">
        <v>3395</v>
      </c>
      <c r="D3500" s="675"/>
      <c r="E3500" s="702"/>
      <c r="F3500" s="702"/>
      <c r="G3500" s="675"/>
      <c r="H3500" s="675"/>
      <c r="I3500" s="675"/>
      <c r="J3500" s="675"/>
      <c r="K3500" s="675"/>
      <c r="L3500" s="675"/>
      <c r="M3500" s="675"/>
    </row>
    <row r="3501" spans="1:13" ht="30" x14ac:dyDescent="0.25">
      <c r="A3501" s="675" t="s">
        <v>3389</v>
      </c>
      <c r="B3501" s="675" t="s">
        <v>564</v>
      </c>
      <c r="C3501" s="676" t="s">
        <v>3396</v>
      </c>
      <c r="D3501" s="675"/>
      <c r="E3501" s="702"/>
      <c r="F3501" s="702"/>
      <c r="G3501" s="675"/>
      <c r="H3501" s="675"/>
      <c r="I3501" s="675"/>
      <c r="J3501" s="675"/>
      <c r="K3501" s="675"/>
      <c r="L3501" s="675"/>
      <c r="M3501" s="675"/>
    </row>
    <row r="3502" spans="1:13" ht="30" x14ac:dyDescent="0.25">
      <c r="A3502" s="675" t="s">
        <v>3389</v>
      </c>
      <c r="B3502" s="675" t="s">
        <v>564</v>
      </c>
      <c r="C3502" s="676" t="s">
        <v>3397</v>
      </c>
      <c r="D3502" s="675"/>
      <c r="E3502" s="702"/>
      <c r="F3502" s="702"/>
      <c r="G3502" s="675"/>
      <c r="H3502" s="675"/>
      <c r="I3502" s="675"/>
      <c r="J3502" s="675"/>
      <c r="K3502" s="675"/>
      <c r="L3502" s="675"/>
      <c r="M3502" s="675"/>
    </row>
    <row r="3503" spans="1:13" ht="30" x14ac:dyDescent="0.25">
      <c r="A3503" s="675" t="s">
        <v>3389</v>
      </c>
      <c r="B3503" s="675" t="s">
        <v>564</v>
      </c>
      <c r="C3503" s="676" t="s">
        <v>3398</v>
      </c>
      <c r="D3503" s="675"/>
      <c r="E3503" s="702"/>
      <c r="F3503" s="702"/>
      <c r="G3503" s="675"/>
      <c r="H3503" s="675"/>
      <c r="I3503" s="675"/>
      <c r="J3503" s="675"/>
      <c r="K3503" s="675"/>
      <c r="L3503" s="675"/>
      <c r="M3503" s="675"/>
    </row>
    <row r="3504" spans="1:13" ht="30" x14ac:dyDescent="0.25">
      <c r="A3504" s="675" t="s">
        <v>3389</v>
      </c>
      <c r="B3504" s="675" t="s">
        <v>564</v>
      </c>
      <c r="C3504" s="676" t="s">
        <v>3399</v>
      </c>
      <c r="D3504" s="675"/>
      <c r="E3504" s="702"/>
      <c r="F3504" s="702"/>
      <c r="G3504" s="675"/>
      <c r="H3504" s="675"/>
      <c r="I3504" s="675"/>
      <c r="J3504" s="675"/>
      <c r="K3504" s="675"/>
      <c r="L3504" s="675"/>
      <c r="M3504" s="675"/>
    </row>
    <row r="3505" spans="1:13" ht="30" x14ac:dyDescent="0.25">
      <c r="A3505" s="675" t="s">
        <v>3389</v>
      </c>
      <c r="B3505" s="675" t="s">
        <v>512</v>
      </c>
      <c r="C3505" s="676" t="s">
        <v>3400</v>
      </c>
      <c r="D3505" s="675"/>
      <c r="E3505" s="702"/>
      <c r="F3505" s="702"/>
      <c r="G3505" s="675"/>
      <c r="H3505" s="675"/>
      <c r="I3505" s="675"/>
      <c r="J3505" s="675"/>
      <c r="K3505" s="675"/>
      <c r="L3505" s="675"/>
      <c r="M3505" s="675"/>
    </row>
    <row r="3506" spans="1:13" ht="30" x14ac:dyDescent="0.25">
      <c r="A3506" s="675" t="s">
        <v>3389</v>
      </c>
      <c r="B3506" s="675" t="s">
        <v>512</v>
      </c>
      <c r="C3506" s="676" t="s">
        <v>3401</v>
      </c>
      <c r="D3506" s="675"/>
      <c r="E3506" s="702"/>
      <c r="F3506" s="702"/>
      <c r="G3506" s="675"/>
      <c r="H3506" s="675"/>
      <c r="I3506" s="675"/>
      <c r="J3506" s="675"/>
      <c r="K3506" s="675"/>
      <c r="L3506" s="675"/>
      <c r="M3506" s="675"/>
    </row>
    <row r="3507" spans="1:13" ht="30" x14ac:dyDescent="0.25">
      <c r="A3507" s="675" t="s">
        <v>3389</v>
      </c>
      <c r="B3507" s="675" t="s">
        <v>512</v>
      </c>
      <c r="C3507" s="676" t="s">
        <v>3402</v>
      </c>
      <c r="D3507" s="675"/>
      <c r="E3507" s="702"/>
      <c r="F3507" s="702"/>
      <c r="G3507" s="675"/>
      <c r="H3507" s="675"/>
      <c r="I3507" s="675"/>
      <c r="J3507" s="675"/>
      <c r="K3507" s="675"/>
      <c r="L3507" s="675"/>
      <c r="M3507" s="675"/>
    </row>
    <row r="3508" spans="1:13" ht="30" x14ac:dyDescent="0.25">
      <c r="A3508" s="675" t="s">
        <v>3389</v>
      </c>
      <c r="B3508" s="675" t="s">
        <v>512</v>
      </c>
      <c r="C3508" s="676" t="s">
        <v>3403</v>
      </c>
      <c r="D3508" s="675"/>
      <c r="E3508" s="702"/>
      <c r="F3508" s="702"/>
      <c r="G3508" s="675"/>
      <c r="H3508" s="675"/>
      <c r="I3508" s="675"/>
      <c r="J3508" s="675"/>
      <c r="K3508" s="675"/>
      <c r="L3508" s="675"/>
      <c r="M3508" s="675"/>
    </row>
    <row r="3509" spans="1:13" ht="30" x14ac:dyDescent="0.25">
      <c r="A3509" s="675" t="s">
        <v>3389</v>
      </c>
      <c r="B3509" s="675" t="s">
        <v>512</v>
      </c>
      <c r="C3509" s="676" t="s">
        <v>3404</v>
      </c>
      <c r="D3509" s="675"/>
      <c r="E3509" s="702"/>
      <c r="F3509" s="702"/>
      <c r="G3509" s="675"/>
      <c r="H3509" s="675"/>
      <c r="I3509" s="675"/>
      <c r="J3509" s="675"/>
      <c r="K3509" s="675"/>
      <c r="L3509" s="675"/>
      <c r="M3509" s="675"/>
    </row>
    <row r="3510" spans="1:13" ht="30" x14ac:dyDescent="0.25">
      <c r="A3510" s="675" t="s">
        <v>3389</v>
      </c>
      <c r="B3510" s="675" t="s">
        <v>545</v>
      </c>
      <c r="C3510" s="676" t="s">
        <v>3405</v>
      </c>
      <c r="D3510" s="675"/>
      <c r="E3510" s="702"/>
      <c r="F3510" s="702"/>
      <c r="G3510" s="675"/>
      <c r="H3510" s="675"/>
      <c r="I3510" s="675"/>
      <c r="J3510" s="675"/>
      <c r="K3510" s="675"/>
      <c r="L3510" s="675"/>
      <c r="M3510" s="675"/>
    </row>
    <row r="3511" spans="1:13" ht="30" x14ac:dyDescent="0.25">
      <c r="A3511" s="675" t="s">
        <v>3389</v>
      </c>
      <c r="B3511" s="675" t="s">
        <v>545</v>
      </c>
      <c r="C3511" s="676" t="s">
        <v>3406</v>
      </c>
      <c r="D3511" s="675"/>
      <c r="E3511" s="702"/>
      <c r="F3511" s="702"/>
      <c r="G3511" s="675"/>
      <c r="H3511" s="675"/>
      <c r="I3511" s="675"/>
      <c r="J3511" s="675"/>
      <c r="K3511" s="675"/>
      <c r="L3511" s="675"/>
      <c r="M3511" s="675"/>
    </row>
    <row r="3512" spans="1:13" ht="30" x14ac:dyDescent="0.25">
      <c r="A3512" s="675" t="s">
        <v>3389</v>
      </c>
      <c r="B3512" s="675" t="s">
        <v>545</v>
      </c>
      <c r="C3512" s="676" t="s">
        <v>3407</v>
      </c>
      <c r="D3512" s="675"/>
      <c r="E3512" s="702"/>
      <c r="F3512" s="702"/>
      <c r="G3512" s="675"/>
      <c r="H3512" s="675"/>
      <c r="I3512" s="675"/>
      <c r="J3512" s="675"/>
      <c r="K3512" s="675"/>
      <c r="L3512" s="675"/>
      <c r="M3512" s="675"/>
    </row>
    <row r="3513" spans="1:13" ht="30" x14ac:dyDescent="0.25">
      <c r="A3513" s="675" t="s">
        <v>3389</v>
      </c>
      <c r="B3513" s="675" t="s">
        <v>545</v>
      </c>
      <c r="C3513" s="676" t="s">
        <v>3408</v>
      </c>
      <c r="D3513" s="675"/>
      <c r="E3513" s="702"/>
      <c r="F3513" s="702"/>
      <c r="G3513" s="675"/>
      <c r="H3513" s="675"/>
      <c r="I3513" s="675"/>
      <c r="J3513" s="675"/>
      <c r="K3513" s="675"/>
      <c r="L3513" s="675"/>
      <c r="M3513" s="675"/>
    </row>
    <row r="3514" spans="1:13" ht="30" x14ac:dyDescent="0.25">
      <c r="A3514" s="675" t="s">
        <v>3389</v>
      </c>
      <c r="B3514" s="675" t="s">
        <v>545</v>
      </c>
      <c r="C3514" s="676" t="s">
        <v>3409</v>
      </c>
      <c r="D3514" s="675"/>
      <c r="E3514" s="702"/>
      <c r="F3514" s="702"/>
      <c r="G3514" s="675"/>
      <c r="H3514" s="675"/>
      <c r="I3514" s="675"/>
      <c r="J3514" s="675"/>
      <c r="K3514" s="675"/>
      <c r="L3514" s="675"/>
      <c r="M3514" s="675"/>
    </row>
    <row r="3515" spans="1:13" ht="30" x14ac:dyDescent="0.25">
      <c r="A3515" s="675" t="s">
        <v>3389</v>
      </c>
      <c r="B3515" s="675" t="s">
        <v>564</v>
      </c>
      <c r="C3515" s="676" t="s">
        <v>3410</v>
      </c>
      <c r="D3515" s="675"/>
      <c r="E3515" s="702"/>
      <c r="F3515" s="702"/>
      <c r="G3515" s="675"/>
      <c r="H3515" s="675"/>
      <c r="I3515" s="675"/>
      <c r="J3515" s="675"/>
      <c r="K3515" s="675"/>
      <c r="L3515" s="675"/>
      <c r="M3515" s="675"/>
    </row>
    <row r="3516" spans="1:13" ht="30" x14ac:dyDescent="0.25">
      <c r="A3516" s="675" t="s">
        <v>3389</v>
      </c>
      <c r="B3516" s="675" t="s">
        <v>564</v>
      </c>
      <c r="C3516" s="676" t="s">
        <v>3411</v>
      </c>
      <c r="D3516" s="675"/>
      <c r="E3516" s="702"/>
      <c r="F3516" s="702"/>
      <c r="G3516" s="675"/>
      <c r="H3516" s="675"/>
      <c r="I3516" s="675"/>
      <c r="J3516" s="675"/>
      <c r="K3516" s="675"/>
      <c r="L3516" s="675"/>
      <c r="M3516" s="675"/>
    </row>
    <row r="3517" spans="1:13" ht="30" x14ac:dyDescent="0.25">
      <c r="A3517" s="675" t="s">
        <v>3389</v>
      </c>
      <c r="B3517" s="675" t="s">
        <v>564</v>
      </c>
      <c r="C3517" s="676" t="s">
        <v>3412</v>
      </c>
      <c r="D3517" s="675"/>
      <c r="E3517" s="702"/>
      <c r="F3517" s="702"/>
      <c r="G3517" s="675"/>
      <c r="H3517" s="675"/>
      <c r="I3517" s="675"/>
      <c r="J3517" s="675"/>
      <c r="K3517" s="675"/>
      <c r="L3517" s="675"/>
      <c r="M3517" s="675"/>
    </row>
    <row r="3518" spans="1:13" ht="30" x14ac:dyDescent="0.25">
      <c r="A3518" s="675" t="s">
        <v>3389</v>
      </c>
      <c r="B3518" s="675" t="s">
        <v>564</v>
      </c>
      <c r="C3518" s="676" t="s">
        <v>3413</v>
      </c>
      <c r="D3518" s="675"/>
      <c r="E3518" s="702"/>
      <c r="F3518" s="702"/>
      <c r="G3518" s="675"/>
      <c r="H3518" s="675"/>
      <c r="I3518" s="675"/>
      <c r="J3518" s="675"/>
      <c r="K3518" s="675"/>
      <c r="L3518" s="675"/>
      <c r="M3518" s="675"/>
    </row>
    <row r="3519" spans="1:13" ht="30" x14ac:dyDescent="0.25">
      <c r="A3519" s="675" t="s">
        <v>3389</v>
      </c>
      <c r="B3519" s="675" t="s">
        <v>564</v>
      </c>
      <c r="C3519" s="676" t="s">
        <v>3414</v>
      </c>
      <c r="D3519" s="675"/>
      <c r="E3519" s="702"/>
      <c r="F3519" s="702"/>
      <c r="G3519" s="675"/>
      <c r="H3519" s="675"/>
      <c r="I3519" s="675"/>
      <c r="J3519" s="675"/>
      <c r="K3519" s="675"/>
      <c r="L3519" s="675"/>
      <c r="M3519" s="675"/>
    </row>
    <row r="3520" spans="1:13" x14ac:dyDescent="0.25">
      <c r="A3520" s="675" t="s">
        <v>3389</v>
      </c>
      <c r="B3520" s="675" t="s">
        <v>512</v>
      </c>
      <c r="C3520" s="675" t="s">
        <v>3415</v>
      </c>
      <c r="D3520" s="675"/>
      <c r="E3520" s="702"/>
      <c r="F3520" s="702"/>
      <c r="G3520" s="675"/>
      <c r="H3520" s="675"/>
      <c r="I3520" s="675"/>
      <c r="J3520" s="675"/>
      <c r="K3520" s="675"/>
      <c r="L3520" s="675"/>
      <c r="M3520" s="675"/>
    </row>
    <row r="3521" spans="1:13" x14ac:dyDescent="0.25">
      <c r="A3521" s="675" t="s">
        <v>3389</v>
      </c>
      <c r="B3521" s="675" t="s">
        <v>512</v>
      </c>
      <c r="C3521" s="675" t="s">
        <v>3416</v>
      </c>
      <c r="D3521" s="675"/>
      <c r="E3521" s="702"/>
      <c r="F3521" s="702"/>
      <c r="G3521" s="675"/>
      <c r="H3521" s="675"/>
      <c r="I3521" s="675"/>
      <c r="J3521" s="675"/>
      <c r="K3521" s="675"/>
      <c r="L3521" s="675"/>
      <c r="M3521" s="675"/>
    </row>
    <row r="3522" spans="1:13" x14ac:dyDescent="0.25">
      <c r="A3522" s="675" t="s">
        <v>3389</v>
      </c>
      <c r="B3522" s="675" t="s">
        <v>512</v>
      </c>
      <c r="C3522" s="675" t="s">
        <v>3417</v>
      </c>
      <c r="D3522" s="675"/>
      <c r="E3522" s="702"/>
      <c r="F3522" s="702"/>
      <c r="G3522" s="675"/>
      <c r="H3522" s="675"/>
      <c r="I3522" s="675"/>
      <c r="J3522" s="675"/>
      <c r="K3522" s="675"/>
      <c r="L3522" s="675"/>
      <c r="M3522" s="675"/>
    </row>
    <row r="3523" spans="1:13" x14ac:dyDescent="0.25">
      <c r="A3523" s="675" t="s">
        <v>3389</v>
      </c>
      <c r="B3523" s="675" t="s">
        <v>512</v>
      </c>
      <c r="C3523" s="675" t="s">
        <v>3418</v>
      </c>
      <c r="D3523" s="675"/>
      <c r="E3523" s="702"/>
      <c r="F3523" s="702"/>
      <c r="G3523" s="675"/>
      <c r="H3523" s="675"/>
      <c r="I3523" s="675"/>
      <c r="J3523" s="675"/>
      <c r="K3523" s="675"/>
      <c r="L3523" s="675"/>
      <c r="M3523" s="675"/>
    </row>
    <row r="3524" spans="1:13" x14ac:dyDescent="0.25">
      <c r="A3524" s="675" t="s">
        <v>3389</v>
      </c>
      <c r="B3524" s="675" t="s">
        <v>512</v>
      </c>
      <c r="C3524" s="675" t="s">
        <v>3419</v>
      </c>
      <c r="D3524" s="675"/>
      <c r="E3524" s="702"/>
      <c r="F3524" s="702"/>
      <c r="G3524" s="675"/>
      <c r="H3524" s="675"/>
      <c r="I3524" s="675"/>
      <c r="J3524" s="675"/>
      <c r="K3524" s="675"/>
      <c r="L3524" s="675"/>
      <c r="M3524" s="675"/>
    </row>
    <row r="3525" spans="1:13" ht="30" x14ac:dyDescent="0.25">
      <c r="A3525" s="675" t="s">
        <v>3420</v>
      </c>
      <c r="B3525" s="675" t="s">
        <v>545</v>
      </c>
      <c r="C3525" s="676" t="s">
        <v>3421</v>
      </c>
      <c r="D3525" s="675"/>
      <c r="E3525" s="702"/>
      <c r="F3525" s="702"/>
      <c r="G3525" s="675"/>
      <c r="H3525" s="675"/>
      <c r="I3525" s="675"/>
      <c r="J3525" s="675"/>
      <c r="K3525" s="675"/>
      <c r="L3525" s="675"/>
      <c r="M3525" s="675"/>
    </row>
    <row r="3526" spans="1:13" ht="30" x14ac:dyDescent="0.25">
      <c r="A3526" s="675" t="s">
        <v>3420</v>
      </c>
      <c r="B3526" s="675" t="s">
        <v>545</v>
      </c>
      <c r="C3526" s="676" t="s">
        <v>3422</v>
      </c>
      <c r="D3526" s="675"/>
      <c r="E3526" s="702"/>
      <c r="F3526" s="702"/>
      <c r="G3526" s="675"/>
      <c r="H3526" s="675"/>
      <c r="I3526" s="675"/>
      <c r="J3526" s="675"/>
      <c r="K3526" s="675"/>
      <c r="L3526" s="675"/>
      <c r="M3526" s="675"/>
    </row>
    <row r="3527" spans="1:13" ht="30" x14ac:dyDescent="0.25">
      <c r="A3527" s="675" t="s">
        <v>3420</v>
      </c>
      <c r="B3527" s="675" t="s">
        <v>545</v>
      </c>
      <c r="C3527" s="676" t="s">
        <v>3423</v>
      </c>
      <c r="D3527" s="675"/>
      <c r="E3527" s="702"/>
      <c r="F3527" s="702"/>
      <c r="G3527" s="675"/>
      <c r="H3527" s="675"/>
      <c r="I3527" s="675"/>
      <c r="J3527" s="675"/>
      <c r="K3527" s="675"/>
      <c r="L3527" s="675"/>
      <c r="M3527" s="675"/>
    </row>
    <row r="3528" spans="1:13" ht="30" x14ac:dyDescent="0.25">
      <c r="A3528" s="675" t="s">
        <v>3420</v>
      </c>
      <c r="B3528" s="675" t="s">
        <v>545</v>
      </c>
      <c r="C3528" s="676" t="s">
        <v>3424</v>
      </c>
      <c r="D3528" s="675"/>
      <c r="E3528" s="702"/>
      <c r="F3528" s="702"/>
      <c r="G3528" s="675"/>
      <c r="H3528" s="675"/>
      <c r="I3528" s="675"/>
      <c r="J3528" s="675"/>
      <c r="K3528" s="675"/>
      <c r="L3528" s="675"/>
      <c r="M3528" s="675"/>
    </row>
    <row r="3529" spans="1:13" ht="30" x14ac:dyDescent="0.25">
      <c r="A3529" s="675" t="s">
        <v>3420</v>
      </c>
      <c r="B3529" s="675" t="s">
        <v>545</v>
      </c>
      <c r="C3529" s="676" t="s">
        <v>3425</v>
      </c>
      <c r="D3529" s="675"/>
      <c r="E3529" s="702"/>
      <c r="F3529" s="702"/>
      <c r="G3529" s="675"/>
      <c r="H3529" s="675"/>
      <c r="I3529" s="675"/>
      <c r="J3529" s="675"/>
      <c r="K3529" s="675"/>
      <c r="L3529" s="675"/>
      <c r="M3529" s="675"/>
    </row>
    <row r="3530" spans="1:13" ht="30" x14ac:dyDescent="0.25">
      <c r="A3530" s="675" t="s">
        <v>3420</v>
      </c>
      <c r="B3530" s="675" t="s">
        <v>564</v>
      </c>
      <c r="C3530" s="676" t="s">
        <v>3426</v>
      </c>
      <c r="D3530" s="675"/>
      <c r="E3530" s="702"/>
      <c r="F3530" s="702"/>
      <c r="G3530" s="675"/>
      <c r="H3530" s="675"/>
      <c r="I3530" s="675"/>
      <c r="J3530" s="675"/>
      <c r="K3530" s="675"/>
      <c r="L3530" s="675"/>
      <c r="M3530" s="675"/>
    </row>
    <row r="3531" spans="1:13" ht="30" x14ac:dyDescent="0.25">
      <c r="A3531" s="675" t="s">
        <v>3420</v>
      </c>
      <c r="B3531" s="675" t="s">
        <v>564</v>
      </c>
      <c r="C3531" s="676" t="s">
        <v>3427</v>
      </c>
      <c r="D3531" s="675"/>
      <c r="E3531" s="702"/>
      <c r="F3531" s="702"/>
      <c r="G3531" s="675"/>
      <c r="H3531" s="675"/>
      <c r="I3531" s="675"/>
      <c r="J3531" s="675"/>
      <c r="K3531" s="675"/>
      <c r="L3531" s="675"/>
      <c r="M3531" s="675"/>
    </row>
    <row r="3532" spans="1:13" ht="30" x14ac:dyDescent="0.25">
      <c r="A3532" s="675" t="s">
        <v>3420</v>
      </c>
      <c r="B3532" s="675" t="s">
        <v>564</v>
      </c>
      <c r="C3532" s="676" t="s">
        <v>3428</v>
      </c>
      <c r="D3532" s="675"/>
      <c r="E3532" s="702"/>
      <c r="F3532" s="702"/>
      <c r="G3532" s="675"/>
      <c r="H3532" s="675"/>
      <c r="I3532" s="675"/>
      <c r="J3532" s="675"/>
      <c r="K3532" s="675"/>
      <c r="L3532" s="675"/>
      <c r="M3532" s="675"/>
    </row>
    <row r="3533" spans="1:13" ht="30" x14ac:dyDescent="0.25">
      <c r="A3533" s="675" t="s">
        <v>3420</v>
      </c>
      <c r="B3533" s="675" t="s">
        <v>564</v>
      </c>
      <c r="C3533" s="676" t="s">
        <v>3429</v>
      </c>
      <c r="D3533" s="675"/>
      <c r="E3533" s="702"/>
      <c r="F3533" s="702"/>
      <c r="G3533" s="675"/>
      <c r="H3533" s="675"/>
      <c r="I3533" s="675"/>
      <c r="J3533" s="675"/>
      <c r="K3533" s="675"/>
      <c r="L3533" s="675"/>
      <c r="M3533" s="675"/>
    </row>
    <row r="3534" spans="1:13" ht="30" x14ac:dyDescent="0.25">
      <c r="A3534" s="675" t="s">
        <v>3420</v>
      </c>
      <c r="B3534" s="675" t="s">
        <v>564</v>
      </c>
      <c r="C3534" s="676" t="s">
        <v>3430</v>
      </c>
      <c r="D3534" s="675"/>
      <c r="E3534" s="702"/>
      <c r="F3534" s="702"/>
      <c r="G3534" s="675"/>
      <c r="H3534" s="675"/>
      <c r="I3534" s="675"/>
      <c r="J3534" s="675"/>
      <c r="K3534" s="675"/>
      <c r="L3534" s="675"/>
      <c r="M3534" s="675"/>
    </row>
    <row r="3535" spans="1:13" x14ac:dyDescent="0.25">
      <c r="A3535" s="675" t="s">
        <v>3420</v>
      </c>
      <c r="B3535" s="675" t="s">
        <v>512</v>
      </c>
      <c r="C3535" s="675" t="s">
        <v>3431</v>
      </c>
      <c r="D3535" s="675"/>
      <c r="E3535" s="702"/>
      <c r="F3535" s="702"/>
      <c r="G3535" s="675"/>
      <c r="H3535" s="675"/>
      <c r="I3535" s="675"/>
      <c r="J3535" s="675"/>
      <c r="K3535" s="675"/>
      <c r="L3535" s="675"/>
      <c r="M3535" s="675"/>
    </row>
    <row r="3536" spans="1:13" x14ac:dyDescent="0.25">
      <c r="A3536" s="675" t="s">
        <v>3420</v>
      </c>
      <c r="B3536" s="675" t="s">
        <v>512</v>
      </c>
      <c r="C3536" s="675" t="s">
        <v>3432</v>
      </c>
      <c r="D3536" s="675"/>
      <c r="E3536" s="702"/>
      <c r="F3536" s="702"/>
      <c r="G3536" s="675"/>
      <c r="H3536" s="675"/>
      <c r="I3536" s="675"/>
      <c r="J3536" s="675"/>
      <c r="K3536" s="675"/>
      <c r="L3536" s="675"/>
      <c r="M3536" s="675"/>
    </row>
    <row r="3537" spans="1:13" x14ac:dyDescent="0.25">
      <c r="A3537" s="675" t="s">
        <v>3420</v>
      </c>
      <c r="B3537" s="675" t="s">
        <v>512</v>
      </c>
      <c r="C3537" s="675" t="s">
        <v>3433</v>
      </c>
      <c r="D3537" s="675"/>
      <c r="E3537" s="702"/>
      <c r="F3537" s="702"/>
      <c r="G3537" s="675"/>
      <c r="H3537" s="675"/>
      <c r="I3537" s="675"/>
      <c r="J3537" s="675"/>
      <c r="K3537" s="675"/>
      <c r="L3537" s="675"/>
      <c r="M3537" s="675"/>
    </row>
    <row r="3538" spans="1:13" x14ac:dyDescent="0.25">
      <c r="A3538" s="675" t="s">
        <v>3420</v>
      </c>
      <c r="B3538" s="675" t="s">
        <v>512</v>
      </c>
      <c r="C3538" s="675" t="s">
        <v>3434</v>
      </c>
      <c r="D3538" s="675"/>
      <c r="E3538" s="702"/>
      <c r="F3538" s="702"/>
      <c r="G3538" s="675"/>
      <c r="H3538" s="675"/>
      <c r="I3538" s="675"/>
      <c r="J3538" s="675"/>
      <c r="K3538" s="675"/>
      <c r="L3538" s="675"/>
      <c r="M3538" s="675"/>
    </row>
    <row r="3539" spans="1:13" x14ac:dyDescent="0.25">
      <c r="A3539" s="675" t="s">
        <v>3420</v>
      </c>
      <c r="B3539" s="675" t="s">
        <v>512</v>
      </c>
      <c r="C3539" s="675" t="s">
        <v>3435</v>
      </c>
      <c r="D3539" s="675"/>
      <c r="E3539" s="702"/>
      <c r="F3539" s="702"/>
      <c r="G3539" s="675"/>
      <c r="H3539" s="675"/>
      <c r="I3539" s="675"/>
      <c r="J3539" s="675"/>
      <c r="K3539" s="675"/>
      <c r="L3539" s="675"/>
      <c r="M3539" s="675"/>
    </row>
    <row r="3540" spans="1:13" ht="30" x14ac:dyDescent="0.25">
      <c r="A3540" s="675" t="s">
        <v>3420</v>
      </c>
      <c r="B3540" s="675" t="s">
        <v>545</v>
      </c>
      <c r="C3540" s="676" t="s">
        <v>3436</v>
      </c>
      <c r="D3540" s="675"/>
      <c r="E3540" s="702"/>
      <c r="F3540" s="702"/>
      <c r="G3540" s="675"/>
      <c r="H3540" s="675"/>
      <c r="I3540" s="675"/>
      <c r="J3540" s="675"/>
      <c r="K3540" s="675"/>
      <c r="L3540" s="675"/>
      <c r="M3540" s="675"/>
    </row>
    <row r="3541" spans="1:13" ht="30" x14ac:dyDescent="0.25">
      <c r="A3541" s="675" t="s">
        <v>3420</v>
      </c>
      <c r="B3541" s="675" t="s">
        <v>545</v>
      </c>
      <c r="C3541" s="676" t="s">
        <v>3437</v>
      </c>
      <c r="D3541" s="675"/>
      <c r="E3541" s="702"/>
      <c r="F3541" s="702"/>
      <c r="G3541" s="675"/>
      <c r="H3541" s="675"/>
      <c r="I3541" s="675"/>
      <c r="J3541" s="675"/>
      <c r="K3541" s="675"/>
      <c r="L3541" s="675"/>
      <c r="M3541" s="675"/>
    </row>
    <row r="3542" spans="1:13" ht="30" x14ac:dyDescent="0.25">
      <c r="A3542" s="675" t="s">
        <v>3420</v>
      </c>
      <c r="B3542" s="675" t="s">
        <v>545</v>
      </c>
      <c r="C3542" s="676" t="s">
        <v>3438</v>
      </c>
      <c r="D3542" s="675"/>
      <c r="E3542" s="702"/>
      <c r="F3542" s="702"/>
      <c r="G3542" s="675"/>
      <c r="H3542" s="675"/>
      <c r="I3542" s="675"/>
      <c r="J3542" s="675"/>
      <c r="K3542" s="675"/>
      <c r="L3542" s="675"/>
      <c r="M3542" s="675"/>
    </row>
    <row r="3543" spans="1:13" ht="30" x14ac:dyDescent="0.25">
      <c r="A3543" s="675" t="s">
        <v>3420</v>
      </c>
      <c r="B3543" s="675" t="s">
        <v>545</v>
      </c>
      <c r="C3543" s="676" t="s">
        <v>3439</v>
      </c>
      <c r="D3543" s="675"/>
      <c r="E3543" s="702"/>
      <c r="F3543" s="702"/>
      <c r="G3543" s="675"/>
      <c r="H3543" s="675"/>
      <c r="I3543" s="675"/>
      <c r="J3543" s="675"/>
      <c r="K3543" s="675"/>
      <c r="L3543" s="675"/>
      <c r="M3543" s="675"/>
    </row>
    <row r="3544" spans="1:13" ht="30" x14ac:dyDescent="0.25">
      <c r="A3544" s="675" t="s">
        <v>3420</v>
      </c>
      <c r="B3544" s="675" t="s">
        <v>545</v>
      </c>
      <c r="C3544" s="676" t="s">
        <v>3440</v>
      </c>
      <c r="D3544" s="675"/>
      <c r="E3544" s="702"/>
      <c r="F3544" s="702"/>
      <c r="G3544" s="675"/>
      <c r="H3544" s="675"/>
      <c r="I3544" s="675"/>
      <c r="J3544" s="675"/>
      <c r="K3544" s="675"/>
      <c r="L3544" s="675"/>
      <c r="M3544" s="675"/>
    </row>
    <row r="3545" spans="1:13" ht="30" x14ac:dyDescent="0.25">
      <c r="A3545" s="675" t="s">
        <v>3420</v>
      </c>
      <c r="B3545" s="675" t="s">
        <v>564</v>
      </c>
      <c r="C3545" s="676" t="s">
        <v>3441</v>
      </c>
      <c r="D3545" s="675"/>
      <c r="E3545" s="702"/>
      <c r="F3545" s="702"/>
      <c r="G3545" s="675"/>
      <c r="H3545" s="675"/>
      <c r="I3545" s="675"/>
      <c r="J3545" s="675"/>
      <c r="K3545" s="675"/>
      <c r="L3545" s="675"/>
      <c r="M3545" s="675"/>
    </row>
    <row r="3546" spans="1:13" ht="30" x14ac:dyDescent="0.25">
      <c r="A3546" s="675" t="s">
        <v>3420</v>
      </c>
      <c r="B3546" s="675" t="s">
        <v>564</v>
      </c>
      <c r="C3546" s="676" t="s">
        <v>3442</v>
      </c>
      <c r="D3546" s="675"/>
      <c r="E3546" s="702"/>
      <c r="F3546" s="702"/>
      <c r="G3546" s="675"/>
      <c r="H3546" s="675"/>
      <c r="I3546" s="675"/>
      <c r="J3546" s="675"/>
      <c r="K3546" s="675"/>
      <c r="L3546" s="675"/>
      <c r="M3546" s="675"/>
    </row>
    <row r="3547" spans="1:13" ht="30" x14ac:dyDescent="0.25">
      <c r="A3547" s="675" t="s">
        <v>3420</v>
      </c>
      <c r="B3547" s="675" t="s">
        <v>564</v>
      </c>
      <c r="C3547" s="676" t="s">
        <v>3443</v>
      </c>
      <c r="D3547" s="675"/>
      <c r="E3547" s="702"/>
      <c r="F3547" s="702"/>
      <c r="G3547" s="675"/>
      <c r="H3547" s="675"/>
      <c r="I3547" s="675"/>
      <c r="J3547" s="675"/>
      <c r="K3547" s="675"/>
      <c r="L3547" s="675"/>
      <c r="M3547" s="675"/>
    </row>
    <row r="3548" spans="1:13" ht="30" x14ac:dyDescent="0.25">
      <c r="A3548" s="675" t="s">
        <v>3420</v>
      </c>
      <c r="B3548" s="675" t="s">
        <v>564</v>
      </c>
      <c r="C3548" s="676" t="s">
        <v>3444</v>
      </c>
      <c r="D3548" s="675"/>
      <c r="E3548" s="702"/>
      <c r="F3548" s="702"/>
      <c r="G3548" s="675"/>
      <c r="H3548" s="675"/>
      <c r="I3548" s="675"/>
      <c r="J3548" s="675"/>
      <c r="K3548" s="675"/>
      <c r="L3548" s="675"/>
      <c r="M3548" s="675"/>
    </row>
    <row r="3549" spans="1:13" ht="30" x14ac:dyDescent="0.25">
      <c r="A3549" s="675" t="s">
        <v>3420</v>
      </c>
      <c r="B3549" s="675" t="s">
        <v>564</v>
      </c>
      <c r="C3549" s="676" t="s">
        <v>3445</v>
      </c>
      <c r="D3549" s="675"/>
      <c r="E3549" s="702"/>
      <c r="F3549" s="702"/>
      <c r="G3549" s="675"/>
      <c r="H3549" s="675"/>
      <c r="I3549" s="675"/>
      <c r="J3549" s="675"/>
      <c r="K3549" s="675"/>
      <c r="L3549" s="675"/>
      <c r="M3549" s="675"/>
    </row>
    <row r="3550" spans="1:13" x14ac:dyDescent="0.25">
      <c r="A3550" s="675" t="s">
        <v>3420</v>
      </c>
      <c r="B3550" s="675" t="s">
        <v>512</v>
      </c>
      <c r="C3550" s="675" t="s">
        <v>3446</v>
      </c>
      <c r="D3550" s="675"/>
      <c r="E3550" s="702"/>
      <c r="F3550" s="702"/>
      <c r="G3550" s="675"/>
      <c r="H3550" s="675"/>
      <c r="I3550" s="675"/>
      <c r="J3550" s="675"/>
      <c r="K3550" s="675"/>
      <c r="L3550" s="675"/>
      <c r="M3550" s="675"/>
    </row>
    <row r="3551" spans="1:13" x14ac:dyDescent="0.25">
      <c r="A3551" s="675" t="s">
        <v>3420</v>
      </c>
      <c r="B3551" s="675" t="s">
        <v>512</v>
      </c>
      <c r="C3551" s="675" t="s">
        <v>3447</v>
      </c>
      <c r="D3551" s="675"/>
      <c r="E3551" s="702"/>
      <c r="F3551" s="702"/>
      <c r="G3551" s="675"/>
      <c r="H3551" s="675"/>
      <c r="I3551" s="675"/>
      <c r="J3551" s="675"/>
      <c r="K3551" s="675"/>
      <c r="L3551" s="675"/>
      <c r="M3551" s="675"/>
    </row>
    <row r="3552" spans="1:13" x14ac:dyDescent="0.25">
      <c r="A3552" s="675" t="s">
        <v>3420</v>
      </c>
      <c r="B3552" s="675" t="s">
        <v>512</v>
      </c>
      <c r="C3552" s="675" t="s">
        <v>3448</v>
      </c>
      <c r="D3552" s="675"/>
      <c r="E3552" s="702"/>
      <c r="F3552" s="702"/>
      <c r="G3552" s="675"/>
      <c r="H3552" s="675"/>
      <c r="I3552" s="675"/>
      <c r="J3552" s="675"/>
      <c r="K3552" s="675"/>
      <c r="L3552" s="675"/>
      <c r="M3552" s="675"/>
    </row>
    <row r="3553" spans="1:13" x14ac:dyDescent="0.25">
      <c r="A3553" s="675" t="s">
        <v>3420</v>
      </c>
      <c r="B3553" s="675" t="s">
        <v>512</v>
      </c>
      <c r="C3553" s="675" t="s">
        <v>3449</v>
      </c>
      <c r="D3553" s="675"/>
      <c r="E3553" s="702"/>
      <c r="F3553" s="702"/>
      <c r="G3553" s="675"/>
      <c r="H3553" s="675"/>
      <c r="I3553" s="675"/>
      <c r="J3553" s="675"/>
      <c r="K3553" s="675"/>
      <c r="L3553" s="675"/>
      <c r="M3553" s="675"/>
    </row>
    <row r="3554" spans="1:13" x14ac:dyDescent="0.25">
      <c r="A3554" s="675" t="s">
        <v>3420</v>
      </c>
      <c r="B3554" s="675" t="s">
        <v>512</v>
      </c>
      <c r="C3554" s="675" t="s">
        <v>3450</v>
      </c>
      <c r="D3554" s="675"/>
      <c r="E3554" s="702"/>
      <c r="F3554" s="702"/>
      <c r="G3554" s="675"/>
      <c r="H3554" s="675"/>
      <c r="I3554" s="675"/>
      <c r="J3554" s="675"/>
      <c r="K3554" s="675"/>
      <c r="L3554" s="675"/>
      <c r="M3554" s="675"/>
    </row>
    <row r="3555" spans="1:13" ht="30" x14ac:dyDescent="0.25">
      <c r="A3555" s="675" t="s">
        <v>3451</v>
      </c>
      <c r="B3555" s="675" t="s">
        <v>545</v>
      </c>
      <c r="C3555" s="676" t="s">
        <v>3452</v>
      </c>
      <c r="D3555" s="675"/>
      <c r="E3555" s="702"/>
      <c r="F3555" s="702"/>
      <c r="G3555" s="675"/>
      <c r="H3555" s="675"/>
      <c r="I3555" s="675"/>
      <c r="J3555" s="675"/>
      <c r="K3555" s="675"/>
      <c r="L3555" s="675"/>
      <c r="M3555" s="675"/>
    </row>
    <row r="3556" spans="1:13" ht="30" x14ac:dyDescent="0.25">
      <c r="A3556" s="675" t="s">
        <v>3451</v>
      </c>
      <c r="B3556" s="675" t="s">
        <v>545</v>
      </c>
      <c r="C3556" s="676" t="s">
        <v>3453</v>
      </c>
      <c r="D3556" s="675"/>
      <c r="E3556" s="702"/>
      <c r="F3556" s="702"/>
      <c r="G3556" s="675"/>
      <c r="H3556" s="675"/>
      <c r="I3556" s="675"/>
      <c r="J3556" s="675"/>
      <c r="K3556" s="675"/>
      <c r="L3556" s="675"/>
      <c r="M3556" s="675"/>
    </row>
    <row r="3557" spans="1:13" ht="30" x14ac:dyDescent="0.25">
      <c r="A3557" s="675" t="s">
        <v>3451</v>
      </c>
      <c r="B3557" s="675" t="s">
        <v>545</v>
      </c>
      <c r="C3557" s="676" t="s">
        <v>3454</v>
      </c>
      <c r="D3557" s="675"/>
      <c r="E3557" s="702"/>
      <c r="F3557" s="702"/>
      <c r="G3557" s="675"/>
      <c r="H3557" s="675"/>
      <c r="I3557" s="675"/>
      <c r="J3557" s="675"/>
      <c r="K3557" s="675"/>
      <c r="L3557" s="675"/>
      <c r="M3557" s="675"/>
    </row>
    <row r="3558" spans="1:13" ht="30" x14ac:dyDescent="0.25">
      <c r="A3558" s="675" t="s">
        <v>3451</v>
      </c>
      <c r="B3558" s="675" t="s">
        <v>545</v>
      </c>
      <c r="C3558" s="676" t="s">
        <v>3455</v>
      </c>
      <c r="D3558" s="675"/>
      <c r="E3558" s="702"/>
      <c r="F3558" s="702"/>
      <c r="G3558" s="675"/>
      <c r="H3558" s="675"/>
      <c r="I3558" s="675"/>
      <c r="J3558" s="675"/>
      <c r="K3558" s="675"/>
      <c r="L3558" s="675"/>
      <c r="M3558" s="675"/>
    </row>
    <row r="3559" spans="1:13" ht="30" x14ac:dyDescent="0.25">
      <c r="A3559" s="675" t="s">
        <v>3451</v>
      </c>
      <c r="B3559" s="675" t="s">
        <v>545</v>
      </c>
      <c r="C3559" s="676" t="s">
        <v>3456</v>
      </c>
      <c r="D3559" s="675"/>
      <c r="E3559" s="702"/>
      <c r="F3559" s="702"/>
      <c r="G3559" s="675"/>
      <c r="H3559" s="675"/>
      <c r="I3559" s="675"/>
      <c r="J3559" s="675"/>
      <c r="K3559" s="675"/>
      <c r="L3559" s="675"/>
      <c r="M3559" s="675"/>
    </row>
    <row r="3560" spans="1:13" ht="30" x14ac:dyDescent="0.25">
      <c r="A3560" s="675" t="s">
        <v>3451</v>
      </c>
      <c r="B3560" s="675" t="s">
        <v>564</v>
      </c>
      <c r="C3560" s="676" t="s">
        <v>3457</v>
      </c>
      <c r="D3560" s="675"/>
      <c r="E3560" s="702"/>
      <c r="F3560" s="702"/>
      <c r="G3560" s="675"/>
      <c r="H3560" s="675"/>
      <c r="I3560" s="675"/>
      <c r="J3560" s="675"/>
      <c r="K3560" s="675"/>
      <c r="L3560" s="675"/>
      <c r="M3560" s="675"/>
    </row>
    <row r="3561" spans="1:13" ht="30" x14ac:dyDescent="0.25">
      <c r="A3561" s="675" t="s">
        <v>3451</v>
      </c>
      <c r="B3561" s="675" t="s">
        <v>564</v>
      </c>
      <c r="C3561" s="676" t="s">
        <v>3458</v>
      </c>
      <c r="D3561" s="675"/>
      <c r="E3561" s="702"/>
      <c r="F3561" s="702"/>
      <c r="G3561" s="675"/>
      <c r="H3561" s="675"/>
      <c r="I3561" s="675"/>
      <c r="J3561" s="675"/>
      <c r="K3561" s="675"/>
      <c r="L3561" s="675"/>
      <c r="M3561" s="675"/>
    </row>
    <row r="3562" spans="1:13" ht="30" x14ac:dyDescent="0.25">
      <c r="A3562" s="675" t="s">
        <v>3451</v>
      </c>
      <c r="B3562" s="675" t="s">
        <v>564</v>
      </c>
      <c r="C3562" s="676" t="s">
        <v>3459</v>
      </c>
      <c r="D3562" s="675"/>
      <c r="E3562" s="702"/>
      <c r="F3562" s="702"/>
      <c r="G3562" s="675"/>
      <c r="H3562" s="675"/>
      <c r="I3562" s="675"/>
      <c r="J3562" s="675"/>
      <c r="K3562" s="675"/>
      <c r="L3562" s="675"/>
      <c r="M3562" s="675"/>
    </row>
    <row r="3563" spans="1:13" ht="30" x14ac:dyDescent="0.25">
      <c r="A3563" s="675" t="s">
        <v>3451</v>
      </c>
      <c r="B3563" s="675" t="s">
        <v>564</v>
      </c>
      <c r="C3563" s="676" t="s">
        <v>3460</v>
      </c>
      <c r="D3563" s="675"/>
      <c r="E3563" s="702"/>
      <c r="F3563" s="702"/>
      <c r="G3563" s="675"/>
      <c r="H3563" s="675"/>
      <c r="I3563" s="675"/>
      <c r="J3563" s="675"/>
      <c r="K3563" s="675"/>
      <c r="L3563" s="675"/>
      <c r="M3563" s="675"/>
    </row>
    <row r="3564" spans="1:13" ht="30" x14ac:dyDescent="0.25">
      <c r="A3564" s="675" t="s">
        <v>3451</v>
      </c>
      <c r="B3564" s="675" t="s">
        <v>564</v>
      </c>
      <c r="C3564" s="676" t="s">
        <v>3461</v>
      </c>
      <c r="D3564" s="675"/>
      <c r="E3564" s="702"/>
      <c r="F3564" s="702"/>
      <c r="G3564" s="675"/>
      <c r="H3564" s="675"/>
      <c r="I3564" s="675"/>
      <c r="J3564" s="675"/>
      <c r="K3564" s="675"/>
      <c r="L3564" s="675"/>
      <c r="M3564" s="675"/>
    </row>
    <row r="3565" spans="1:13" ht="30" x14ac:dyDescent="0.25">
      <c r="A3565" s="675" t="s">
        <v>3451</v>
      </c>
      <c r="B3565" s="675" t="s">
        <v>512</v>
      </c>
      <c r="C3565" s="676" t="s">
        <v>3462</v>
      </c>
      <c r="D3565" s="675"/>
      <c r="E3565" s="702"/>
      <c r="F3565" s="702"/>
      <c r="G3565" s="675"/>
      <c r="H3565" s="675"/>
      <c r="I3565" s="675"/>
      <c r="J3565" s="675"/>
      <c r="K3565" s="675"/>
      <c r="L3565" s="675"/>
      <c r="M3565" s="675"/>
    </row>
    <row r="3566" spans="1:13" ht="30" x14ac:dyDescent="0.25">
      <c r="A3566" s="675" t="s">
        <v>3451</v>
      </c>
      <c r="B3566" s="675" t="s">
        <v>512</v>
      </c>
      <c r="C3566" s="676" t="s">
        <v>3463</v>
      </c>
      <c r="D3566" s="675"/>
      <c r="E3566" s="702"/>
      <c r="F3566" s="702"/>
      <c r="G3566" s="675"/>
      <c r="H3566" s="675"/>
      <c r="I3566" s="675"/>
      <c r="J3566" s="675"/>
      <c r="K3566" s="675"/>
      <c r="L3566" s="675"/>
      <c r="M3566" s="675"/>
    </row>
    <row r="3567" spans="1:13" ht="30" x14ac:dyDescent="0.25">
      <c r="A3567" s="675" t="s">
        <v>3451</v>
      </c>
      <c r="B3567" s="675" t="s">
        <v>512</v>
      </c>
      <c r="C3567" s="676" t="s">
        <v>3464</v>
      </c>
      <c r="D3567" s="675"/>
      <c r="E3567" s="702"/>
      <c r="F3567" s="702"/>
      <c r="G3567" s="675"/>
      <c r="H3567" s="675"/>
      <c r="I3567" s="675"/>
      <c r="J3567" s="675"/>
      <c r="K3567" s="675"/>
      <c r="L3567" s="675"/>
      <c r="M3567" s="675"/>
    </row>
    <row r="3568" spans="1:13" ht="30" x14ac:dyDescent="0.25">
      <c r="A3568" s="675" t="s">
        <v>3451</v>
      </c>
      <c r="B3568" s="675" t="s">
        <v>512</v>
      </c>
      <c r="C3568" s="676" t="s">
        <v>3465</v>
      </c>
      <c r="D3568" s="675"/>
      <c r="E3568" s="702"/>
      <c r="F3568" s="702"/>
      <c r="G3568" s="675"/>
      <c r="H3568" s="675"/>
      <c r="I3568" s="675"/>
      <c r="J3568" s="675"/>
      <c r="K3568" s="675"/>
      <c r="L3568" s="675"/>
      <c r="M3568" s="675"/>
    </row>
    <row r="3569" spans="1:13" ht="30" x14ac:dyDescent="0.25">
      <c r="A3569" s="675" t="s">
        <v>3451</v>
      </c>
      <c r="B3569" s="675" t="s">
        <v>512</v>
      </c>
      <c r="C3569" s="676" t="s">
        <v>3466</v>
      </c>
      <c r="D3569" s="675"/>
      <c r="E3569" s="702"/>
      <c r="F3569" s="702"/>
      <c r="G3569" s="675"/>
      <c r="H3569" s="675"/>
      <c r="I3569" s="675"/>
      <c r="J3569" s="675"/>
      <c r="K3569" s="675"/>
      <c r="L3569" s="675"/>
      <c r="M3569" s="675"/>
    </row>
    <row r="3570" spans="1:13" ht="30" x14ac:dyDescent="0.25">
      <c r="A3570" s="675" t="s">
        <v>3451</v>
      </c>
      <c r="B3570" s="675" t="s">
        <v>545</v>
      </c>
      <c r="C3570" s="676" t="s">
        <v>3467</v>
      </c>
      <c r="D3570" s="675"/>
      <c r="E3570" s="702"/>
      <c r="F3570" s="702"/>
      <c r="G3570" s="675"/>
      <c r="H3570" s="675"/>
      <c r="I3570" s="675"/>
      <c r="J3570" s="675"/>
      <c r="K3570" s="675"/>
      <c r="L3570" s="675"/>
      <c r="M3570" s="675"/>
    </row>
    <row r="3571" spans="1:13" ht="30" x14ac:dyDescent="0.25">
      <c r="A3571" s="675" t="s">
        <v>3451</v>
      </c>
      <c r="B3571" s="675" t="s">
        <v>545</v>
      </c>
      <c r="C3571" s="676" t="s">
        <v>3468</v>
      </c>
      <c r="D3571" s="675"/>
      <c r="E3571" s="702"/>
      <c r="F3571" s="702"/>
      <c r="G3571" s="675"/>
      <c r="H3571" s="675"/>
      <c r="I3571" s="675"/>
      <c r="J3571" s="675"/>
      <c r="K3571" s="675"/>
      <c r="L3571" s="675"/>
      <c r="M3571" s="675"/>
    </row>
    <row r="3572" spans="1:13" ht="30" x14ac:dyDescent="0.25">
      <c r="A3572" s="675" t="s">
        <v>3451</v>
      </c>
      <c r="B3572" s="675" t="s">
        <v>545</v>
      </c>
      <c r="C3572" s="676" t="s">
        <v>3469</v>
      </c>
      <c r="D3572" s="675"/>
      <c r="E3572" s="702"/>
      <c r="F3572" s="702"/>
      <c r="G3572" s="675"/>
      <c r="H3572" s="675"/>
      <c r="I3572" s="675"/>
      <c r="J3572" s="675"/>
      <c r="K3572" s="675"/>
      <c r="L3572" s="675"/>
      <c r="M3572" s="675"/>
    </row>
    <row r="3573" spans="1:13" ht="30" x14ac:dyDescent="0.25">
      <c r="A3573" s="675" t="s">
        <v>3451</v>
      </c>
      <c r="B3573" s="675" t="s">
        <v>545</v>
      </c>
      <c r="C3573" s="676" t="s">
        <v>3470</v>
      </c>
      <c r="D3573" s="675"/>
      <c r="E3573" s="702"/>
      <c r="F3573" s="702"/>
      <c r="G3573" s="675"/>
      <c r="H3573" s="675"/>
      <c r="I3573" s="675"/>
      <c r="J3573" s="675"/>
      <c r="K3573" s="675"/>
      <c r="L3573" s="675"/>
      <c r="M3573" s="675"/>
    </row>
    <row r="3574" spans="1:13" ht="30" x14ac:dyDescent="0.25">
      <c r="A3574" s="675" t="s">
        <v>3451</v>
      </c>
      <c r="B3574" s="675" t="s">
        <v>545</v>
      </c>
      <c r="C3574" s="676" t="s">
        <v>3471</v>
      </c>
      <c r="D3574" s="675"/>
      <c r="E3574" s="702"/>
      <c r="F3574" s="702"/>
      <c r="G3574" s="675"/>
      <c r="H3574" s="675"/>
      <c r="I3574" s="675"/>
      <c r="J3574" s="675"/>
      <c r="K3574" s="675"/>
      <c r="L3574" s="675"/>
      <c r="M3574" s="675"/>
    </row>
    <row r="3575" spans="1:13" ht="30" x14ac:dyDescent="0.25">
      <c r="A3575" s="675" t="s">
        <v>3451</v>
      </c>
      <c r="B3575" s="675" t="s">
        <v>564</v>
      </c>
      <c r="C3575" s="676" t="s">
        <v>3472</v>
      </c>
      <c r="D3575" s="675"/>
      <c r="E3575" s="702"/>
      <c r="F3575" s="702"/>
      <c r="G3575" s="675"/>
      <c r="H3575" s="675"/>
      <c r="I3575" s="675"/>
      <c r="J3575" s="675"/>
      <c r="K3575" s="675"/>
      <c r="L3575" s="675"/>
      <c r="M3575" s="675"/>
    </row>
    <row r="3576" spans="1:13" ht="30" x14ac:dyDescent="0.25">
      <c r="A3576" s="675" t="s">
        <v>3451</v>
      </c>
      <c r="B3576" s="675" t="s">
        <v>564</v>
      </c>
      <c r="C3576" s="676" t="s">
        <v>3473</v>
      </c>
      <c r="D3576" s="675"/>
      <c r="E3576" s="702"/>
      <c r="F3576" s="702"/>
      <c r="G3576" s="675"/>
      <c r="H3576" s="675"/>
      <c r="I3576" s="675"/>
      <c r="J3576" s="675"/>
      <c r="K3576" s="675"/>
      <c r="L3576" s="675"/>
      <c r="M3576" s="675"/>
    </row>
    <row r="3577" spans="1:13" ht="30" x14ac:dyDescent="0.25">
      <c r="A3577" s="675" t="s">
        <v>3451</v>
      </c>
      <c r="B3577" s="675" t="s">
        <v>564</v>
      </c>
      <c r="C3577" s="676" t="s">
        <v>3474</v>
      </c>
      <c r="D3577" s="675"/>
      <c r="E3577" s="702"/>
      <c r="F3577" s="702"/>
      <c r="G3577" s="675"/>
      <c r="H3577" s="675"/>
      <c r="I3577" s="675"/>
      <c r="J3577" s="675"/>
      <c r="K3577" s="675"/>
      <c r="L3577" s="675"/>
      <c r="M3577" s="675"/>
    </row>
    <row r="3578" spans="1:13" ht="30" x14ac:dyDescent="0.25">
      <c r="A3578" s="675" t="s">
        <v>3451</v>
      </c>
      <c r="B3578" s="675" t="s">
        <v>564</v>
      </c>
      <c r="C3578" s="676" t="s">
        <v>3475</v>
      </c>
      <c r="D3578" s="675"/>
      <c r="E3578" s="702"/>
      <c r="F3578" s="702"/>
      <c r="G3578" s="675"/>
      <c r="H3578" s="675"/>
      <c r="I3578" s="675"/>
      <c r="J3578" s="675"/>
      <c r="K3578" s="675"/>
      <c r="L3578" s="675"/>
      <c r="M3578" s="675"/>
    </row>
    <row r="3579" spans="1:13" ht="30" x14ac:dyDescent="0.25">
      <c r="A3579" s="675" t="s">
        <v>3451</v>
      </c>
      <c r="B3579" s="675" t="s">
        <v>564</v>
      </c>
      <c r="C3579" s="676" t="s">
        <v>3476</v>
      </c>
      <c r="D3579" s="675"/>
      <c r="E3579" s="702"/>
      <c r="F3579" s="702"/>
      <c r="G3579" s="675"/>
      <c r="H3579" s="675"/>
      <c r="I3579" s="675"/>
      <c r="J3579" s="675"/>
      <c r="K3579" s="675"/>
      <c r="L3579" s="675"/>
      <c r="M3579" s="675"/>
    </row>
    <row r="3580" spans="1:13" ht="30" x14ac:dyDescent="0.25">
      <c r="A3580" s="675" t="s">
        <v>3451</v>
      </c>
      <c r="B3580" s="675" t="s">
        <v>512</v>
      </c>
      <c r="C3580" s="676" t="s">
        <v>3477</v>
      </c>
      <c r="D3580" s="675"/>
      <c r="E3580" s="702"/>
      <c r="F3580" s="702"/>
      <c r="G3580" s="675"/>
      <c r="H3580" s="675"/>
      <c r="I3580" s="675"/>
      <c r="J3580" s="675"/>
      <c r="K3580" s="675"/>
      <c r="L3580" s="675"/>
      <c r="M3580" s="675"/>
    </row>
    <row r="3581" spans="1:13" ht="30" x14ac:dyDescent="0.25">
      <c r="A3581" s="675" t="s">
        <v>3451</v>
      </c>
      <c r="B3581" s="675" t="s">
        <v>512</v>
      </c>
      <c r="C3581" s="676" t="s">
        <v>3478</v>
      </c>
      <c r="D3581" s="675"/>
      <c r="E3581" s="702"/>
      <c r="F3581" s="702"/>
      <c r="G3581" s="675"/>
      <c r="H3581" s="675"/>
      <c r="I3581" s="675"/>
      <c r="J3581" s="675"/>
      <c r="K3581" s="675"/>
      <c r="L3581" s="675"/>
      <c r="M3581" s="675"/>
    </row>
    <row r="3582" spans="1:13" ht="30" x14ac:dyDescent="0.25">
      <c r="A3582" s="675" t="s">
        <v>3451</v>
      </c>
      <c r="B3582" s="675" t="s">
        <v>512</v>
      </c>
      <c r="C3582" s="676" t="s">
        <v>3479</v>
      </c>
      <c r="D3582" s="675"/>
      <c r="E3582" s="702"/>
      <c r="F3582" s="702"/>
      <c r="G3582" s="675"/>
      <c r="H3582" s="675"/>
      <c r="I3582" s="675"/>
      <c r="J3582" s="675"/>
      <c r="K3582" s="675"/>
      <c r="L3582" s="675"/>
      <c r="M3582" s="675"/>
    </row>
    <row r="3583" spans="1:13" ht="30" x14ac:dyDescent="0.25">
      <c r="A3583" s="675" t="s">
        <v>3451</v>
      </c>
      <c r="B3583" s="675" t="s">
        <v>512</v>
      </c>
      <c r="C3583" s="676" t="s">
        <v>3480</v>
      </c>
      <c r="D3583" s="675"/>
      <c r="E3583" s="702"/>
      <c r="F3583" s="702"/>
      <c r="G3583" s="675"/>
      <c r="H3583" s="675"/>
      <c r="I3583" s="675"/>
      <c r="J3583" s="675"/>
      <c r="K3583" s="675"/>
      <c r="L3583" s="675"/>
      <c r="M3583" s="675"/>
    </row>
    <row r="3584" spans="1:13" ht="30" x14ac:dyDescent="0.25">
      <c r="A3584" s="675" t="s">
        <v>3451</v>
      </c>
      <c r="B3584" s="675" t="s">
        <v>512</v>
      </c>
      <c r="C3584" s="676" t="s">
        <v>3481</v>
      </c>
      <c r="D3584" s="675"/>
      <c r="E3584" s="702"/>
      <c r="F3584" s="702"/>
      <c r="G3584" s="675"/>
      <c r="H3584" s="675"/>
      <c r="I3584" s="675"/>
      <c r="J3584" s="675"/>
      <c r="K3584" s="675"/>
      <c r="L3584" s="675"/>
      <c r="M3584" s="675"/>
    </row>
    <row r="3585" spans="1:13" ht="30" x14ac:dyDescent="0.25">
      <c r="A3585" s="675" t="s">
        <v>3482</v>
      </c>
      <c r="B3585" s="675" t="s">
        <v>545</v>
      </c>
      <c r="C3585" s="676" t="s">
        <v>3483</v>
      </c>
      <c r="D3585" s="675"/>
      <c r="E3585" s="702"/>
      <c r="F3585" s="702"/>
      <c r="G3585" s="675"/>
      <c r="H3585" s="675"/>
      <c r="I3585" s="675"/>
      <c r="J3585" s="675"/>
      <c r="K3585" s="675"/>
      <c r="L3585" s="675"/>
      <c r="M3585" s="675"/>
    </row>
    <row r="3586" spans="1:13" ht="30" x14ac:dyDescent="0.25">
      <c r="A3586" s="675" t="s">
        <v>3482</v>
      </c>
      <c r="B3586" s="675" t="s">
        <v>545</v>
      </c>
      <c r="C3586" s="676" t="s">
        <v>3484</v>
      </c>
      <c r="D3586" s="675"/>
      <c r="E3586" s="702"/>
      <c r="F3586" s="702"/>
      <c r="G3586" s="675"/>
      <c r="H3586" s="675"/>
      <c r="I3586" s="675"/>
      <c r="J3586" s="675"/>
      <c r="K3586" s="675"/>
      <c r="L3586" s="675"/>
      <c r="M3586" s="675"/>
    </row>
    <row r="3587" spans="1:13" ht="30" x14ac:dyDescent="0.25">
      <c r="A3587" s="675" t="s">
        <v>3482</v>
      </c>
      <c r="B3587" s="675" t="s">
        <v>545</v>
      </c>
      <c r="C3587" s="676" t="s">
        <v>3485</v>
      </c>
      <c r="D3587" s="675"/>
      <c r="E3587" s="702"/>
      <c r="F3587" s="702"/>
      <c r="G3587" s="675"/>
      <c r="H3587" s="675"/>
      <c r="I3587" s="675"/>
      <c r="J3587" s="675"/>
      <c r="K3587" s="675"/>
      <c r="L3587" s="675"/>
      <c r="M3587" s="675"/>
    </row>
    <row r="3588" spans="1:13" ht="30" x14ac:dyDescent="0.25">
      <c r="A3588" s="675" t="s">
        <v>3482</v>
      </c>
      <c r="B3588" s="675" t="s">
        <v>545</v>
      </c>
      <c r="C3588" s="676" t="s">
        <v>3486</v>
      </c>
      <c r="D3588" s="675"/>
      <c r="E3588" s="702"/>
      <c r="F3588" s="702"/>
      <c r="G3588" s="675"/>
      <c r="H3588" s="675"/>
      <c r="I3588" s="675"/>
      <c r="J3588" s="675"/>
      <c r="K3588" s="675"/>
      <c r="L3588" s="675"/>
      <c r="M3588" s="675"/>
    </row>
    <row r="3589" spans="1:13" ht="30" x14ac:dyDescent="0.25">
      <c r="A3589" s="675" t="s">
        <v>3482</v>
      </c>
      <c r="B3589" s="675" t="s">
        <v>545</v>
      </c>
      <c r="C3589" s="676" t="s">
        <v>3487</v>
      </c>
      <c r="D3589" s="675"/>
      <c r="E3589" s="702"/>
      <c r="F3589" s="702"/>
      <c r="G3589" s="675"/>
      <c r="H3589" s="675"/>
      <c r="I3589" s="675"/>
      <c r="J3589" s="675"/>
      <c r="K3589" s="675"/>
      <c r="L3589" s="675"/>
      <c r="M3589" s="675"/>
    </row>
    <row r="3590" spans="1:13" ht="30" x14ac:dyDescent="0.25">
      <c r="A3590" s="675" t="s">
        <v>3482</v>
      </c>
      <c r="B3590" s="675" t="s">
        <v>564</v>
      </c>
      <c r="C3590" s="676" t="s">
        <v>3488</v>
      </c>
      <c r="D3590" s="675"/>
      <c r="E3590" s="702"/>
      <c r="F3590" s="702"/>
      <c r="G3590" s="675"/>
      <c r="H3590" s="675"/>
      <c r="I3590" s="675"/>
      <c r="J3590" s="675"/>
      <c r="K3590" s="675"/>
      <c r="L3590" s="675"/>
      <c r="M3590" s="675"/>
    </row>
    <row r="3591" spans="1:13" ht="30" x14ac:dyDescent="0.25">
      <c r="A3591" s="675" t="s">
        <v>3482</v>
      </c>
      <c r="B3591" s="675" t="s">
        <v>564</v>
      </c>
      <c r="C3591" s="676" t="s">
        <v>3489</v>
      </c>
      <c r="D3591" s="675"/>
      <c r="E3591" s="702"/>
      <c r="F3591" s="702"/>
      <c r="G3591" s="675"/>
      <c r="H3591" s="675"/>
      <c r="I3591" s="675"/>
      <c r="J3591" s="675"/>
      <c r="K3591" s="675"/>
      <c r="L3591" s="675"/>
      <c r="M3591" s="675"/>
    </row>
    <row r="3592" spans="1:13" ht="30" x14ac:dyDescent="0.25">
      <c r="A3592" s="675" t="s">
        <v>3482</v>
      </c>
      <c r="B3592" s="675" t="s">
        <v>564</v>
      </c>
      <c r="C3592" s="676" t="s">
        <v>3490</v>
      </c>
      <c r="D3592" s="675"/>
      <c r="E3592" s="702"/>
      <c r="F3592" s="702"/>
      <c r="G3592" s="675"/>
      <c r="H3592" s="675"/>
      <c r="I3592" s="675"/>
      <c r="J3592" s="675"/>
      <c r="K3592" s="675"/>
      <c r="L3592" s="675"/>
      <c r="M3592" s="675"/>
    </row>
    <row r="3593" spans="1:13" ht="30" x14ac:dyDescent="0.25">
      <c r="A3593" s="675" t="s">
        <v>3482</v>
      </c>
      <c r="B3593" s="675" t="s">
        <v>564</v>
      </c>
      <c r="C3593" s="676" t="s">
        <v>3491</v>
      </c>
      <c r="D3593" s="675"/>
      <c r="E3593" s="702"/>
      <c r="F3593" s="702"/>
      <c r="G3593" s="675"/>
      <c r="H3593" s="675"/>
      <c r="I3593" s="675"/>
      <c r="J3593" s="675"/>
      <c r="K3593" s="675"/>
      <c r="L3593" s="675"/>
      <c r="M3593" s="675"/>
    </row>
    <row r="3594" spans="1:13" ht="30" x14ac:dyDescent="0.25">
      <c r="A3594" s="675" t="s">
        <v>3482</v>
      </c>
      <c r="B3594" s="675" t="s">
        <v>564</v>
      </c>
      <c r="C3594" s="676" t="s">
        <v>3492</v>
      </c>
      <c r="D3594" s="675"/>
      <c r="E3594" s="702"/>
      <c r="F3594" s="702"/>
      <c r="G3594" s="675"/>
      <c r="H3594" s="675"/>
      <c r="I3594" s="675"/>
      <c r="J3594" s="675"/>
      <c r="K3594" s="675"/>
      <c r="L3594" s="675"/>
      <c r="M3594" s="675"/>
    </row>
    <row r="3595" spans="1:13" ht="30" x14ac:dyDescent="0.25">
      <c r="A3595" s="675" t="s">
        <v>3482</v>
      </c>
      <c r="B3595" s="675" t="s">
        <v>512</v>
      </c>
      <c r="C3595" s="676" t="s">
        <v>3493</v>
      </c>
      <c r="D3595" s="675"/>
      <c r="E3595" s="702"/>
      <c r="F3595" s="702"/>
      <c r="G3595" s="675"/>
      <c r="H3595" s="675"/>
      <c r="I3595" s="675"/>
      <c r="J3595" s="675"/>
      <c r="K3595" s="675"/>
      <c r="L3595" s="675"/>
      <c r="M3595" s="675"/>
    </row>
    <row r="3596" spans="1:13" ht="30" x14ac:dyDescent="0.25">
      <c r="A3596" s="675" t="s">
        <v>3482</v>
      </c>
      <c r="B3596" s="675" t="s">
        <v>512</v>
      </c>
      <c r="C3596" s="676" t="s">
        <v>3494</v>
      </c>
      <c r="D3596" s="675"/>
      <c r="E3596" s="702"/>
      <c r="F3596" s="702"/>
      <c r="G3596" s="675"/>
      <c r="H3596" s="675"/>
      <c r="I3596" s="675"/>
      <c r="J3596" s="675"/>
      <c r="K3596" s="675"/>
      <c r="L3596" s="675"/>
      <c r="M3596" s="675"/>
    </row>
    <row r="3597" spans="1:13" ht="30" x14ac:dyDescent="0.25">
      <c r="A3597" s="675" t="s">
        <v>3482</v>
      </c>
      <c r="B3597" s="675" t="s">
        <v>512</v>
      </c>
      <c r="C3597" s="676" t="s">
        <v>3495</v>
      </c>
      <c r="D3597" s="675"/>
      <c r="E3597" s="702"/>
      <c r="F3597" s="702"/>
      <c r="G3597" s="675"/>
      <c r="H3597" s="675"/>
      <c r="I3597" s="675"/>
      <c r="J3597" s="675"/>
      <c r="K3597" s="675"/>
      <c r="L3597" s="675"/>
      <c r="M3597" s="675"/>
    </row>
    <row r="3598" spans="1:13" ht="30" x14ac:dyDescent="0.25">
      <c r="A3598" s="675" t="s">
        <v>3482</v>
      </c>
      <c r="B3598" s="675" t="s">
        <v>512</v>
      </c>
      <c r="C3598" s="676" t="s">
        <v>3496</v>
      </c>
      <c r="D3598" s="675"/>
      <c r="E3598" s="702"/>
      <c r="F3598" s="702"/>
      <c r="G3598" s="675"/>
      <c r="H3598" s="675"/>
      <c r="I3598" s="675"/>
      <c r="J3598" s="675"/>
      <c r="K3598" s="675"/>
      <c r="L3598" s="675"/>
      <c r="M3598" s="675"/>
    </row>
    <row r="3599" spans="1:13" ht="30" x14ac:dyDescent="0.25">
      <c r="A3599" s="675" t="s">
        <v>3482</v>
      </c>
      <c r="B3599" s="675" t="s">
        <v>512</v>
      </c>
      <c r="C3599" s="676" t="s">
        <v>3497</v>
      </c>
      <c r="D3599" s="675"/>
      <c r="E3599" s="702"/>
      <c r="F3599" s="702"/>
      <c r="G3599" s="675"/>
      <c r="H3599" s="675"/>
      <c r="I3599" s="675"/>
      <c r="J3599" s="675"/>
      <c r="K3599" s="675"/>
      <c r="L3599" s="675"/>
      <c r="M3599" s="675"/>
    </row>
    <row r="3600" spans="1:13" ht="30" x14ac:dyDescent="0.25">
      <c r="A3600" s="675" t="s">
        <v>3482</v>
      </c>
      <c r="B3600" s="675" t="s">
        <v>545</v>
      </c>
      <c r="C3600" s="676" t="s">
        <v>3498</v>
      </c>
      <c r="D3600" s="675"/>
      <c r="E3600" s="702"/>
      <c r="F3600" s="702"/>
      <c r="G3600" s="675"/>
      <c r="H3600" s="675"/>
      <c r="I3600" s="675"/>
      <c r="J3600" s="675"/>
      <c r="K3600" s="675"/>
      <c r="L3600" s="675"/>
      <c r="M3600" s="675"/>
    </row>
    <row r="3601" spans="1:13" ht="30" x14ac:dyDescent="0.25">
      <c r="A3601" s="675" t="s">
        <v>3482</v>
      </c>
      <c r="B3601" s="675" t="s">
        <v>545</v>
      </c>
      <c r="C3601" s="676" t="s">
        <v>3499</v>
      </c>
      <c r="D3601" s="675"/>
      <c r="E3601" s="702"/>
      <c r="F3601" s="702"/>
      <c r="G3601" s="675"/>
      <c r="H3601" s="675"/>
      <c r="I3601" s="675"/>
      <c r="J3601" s="675"/>
      <c r="K3601" s="675"/>
      <c r="L3601" s="675"/>
      <c r="M3601" s="675"/>
    </row>
    <row r="3602" spans="1:13" ht="30" x14ac:dyDescent="0.25">
      <c r="A3602" s="675" t="s">
        <v>3482</v>
      </c>
      <c r="B3602" s="675" t="s">
        <v>545</v>
      </c>
      <c r="C3602" s="676" t="s">
        <v>3500</v>
      </c>
      <c r="D3602" s="675"/>
      <c r="E3602" s="702"/>
      <c r="F3602" s="702"/>
      <c r="G3602" s="675"/>
      <c r="H3602" s="675"/>
      <c r="I3602" s="675"/>
      <c r="J3602" s="675"/>
      <c r="K3602" s="675"/>
      <c r="L3602" s="675"/>
      <c r="M3602" s="675"/>
    </row>
    <row r="3603" spans="1:13" ht="30" x14ac:dyDescent="0.25">
      <c r="A3603" s="675" t="s">
        <v>3482</v>
      </c>
      <c r="B3603" s="675" t="s">
        <v>545</v>
      </c>
      <c r="C3603" s="676" t="s">
        <v>3501</v>
      </c>
      <c r="D3603" s="675"/>
      <c r="E3603" s="702"/>
      <c r="F3603" s="702"/>
      <c r="G3603" s="675"/>
      <c r="H3603" s="675"/>
      <c r="I3603" s="675"/>
      <c r="J3603" s="675"/>
      <c r="K3603" s="675"/>
      <c r="L3603" s="675"/>
      <c r="M3603" s="675"/>
    </row>
    <row r="3604" spans="1:13" ht="30" x14ac:dyDescent="0.25">
      <c r="A3604" s="675" t="s">
        <v>3482</v>
      </c>
      <c r="B3604" s="675" t="s">
        <v>545</v>
      </c>
      <c r="C3604" s="676" t="s">
        <v>3502</v>
      </c>
      <c r="D3604" s="675"/>
      <c r="E3604" s="702"/>
      <c r="F3604" s="702"/>
      <c r="G3604" s="675"/>
      <c r="H3604" s="675"/>
      <c r="I3604" s="675"/>
      <c r="J3604" s="675"/>
      <c r="K3604" s="675"/>
      <c r="L3604" s="675"/>
      <c r="M3604" s="675"/>
    </row>
    <row r="3605" spans="1:13" ht="30" x14ac:dyDescent="0.25">
      <c r="A3605" s="675" t="s">
        <v>3482</v>
      </c>
      <c r="B3605" s="675" t="s">
        <v>564</v>
      </c>
      <c r="C3605" s="676" t="s">
        <v>3503</v>
      </c>
      <c r="D3605" s="675"/>
      <c r="E3605" s="702"/>
      <c r="F3605" s="702"/>
      <c r="G3605" s="675"/>
      <c r="H3605" s="675"/>
      <c r="I3605" s="675"/>
      <c r="J3605" s="675"/>
      <c r="K3605" s="675"/>
      <c r="L3605" s="675"/>
      <c r="M3605" s="675"/>
    </row>
    <row r="3606" spans="1:13" ht="30" x14ac:dyDescent="0.25">
      <c r="A3606" s="675" t="s">
        <v>3482</v>
      </c>
      <c r="B3606" s="675" t="s">
        <v>564</v>
      </c>
      <c r="C3606" s="676" t="s">
        <v>3504</v>
      </c>
      <c r="D3606" s="675"/>
      <c r="E3606" s="702"/>
      <c r="F3606" s="702"/>
      <c r="G3606" s="675"/>
      <c r="H3606" s="675"/>
      <c r="I3606" s="675"/>
      <c r="J3606" s="675"/>
      <c r="K3606" s="675"/>
      <c r="L3606" s="675"/>
      <c r="M3606" s="675"/>
    </row>
    <row r="3607" spans="1:13" ht="30" x14ac:dyDescent="0.25">
      <c r="A3607" s="675" t="s">
        <v>3482</v>
      </c>
      <c r="B3607" s="675" t="s">
        <v>564</v>
      </c>
      <c r="C3607" s="676" t="s">
        <v>3505</v>
      </c>
      <c r="D3607" s="675"/>
      <c r="E3607" s="702"/>
      <c r="F3607" s="702"/>
      <c r="G3607" s="675"/>
      <c r="H3607" s="675"/>
      <c r="I3607" s="675"/>
      <c r="J3607" s="675"/>
      <c r="K3607" s="675"/>
      <c r="L3607" s="675"/>
      <c r="M3607" s="675"/>
    </row>
    <row r="3608" spans="1:13" ht="30" x14ac:dyDescent="0.25">
      <c r="A3608" s="675" t="s">
        <v>3482</v>
      </c>
      <c r="B3608" s="675" t="s">
        <v>564</v>
      </c>
      <c r="C3608" s="676" t="s">
        <v>3506</v>
      </c>
      <c r="D3608" s="675"/>
      <c r="E3608" s="702"/>
      <c r="F3608" s="702"/>
      <c r="G3608" s="675"/>
      <c r="H3608" s="675"/>
      <c r="I3608" s="675"/>
      <c r="J3608" s="675"/>
      <c r="K3608" s="675"/>
      <c r="L3608" s="675"/>
      <c r="M3608" s="675"/>
    </row>
    <row r="3609" spans="1:13" ht="30" x14ac:dyDescent="0.25">
      <c r="A3609" s="675" t="s">
        <v>3482</v>
      </c>
      <c r="B3609" s="675" t="s">
        <v>564</v>
      </c>
      <c r="C3609" s="676" t="s">
        <v>3507</v>
      </c>
      <c r="D3609" s="675"/>
      <c r="E3609" s="702"/>
      <c r="F3609" s="702"/>
      <c r="G3609" s="675"/>
      <c r="H3609" s="675"/>
      <c r="I3609" s="675"/>
      <c r="J3609" s="675"/>
      <c r="K3609" s="675"/>
      <c r="L3609" s="675"/>
      <c r="M3609" s="675"/>
    </row>
    <row r="3610" spans="1:13" ht="30" x14ac:dyDescent="0.25">
      <c r="A3610" s="675" t="s">
        <v>3482</v>
      </c>
      <c r="B3610" s="675" t="s">
        <v>512</v>
      </c>
      <c r="C3610" s="676" t="s">
        <v>3508</v>
      </c>
      <c r="D3610" s="675"/>
      <c r="E3610" s="702"/>
      <c r="F3610" s="702"/>
      <c r="G3610" s="675"/>
      <c r="H3610" s="675"/>
      <c r="I3610" s="675"/>
      <c r="J3610" s="675"/>
      <c r="K3610" s="675"/>
      <c r="L3610" s="675"/>
      <c r="M3610" s="675"/>
    </row>
    <row r="3611" spans="1:13" ht="30" x14ac:dyDescent="0.25">
      <c r="A3611" s="675" t="s">
        <v>3482</v>
      </c>
      <c r="B3611" s="675" t="s">
        <v>512</v>
      </c>
      <c r="C3611" s="676" t="s">
        <v>3509</v>
      </c>
      <c r="D3611" s="675"/>
      <c r="E3611" s="702"/>
      <c r="F3611" s="702"/>
      <c r="G3611" s="675"/>
      <c r="H3611" s="675"/>
      <c r="I3611" s="675"/>
      <c r="J3611" s="675"/>
      <c r="K3611" s="675"/>
      <c r="L3611" s="675"/>
      <c r="M3611" s="675"/>
    </row>
    <row r="3612" spans="1:13" ht="30" x14ac:dyDescent="0.25">
      <c r="A3612" s="675" t="s">
        <v>3482</v>
      </c>
      <c r="B3612" s="675" t="s">
        <v>512</v>
      </c>
      <c r="C3612" s="676" t="s">
        <v>3510</v>
      </c>
      <c r="D3612" s="675"/>
      <c r="E3612" s="702"/>
      <c r="F3612" s="702"/>
      <c r="G3612" s="675"/>
      <c r="H3612" s="675"/>
      <c r="I3612" s="675"/>
      <c r="J3612" s="675"/>
      <c r="K3612" s="675"/>
      <c r="L3612" s="675"/>
      <c r="M3612" s="675"/>
    </row>
    <row r="3613" spans="1:13" ht="30" x14ac:dyDescent="0.25">
      <c r="A3613" s="675" t="s">
        <v>3482</v>
      </c>
      <c r="B3613" s="675" t="s">
        <v>512</v>
      </c>
      <c r="C3613" s="676" t="s">
        <v>3511</v>
      </c>
      <c r="D3613" s="675"/>
      <c r="E3613" s="702"/>
      <c r="F3613" s="702"/>
      <c r="G3613" s="675"/>
      <c r="H3613" s="675"/>
      <c r="I3613" s="675"/>
      <c r="J3613" s="675"/>
      <c r="K3613" s="675"/>
      <c r="L3613" s="675"/>
      <c r="M3613" s="675"/>
    </row>
    <row r="3614" spans="1:13" ht="30" x14ac:dyDescent="0.25">
      <c r="A3614" s="675" t="s">
        <v>3482</v>
      </c>
      <c r="B3614" s="675" t="s">
        <v>512</v>
      </c>
      <c r="C3614" s="676" t="s">
        <v>3512</v>
      </c>
      <c r="D3614" s="675"/>
      <c r="E3614" s="702"/>
      <c r="F3614" s="702"/>
      <c r="G3614" s="675"/>
      <c r="H3614" s="675"/>
      <c r="I3614" s="675"/>
      <c r="J3614" s="675"/>
      <c r="K3614" s="675"/>
      <c r="L3614" s="675"/>
      <c r="M3614" s="675"/>
    </row>
    <row r="3615" spans="1:13" x14ac:dyDescent="0.25">
      <c r="A3615" s="675" t="s">
        <v>3513</v>
      </c>
      <c r="B3615" s="675" t="s">
        <v>545</v>
      </c>
      <c r="C3615" s="676" t="s">
        <v>3514</v>
      </c>
      <c r="D3615" s="675"/>
      <c r="E3615" s="702"/>
      <c r="F3615" s="702"/>
      <c r="G3615" s="675"/>
      <c r="H3615" s="675"/>
      <c r="I3615" s="675"/>
      <c r="J3615" s="675"/>
      <c r="K3615" s="675"/>
      <c r="L3615" s="675"/>
      <c r="M3615" s="675"/>
    </row>
    <row r="3616" spans="1:13" x14ac:dyDescent="0.25">
      <c r="A3616" s="675" t="s">
        <v>3513</v>
      </c>
      <c r="B3616" s="675" t="s">
        <v>545</v>
      </c>
      <c r="C3616" s="676" t="s">
        <v>3515</v>
      </c>
      <c r="D3616" s="675"/>
      <c r="E3616" s="702"/>
      <c r="F3616" s="702"/>
      <c r="G3616" s="675"/>
      <c r="H3616" s="675"/>
      <c r="I3616" s="675"/>
      <c r="J3616" s="675"/>
      <c r="K3616" s="675"/>
      <c r="L3616" s="675"/>
      <c r="M3616" s="675"/>
    </row>
    <row r="3617" spans="1:13" ht="30" x14ac:dyDescent="0.25">
      <c r="A3617" s="675" t="s">
        <v>3513</v>
      </c>
      <c r="B3617" s="675" t="s">
        <v>545</v>
      </c>
      <c r="C3617" s="676" t="s">
        <v>3516</v>
      </c>
      <c r="D3617" s="675"/>
      <c r="E3617" s="702"/>
      <c r="F3617" s="702"/>
      <c r="G3617" s="675"/>
      <c r="H3617" s="675"/>
      <c r="I3617" s="675"/>
      <c r="J3617" s="675"/>
      <c r="K3617" s="675"/>
      <c r="L3617" s="675"/>
      <c r="M3617" s="675"/>
    </row>
    <row r="3618" spans="1:13" x14ac:dyDescent="0.25">
      <c r="A3618" s="675" t="s">
        <v>3513</v>
      </c>
      <c r="B3618" s="675" t="s">
        <v>545</v>
      </c>
      <c r="C3618" s="676" t="s">
        <v>3517</v>
      </c>
      <c r="D3618" s="675"/>
      <c r="E3618" s="702"/>
      <c r="F3618" s="702"/>
      <c r="G3618" s="675"/>
      <c r="H3618" s="675"/>
      <c r="I3618" s="675"/>
      <c r="J3618" s="675"/>
      <c r="K3618" s="675"/>
      <c r="L3618" s="675"/>
      <c r="M3618" s="675"/>
    </row>
    <row r="3619" spans="1:13" ht="30" x14ac:dyDescent="0.25">
      <c r="A3619" s="675" t="s">
        <v>3513</v>
      </c>
      <c r="B3619" s="675" t="s">
        <v>545</v>
      </c>
      <c r="C3619" s="676" t="s">
        <v>3518</v>
      </c>
      <c r="D3619" s="675"/>
      <c r="E3619" s="702"/>
      <c r="F3619" s="702"/>
      <c r="G3619" s="675"/>
      <c r="H3619" s="675"/>
      <c r="I3619" s="675"/>
      <c r="J3619" s="675"/>
      <c r="K3619" s="675"/>
      <c r="L3619" s="675"/>
      <c r="M3619" s="675"/>
    </row>
    <row r="3620" spans="1:13" x14ac:dyDescent="0.25">
      <c r="A3620" s="675" t="s">
        <v>3513</v>
      </c>
      <c r="B3620" s="675" t="s">
        <v>564</v>
      </c>
      <c r="C3620" s="676" t="s">
        <v>3519</v>
      </c>
      <c r="D3620" s="675"/>
      <c r="E3620" s="702"/>
      <c r="F3620" s="702"/>
      <c r="G3620" s="675"/>
      <c r="H3620" s="675"/>
      <c r="I3620" s="675"/>
      <c r="J3620" s="675"/>
      <c r="K3620" s="675"/>
      <c r="L3620" s="675"/>
      <c r="M3620" s="675"/>
    </row>
    <row r="3621" spans="1:13" x14ac:dyDescent="0.25">
      <c r="A3621" s="675" t="s">
        <v>3513</v>
      </c>
      <c r="B3621" s="675" t="s">
        <v>564</v>
      </c>
      <c r="C3621" s="676" t="s">
        <v>3520</v>
      </c>
      <c r="D3621" s="675"/>
      <c r="E3621" s="702"/>
      <c r="F3621" s="702"/>
      <c r="G3621" s="675"/>
      <c r="H3621" s="675"/>
      <c r="I3621" s="675"/>
      <c r="J3621" s="675"/>
      <c r="K3621" s="675"/>
      <c r="L3621" s="675"/>
      <c r="M3621" s="675"/>
    </row>
    <row r="3622" spans="1:13" ht="30" x14ac:dyDescent="0.25">
      <c r="A3622" s="675" t="s">
        <v>3513</v>
      </c>
      <c r="B3622" s="675" t="s">
        <v>564</v>
      </c>
      <c r="C3622" s="676" t="s">
        <v>3521</v>
      </c>
      <c r="D3622" s="675"/>
      <c r="E3622" s="702"/>
      <c r="F3622" s="702"/>
      <c r="G3622" s="675"/>
      <c r="H3622" s="675"/>
      <c r="I3622" s="675"/>
      <c r="J3622" s="675"/>
      <c r="K3622" s="675"/>
      <c r="L3622" s="675"/>
      <c r="M3622" s="675"/>
    </row>
    <row r="3623" spans="1:13" x14ac:dyDescent="0.25">
      <c r="A3623" s="675" t="s">
        <v>3513</v>
      </c>
      <c r="B3623" s="675" t="s">
        <v>564</v>
      </c>
      <c r="C3623" s="676" t="s">
        <v>3522</v>
      </c>
      <c r="D3623" s="675"/>
      <c r="E3623" s="702"/>
      <c r="F3623" s="702"/>
      <c r="G3623" s="675"/>
      <c r="H3623" s="675"/>
      <c r="I3623" s="675"/>
      <c r="J3623" s="675"/>
      <c r="K3623" s="675"/>
      <c r="L3623" s="675"/>
      <c r="M3623" s="675"/>
    </row>
    <row r="3624" spans="1:13" x14ac:dyDescent="0.25">
      <c r="A3624" s="675" t="s">
        <v>3513</v>
      </c>
      <c r="B3624" s="675" t="s">
        <v>564</v>
      </c>
      <c r="C3624" s="676" t="s">
        <v>3523</v>
      </c>
      <c r="D3624" s="675"/>
      <c r="E3624" s="702"/>
      <c r="F3624" s="702"/>
      <c r="G3624" s="675"/>
      <c r="H3624" s="675"/>
      <c r="I3624" s="675"/>
      <c r="J3624" s="675"/>
      <c r="K3624" s="675"/>
      <c r="L3624" s="675"/>
      <c r="M3624" s="675"/>
    </row>
    <row r="3625" spans="1:13" x14ac:dyDescent="0.25">
      <c r="A3625" s="675" t="s">
        <v>3513</v>
      </c>
      <c r="B3625" s="675" t="s">
        <v>512</v>
      </c>
      <c r="C3625" s="676" t="s">
        <v>3524</v>
      </c>
      <c r="D3625" s="675"/>
      <c r="E3625" s="702"/>
      <c r="F3625" s="702"/>
      <c r="G3625" s="675"/>
      <c r="H3625" s="675"/>
      <c r="I3625" s="675"/>
      <c r="J3625" s="675"/>
      <c r="K3625" s="675"/>
      <c r="L3625" s="675"/>
      <c r="M3625" s="675"/>
    </row>
    <row r="3626" spans="1:13" x14ac:dyDescent="0.25">
      <c r="A3626" s="675" t="s">
        <v>3513</v>
      </c>
      <c r="B3626" s="675" t="s">
        <v>512</v>
      </c>
      <c r="C3626" s="676" t="s">
        <v>3525</v>
      </c>
      <c r="D3626" s="675"/>
      <c r="E3626" s="702"/>
      <c r="F3626" s="702"/>
      <c r="G3626" s="675"/>
      <c r="H3626" s="675"/>
      <c r="I3626" s="675"/>
      <c r="J3626" s="675"/>
      <c r="K3626" s="675"/>
      <c r="L3626" s="675"/>
      <c r="M3626" s="675"/>
    </row>
    <row r="3627" spans="1:13" x14ac:dyDescent="0.25">
      <c r="A3627" s="675" t="s">
        <v>3513</v>
      </c>
      <c r="B3627" s="675" t="s">
        <v>512</v>
      </c>
      <c r="C3627" s="676" t="s">
        <v>3526</v>
      </c>
      <c r="D3627" s="675"/>
      <c r="E3627" s="702"/>
      <c r="F3627" s="702"/>
      <c r="G3627" s="675"/>
      <c r="H3627" s="675"/>
      <c r="I3627" s="675"/>
      <c r="J3627" s="675"/>
      <c r="K3627" s="675"/>
      <c r="L3627" s="675"/>
      <c r="M3627" s="675"/>
    </row>
    <row r="3628" spans="1:13" x14ac:dyDescent="0.25">
      <c r="A3628" s="675" t="s">
        <v>3513</v>
      </c>
      <c r="B3628" s="675" t="s">
        <v>512</v>
      </c>
      <c r="C3628" s="676" t="s">
        <v>3527</v>
      </c>
      <c r="D3628" s="675"/>
      <c r="E3628" s="702"/>
      <c r="F3628" s="702"/>
      <c r="G3628" s="675"/>
      <c r="H3628" s="675"/>
      <c r="I3628" s="675"/>
      <c r="J3628" s="675"/>
      <c r="K3628" s="675"/>
      <c r="L3628" s="675"/>
      <c r="M3628" s="675"/>
    </row>
    <row r="3629" spans="1:13" x14ac:dyDescent="0.25">
      <c r="A3629" s="675" t="s">
        <v>3513</v>
      </c>
      <c r="B3629" s="675" t="s">
        <v>512</v>
      </c>
      <c r="C3629" s="676" t="s">
        <v>3528</v>
      </c>
      <c r="D3629" s="675"/>
      <c r="E3629" s="702"/>
      <c r="F3629" s="702"/>
      <c r="G3629" s="675"/>
      <c r="H3629" s="675"/>
      <c r="I3629" s="675"/>
      <c r="J3629" s="675"/>
      <c r="K3629" s="675"/>
      <c r="L3629" s="675"/>
      <c r="M3629" s="675"/>
    </row>
    <row r="3630" spans="1:13" x14ac:dyDescent="0.25">
      <c r="A3630" s="675" t="s">
        <v>3513</v>
      </c>
      <c r="B3630" s="675" t="s">
        <v>545</v>
      </c>
      <c r="C3630" s="676" t="s">
        <v>3529</v>
      </c>
      <c r="D3630" s="675"/>
      <c r="E3630" s="702"/>
      <c r="F3630" s="702"/>
      <c r="G3630" s="675"/>
      <c r="H3630" s="675"/>
      <c r="I3630" s="675"/>
      <c r="J3630" s="675"/>
      <c r="K3630" s="675"/>
      <c r="L3630" s="675"/>
      <c r="M3630" s="675"/>
    </row>
    <row r="3631" spans="1:13" x14ac:dyDescent="0.25">
      <c r="A3631" s="675" t="s">
        <v>3513</v>
      </c>
      <c r="B3631" s="675" t="s">
        <v>545</v>
      </c>
      <c r="C3631" s="676" t="s">
        <v>3530</v>
      </c>
      <c r="D3631" s="675"/>
      <c r="E3631" s="702"/>
      <c r="F3631" s="702"/>
      <c r="G3631" s="675"/>
      <c r="H3631" s="675"/>
      <c r="I3631" s="675"/>
      <c r="J3631" s="675"/>
      <c r="K3631" s="675"/>
      <c r="L3631" s="675"/>
      <c r="M3631" s="675"/>
    </row>
    <row r="3632" spans="1:13" ht="30" x14ac:dyDescent="0.25">
      <c r="A3632" s="675" t="s">
        <v>3513</v>
      </c>
      <c r="B3632" s="675" t="s">
        <v>545</v>
      </c>
      <c r="C3632" s="676" t="s">
        <v>3531</v>
      </c>
      <c r="D3632" s="675"/>
      <c r="E3632" s="702"/>
      <c r="F3632" s="702"/>
      <c r="G3632" s="675"/>
      <c r="H3632" s="675"/>
      <c r="I3632" s="675"/>
      <c r="J3632" s="675"/>
      <c r="K3632" s="675"/>
      <c r="L3632" s="675"/>
      <c r="M3632" s="675"/>
    </row>
    <row r="3633" spans="1:13" x14ac:dyDescent="0.25">
      <c r="A3633" s="675" t="s">
        <v>3513</v>
      </c>
      <c r="B3633" s="675" t="s">
        <v>545</v>
      </c>
      <c r="C3633" s="676" t="s">
        <v>3532</v>
      </c>
      <c r="D3633" s="675"/>
      <c r="E3633" s="702"/>
      <c r="F3633" s="702"/>
      <c r="G3633" s="675"/>
      <c r="H3633" s="675"/>
      <c r="I3633" s="675"/>
      <c r="J3633" s="675"/>
      <c r="K3633" s="675"/>
      <c r="L3633" s="675"/>
      <c r="M3633" s="675"/>
    </row>
    <row r="3634" spans="1:13" ht="30" x14ac:dyDescent="0.25">
      <c r="A3634" s="675" t="s">
        <v>3513</v>
      </c>
      <c r="B3634" s="675" t="s">
        <v>545</v>
      </c>
      <c r="C3634" s="676" t="s">
        <v>3533</v>
      </c>
      <c r="D3634" s="675"/>
      <c r="E3634" s="702"/>
      <c r="F3634" s="702"/>
      <c r="G3634" s="675"/>
      <c r="H3634" s="675"/>
      <c r="I3634" s="675"/>
      <c r="J3634" s="675"/>
      <c r="K3634" s="675"/>
      <c r="L3634" s="675"/>
      <c r="M3634" s="675"/>
    </row>
    <row r="3635" spans="1:13" ht="30" x14ac:dyDescent="0.25">
      <c r="A3635" s="675" t="s">
        <v>3513</v>
      </c>
      <c r="B3635" s="675" t="s">
        <v>564</v>
      </c>
      <c r="C3635" s="676" t="s">
        <v>3534</v>
      </c>
      <c r="D3635" s="675"/>
      <c r="E3635" s="702"/>
      <c r="F3635" s="702"/>
      <c r="G3635" s="675"/>
      <c r="H3635" s="675"/>
      <c r="I3635" s="675"/>
      <c r="J3635" s="675"/>
      <c r="K3635" s="675"/>
      <c r="L3635" s="675"/>
      <c r="M3635" s="675"/>
    </row>
    <row r="3636" spans="1:13" x14ac:dyDescent="0.25">
      <c r="A3636" s="675" t="s">
        <v>3513</v>
      </c>
      <c r="B3636" s="675" t="s">
        <v>564</v>
      </c>
      <c r="C3636" s="676" t="s">
        <v>3535</v>
      </c>
      <c r="D3636" s="675"/>
      <c r="E3636" s="702"/>
      <c r="F3636" s="702"/>
      <c r="G3636" s="675"/>
      <c r="H3636" s="675"/>
      <c r="I3636" s="675"/>
      <c r="J3636" s="675"/>
      <c r="K3636" s="675"/>
      <c r="L3636" s="675"/>
      <c r="M3636" s="675"/>
    </row>
    <row r="3637" spans="1:13" ht="30" x14ac:dyDescent="0.25">
      <c r="A3637" s="675" t="s">
        <v>3513</v>
      </c>
      <c r="B3637" s="675" t="s">
        <v>564</v>
      </c>
      <c r="C3637" s="676" t="s">
        <v>3536</v>
      </c>
      <c r="D3637" s="675"/>
      <c r="E3637" s="702"/>
      <c r="F3637" s="702"/>
      <c r="G3637" s="675"/>
      <c r="H3637" s="675"/>
      <c r="I3637" s="675"/>
      <c r="J3637" s="675"/>
      <c r="K3637" s="675"/>
      <c r="L3637" s="675"/>
      <c r="M3637" s="675"/>
    </row>
    <row r="3638" spans="1:13" x14ac:dyDescent="0.25">
      <c r="A3638" s="675" t="s">
        <v>3513</v>
      </c>
      <c r="B3638" s="675" t="s">
        <v>564</v>
      </c>
      <c r="C3638" s="676" t="s">
        <v>3537</v>
      </c>
      <c r="D3638" s="675"/>
      <c r="E3638" s="702"/>
      <c r="F3638" s="702"/>
      <c r="G3638" s="675"/>
      <c r="H3638" s="675"/>
      <c r="I3638" s="675"/>
      <c r="J3638" s="675"/>
      <c r="K3638" s="675"/>
      <c r="L3638" s="675"/>
      <c r="M3638" s="675"/>
    </row>
    <row r="3639" spans="1:13" ht="30" x14ac:dyDescent="0.25">
      <c r="A3639" s="675" t="s">
        <v>3513</v>
      </c>
      <c r="B3639" s="675" t="s">
        <v>564</v>
      </c>
      <c r="C3639" s="676" t="s">
        <v>3538</v>
      </c>
      <c r="D3639" s="675"/>
      <c r="E3639" s="702"/>
      <c r="F3639" s="702"/>
      <c r="G3639" s="675"/>
      <c r="H3639" s="675"/>
      <c r="I3639" s="675"/>
      <c r="J3639" s="675"/>
      <c r="K3639" s="675"/>
      <c r="L3639" s="675"/>
      <c r="M3639" s="675"/>
    </row>
    <row r="3640" spans="1:13" ht="30" x14ac:dyDescent="0.25">
      <c r="A3640" s="675" t="s">
        <v>3513</v>
      </c>
      <c r="B3640" s="675" t="s">
        <v>512</v>
      </c>
      <c r="C3640" s="676" t="s">
        <v>3539</v>
      </c>
      <c r="D3640" s="675"/>
      <c r="E3640" s="702"/>
      <c r="F3640" s="702"/>
      <c r="G3640" s="675"/>
      <c r="H3640" s="675"/>
      <c r="I3640" s="675"/>
      <c r="J3640" s="675"/>
      <c r="K3640" s="675"/>
      <c r="L3640" s="675"/>
      <c r="M3640" s="675"/>
    </row>
    <row r="3641" spans="1:13" x14ac:dyDescent="0.25">
      <c r="A3641" s="675" t="s">
        <v>3513</v>
      </c>
      <c r="B3641" s="675" t="s">
        <v>512</v>
      </c>
      <c r="C3641" s="676" t="s">
        <v>3540</v>
      </c>
      <c r="D3641" s="675"/>
      <c r="E3641" s="702"/>
      <c r="F3641" s="702"/>
      <c r="G3641" s="675"/>
      <c r="H3641" s="675"/>
      <c r="I3641" s="675"/>
      <c r="J3641" s="675"/>
      <c r="K3641" s="675"/>
      <c r="L3641" s="675"/>
      <c r="M3641" s="675"/>
    </row>
    <row r="3642" spans="1:13" x14ac:dyDescent="0.25">
      <c r="A3642" s="675" t="s">
        <v>3513</v>
      </c>
      <c r="B3642" s="675" t="s">
        <v>512</v>
      </c>
      <c r="C3642" s="676" t="s">
        <v>3541</v>
      </c>
      <c r="D3642" s="675"/>
      <c r="E3642" s="702"/>
      <c r="F3642" s="702"/>
      <c r="G3642" s="675"/>
      <c r="H3642" s="675"/>
      <c r="I3642" s="675"/>
      <c r="J3642" s="675"/>
      <c r="K3642" s="675"/>
      <c r="L3642" s="675"/>
      <c r="M3642" s="675"/>
    </row>
    <row r="3643" spans="1:13" x14ac:dyDescent="0.25">
      <c r="A3643" s="675" t="s">
        <v>3513</v>
      </c>
      <c r="B3643" s="675" t="s">
        <v>512</v>
      </c>
      <c r="C3643" s="676" t="s">
        <v>3542</v>
      </c>
      <c r="D3643" s="675"/>
      <c r="E3643" s="702"/>
      <c r="F3643" s="702"/>
      <c r="G3643" s="675"/>
      <c r="H3643" s="675"/>
      <c r="I3643" s="675"/>
      <c r="J3643" s="675"/>
      <c r="K3643" s="675"/>
      <c r="L3643" s="675"/>
      <c r="M3643" s="675"/>
    </row>
    <row r="3644" spans="1:13" x14ac:dyDescent="0.25">
      <c r="A3644" s="675" t="s">
        <v>3513</v>
      </c>
      <c r="B3644" s="675" t="s">
        <v>512</v>
      </c>
      <c r="C3644" s="676" t="s">
        <v>3543</v>
      </c>
      <c r="D3644" s="675"/>
      <c r="E3644" s="702"/>
      <c r="F3644" s="702"/>
      <c r="G3644" s="675"/>
      <c r="H3644" s="675"/>
      <c r="I3644" s="675"/>
      <c r="J3644" s="675"/>
      <c r="K3644" s="675"/>
      <c r="L3644" s="675"/>
      <c r="M3644" s="675"/>
    </row>
    <row r="3645" spans="1:13" x14ac:dyDescent="0.25">
      <c r="A3645" s="675" t="s">
        <v>3544</v>
      </c>
      <c r="B3645" s="675" t="s">
        <v>545</v>
      </c>
      <c r="C3645" s="676" t="s">
        <v>3545</v>
      </c>
      <c r="D3645" s="675"/>
      <c r="E3645" s="702"/>
      <c r="F3645" s="702"/>
      <c r="G3645" s="675"/>
      <c r="H3645" s="675"/>
      <c r="I3645" s="675"/>
      <c r="J3645" s="675"/>
      <c r="K3645" s="675"/>
      <c r="L3645" s="675"/>
      <c r="M3645" s="675"/>
    </row>
    <row r="3646" spans="1:13" ht="30" x14ac:dyDescent="0.25">
      <c r="A3646" s="675" t="s">
        <v>3544</v>
      </c>
      <c r="B3646" s="675" t="s">
        <v>545</v>
      </c>
      <c r="C3646" s="676" t="s">
        <v>3546</v>
      </c>
      <c r="D3646" s="675"/>
      <c r="E3646" s="702"/>
      <c r="F3646" s="702"/>
      <c r="G3646" s="675"/>
      <c r="H3646" s="675"/>
      <c r="I3646" s="675"/>
      <c r="J3646" s="675"/>
      <c r="K3646" s="675"/>
      <c r="L3646" s="675"/>
      <c r="M3646" s="675"/>
    </row>
    <row r="3647" spans="1:13" ht="30" x14ac:dyDescent="0.25">
      <c r="A3647" s="675" t="s">
        <v>3544</v>
      </c>
      <c r="B3647" s="675" t="s">
        <v>545</v>
      </c>
      <c r="C3647" s="676" t="s">
        <v>3547</v>
      </c>
      <c r="D3647" s="675"/>
      <c r="E3647" s="702"/>
      <c r="F3647" s="702"/>
      <c r="G3647" s="675"/>
      <c r="H3647" s="675"/>
      <c r="I3647" s="675"/>
      <c r="J3647" s="675"/>
      <c r="K3647" s="675"/>
      <c r="L3647" s="675"/>
      <c r="M3647" s="675"/>
    </row>
    <row r="3648" spans="1:13" ht="30" x14ac:dyDescent="0.25">
      <c r="A3648" s="675" t="s">
        <v>3544</v>
      </c>
      <c r="B3648" s="675" t="s">
        <v>545</v>
      </c>
      <c r="C3648" s="676" t="s">
        <v>3548</v>
      </c>
      <c r="D3648" s="675"/>
      <c r="E3648" s="702"/>
      <c r="F3648" s="702"/>
      <c r="G3648" s="675"/>
      <c r="H3648" s="675"/>
      <c r="I3648" s="675"/>
      <c r="J3648" s="675"/>
      <c r="K3648" s="675"/>
      <c r="L3648" s="675"/>
      <c r="M3648" s="675"/>
    </row>
    <row r="3649" spans="1:13" ht="30" x14ac:dyDescent="0.25">
      <c r="A3649" s="675" t="s">
        <v>3544</v>
      </c>
      <c r="B3649" s="675" t="s">
        <v>545</v>
      </c>
      <c r="C3649" s="676" t="s">
        <v>3549</v>
      </c>
      <c r="D3649" s="675"/>
      <c r="E3649" s="702"/>
      <c r="F3649" s="702"/>
      <c r="G3649" s="675"/>
      <c r="H3649" s="675"/>
      <c r="I3649" s="675"/>
      <c r="J3649" s="675"/>
      <c r="K3649" s="675"/>
      <c r="L3649" s="675"/>
      <c r="M3649" s="675"/>
    </row>
    <row r="3650" spans="1:13" x14ac:dyDescent="0.25">
      <c r="A3650" s="675" t="s">
        <v>3544</v>
      </c>
      <c r="B3650" s="675" t="s">
        <v>564</v>
      </c>
      <c r="C3650" s="676" t="s">
        <v>3550</v>
      </c>
      <c r="D3650" s="675"/>
      <c r="E3650" s="702"/>
      <c r="F3650" s="702"/>
      <c r="G3650" s="675"/>
      <c r="H3650" s="675"/>
      <c r="I3650" s="675"/>
      <c r="J3650" s="675"/>
      <c r="K3650" s="675"/>
      <c r="L3650" s="675"/>
      <c r="M3650" s="675"/>
    </row>
    <row r="3651" spans="1:13" ht="30" x14ac:dyDescent="0.25">
      <c r="A3651" s="675" t="s">
        <v>3544</v>
      </c>
      <c r="B3651" s="675" t="s">
        <v>564</v>
      </c>
      <c r="C3651" s="676" t="s">
        <v>3551</v>
      </c>
      <c r="D3651" s="675"/>
      <c r="E3651" s="702"/>
      <c r="F3651" s="702"/>
      <c r="G3651" s="675"/>
      <c r="H3651" s="675"/>
      <c r="I3651" s="675"/>
      <c r="J3651" s="675"/>
      <c r="K3651" s="675"/>
      <c r="L3651" s="675"/>
      <c r="M3651" s="675"/>
    </row>
    <row r="3652" spans="1:13" x14ac:dyDescent="0.25">
      <c r="A3652" s="675" t="s">
        <v>3544</v>
      </c>
      <c r="B3652" s="675" t="s">
        <v>564</v>
      </c>
      <c r="C3652" s="676" t="s">
        <v>3552</v>
      </c>
      <c r="D3652" s="675"/>
      <c r="E3652" s="702"/>
      <c r="F3652" s="702"/>
      <c r="G3652" s="675"/>
      <c r="H3652" s="675"/>
      <c r="I3652" s="675"/>
      <c r="J3652" s="675"/>
      <c r="K3652" s="675"/>
      <c r="L3652" s="675"/>
      <c r="M3652" s="675"/>
    </row>
    <row r="3653" spans="1:13" x14ac:dyDescent="0.25">
      <c r="A3653" s="675" t="s">
        <v>3544</v>
      </c>
      <c r="B3653" s="675" t="s">
        <v>564</v>
      </c>
      <c r="C3653" s="676" t="s">
        <v>3553</v>
      </c>
      <c r="D3653" s="675"/>
      <c r="E3653" s="702"/>
      <c r="F3653" s="702"/>
      <c r="G3653" s="675"/>
      <c r="H3653" s="675"/>
      <c r="I3653" s="675"/>
      <c r="J3653" s="675"/>
      <c r="K3653" s="675"/>
      <c r="L3653" s="675"/>
      <c r="M3653" s="675"/>
    </row>
    <row r="3654" spans="1:13" ht="30" x14ac:dyDescent="0.25">
      <c r="A3654" s="675" t="s">
        <v>3544</v>
      </c>
      <c r="B3654" s="675" t="s">
        <v>564</v>
      </c>
      <c r="C3654" s="676" t="s">
        <v>3554</v>
      </c>
      <c r="D3654" s="675"/>
      <c r="E3654" s="702"/>
      <c r="F3654" s="702"/>
      <c r="G3654" s="675"/>
      <c r="H3654" s="675"/>
      <c r="I3654" s="675"/>
      <c r="J3654" s="675"/>
      <c r="K3654" s="675"/>
      <c r="L3654" s="675"/>
      <c r="M3654" s="675"/>
    </row>
    <row r="3655" spans="1:13" ht="30" x14ac:dyDescent="0.25">
      <c r="A3655" s="675" t="s">
        <v>3544</v>
      </c>
      <c r="B3655" s="675" t="s">
        <v>512</v>
      </c>
      <c r="C3655" s="676" t="s">
        <v>3555</v>
      </c>
      <c r="D3655" s="675"/>
      <c r="E3655" s="702"/>
      <c r="F3655" s="702"/>
      <c r="G3655" s="675"/>
      <c r="H3655" s="675"/>
      <c r="I3655" s="675"/>
      <c r="J3655" s="675"/>
      <c r="K3655" s="675"/>
      <c r="L3655" s="675"/>
      <c r="M3655" s="675"/>
    </row>
    <row r="3656" spans="1:13" x14ac:dyDescent="0.25">
      <c r="A3656" s="675" t="s">
        <v>3544</v>
      </c>
      <c r="B3656" s="675" t="s">
        <v>512</v>
      </c>
      <c r="C3656" s="676" t="s">
        <v>3556</v>
      </c>
      <c r="D3656" s="675"/>
      <c r="E3656" s="702"/>
      <c r="F3656" s="702"/>
      <c r="G3656" s="675"/>
      <c r="H3656" s="675"/>
      <c r="I3656" s="675"/>
      <c r="J3656" s="675"/>
      <c r="K3656" s="675"/>
      <c r="L3656" s="675"/>
      <c r="M3656" s="675"/>
    </row>
    <row r="3657" spans="1:13" x14ac:dyDescent="0.25">
      <c r="A3657" s="675" t="s">
        <v>3544</v>
      </c>
      <c r="B3657" s="675" t="s">
        <v>512</v>
      </c>
      <c r="C3657" s="676" t="s">
        <v>3557</v>
      </c>
      <c r="D3657" s="675"/>
      <c r="E3657" s="702"/>
      <c r="F3657" s="702"/>
      <c r="G3657" s="675"/>
      <c r="H3657" s="675"/>
      <c r="I3657" s="675"/>
      <c r="J3657" s="675"/>
      <c r="K3657" s="675"/>
      <c r="L3657" s="675"/>
      <c r="M3657" s="675"/>
    </row>
    <row r="3658" spans="1:13" ht="30" x14ac:dyDescent="0.25">
      <c r="A3658" s="675" t="s">
        <v>3544</v>
      </c>
      <c r="B3658" s="675" t="s">
        <v>512</v>
      </c>
      <c r="C3658" s="676" t="s">
        <v>3558</v>
      </c>
      <c r="D3658" s="675"/>
      <c r="E3658" s="702"/>
      <c r="F3658" s="702"/>
      <c r="G3658" s="675"/>
      <c r="H3658" s="675"/>
      <c r="I3658" s="675"/>
      <c r="J3658" s="675"/>
      <c r="K3658" s="675"/>
      <c r="L3658" s="675"/>
      <c r="M3658" s="675"/>
    </row>
    <row r="3659" spans="1:13" ht="30" x14ac:dyDescent="0.25">
      <c r="A3659" s="675" t="s">
        <v>3544</v>
      </c>
      <c r="B3659" s="675" t="s">
        <v>512</v>
      </c>
      <c r="C3659" s="676" t="s">
        <v>3559</v>
      </c>
      <c r="D3659" s="675"/>
      <c r="E3659" s="702"/>
      <c r="F3659" s="702"/>
      <c r="G3659" s="675"/>
      <c r="H3659" s="675"/>
      <c r="I3659" s="675"/>
      <c r="J3659" s="675"/>
      <c r="K3659" s="675"/>
      <c r="L3659" s="675"/>
      <c r="M3659" s="675"/>
    </row>
    <row r="3660" spans="1:13" x14ac:dyDescent="0.25">
      <c r="A3660" s="675" t="s">
        <v>3544</v>
      </c>
      <c r="B3660" s="675" t="s">
        <v>545</v>
      </c>
      <c r="C3660" s="676" t="s">
        <v>3560</v>
      </c>
      <c r="D3660" s="675"/>
      <c r="E3660" s="702"/>
      <c r="F3660" s="702"/>
      <c r="G3660" s="675"/>
      <c r="H3660" s="675"/>
      <c r="I3660" s="675"/>
      <c r="J3660" s="675"/>
      <c r="K3660" s="675"/>
      <c r="L3660" s="675"/>
      <c r="M3660" s="675"/>
    </row>
    <row r="3661" spans="1:13" x14ac:dyDescent="0.25">
      <c r="A3661" s="675" t="s">
        <v>3544</v>
      </c>
      <c r="B3661" s="675" t="s">
        <v>545</v>
      </c>
      <c r="C3661" s="676" t="s">
        <v>3561</v>
      </c>
      <c r="D3661" s="675"/>
      <c r="E3661" s="702"/>
      <c r="F3661" s="702"/>
      <c r="G3661" s="675"/>
      <c r="H3661" s="675"/>
      <c r="I3661" s="675"/>
      <c r="J3661" s="675"/>
      <c r="K3661" s="675"/>
      <c r="L3661" s="675"/>
      <c r="M3661" s="675"/>
    </row>
    <row r="3662" spans="1:13" x14ac:dyDescent="0.25">
      <c r="A3662" s="675" t="s">
        <v>3544</v>
      </c>
      <c r="B3662" s="675" t="s">
        <v>545</v>
      </c>
      <c r="C3662" s="676" t="s">
        <v>3562</v>
      </c>
      <c r="D3662" s="675"/>
      <c r="E3662" s="702"/>
      <c r="F3662" s="702"/>
      <c r="G3662" s="675"/>
      <c r="H3662" s="675"/>
      <c r="I3662" s="675"/>
      <c r="J3662" s="675"/>
      <c r="K3662" s="675"/>
      <c r="L3662" s="675"/>
      <c r="M3662" s="675"/>
    </row>
    <row r="3663" spans="1:13" ht="30" x14ac:dyDescent="0.25">
      <c r="A3663" s="675" t="s">
        <v>3544</v>
      </c>
      <c r="B3663" s="675" t="s">
        <v>545</v>
      </c>
      <c r="C3663" s="676" t="s">
        <v>3563</v>
      </c>
      <c r="D3663" s="675"/>
      <c r="E3663" s="702"/>
      <c r="F3663" s="702"/>
      <c r="G3663" s="675"/>
      <c r="H3663" s="675"/>
      <c r="I3663" s="675"/>
      <c r="J3663" s="675"/>
      <c r="K3663" s="675"/>
      <c r="L3663" s="675"/>
      <c r="M3663" s="675"/>
    </row>
    <row r="3664" spans="1:13" ht="30" x14ac:dyDescent="0.25">
      <c r="A3664" s="675" t="s">
        <v>3544</v>
      </c>
      <c r="B3664" s="675" t="s">
        <v>545</v>
      </c>
      <c r="C3664" s="676" t="s">
        <v>3564</v>
      </c>
      <c r="D3664" s="675"/>
      <c r="E3664" s="702"/>
      <c r="F3664" s="702"/>
      <c r="G3664" s="675"/>
      <c r="H3664" s="675"/>
      <c r="I3664" s="675"/>
      <c r="J3664" s="675"/>
      <c r="K3664" s="675"/>
      <c r="L3664" s="675"/>
      <c r="M3664" s="675"/>
    </row>
    <row r="3665" spans="1:13" ht="30" x14ac:dyDescent="0.25">
      <c r="A3665" s="675" t="s">
        <v>3544</v>
      </c>
      <c r="B3665" s="675" t="s">
        <v>564</v>
      </c>
      <c r="C3665" s="676" t="s">
        <v>3565</v>
      </c>
      <c r="D3665" s="675"/>
      <c r="E3665" s="702"/>
      <c r="F3665" s="702"/>
      <c r="G3665" s="675"/>
      <c r="H3665" s="675"/>
      <c r="I3665" s="675"/>
      <c r="J3665" s="675"/>
      <c r="K3665" s="675"/>
      <c r="L3665" s="675"/>
      <c r="M3665" s="675"/>
    </row>
    <row r="3666" spans="1:13" ht="30" x14ac:dyDescent="0.25">
      <c r="A3666" s="675" t="s">
        <v>3544</v>
      </c>
      <c r="B3666" s="675" t="s">
        <v>564</v>
      </c>
      <c r="C3666" s="676" t="s">
        <v>3566</v>
      </c>
      <c r="D3666" s="675"/>
      <c r="E3666" s="702"/>
      <c r="F3666" s="702"/>
      <c r="G3666" s="675"/>
      <c r="H3666" s="675"/>
      <c r="I3666" s="675"/>
      <c r="J3666" s="675"/>
      <c r="K3666" s="675"/>
      <c r="L3666" s="675"/>
      <c r="M3666" s="675"/>
    </row>
    <row r="3667" spans="1:13" ht="30" x14ac:dyDescent="0.25">
      <c r="A3667" s="675" t="s">
        <v>3544</v>
      </c>
      <c r="B3667" s="675" t="s">
        <v>564</v>
      </c>
      <c r="C3667" s="676" t="s">
        <v>3567</v>
      </c>
      <c r="D3667" s="675"/>
      <c r="E3667" s="702"/>
      <c r="F3667" s="702"/>
      <c r="G3667" s="675"/>
      <c r="H3667" s="675"/>
      <c r="I3667" s="675"/>
      <c r="J3667" s="675"/>
      <c r="K3667" s="675"/>
      <c r="L3667" s="675"/>
      <c r="M3667" s="675"/>
    </row>
    <row r="3668" spans="1:13" x14ac:dyDescent="0.25">
      <c r="A3668" s="675" t="s">
        <v>3544</v>
      </c>
      <c r="B3668" s="675" t="s">
        <v>564</v>
      </c>
      <c r="C3668" s="676" t="s">
        <v>3568</v>
      </c>
      <c r="D3668" s="675"/>
      <c r="E3668" s="702"/>
      <c r="F3668" s="702"/>
      <c r="G3668" s="675"/>
      <c r="H3668" s="675"/>
      <c r="I3668" s="675"/>
      <c r="J3668" s="675"/>
      <c r="K3668" s="675"/>
      <c r="L3668" s="675"/>
      <c r="M3668" s="675"/>
    </row>
    <row r="3669" spans="1:13" ht="30" x14ac:dyDescent="0.25">
      <c r="A3669" s="675" t="s">
        <v>3544</v>
      </c>
      <c r="B3669" s="675" t="s">
        <v>564</v>
      </c>
      <c r="C3669" s="676" t="s">
        <v>3569</v>
      </c>
      <c r="D3669" s="675"/>
      <c r="E3669" s="702"/>
      <c r="F3669" s="702"/>
      <c r="G3669" s="675"/>
      <c r="H3669" s="675"/>
      <c r="I3669" s="675"/>
      <c r="J3669" s="675"/>
      <c r="K3669" s="675"/>
      <c r="L3669" s="675"/>
      <c r="M3669" s="675"/>
    </row>
    <row r="3670" spans="1:13" x14ac:dyDescent="0.25">
      <c r="A3670" s="675" t="s">
        <v>3544</v>
      </c>
      <c r="B3670" s="675" t="s">
        <v>512</v>
      </c>
      <c r="C3670" s="676" t="s">
        <v>3570</v>
      </c>
      <c r="D3670" s="675"/>
      <c r="E3670" s="702"/>
      <c r="F3670" s="702"/>
      <c r="G3670" s="675"/>
      <c r="H3670" s="675"/>
      <c r="I3670" s="675"/>
      <c r="J3670" s="675"/>
      <c r="K3670" s="675"/>
      <c r="L3670" s="675"/>
      <c r="M3670" s="675"/>
    </row>
    <row r="3671" spans="1:13" x14ac:dyDescent="0.25">
      <c r="A3671" s="675" t="s">
        <v>3544</v>
      </c>
      <c r="B3671" s="675" t="s">
        <v>512</v>
      </c>
      <c r="C3671" s="676" t="s">
        <v>3571</v>
      </c>
      <c r="D3671" s="675"/>
      <c r="E3671" s="702"/>
      <c r="F3671" s="702"/>
      <c r="G3671" s="675"/>
      <c r="H3671" s="675"/>
      <c r="I3671" s="675"/>
      <c r="J3671" s="675"/>
      <c r="K3671" s="675"/>
      <c r="L3671" s="675"/>
      <c r="M3671" s="675"/>
    </row>
    <row r="3672" spans="1:13" x14ac:dyDescent="0.25">
      <c r="A3672" s="675" t="s">
        <v>3544</v>
      </c>
      <c r="B3672" s="675" t="s">
        <v>512</v>
      </c>
      <c r="C3672" s="676" t="s">
        <v>3572</v>
      </c>
      <c r="D3672" s="675"/>
      <c r="E3672" s="702"/>
      <c r="F3672" s="702"/>
      <c r="G3672" s="675"/>
      <c r="H3672" s="675"/>
      <c r="I3672" s="675"/>
      <c r="J3672" s="675"/>
      <c r="K3672" s="675"/>
      <c r="L3672" s="675"/>
      <c r="M3672" s="675"/>
    </row>
    <row r="3673" spans="1:13" ht="30" x14ac:dyDescent="0.25">
      <c r="A3673" s="675" t="s">
        <v>3544</v>
      </c>
      <c r="B3673" s="675" t="s">
        <v>512</v>
      </c>
      <c r="C3673" s="676" t="s">
        <v>3573</v>
      </c>
      <c r="D3673" s="675"/>
      <c r="E3673" s="702"/>
      <c r="F3673" s="702"/>
      <c r="G3673" s="675"/>
      <c r="H3673" s="675"/>
      <c r="I3673" s="675"/>
      <c r="J3673" s="675"/>
      <c r="K3673" s="675"/>
      <c r="L3673" s="675"/>
      <c r="M3673" s="675"/>
    </row>
    <row r="3674" spans="1:13" ht="30" x14ac:dyDescent="0.25">
      <c r="A3674" s="675" t="s">
        <v>3544</v>
      </c>
      <c r="B3674" s="675" t="s">
        <v>512</v>
      </c>
      <c r="C3674" s="676" t="s">
        <v>3574</v>
      </c>
      <c r="D3674" s="675"/>
      <c r="E3674" s="702"/>
      <c r="F3674" s="702"/>
      <c r="G3674" s="675"/>
      <c r="H3674" s="675"/>
      <c r="I3674" s="675"/>
      <c r="J3674" s="675"/>
      <c r="K3674" s="675"/>
      <c r="L3674" s="675"/>
      <c r="M3674" s="675"/>
    </row>
    <row r="3675" spans="1:13" ht="30" x14ac:dyDescent="0.25">
      <c r="A3675" s="675" t="s">
        <v>3575</v>
      </c>
      <c r="B3675" s="675" t="s">
        <v>545</v>
      </c>
      <c r="C3675" s="676" t="s">
        <v>3576</v>
      </c>
      <c r="D3675" s="675"/>
      <c r="E3675" s="702"/>
      <c r="F3675" s="702"/>
      <c r="G3675" s="675"/>
      <c r="H3675" s="675"/>
      <c r="I3675" s="675"/>
      <c r="J3675" s="675"/>
      <c r="K3675" s="675"/>
      <c r="L3675" s="675"/>
      <c r="M3675" s="675"/>
    </row>
    <row r="3676" spans="1:13" ht="30" x14ac:dyDescent="0.25">
      <c r="A3676" s="675" t="s">
        <v>3575</v>
      </c>
      <c r="B3676" s="675" t="s">
        <v>545</v>
      </c>
      <c r="C3676" s="676" t="s">
        <v>3577</v>
      </c>
      <c r="D3676" s="675"/>
      <c r="E3676" s="702"/>
      <c r="F3676" s="702"/>
      <c r="G3676" s="675"/>
      <c r="H3676" s="675"/>
      <c r="I3676" s="675"/>
      <c r="J3676" s="675"/>
      <c r="K3676" s="675"/>
      <c r="L3676" s="675"/>
      <c r="M3676" s="675"/>
    </row>
    <row r="3677" spans="1:13" x14ac:dyDescent="0.25">
      <c r="A3677" s="675" t="s">
        <v>3575</v>
      </c>
      <c r="B3677" s="675" t="s">
        <v>545</v>
      </c>
      <c r="C3677" s="676" t="s">
        <v>3578</v>
      </c>
      <c r="D3677" s="675"/>
      <c r="E3677" s="702"/>
      <c r="F3677" s="702"/>
      <c r="G3677" s="675"/>
      <c r="H3677" s="675"/>
      <c r="I3677" s="675"/>
      <c r="J3677" s="675"/>
      <c r="K3677" s="675"/>
      <c r="L3677" s="675"/>
      <c r="M3677" s="675"/>
    </row>
    <row r="3678" spans="1:13" ht="30" x14ac:dyDescent="0.25">
      <c r="A3678" s="675" t="s">
        <v>3575</v>
      </c>
      <c r="B3678" s="675" t="s">
        <v>545</v>
      </c>
      <c r="C3678" s="676" t="s">
        <v>3579</v>
      </c>
      <c r="D3678" s="675"/>
      <c r="E3678" s="702"/>
      <c r="F3678" s="702"/>
      <c r="G3678" s="675"/>
      <c r="H3678" s="675"/>
      <c r="I3678" s="675"/>
      <c r="J3678" s="675"/>
      <c r="K3678" s="675"/>
      <c r="L3678" s="675"/>
      <c r="M3678" s="675"/>
    </row>
    <row r="3679" spans="1:13" ht="30" x14ac:dyDescent="0.25">
      <c r="A3679" s="675" t="s">
        <v>3575</v>
      </c>
      <c r="B3679" s="675" t="s">
        <v>545</v>
      </c>
      <c r="C3679" s="676" t="s">
        <v>3580</v>
      </c>
      <c r="D3679" s="675"/>
      <c r="E3679" s="702"/>
      <c r="F3679" s="702"/>
      <c r="G3679" s="675"/>
      <c r="H3679" s="675"/>
      <c r="I3679" s="675"/>
      <c r="J3679" s="675"/>
      <c r="K3679" s="675"/>
      <c r="L3679" s="675"/>
      <c r="M3679" s="675"/>
    </row>
    <row r="3680" spans="1:13" ht="30" x14ac:dyDescent="0.25">
      <c r="A3680" s="675" t="s">
        <v>3575</v>
      </c>
      <c r="B3680" s="675" t="s">
        <v>564</v>
      </c>
      <c r="C3680" s="676" t="s">
        <v>3581</v>
      </c>
      <c r="D3680" s="675"/>
      <c r="E3680" s="702"/>
      <c r="F3680" s="702"/>
      <c r="G3680" s="675"/>
      <c r="H3680" s="675"/>
      <c r="I3680" s="675"/>
      <c r="J3680" s="675"/>
      <c r="K3680" s="675"/>
      <c r="L3680" s="675"/>
      <c r="M3680" s="675"/>
    </row>
    <row r="3681" spans="1:13" ht="30" x14ac:dyDescent="0.25">
      <c r="A3681" s="675" t="s">
        <v>3575</v>
      </c>
      <c r="B3681" s="675" t="s">
        <v>564</v>
      </c>
      <c r="C3681" s="676" t="s">
        <v>3582</v>
      </c>
      <c r="D3681" s="675"/>
      <c r="E3681" s="702"/>
      <c r="F3681" s="702"/>
      <c r="G3681" s="675"/>
      <c r="H3681" s="675"/>
      <c r="I3681" s="675"/>
      <c r="J3681" s="675"/>
      <c r="K3681" s="675"/>
      <c r="L3681" s="675"/>
      <c r="M3681" s="675"/>
    </row>
    <row r="3682" spans="1:13" ht="30" x14ac:dyDescent="0.25">
      <c r="A3682" s="675" t="s">
        <v>3575</v>
      </c>
      <c r="B3682" s="675" t="s">
        <v>564</v>
      </c>
      <c r="C3682" s="676" t="s">
        <v>3583</v>
      </c>
      <c r="D3682" s="675"/>
      <c r="E3682" s="702"/>
      <c r="F3682" s="702"/>
      <c r="G3682" s="675"/>
      <c r="H3682" s="675"/>
      <c r="I3682" s="675"/>
      <c r="J3682" s="675"/>
      <c r="K3682" s="675"/>
      <c r="L3682" s="675"/>
      <c r="M3682" s="675"/>
    </row>
    <row r="3683" spans="1:13" x14ac:dyDescent="0.25">
      <c r="A3683" s="675" t="s">
        <v>3575</v>
      </c>
      <c r="B3683" s="675" t="s">
        <v>564</v>
      </c>
      <c r="C3683" s="676" t="s">
        <v>3584</v>
      </c>
      <c r="D3683" s="675"/>
      <c r="E3683" s="702"/>
      <c r="F3683" s="702"/>
      <c r="G3683" s="675"/>
      <c r="H3683" s="675"/>
      <c r="I3683" s="675"/>
      <c r="J3683" s="675"/>
      <c r="K3683" s="675"/>
      <c r="L3683" s="675"/>
      <c r="M3683" s="675"/>
    </row>
    <row r="3684" spans="1:13" ht="30" x14ac:dyDescent="0.25">
      <c r="A3684" s="675" t="s">
        <v>3575</v>
      </c>
      <c r="B3684" s="675" t="s">
        <v>564</v>
      </c>
      <c r="C3684" s="676" t="s">
        <v>3585</v>
      </c>
      <c r="D3684" s="675"/>
      <c r="E3684" s="702"/>
      <c r="F3684" s="702"/>
      <c r="G3684" s="675"/>
      <c r="H3684" s="675"/>
      <c r="I3684" s="675"/>
      <c r="J3684" s="675"/>
      <c r="K3684" s="675"/>
      <c r="L3684" s="675"/>
      <c r="M3684" s="675"/>
    </row>
    <row r="3685" spans="1:13" x14ac:dyDescent="0.25">
      <c r="A3685" s="675" t="s">
        <v>3575</v>
      </c>
      <c r="B3685" s="675" t="s">
        <v>512</v>
      </c>
      <c r="C3685" s="676" t="s">
        <v>3586</v>
      </c>
      <c r="D3685" s="675"/>
      <c r="E3685" s="702"/>
      <c r="F3685" s="702"/>
      <c r="G3685" s="675"/>
      <c r="H3685" s="675"/>
      <c r="I3685" s="675"/>
      <c r="J3685" s="675"/>
      <c r="K3685" s="675"/>
      <c r="L3685" s="675"/>
      <c r="M3685" s="675"/>
    </row>
    <row r="3686" spans="1:13" x14ac:dyDescent="0.25">
      <c r="A3686" s="675" t="s">
        <v>3575</v>
      </c>
      <c r="B3686" s="675" t="s">
        <v>512</v>
      </c>
      <c r="C3686" s="676" t="s">
        <v>3587</v>
      </c>
      <c r="D3686" s="675"/>
      <c r="E3686" s="702"/>
      <c r="F3686" s="702"/>
      <c r="G3686" s="675"/>
      <c r="H3686" s="675"/>
      <c r="I3686" s="675"/>
      <c r="J3686" s="675"/>
      <c r="K3686" s="675"/>
      <c r="L3686" s="675"/>
      <c r="M3686" s="675"/>
    </row>
    <row r="3687" spans="1:13" ht="30" x14ac:dyDescent="0.25">
      <c r="A3687" s="675" t="s">
        <v>3575</v>
      </c>
      <c r="B3687" s="675" t="s">
        <v>512</v>
      </c>
      <c r="C3687" s="676" t="s">
        <v>3588</v>
      </c>
      <c r="D3687" s="675"/>
      <c r="E3687" s="702"/>
      <c r="F3687" s="702"/>
      <c r="G3687" s="675"/>
      <c r="H3687" s="675"/>
      <c r="I3687" s="675"/>
      <c r="J3687" s="675"/>
      <c r="K3687" s="675"/>
      <c r="L3687" s="675"/>
      <c r="M3687" s="675"/>
    </row>
    <row r="3688" spans="1:13" x14ac:dyDescent="0.25">
      <c r="A3688" s="675" t="s">
        <v>3575</v>
      </c>
      <c r="B3688" s="675" t="s">
        <v>512</v>
      </c>
      <c r="C3688" s="676" t="s">
        <v>3589</v>
      </c>
      <c r="D3688" s="675"/>
      <c r="E3688" s="702"/>
      <c r="F3688" s="702"/>
      <c r="G3688" s="675"/>
      <c r="H3688" s="675"/>
      <c r="I3688" s="675"/>
      <c r="J3688" s="675"/>
      <c r="K3688" s="675"/>
      <c r="L3688" s="675"/>
      <c r="M3688" s="675"/>
    </row>
    <row r="3689" spans="1:13" ht="30" x14ac:dyDescent="0.25">
      <c r="A3689" s="675" t="s">
        <v>3575</v>
      </c>
      <c r="B3689" s="675" t="s">
        <v>512</v>
      </c>
      <c r="C3689" s="676" t="s">
        <v>3590</v>
      </c>
      <c r="D3689" s="675"/>
      <c r="E3689" s="702"/>
      <c r="F3689" s="702"/>
      <c r="G3689" s="675"/>
      <c r="H3689" s="675"/>
      <c r="I3689" s="675"/>
      <c r="J3689" s="675"/>
      <c r="K3689" s="675"/>
      <c r="L3689" s="675"/>
      <c r="M3689" s="675"/>
    </row>
    <row r="3690" spans="1:13" ht="30" x14ac:dyDescent="0.25">
      <c r="A3690" s="675" t="s">
        <v>3575</v>
      </c>
      <c r="B3690" s="675" t="s">
        <v>545</v>
      </c>
      <c r="C3690" s="676" t="s">
        <v>3591</v>
      </c>
      <c r="D3690" s="675"/>
      <c r="E3690" s="702"/>
      <c r="F3690" s="702"/>
      <c r="G3690" s="675"/>
      <c r="H3690" s="675"/>
      <c r="I3690" s="675"/>
      <c r="J3690" s="675"/>
      <c r="K3690" s="675"/>
      <c r="L3690" s="675"/>
      <c r="M3690" s="675"/>
    </row>
    <row r="3691" spans="1:13" x14ac:dyDescent="0.25">
      <c r="A3691" s="675" t="s">
        <v>3575</v>
      </c>
      <c r="B3691" s="675" t="s">
        <v>545</v>
      </c>
      <c r="C3691" s="676" t="s">
        <v>3592</v>
      </c>
      <c r="D3691" s="675"/>
      <c r="E3691" s="702"/>
      <c r="F3691" s="702"/>
      <c r="G3691" s="675"/>
      <c r="H3691" s="675"/>
      <c r="I3691" s="675"/>
      <c r="J3691" s="675"/>
      <c r="K3691" s="675"/>
      <c r="L3691" s="675"/>
      <c r="M3691" s="675"/>
    </row>
    <row r="3692" spans="1:13" x14ac:dyDescent="0.25">
      <c r="A3692" s="675" t="s">
        <v>3575</v>
      </c>
      <c r="B3692" s="675" t="s">
        <v>545</v>
      </c>
      <c r="C3692" s="676" t="s">
        <v>3593</v>
      </c>
      <c r="D3692" s="675"/>
      <c r="E3692" s="702"/>
      <c r="F3692" s="702"/>
      <c r="G3692" s="675"/>
      <c r="H3692" s="675"/>
      <c r="I3692" s="675"/>
      <c r="J3692" s="675"/>
      <c r="K3692" s="675"/>
      <c r="L3692" s="675"/>
      <c r="M3692" s="675"/>
    </row>
    <row r="3693" spans="1:13" x14ac:dyDescent="0.25">
      <c r="A3693" s="675" t="s">
        <v>3575</v>
      </c>
      <c r="B3693" s="675" t="s">
        <v>545</v>
      </c>
      <c r="C3693" s="676" t="s">
        <v>3594</v>
      </c>
      <c r="D3693" s="675"/>
      <c r="E3693" s="702"/>
      <c r="F3693" s="702"/>
      <c r="G3693" s="675"/>
      <c r="H3693" s="675"/>
      <c r="I3693" s="675"/>
      <c r="J3693" s="675"/>
      <c r="K3693" s="675"/>
      <c r="L3693" s="675"/>
      <c r="M3693" s="675"/>
    </row>
    <row r="3694" spans="1:13" ht="30" x14ac:dyDescent="0.25">
      <c r="A3694" s="675" t="s">
        <v>3575</v>
      </c>
      <c r="B3694" s="675" t="s">
        <v>545</v>
      </c>
      <c r="C3694" s="676" t="s">
        <v>3595</v>
      </c>
      <c r="D3694" s="675"/>
      <c r="E3694" s="702"/>
      <c r="F3694" s="702"/>
      <c r="G3694" s="675"/>
      <c r="H3694" s="675"/>
      <c r="I3694" s="675"/>
      <c r="J3694" s="675"/>
      <c r="K3694" s="675"/>
      <c r="L3694" s="675"/>
      <c r="M3694" s="675"/>
    </row>
    <row r="3695" spans="1:13" x14ac:dyDescent="0.25">
      <c r="A3695" s="675" t="s">
        <v>3575</v>
      </c>
      <c r="B3695" s="675" t="s">
        <v>564</v>
      </c>
      <c r="C3695" s="676" t="s">
        <v>3596</v>
      </c>
      <c r="D3695" s="675"/>
      <c r="E3695" s="702"/>
      <c r="F3695" s="702"/>
      <c r="G3695" s="675"/>
      <c r="H3695" s="675"/>
      <c r="I3695" s="675"/>
      <c r="J3695" s="675"/>
      <c r="K3695" s="675"/>
      <c r="L3695" s="675"/>
      <c r="M3695" s="675"/>
    </row>
    <row r="3696" spans="1:13" x14ac:dyDescent="0.25">
      <c r="A3696" s="675" t="s">
        <v>3575</v>
      </c>
      <c r="B3696" s="675" t="s">
        <v>564</v>
      </c>
      <c r="C3696" s="676" t="s">
        <v>3597</v>
      </c>
      <c r="D3696" s="675"/>
      <c r="E3696" s="702"/>
      <c r="F3696" s="702"/>
      <c r="G3696" s="675"/>
      <c r="H3696" s="675"/>
      <c r="I3696" s="675"/>
      <c r="J3696" s="675"/>
      <c r="K3696" s="675"/>
      <c r="L3696" s="675"/>
      <c r="M3696" s="675"/>
    </row>
    <row r="3697" spans="1:13" x14ac:dyDescent="0.25">
      <c r="A3697" s="675" t="s">
        <v>3575</v>
      </c>
      <c r="B3697" s="675" t="s">
        <v>564</v>
      </c>
      <c r="C3697" s="676" t="s">
        <v>3598</v>
      </c>
      <c r="D3697" s="675"/>
      <c r="E3697" s="702"/>
      <c r="F3697" s="702"/>
      <c r="G3697" s="675"/>
      <c r="H3697" s="675"/>
      <c r="I3697" s="675"/>
      <c r="J3697" s="675"/>
      <c r="K3697" s="675"/>
      <c r="L3697" s="675"/>
      <c r="M3697" s="675"/>
    </row>
    <row r="3698" spans="1:13" ht="30" x14ac:dyDescent="0.25">
      <c r="A3698" s="675" t="s">
        <v>3575</v>
      </c>
      <c r="B3698" s="675" t="s">
        <v>564</v>
      </c>
      <c r="C3698" s="676" t="s">
        <v>3599</v>
      </c>
      <c r="D3698" s="675"/>
      <c r="E3698" s="702"/>
      <c r="F3698" s="702"/>
      <c r="G3698" s="675"/>
      <c r="H3698" s="675"/>
      <c r="I3698" s="675"/>
      <c r="J3698" s="675"/>
      <c r="K3698" s="675"/>
      <c r="L3698" s="675"/>
      <c r="M3698" s="675"/>
    </row>
    <row r="3699" spans="1:13" x14ac:dyDescent="0.25">
      <c r="A3699" s="675" t="s">
        <v>3575</v>
      </c>
      <c r="B3699" s="675" t="s">
        <v>564</v>
      </c>
      <c r="C3699" s="676" t="s">
        <v>3600</v>
      </c>
      <c r="D3699" s="675"/>
      <c r="E3699" s="702"/>
      <c r="F3699" s="702"/>
      <c r="G3699" s="675"/>
      <c r="H3699" s="675"/>
      <c r="I3699" s="675"/>
      <c r="J3699" s="675"/>
      <c r="K3699" s="675"/>
      <c r="L3699" s="675"/>
      <c r="M3699" s="675"/>
    </row>
    <row r="3700" spans="1:13" x14ac:dyDescent="0.25">
      <c r="A3700" s="675" t="s">
        <v>3575</v>
      </c>
      <c r="B3700" s="675" t="s">
        <v>512</v>
      </c>
      <c r="C3700" s="676" t="s">
        <v>3601</v>
      </c>
      <c r="D3700" s="675"/>
      <c r="E3700" s="702"/>
      <c r="F3700" s="702"/>
      <c r="G3700" s="675"/>
      <c r="H3700" s="675"/>
      <c r="I3700" s="675"/>
      <c r="J3700" s="675"/>
      <c r="K3700" s="675"/>
      <c r="L3700" s="675"/>
      <c r="M3700" s="675"/>
    </row>
    <row r="3701" spans="1:13" x14ac:dyDescent="0.25">
      <c r="A3701" s="675" t="s">
        <v>3575</v>
      </c>
      <c r="B3701" s="675" t="s">
        <v>512</v>
      </c>
      <c r="C3701" s="676" t="s">
        <v>3602</v>
      </c>
      <c r="D3701" s="675"/>
      <c r="E3701" s="702"/>
      <c r="F3701" s="702"/>
      <c r="G3701" s="675"/>
      <c r="H3701" s="675"/>
      <c r="I3701" s="675"/>
      <c r="J3701" s="675"/>
      <c r="K3701" s="675"/>
      <c r="L3701" s="675"/>
      <c r="M3701" s="675"/>
    </row>
    <row r="3702" spans="1:13" x14ac:dyDescent="0.25">
      <c r="A3702" s="675" t="s">
        <v>3575</v>
      </c>
      <c r="B3702" s="675" t="s">
        <v>512</v>
      </c>
      <c r="C3702" s="676" t="s">
        <v>3603</v>
      </c>
      <c r="D3702" s="675"/>
      <c r="E3702" s="702"/>
      <c r="F3702" s="702"/>
      <c r="G3702" s="675"/>
      <c r="H3702" s="675"/>
      <c r="I3702" s="675"/>
      <c r="J3702" s="675"/>
      <c r="K3702" s="675"/>
      <c r="L3702" s="675"/>
      <c r="M3702" s="675"/>
    </row>
    <row r="3703" spans="1:13" x14ac:dyDescent="0.25">
      <c r="A3703" s="675" t="s">
        <v>3575</v>
      </c>
      <c r="B3703" s="675" t="s">
        <v>512</v>
      </c>
      <c r="C3703" s="676" t="s">
        <v>3604</v>
      </c>
      <c r="D3703" s="675"/>
      <c r="E3703" s="702"/>
      <c r="F3703" s="702"/>
      <c r="G3703" s="675"/>
      <c r="H3703" s="675"/>
      <c r="I3703" s="675"/>
      <c r="J3703" s="675"/>
      <c r="K3703" s="675"/>
      <c r="L3703" s="675"/>
      <c r="M3703" s="675"/>
    </row>
    <row r="3704" spans="1:13" x14ac:dyDescent="0.25">
      <c r="A3704" s="675" t="s">
        <v>3575</v>
      </c>
      <c r="B3704" s="675" t="s">
        <v>512</v>
      </c>
      <c r="C3704" s="676" t="s">
        <v>3605</v>
      </c>
      <c r="D3704" s="675"/>
      <c r="E3704" s="702"/>
      <c r="F3704" s="702"/>
      <c r="G3704" s="675"/>
      <c r="H3704" s="675"/>
      <c r="I3704" s="675"/>
      <c r="J3704" s="675"/>
      <c r="K3704" s="675"/>
      <c r="L3704" s="675"/>
      <c r="M3704" s="675"/>
    </row>
    <row r="3705" spans="1:13" x14ac:dyDescent="0.25">
      <c r="A3705" s="675" t="s">
        <v>3606</v>
      </c>
      <c r="B3705" s="675" t="s">
        <v>545</v>
      </c>
      <c r="C3705" s="675" t="s">
        <v>3607</v>
      </c>
      <c r="D3705" s="675"/>
      <c r="E3705" s="702"/>
      <c r="F3705" s="702"/>
      <c r="G3705" s="675"/>
      <c r="H3705" s="675"/>
      <c r="I3705" s="675"/>
      <c r="J3705" s="675"/>
      <c r="K3705" s="675"/>
      <c r="L3705" s="675"/>
      <c r="M3705" s="675"/>
    </row>
    <row r="3706" spans="1:13" x14ac:dyDescent="0.25">
      <c r="A3706" s="675" t="s">
        <v>3606</v>
      </c>
      <c r="B3706" s="675" t="s">
        <v>545</v>
      </c>
      <c r="C3706" s="675" t="s">
        <v>3608</v>
      </c>
      <c r="D3706" s="675"/>
      <c r="E3706" s="702"/>
      <c r="F3706" s="702"/>
      <c r="G3706" s="675"/>
      <c r="H3706" s="675"/>
      <c r="I3706" s="675"/>
      <c r="J3706" s="675"/>
      <c r="K3706" s="675"/>
      <c r="L3706" s="675"/>
      <c r="M3706" s="675"/>
    </row>
    <row r="3707" spans="1:13" x14ac:dyDescent="0.25">
      <c r="A3707" s="675" t="s">
        <v>3606</v>
      </c>
      <c r="B3707" s="675" t="s">
        <v>545</v>
      </c>
      <c r="C3707" s="675" t="s">
        <v>3609</v>
      </c>
      <c r="D3707" s="675"/>
      <c r="E3707" s="702"/>
      <c r="F3707" s="702"/>
      <c r="G3707" s="675"/>
      <c r="H3707" s="675"/>
      <c r="I3707" s="675"/>
      <c r="J3707" s="675"/>
      <c r="K3707" s="675"/>
      <c r="L3707" s="675"/>
      <c r="M3707" s="675"/>
    </row>
    <row r="3708" spans="1:13" x14ac:dyDescent="0.25">
      <c r="A3708" s="675" t="s">
        <v>3606</v>
      </c>
      <c r="B3708" s="675" t="s">
        <v>545</v>
      </c>
      <c r="C3708" s="675" t="s">
        <v>3610</v>
      </c>
      <c r="D3708" s="675"/>
      <c r="E3708" s="702"/>
      <c r="F3708" s="702"/>
      <c r="G3708" s="675"/>
      <c r="H3708" s="675"/>
      <c r="I3708" s="675"/>
      <c r="J3708" s="675"/>
      <c r="K3708" s="675"/>
      <c r="L3708" s="675"/>
      <c r="M3708" s="675"/>
    </row>
    <row r="3709" spans="1:13" x14ac:dyDescent="0.25">
      <c r="A3709" s="675" t="s">
        <v>3606</v>
      </c>
      <c r="B3709" s="675" t="s">
        <v>545</v>
      </c>
      <c r="C3709" s="675" t="s">
        <v>3611</v>
      </c>
      <c r="D3709" s="675"/>
      <c r="E3709" s="702"/>
      <c r="F3709" s="702"/>
      <c r="G3709" s="675"/>
      <c r="H3709" s="675"/>
      <c r="I3709" s="675"/>
      <c r="J3709" s="675"/>
      <c r="K3709" s="675"/>
      <c r="L3709" s="675"/>
      <c r="M3709" s="675"/>
    </row>
    <row r="3710" spans="1:13" x14ac:dyDescent="0.25">
      <c r="A3710" s="675" t="s">
        <v>3606</v>
      </c>
      <c r="B3710" s="675" t="s">
        <v>545</v>
      </c>
      <c r="C3710" s="675" t="s">
        <v>3612</v>
      </c>
      <c r="D3710" s="675"/>
      <c r="E3710" s="702"/>
      <c r="F3710" s="702"/>
      <c r="G3710" s="675"/>
      <c r="H3710" s="675"/>
      <c r="I3710" s="675"/>
      <c r="J3710" s="675"/>
      <c r="K3710" s="675"/>
      <c r="L3710" s="675"/>
      <c r="M3710" s="675"/>
    </row>
    <row r="3711" spans="1:13" x14ac:dyDescent="0.25">
      <c r="A3711" s="675" t="s">
        <v>3606</v>
      </c>
      <c r="B3711" s="675" t="s">
        <v>545</v>
      </c>
      <c r="C3711" s="675" t="s">
        <v>3613</v>
      </c>
      <c r="D3711" s="675"/>
      <c r="E3711" s="702"/>
      <c r="F3711" s="702"/>
      <c r="G3711" s="675"/>
      <c r="H3711" s="675"/>
      <c r="I3711" s="675"/>
      <c r="J3711" s="675"/>
      <c r="K3711" s="675"/>
      <c r="L3711" s="675"/>
      <c r="M3711" s="675"/>
    </row>
    <row r="3712" spans="1:13" x14ac:dyDescent="0.25">
      <c r="A3712" s="675" t="s">
        <v>3606</v>
      </c>
      <c r="B3712" s="675" t="s">
        <v>545</v>
      </c>
      <c r="C3712" s="675" t="s">
        <v>3614</v>
      </c>
      <c r="D3712" s="675"/>
      <c r="E3712" s="702"/>
      <c r="F3712" s="702"/>
      <c r="G3712" s="675"/>
      <c r="H3712" s="675"/>
      <c r="I3712" s="675"/>
      <c r="J3712" s="675"/>
      <c r="K3712" s="675"/>
      <c r="L3712" s="675"/>
      <c r="M3712" s="675"/>
    </row>
    <row r="3713" spans="1:13" x14ac:dyDescent="0.25">
      <c r="A3713" s="675" t="s">
        <v>3606</v>
      </c>
      <c r="B3713" s="675" t="s">
        <v>545</v>
      </c>
      <c r="C3713" s="675" t="s">
        <v>3615</v>
      </c>
      <c r="D3713" s="675"/>
      <c r="E3713" s="702"/>
      <c r="F3713" s="702"/>
      <c r="G3713" s="675"/>
      <c r="H3713" s="675"/>
      <c r="I3713" s="675"/>
      <c r="J3713" s="675"/>
      <c r="K3713" s="675"/>
      <c r="L3713" s="675"/>
      <c r="M3713" s="675"/>
    </row>
    <row r="3714" spans="1:13" x14ac:dyDescent="0.25">
      <c r="A3714" s="675" t="s">
        <v>3606</v>
      </c>
      <c r="B3714" s="675" t="s">
        <v>545</v>
      </c>
      <c r="C3714" s="675" t="s">
        <v>3616</v>
      </c>
      <c r="D3714" s="675"/>
      <c r="E3714" s="702"/>
      <c r="F3714" s="702"/>
      <c r="G3714" s="675"/>
      <c r="H3714" s="675"/>
      <c r="I3714" s="675"/>
      <c r="J3714" s="675"/>
      <c r="K3714" s="675"/>
      <c r="L3714" s="675"/>
      <c r="M3714" s="675"/>
    </row>
    <row r="3715" spans="1:13" x14ac:dyDescent="0.25">
      <c r="A3715" s="675" t="s">
        <v>3606</v>
      </c>
      <c r="B3715" s="675" t="s">
        <v>564</v>
      </c>
      <c r="C3715" s="675" t="s">
        <v>3617</v>
      </c>
      <c r="D3715" s="675"/>
      <c r="E3715" s="702"/>
      <c r="F3715" s="702"/>
      <c r="G3715" s="675"/>
      <c r="H3715" s="675"/>
      <c r="I3715" s="675"/>
      <c r="J3715" s="675"/>
      <c r="K3715" s="675"/>
      <c r="L3715" s="675"/>
      <c r="M3715" s="675"/>
    </row>
    <row r="3716" spans="1:13" x14ac:dyDescent="0.25">
      <c r="A3716" s="675" t="s">
        <v>3606</v>
      </c>
      <c r="B3716" s="675" t="s">
        <v>564</v>
      </c>
      <c r="C3716" s="675" t="s">
        <v>3618</v>
      </c>
      <c r="D3716" s="675"/>
      <c r="E3716" s="702"/>
      <c r="F3716" s="702"/>
      <c r="G3716" s="675"/>
      <c r="H3716" s="675"/>
      <c r="I3716" s="675"/>
      <c r="J3716" s="675"/>
      <c r="K3716" s="675"/>
      <c r="L3716" s="675"/>
      <c r="M3716" s="675"/>
    </row>
    <row r="3717" spans="1:13" x14ac:dyDescent="0.25">
      <c r="A3717" s="675" t="s">
        <v>3606</v>
      </c>
      <c r="B3717" s="675" t="s">
        <v>564</v>
      </c>
      <c r="C3717" s="675" t="s">
        <v>3619</v>
      </c>
      <c r="D3717" s="675"/>
      <c r="E3717" s="702"/>
      <c r="F3717" s="702"/>
      <c r="G3717" s="675"/>
      <c r="H3717" s="675"/>
      <c r="I3717" s="675"/>
      <c r="J3717" s="675"/>
      <c r="K3717" s="675"/>
      <c r="L3717" s="675"/>
      <c r="M3717" s="675"/>
    </row>
    <row r="3718" spans="1:13" x14ac:dyDescent="0.25">
      <c r="A3718" s="675" t="s">
        <v>3606</v>
      </c>
      <c r="B3718" s="675" t="s">
        <v>564</v>
      </c>
      <c r="C3718" s="675" t="s">
        <v>3620</v>
      </c>
      <c r="D3718" s="675"/>
      <c r="E3718" s="702"/>
      <c r="F3718" s="702"/>
      <c r="G3718" s="675"/>
      <c r="H3718" s="675"/>
      <c r="I3718" s="675"/>
      <c r="J3718" s="675"/>
      <c r="K3718" s="675"/>
      <c r="L3718" s="675"/>
      <c r="M3718" s="675"/>
    </row>
    <row r="3719" spans="1:13" x14ac:dyDescent="0.25">
      <c r="A3719" s="675" t="s">
        <v>3606</v>
      </c>
      <c r="B3719" s="675" t="s">
        <v>564</v>
      </c>
      <c r="C3719" s="675" t="s">
        <v>3621</v>
      </c>
      <c r="D3719" s="675"/>
      <c r="E3719" s="702"/>
      <c r="F3719" s="702"/>
      <c r="G3719" s="675"/>
      <c r="H3719" s="675"/>
      <c r="I3719" s="675"/>
      <c r="J3719" s="675"/>
      <c r="K3719" s="675"/>
      <c r="L3719" s="675"/>
      <c r="M3719" s="675"/>
    </row>
    <row r="3720" spans="1:13" x14ac:dyDescent="0.25">
      <c r="A3720" s="675" t="s">
        <v>3606</v>
      </c>
      <c r="B3720" s="675" t="s">
        <v>564</v>
      </c>
      <c r="C3720" s="675" t="s">
        <v>3622</v>
      </c>
      <c r="D3720" s="675"/>
      <c r="E3720" s="702"/>
      <c r="F3720" s="702"/>
      <c r="G3720" s="675"/>
      <c r="H3720" s="675"/>
      <c r="I3720" s="675"/>
      <c r="J3720" s="675"/>
      <c r="K3720" s="675"/>
      <c r="L3720" s="675"/>
      <c r="M3720" s="675"/>
    </row>
    <row r="3721" spans="1:13" x14ac:dyDescent="0.25">
      <c r="A3721" s="675" t="s">
        <v>3606</v>
      </c>
      <c r="B3721" s="675" t="s">
        <v>564</v>
      </c>
      <c r="C3721" s="675" t="s">
        <v>3623</v>
      </c>
      <c r="D3721" s="675"/>
      <c r="E3721" s="702"/>
      <c r="F3721" s="702"/>
      <c r="G3721" s="675"/>
      <c r="H3721" s="675"/>
      <c r="I3721" s="675"/>
      <c r="J3721" s="675"/>
      <c r="K3721" s="675"/>
      <c r="L3721" s="675"/>
      <c r="M3721" s="675"/>
    </row>
    <row r="3722" spans="1:13" x14ac:dyDescent="0.25">
      <c r="A3722" s="675" t="s">
        <v>3606</v>
      </c>
      <c r="B3722" s="675" t="s">
        <v>564</v>
      </c>
      <c r="C3722" s="675" t="s">
        <v>3624</v>
      </c>
      <c r="D3722" s="675"/>
      <c r="E3722" s="702"/>
      <c r="F3722" s="702"/>
      <c r="G3722" s="675"/>
      <c r="H3722" s="675"/>
      <c r="I3722" s="675"/>
      <c r="J3722" s="675"/>
      <c r="K3722" s="675"/>
      <c r="L3722" s="675"/>
      <c r="M3722" s="675"/>
    </row>
    <row r="3723" spans="1:13" x14ac:dyDescent="0.25">
      <c r="A3723" s="675" t="s">
        <v>3606</v>
      </c>
      <c r="B3723" s="675" t="s">
        <v>564</v>
      </c>
      <c r="C3723" s="675" t="s">
        <v>3625</v>
      </c>
      <c r="D3723" s="675"/>
      <c r="E3723" s="702"/>
      <c r="F3723" s="702"/>
      <c r="G3723" s="675"/>
      <c r="H3723" s="675"/>
      <c r="I3723" s="675"/>
      <c r="J3723" s="675"/>
      <c r="K3723" s="675"/>
      <c r="L3723" s="675"/>
      <c r="M3723" s="675"/>
    </row>
    <row r="3724" spans="1:13" x14ac:dyDescent="0.25">
      <c r="A3724" s="675" t="s">
        <v>3606</v>
      </c>
      <c r="B3724" s="675" t="s">
        <v>564</v>
      </c>
      <c r="C3724" s="675" t="s">
        <v>3626</v>
      </c>
      <c r="D3724" s="675"/>
      <c r="E3724" s="702"/>
      <c r="F3724" s="702"/>
      <c r="G3724" s="675"/>
      <c r="H3724" s="675"/>
      <c r="I3724" s="675"/>
      <c r="J3724" s="675"/>
      <c r="K3724" s="675"/>
      <c r="L3724" s="675"/>
      <c r="M3724" s="675"/>
    </row>
    <row r="3725" spans="1:13" x14ac:dyDescent="0.25">
      <c r="A3725" s="675" t="s">
        <v>3606</v>
      </c>
      <c r="B3725" s="675" t="s">
        <v>512</v>
      </c>
      <c r="C3725" s="675" t="s">
        <v>3627</v>
      </c>
      <c r="D3725" s="675"/>
      <c r="E3725" s="702"/>
      <c r="F3725" s="702"/>
      <c r="G3725" s="675"/>
      <c r="H3725" s="675"/>
      <c r="I3725" s="675"/>
      <c r="J3725" s="675"/>
      <c r="K3725" s="675"/>
      <c r="L3725" s="675"/>
      <c r="M3725" s="675"/>
    </row>
    <row r="3726" spans="1:13" x14ac:dyDescent="0.25">
      <c r="A3726" s="675" t="s">
        <v>3606</v>
      </c>
      <c r="B3726" s="675" t="s">
        <v>512</v>
      </c>
      <c r="C3726" s="675" t="s">
        <v>3628</v>
      </c>
      <c r="D3726" s="675"/>
      <c r="E3726" s="702"/>
      <c r="F3726" s="702"/>
      <c r="G3726" s="675"/>
      <c r="H3726" s="675"/>
      <c r="I3726" s="675"/>
      <c r="J3726" s="675"/>
      <c r="K3726" s="675"/>
      <c r="L3726" s="675"/>
      <c r="M3726" s="675"/>
    </row>
    <row r="3727" spans="1:13" x14ac:dyDescent="0.25">
      <c r="A3727" s="675" t="s">
        <v>3606</v>
      </c>
      <c r="B3727" s="675" t="s">
        <v>512</v>
      </c>
      <c r="C3727" s="675" t="s">
        <v>3629</v>
      </c>
      <c r="D3727" s="675"/>
      <c r="E3727" s="702"/>
      <c r="F3727" s="702"/>
      <c r="G3727" s="675"/>
      <c r="H3727" s="675"/>
      <c r="I3727" s="675"/>
      <c r="J3727" s="675"/>
      <c r="K3727" s="675"/>
      <c r="L3727" s="675"/>
      <c r="M3727" s="675"/>
    </row>
    <row r="3728" spans="1:13" x14ac:dyDescent="0.25">
      <c r="A3728" s="675" t="s">
        <v>3606</v>
      </c>
      <c r="B3728" s="675" t="s">
        <v>512</v>
      </c>
      <c r="C3728" s="675" t="s">
        <v>3630</v>
      </c>
      <c r="D3728" s="675"/>
      <c r="E3728" s="702"/>
      <c r="F3728" s="702"/>
      <c r="G3728" s="675"/>
      <c r="H3728" s="675"/>
      <c r="I3728" s="675"/>
      <c r="J3728" s="675"/>
      <c r="K3728" s="675"/>
      <c r="L3728" s="675"/>
      <c r="M3728" s="675"/>
    </row>
    <row r="3729" spans="1:13" x14ac:dyDescent="0.25">
      <c r="A3729" s="675" t="s">
        <v>3606</v>
      </c>
      <c r="B3729" s="675" t="s">
        <v>512</v>
      </c>
      <c r="C3729" s="675" t="s">
        <v>3631</v>
      </c>
      <c r="D3729" s="675"/>
      <c r="E3729" s="702"/>
      <c r="F3729" s="702"/>
      <c r="G3729" s="675"/>
      <c r="H3729" s="675"/>
      <c r="I3729" s="675"/>
      <c r="J3729" s="675"/>
      <c r="K3729" s="675"/>
      <c r="L3729" s="675"/>
      <c r="M3729" s="675"/>
    </row>
    <row r="3730" spans="1:13" x14ac:dyDescent="0.25">
      <c r="A3730" s="675" t="s">
        <v>3606</v>
      </c>
      <c r="B3730" s="675" t="s">
        <v>512</v>
      </c>
      <c r="C3730" s="675" t="s">
        <v>3632</v>
      </c>
      <c r="D3730" s="675"/>
      <c r="E3730" s="702"/>
      <c r="F3730" s="702"/>
      <c r="G3730" s="675"/>
      <c r="H3730" s="675"/>
      <c r="I3730" s="675"/>
      <c r="J3730" s="675"/>
      <c r="K3730" s="675"/>
      <c r="L3730" s="675"/>
      <c r="M3730" s="675"/>
    </row>
    <row r="3731" spans="1:13" x14ac:dyDescent="0.25">
      <c r="A3731" s="675" t="s">
        <v>3606</v>
      </c>
      <c r="B3731" s="675" t="s">
        <v>512</v>
      </c>
      <c r="C3731" s="675" t="s">
        <v>3633</v>
      </c>
      <c r="D3731" s="675"/>
      <c r="E3731" s="702"/>
      <c r="F3731" s="702"/>
      <c r="G3731" s="675"/>
      <c r="H3731" s="675"/>
      <c r="I3731" s="675"/>
      <c r="J3731" s="675"/>
      <c r="K3731" s="675"/>
      <c r="L3731" s="675"/>
      <c r="M3731" s="675"/>
    </row>
    <row r="3732" spans="1:13" x14ac:dyDescent="0.25">
      <c r="A3732" s="675" t="s">
        <v>3606</v>
      </c>
      <c r="B3732" s="675" t="s">
        <v>512</v>
      </c>
      <c r="C3732" s="675" t="s">
        <v>3634</v>
      </c>
      <c r="D3732" s="675"/>
      <c r="E3732" s="702"/>
      <c r="F3732" s="702"/>
      <c r="G3732" s="675"/>
      <c r="H3732" s="675"/>
      <c r="I3732" s="675"/>
      <c r="J3732" s="675"/>
      <c r="K3732" s="675"/>
      <c r="L3732" s="675"/>
      <c r="M3732" s="675"/>
    </row>
    <row r="3733" spans="1:13" x14ac:dyDescent="0.25">
      <c r="A3733" s="675" t="s">
        <v>3606</v>
      </c>
      <c r="B3733" s="675" t="s">
        <v>512</v>
      </c>
      <c r="C3733" s="675" t="s">
        <v>3635</v>
      </c>
      <c r="D3733" s="675"/>
      <c r="E3733" s="702"/>
      <c r="F3733" s="702"/>
      <c r="G3733" s="675"/>
      <c r="H3733" s="675"/>
      <c r="I3733" s="675"/>
      <c r="J3733" s="675"/>
      <c r="K3733" s="675"/>
      <c r="L3733" s="675"/>
      <c r="M3733" s="675"/>
    </row>
    <row r="3734" spans="1:13" x14ac:dyDescent="0.25">
      <c r="A3734" s="675" t="s">
        <v>3606</v>
      </c>
      <c r="B3734" s="675" t="s">
        <v>512</v>
      </c>
      <c r="C3734" s="675" t="s">
        <v>3636</v>
      </c>
      <c r="D3734" s="675"/>
      <c r="E3734" s="702"/>
      <c r="F3734" s="702"/>
      <c r="G3734" s="675"/>
      <c r="H3734" s="675"/>
      <c r="I3734" s="675"/>
      <c r="J3734" s="675"/>
      <c r="K3734" s="675"/>
      <c r="L3734" s="675"/>
      <c r="M3734" s="675"/>
    </row>
    <row r="3735" spans="1:13" x14ac:dyDescent="0.25">
      <c r="A3735" s="675" t="s">
        <v>2788</v>
      </c>
      <c r="B3735" s="675" t="s">
        <v>545</v>
      </c>
      <c r="C3735" s="675" t="s">
        <v>3637</v>
      </c>
      <c r="D3735" s="675"/>
      <c r="E3735" s="702"/>
      <c r="F3735" s="702"/>
      <c r="G3735" s="675"/>
      <c r="H3735" s="675"/>
      <c r="I3735" s="675"/>
      <c r="J3735" s="675"/>
      <c r="K3735" s="675"/>
      <c r="L3735" s="675"/>
      <c r="M3735" s="675"/>
    </row>
    <row r="3736" spans="1:13" x14ac:dyDescent="0.25">
      <c r="A3736" s="675" t="s">
        <v>2788</v>
      </c>
      <c r="B3736" s="675" t="s">
        <v>545</v>
      </c>
      <c r="C3736" s="675" t="s">
        <v>3638</v>
      </c>
      <c r="D3736" s="675"/>
      <c r="E3736" s="702"/>
      <c r="F3736" s="702"/>
      <c r="G3736" s="675"/>
      <c r="H3736" s="675"/>
      <c r="I3736" s="675"/>
      <c r="J3736" s="675"/>
      <c r="K3736" s="675"/>
      <c r="L3736" s="675"/>
      <c r="M3736" s="675"/>
    </row>
    <row r="3737" spans="1:13" x14ac:dyDescent="0.25">
      <c r="A3737" s="675" t="s">
        <v>2788</v>
      </c>
      <c r="B3737" s="675" t="s">
        <v>545</v>
      </c>
      <c r="C3737" s="675" t="s">
        <v>3639</v>
      </c>
      <c r="D3737" s="675"/>
      <c r="E3737" s="702"/>
      <c r="F3737" s="702"/>
      <c r="G3737" s="675"/>
      <c r="H3737" s="675"/>
      <c r="I3737" s="675"/>
      <c r="J3737" s="675"/>
      <c r="K3737" s="675"/>
      <c r="L3737" s="675"/>
      <c r="M3737" s="675"/>
    </row>
    <row r="3738" spans="1:13" x14ac:dyDescent="0.25">
      <c r="A3738" s="675" t="s">
        <v>2788</v>
      </c>
      <c r="B3738" s="675" t="s">
        <v>545</v>
      </c>
      <c r="C3738" s="675" t="s">
        <v>3640</v>
      </c>
      <c r="D3738" s="675"/>
      <c r="E3738" s="702"/>
      <c r="F3738" s="702"/>
      <c r="G3738" s="675"/>
      <c r="H3738" s="675"/>
      <c r="I3738" s="675"/>
      <c r="J3738" s="675"/>
      <c r="K3738" s="675"/>
      <c r="L3738" s="675"/>
      <c r="M3738" s="675"/>
    </row>
    <row r="3739" spans="1:13" x14ac:dyDescent="0.25">
      <c r="A3739" s="675" t="s">
        <v>2788</v>
      </c>
      <c r="B3739" s="675" t="s">
        <v>545</v>
      </c>
      <c r="C3739" s="675" t="s">
        <v>3641</v>
      </c>
      <c r="D3739" s="675"/>
      <c r="E3739" s="702"/>
      <c r="F3739" s="702"/>
      <c r="G3739" s="675"/>
      <c r="H3739" s="675"/>
      <c r="I3739" s="675"/>
      <c r="J3739" s="675"/>
      <c r="K3739" s="675"/>
      <c r="L3739" s="675"/>
      <c r="M3739" s="675"/>
    </row>
    <row r="3740" spans="1:13" x14ac:dyDescent="0.25">
      <c r="A3740" s="675" t="s">
        <v>2788</v>
      </c>
      <c r="B3740" s="675" t="s">
        <v>545</v>
      </c>
      <c r="C3740" s="675" t="s">
        <v>3642</v>
      </c>
      <c r="D3740" s="675"/>
      <c r="E3740" s="702"/>
      <c r="F3740" s="702"/>
      <c r="G3740" s="675"/>
      <c r="H3740" s="675"/>
      <c r="I3740" s="675"/>
      <c r="J3740" s="675"/>
      <c r="K3740" s="675"/>
      <c r="L3740" s="675"/>
      <c r="M3740" s="675"/>
    </row>
    <row r="3741" spans="1:13" x14ac:dyDescent="0.25">
      <c r="A3741" s="675" t="s">
        <v>2788</v>
      </c>
      <c r="B3741" s="675" t="s">
        <v>545</v>
      </c>
      <c r="C3741" s="675" t="s">
        <v>3643</v>
      </c>
      <c r="D3741" s="675"/>
      <c r="E3741" s="702"/>
      <c r="F3741" s="702"/>
      <c r="G3741" s="675"/>
      <c r="H3741" s="675"/>
      <c r="I3741" s="675"/>
      <c r="J3741" s="675"/>
      <c r="K3741" s="675"/>
      <c r="L3741" s="675"/>
      <c r="M3741" s="675"/>
    </row>
    <row r="3742" spans="1:13" x14ac:dyDescent="0.25">
      <c r="A3742" s="675" t="s">
        <v>2788</v>
      </c>
      <c r="B3742" s="675" t="s">
        <v>545</v>
      </c>
      <c r="C3742" s="675" t="s">
        <v>3644</v>
      </c>
      <c r="D3742" s="675"/>
      <c r="E3742" s="702"/>
      <c r="F3742" s="702"/>
      <c r="G3742" s="675"/>
      <c r="H3742" s="675"/>
      <c r="I3742" s="675"/>
      <c r="J3742" s="675"/>
      <c r="K3742" s="675"/>
      <c r="L3742" s="675"/>
      <c r="M3742" s="675"/>
    </row>
    <row r="3743" spans="1:13" x14ac:dyDescent="0.25">
      <c r="A3743" s="675" t="s">
        <v>2788</v>
      </c>
      <c r="B3743" s="675" t="s">
        <v>545</v>
      </c>
      <c r="C3743" s="675" t="s">
        <v>3645</v>
      </c>
      <c r="D3743" s="675"/>
      <c r="E3743" s="702"/>
      <c r="F3743" s="702"/>
      <c r="G3743" s="675"/>
      <c r="H3743" s="675"/>
      <c r="I3743" s="675"/>
      <c r="J3743" s="675"/>
      <c r="K3743" s="675"/>
      <c r="L3743" s="675"/>
      <c r="M3743" s="675"/>
    </row>
    <row r="3744" spans="1:13" x14ac:dyDescent="0.25">
      <c r="A3744" s="675" t="s">
        <v>2788</v>
      </c>
      <c r="B3744" s="675" t="s">
        <v>545</v>
      </c>
      <c r="C3744" s="675" t="s">
        <v>3646</v>
      </c>
      <c r="D3744" s="675"/>
      <c r="E3744" s="702"/>
      <c r="F3744" s="702"/>
      <c r="G3744" s="675"/>
      <c r="H3744" s="675"/>
      <c r="I3744" s="675"/>
      <c r="J3744" s="675"/>
      <c r="K3744" s="675"/>
      <c r="L3744" s="675"/>
      <c r="M3744" s="675"/>
    </row>
    <row r="3745" spans="1:13" x14ac:dyDescent="0.25">
      <c r="A3745" s="675" t="s">
        <v>2788</v>
      </c>
      <c r="B3745" s="675" t="s">
        <v>564</v>
      </c>
      <c r="C3745" s="675" t="s">
        <v>3647</v>
      </c>
      <c r="D3745" s="675"/>
      <c r="E3745" s="702"/>
      <c r="F3745" s="702"/>
      <c r="G3745" s="675"/>
      <c r="H3745" s="675"/>
      <c r="I3745" s="675"/>
      <c r="J3745" s="675"/>
      <c r="K3745" s="675"/>
      <c r="L3745" s="675"/>
      <c r="M3745" s="675"/>
    </row>
    <row r="3746" spans="1:13" x14ac:dyDescent="0.25">
      <c r="A3746" s="675" t="s">
        <v>2788</v>
      </c>
      <c r="B3746" s="675" t="s">
        <v>564</v>
      </c>
      <c r="C3746" s="675" t="s">
        <v>3648</v>
      </c>
      <c r="D3746" s="675"/>
      <c r="E3746" s="702"/>
      <c r="F3746" s="702"/>
      <c r="G3746" s="675"/>
      <c r="H3746" s="675"/>
      <c r="I3746" s="675"/>
      <c r="J3746" s="675"/>
      <c r="K3746" s="675"/>
      <c r="L3746" s="675"/>
      <c r="M3746" s="675"/>
    </row>
    <row r="3747" spans="1:13" x14ac:dyDescent="0.25">
      <c r="A3747" s="675" t="s">
        <v>2788</v>
      </c>
      <c r="B3747" s="675" t="s">
        <v>564</v>
      </c>
      <c r="C3747" s="675" t="s">
        <v>3649</v>
      </c>
      <c r="D3747" s="675"/>
      <c r="E3747" s="702"/>
      <c r="F3747" s="702"/>
      <c r="G3747" s="675"/>
      <c r="H3747" s="675"/>
      <c r="I3747" s="675"/>
      <c r="J3747" s="675"/>
      <c r="K3747" s="675"/>
      <c r="L3747" s="675"/>
      <c r="M3747" s="675"/>
    </row>
    <row r="3748" spans="1:13" x14ac:dyDescent="0.25">
      <c r="A3748" s="675" t="s">
        <v>2788</v>
      </c>
      <c r="B3748" s="675" t="s">
        <v>564</v>
      </c>
      <c r="C3748" s="675" t="s">
        <v>3650</v>
      </c>
      <c r="D3748" s="675"/>
      <c r="E3748" s="702"/>
      <c r="F3748" s="702"/>
      <c r="G3748" s="675"/>
      <c r="H3748" s="675"/>
      <c r="I3748" s="675"/>
      <c r="J3748" s="675"/>
      <c r="K3748" s="675"/>
      <c r="L3748" s="675"/>
      <c r="M3748" s="675"/>
    </row>
    <row r="3749" spans="1:13" x14ac:dyDescent="0.25">
      <c r="A3749" s="675" t="s">
        <v>2788</v>
      </c>
      <c r="B3749" s="675" t="s">
        <v>564</v>
      </c>
      <c r="C3749" s="675" t="s">
        <v>3651</v>
      </c>
      <c r="D3749" s="675"/>
      <c r="E3749" s="702"/>
      <c r="F3749" s="702"/>
      <c r="G3749" s="675"/>
      <c r="H3749" s="675"/>
      <c r="I3749" s="675"/>
      <c r="J3749" s="675"/>
      <c r="K3749" s="675"/>
      <c r="L3749" s="675"/>
      <c r="M3749" s="675"/>
    </row>
    <row r="3750" spans="1:13" x14ac:dyDescent="0.25">
      <c r="A3750" s="675" t="s">
        <v>2788</v>
      </c>
      <c r="B3750" s="675" t="s">
        <v>564</v>
      </c>
      <c r="C3750" s="675" t="s">
        <v>3652</v>
      </c>
      <c r="D3750" s="675"/>
      <c r="E3750" s="702"/>
      <c r="F3750" s="702"/>
      <c r="G3750" s="675"/>
      <c r="H3750" s="675"/>
      <c r="I3750" s="675"/>
      <c r="J3750" s="675"/>
      <c r="K3750" s="675"/>
      <c r="L3750" s="675"/>
      <c r="M3750" s="675"/>
    </row>
    <row r="3751" spans="1:13" x14ac:dyDescent="0.25">
      <c r="A3751" s="675" t="s">
        <v>2788</v>
      </c>
      <c r="B3751" s="675" t="s">
        <v>564</v>
      </c>
      <c r="C3751" s="675" t="s">
        <v>3653</v>
      </c>
      <c r="D3751" s="675"/>
      <c r="E3751" s="702"/>
      <c r="F3751" s="702"/>
      <c r="G3751" s="675"/>
      <c r="H3751" s="675"/>
      <c r="I3751" s="675"/>
      <c r="J3751" s="675"/>
      <c r="K3751" s="675"/>
      <c r="L3751" s="675"/>
      <c r="M3751" s="675"/>
    </row>
    <row r="3752" spans="1:13" x14ac:dyDescent="0.25">
      <c r="A3752" s="675" t="s">
        <v>2788</v>
      </c>
      <c r="B3752" s="675" t="s">
        <v>564</v>
      </c>
      <c r="C3752" s="675" t="s">
        <v>3654</v>
      </c>
      <c r="D3752" s="675"/>
      <c r="E3752" s="702"/>
      <c r="F3752" s="702"/>
      <c r="G3752" s="675"/>
      <c r="H3752" s="675"/>
      <c r="I3752" s="675"/>
      <c r="J3752" s="675"/>
      <c r="K3752" s="675"/>
      <c r="L3752" s="675"/>
      <c r="M3752" s="675"/>
    </row>
    <row r="3753" spans="1:13" x14ac:dyDescent="0.25">
      <c r="A3753" s="675" t="s">
        <v>2788</v>
      </c>
      <c r="B3753" s="675" t="s">
        <v>564</v>
      </c>
      <c r="C3753" s="675" t="s">
        <v>3655</v>
      </c>
      <c r="D3753" s="675"/>
      <c r="E3753" s="702"/>
      <c r="F3753" s="702"/>
      <c r="G3753" s="675"/>
      <c r="H3753" s="675"/>
      <c r="I3753" s="675"/>
      <c r="J3753" s="675"/>
      <c r="K3753" s="675"/>
      <c r="L3753" s="675"/>
      <c r="M3753" s="675"/>
    </row>
    <row r="3754" spans="1:13" x14ac:dyDescent="0.25">
      <c r="A3754" s="675" t="s">
        <v>2788</v>
      </c>
      <c r="B3754" s="675" t="s">
        <v>564</v>
      </c>
      <c r="C3754" s="675" t="s">
        <v>3656</v>
      </c>
      <c r="D3754" s="675"/>
      <c r="E3754" s="702"/>
      <c r="F3754" s="702"/>
      <c r="G3754" s="675"/>
      <c r="H3754" s="675"/>
      <c r="I3754" s="675"/>
      <c r="J3754" s="675"/>
      <c r="K3754" s="675"/>
      <c r="L3754" s="675"/>
      <c r="M3754" s="675"/>
    </row>
    <row r="3755" spans="1:13" x14ac:dyDescent="0.25">
      <c r="A3755" s="675" t="s">
        <v>2788</v>
      </c>
      <c r="B3755" s="675" t="s">
        <v>512</v>
      </c>
      <c r="C3755" s="677" t="s">
        <v>3657</v>
      </c>
      <c r="D3755" s="675"/>
      <c r="E3755" s="702"/>
      <c r="F3755" s="702"/>
      <c r="G3755" s="675"/>
      <c r="H3755" s="675"/>
      <c r="I3755" s="675"/>
      <c r="J3755" s="675"/>
      <c r="K3755" s="675"/>
      <c r="L3755" s="675"/>
      <c r="M3755" s="675"/>
    </row>
    <row r="3756" spans="1:13" x14ac:dyDescent="0.25">
      <c r="A3756" s="675" t="s">
        <v>2788</v>
      </c>
      <c r="B3756" s="675" t="s">
        <v>512</v>
      </c>
      <c r="C3756" s="677" t="s">
        <v>3658</v>
      </c>
      <c r="D3756" s="675"/>
      <c r="E3756" s="702"/>
      <c r="F3756" s="702"/>
      <c r="G3756" s="675"/>
      <c r="H3756" s="675"/>
      <c r="I3756" s="675"/>
      <c r="J3756" s="675"/>
      <c r="K3756" s="675"/>
      <c r="L3756" s="675"/>
      <c r="M3756" s="675"/>
    </row>
    <row r="3757" spans="1:13" x14ac:dyDescent="0.25">
      <c r="A3757" s="675" t="s">
        <v>2788</v>
      </c>
      <c r="B3757" s="675" t="s">
        <v>512</v>
      </c>
      <c r="C3757" s="677" t="s">
        <v>3659</v>
      </c>
      <c r="D3757" s="675"/>
      <c r="E3757" s="702"/>
      <c r="F3757" s="702"/>
      <c r="G3757" s="675"/>
      <c r="H3757" s="675"/>
      <c r="I3757" s="675"/>
      <c r="J3757" s="675"/>
      <c r="K3757" s="675"/>
      <c r="L3757" s="675"/>
      <c r="M3757" s="675"/>
    </row>
    <row r="3758" spans="1:13" x14ac:dyDescent="0.25">
      <c r="A3758" s="675" t="s">
        <v>2788</v>
      </c>
      <c r="B3758" s="675" t="s">
        <v>512</v>
      </c>
      <c r="C3758" s="677" t="s">
        <v>3660</v>
      </c>
      <c r="D3758" s="675"/>
      <c r="E3758" s="702"/>
      <c r="F3758" s="702"/>
      <c r="G3758" s="675"/>
      <c r="H3758" s="675"/>
      <c r="I3758" s="675"/>
      <c r="J3758" s="675"/>
      <c r="K3758" s="675"/>
      <c r="L3758" s="675"/>
      <c r="M3758" s="675"/>
    </row>
    <row r="3759" spans="1:13" x14ac:dyDescent="0.25">
      <c r="A3759" s="675" t="s">
        <v>2788</v>
      </c>
      <c r="B3759" s="675" t="s">
        <v>512</v>
      </c>
      <c r="C3759" s="677" t="s">
        <v>3661</v>
      </c>
      <c r="D3759" s="675"/>
      <c r="E3759" s="702"/>
      <c r="F3759" s="702"/>
      <c r="G3759" s="675"/>
      <c r="H3759" s="675"/>
      <c r="I3759" s="675"/>
      <c r="J3759" s="675"/>
      <c r="K3759" s="675"/>
      <c r="L3759" s="675"/>
      <c r="M3759" s="675"/>
    </row>
    <row r="3760" spans="1:13" x14ac:dyDescent="0.25">
      <c r="A3760" s="675" t="s">
        <v>2788</v>
      </c>
      <c r="B3760" s="675" t="s">
        <v>512</v>
      </c>
      <c r="C3760" s="677" t="s">
        <v>3662</v>
      </c>
      <c r="D3760" s="675"/>
      <c r="E3760" s="702"/>
      <c r="F3760" s="702"/>
      <c r="G3760" s="675"/>
      <c r="H3760" s="675"/>
      <c r="I3760" s="675"/>
      <c r="J3760" s="675"/>
      <c r="K3760" s="675"/>
      <c r="L3760" s="675"/>
      <c r="M3760" s="675"/>
    </row>
    <row r="3761" spans="1:13" x14ac:dyDescent="0.25">
      <c r="A3761" s="675" t="s">
        <v>2788</v>
      </c>
      <c r="B3761" s="675" t="s">
        <v>512</v>
      </c>
      <c r="C3761" s="677" t="s">
        <v>3663</v>
      </c>
      <c r="D3761" s="675"/>
      <c r="E3761" s="702"/>
      <c r="F3761" s="702"/>
      <c r="G3761" s="675"/>
      <c r="H3761" s="675"/>
      <c r="I3761" s="675"/>
      <c r="J3761" s="675"/>
      <c r="K3761" s="675"/>
      <c r="L3761" s="675"/>
      <c r="M3761" s="675"/>
    </row>
    <row r="3762" spans="1:13" x14ac:dyDescent="0.25">
      <c r="A3762" s="675" t="s">
        <v>2788</v>
      </c>
      <c r="B3762" s="675" t="s">
        <v>512</v>
      </c>
      <c r="C3762" s="677" t="s">
        <v>3664</v>
      </c>
      <c r="D3762" s="675"/>
      <c r="E3762" s="702"/>
      <c r="F3762" s="702"/>
      <c r="G3762" s="675"/>
      <c r="H3762" s="675"/>
      <c r="I3762" s="675"/>
      <c r="J3762" s="675"/>
      <c r="K3762" s="675"/>
      <c r="L3762" s="675"/>
      <c r="M3762" s="675"/>
    </row>
    <row r="3763" spans="1:13" x14ac:dyDescent="0.25">
      <c r="A3763" s="675" t="s">
        <v>2788</v>
      </c>
      <c r="B3763" s="675" t="s">
        <v>512</v>
      </c>
      <c r="C3763" s="677" t="s">
        <v>3665</v>
      </c>
      <c r="D3763" s="675"/>
      <c r="E3763" s="702"/>
      <c r="F3763" s="702"/>
      <c r="G3763" s="675"/>
      <c r="H3763" s="675"/>
      <c r="I3763" s="675"/>
      <c r="J3763" s="675"/>
      <c r="K3763" s="675"/>
      <c r="L3763" s="675"/>
      <c r="M3763" s="675"/>
    </row>
    <row r="3764" spans="1:13" x14ac:dyDescent="0.25">
      <c r="A3764" s="675" t="s">
        <v>2788</v>
      </c>
      <c r="B3764" s="675" t="s">
        <v>512</v>
      </c>
      <c r="C3764" s="677" t="s">
        <v>3666</v>
      </c>
      <c r="D3764" s="675"/>
      <c r="E3764" s="702"/>
      <c r="F3764" s="702"/>
      <c r="G3764" s="675"/>
      <c r="H3764" s="675"/>
      <c r="I3764" s="675"/>
      <c r="J3764" s="675"/>
      <c r="K3764" s="675"/>
      <c r="L3764" s="675"/>
      <c r="M3764" s="675"/>
    </row>
    <row r="3765" spans="1:13" x14ac:dyDescent="0.25">
      <c r="A3765" s="675" t="s">
        <v>3667</v>
      </c>
      <c r="B3765" s="675" t="s">
        <v>545</v>
      </c>
      <c r="C3765" s="675" t="s">
        <v>3668</v>
      </c>
      <c r="D3765" s="675"/>
      <c r="E3765" s="702"/>
      <c r="F3765" s="702"/>
      <c r="G3765" s="675"/>
      <c r="H3765" s="675"/>
      <c r="I3765" s="675"/>
      <c r="J3765" s="675"/>
      <c r="K3765" s="675"/>
      <c r="L3765" s="675"/>
      <c r="M3765" s="675"/>
    </row>
    <row r="3766" spans="1:13" x14ac:dyDescent="0.25">
      <c r="A3766" s="675" t="s">
        <v>3667</v>
      </c>
      <c r="B3766" s="675" t="s">
        <v>545</v>
      </c>
      <c r="C3766" s="675" t="s">
        <v>3669</v>
      </c>
      <c r="D3766" s="675"/>
      <c r="E3766" s="702"/>
      <c r="F3766" s="702"/>
      <c r="G3766" s="675"/>
      <c r="H3766" s="675"/>
      <c r="I3766" s="675"/>
      <c r="J3766" s="675"/>
      <c r="K3766" s="675"/>
      <c r="L3766" s="675"/>
      <c r="M3766" s="675"/>
    </row>
    <row r="3767" spans="1:13" x14ac:dyDescent="0.25">
      <c r="A3767" s="675" t="s">
        <v>3667</v>
      </c>
      <c r="B3767" s="675" t="s">
        <v>545</v>
      </c>
      <c r="C3767" s="675" t="s">
        <v>3670</v>
      </c>
      <c r="D3767" s="675"/>
      <c r="E3767" s="702"/>
      <c r="F3767" s="702"/>
      <c r="G3767" s="675"/>
      <c r="H3767" s="675"/>
      <c r="I3767" s="675"/>
      <c r="J3767" s="675"/>
      <c r="K3767" s="675"/>
      <c r="L3767" s="675"/>
      <c r="M3767" s="675"/>
    </row>
    <row r="3768" spans="1:13" x14ac:dyDescent="0.25">
      <c r="A3768" s="675" t="s">
        <v>3667</v>
      </c>
      <c r="B3768" s="675" t="s">
        <v>545</v>
      </c>
      <c r="C3768" s="675" t="s">
        <v>3671</v>
      </c>
      <c r="D3768" s="675"/>
      <c r="E3768" s="702"/>
      <c r="F3768" s="702"/>
      <c r="G3768" s="675"/>
      <c r="H3768" s="675"/>
      <c r="I3768" s="675"/>
      <c r="J3768" s="675"/>
      <c r="K3768" s="675"/>
      <c r="L3768" s="675"/>
      <c r="M3768" s="675"/>
    </row>
    <row r="3769" spans="1:13" x14ac:dyDescent="0.25">
      <c r="A3769" s="675" t="s">
        <v>3667</v>
      </c>
      <c r="B3769" s="675" t="s">
        <v>545</v>
      </c>
      <c r="C3769" s="675" t="s">
        <v>3672</v>
      </c>
      <c r="D3769" s="675"/>
      <c r="E3769" s="702"/>
      <c r="F3769" s="702"/>
      <c r="G3769" s="675"/>
      <c r="H3769" s="675"/>
      <c r="I3769" s="675"/>
      <c r="J3769" s="675"/>
      <c r="K3769" s="675"/>
      <c r="L3769" s="675"/>
      <c r="M3769" s="675"/>
    </row>
    <row r="3770" spans="1:13" x14ac:dyDescent="0.25">
      <c r="A3770" s="675" t="s">
        <v>3667</v>
      </c>
      <c r="B3770" s="675" t="s">
        <v>545</v>
      </c>
      <c r="C3770" s="675" t="s">
        <v>3673</v>
      </c>
      <c r="D3770" s="675"/>
      <c r="E3770" s="702"/>
      <c r="F3770" s="702"/>
      <c r="G3770" s="675"/>
      <c r="H3770" s="675"/>
      <c r="I3770" s="675"/>
      <c r="J3770" s="675"/>
      <c r="K3770" s="675"/>
      <c r="L3770" s="675"/>
      <c r="M3770" s="675"/>
    </row>
    <row r="3771" spans="1:13" x14ac:dyDescent="0.25">
      <c r="A3771" s="675" t="s">
        <v>3667</v>
      </c>
      <c r="B3771" s="675" t="s">
        <v>545</v>
      </c>
      <c r="C3771" s="675" t="s">
        <v>3674</v>
      </c>
      <c r="D3771" s="675"/>
      <c r="E3771" s="702"/>
      <c r="F3771" s="702"/>
      <c r="G3771" s="675"/>
      <c r="H3771" s="675"/>
      <c r="I3771" s="675"/>
      <c r="J3771" s="675"/>
      <c r="K3771" s="675"/>
      <c r="L3771" s="675"/>
      <c r="M3771" s="675"/>
    </row>
    <row r="3772" spans="1:13" x14ac:dyDescent="0.25">
      <c r="A3772" s="675" t="s">
        <v>3667</v>
      </c>
      <c r="B3772" s="675" t="s">
        <v>545</v>
      </c>
      <c r="C3772" s="675" t="s">
        <v>3675</v>
      </c>
      <c r="D3772" s="675"/>
      <c r="E3772" s="702"/>
      <c r="F3772" s="702"/>
      <c r="G3772" s="675"/>
      <c r="H3772" s="675"/>
      <c r="I3772" s="675"/>
      <c r="J3772" s="675"/>
      <c r="K3772" s="675"/>
      <c r="L3772" s="675"/>
      <c r="M3772" s="675"/>
    </row>
    <row r="3773" spans="1:13" x14ac:dyDescent="0.25">
      <c r="A3773" s="675" t="s">
        <v>3667</v>
      </c>
      <c r="B3773" s="675" t="s">
        <v>545</v>
      </c>
      <c r="C3773" s="675" t="s">
        <v>3676</v>
      </c>
      <c r="D3773" s="675"/>
      <c r="E3773" s="702"/>
      <c r="F3773" s="702"/>
      <c r="G3773" s="675"/>
      <c r="H3773" s="675"/>
      <c r="I3773" s="675"/>
      <c r="J3773" s="675"/>
      <c r="K3773" s="675"/>
      <c r="L3773" s="675"/>
      <c r="M3773" s="675"/>
    </row>
    <row r="3774" spans="1:13" x14ac:dyDescent="0.25">
      <c r="A3774" s="675" t="s">
        <v>3667</v>
      </c>
      <c r="B3774" s="675" t="s">
        <v>545</v>
      </c>
      <c r="C3774" s="675" t="s">
        <v>3677</v>
      </c>
      <c r="D3774" s="675"/>
      <c r="E3774" s="702"/>
      <c r="F3774" s="702"/>
      <c r="G3774" s="675"/>
      <c r="H3774" s="675"/>
      <c r="I3774" s="675"/>
      <c r="J3774" s="675"/>
      <c r="K3774" s="675"/>
      <c r="L3774" s="675"/>
      <c r="M3774" s="675"/>
    </row>
    <row r="3775" spans="1:13" x14ac:dyDescent="0.25">
      <c r="A3775" s="675" t="s">
        <v>3667</v>
      </c>
      <c r="B3775" s="675" t="s">
        <v>564</v>
      </c>
      <c r="C3775" s="675" t="s">
        <v>3678</v>
      </c>
      <c r="D3775" s="675"/>
      <c r="E3775" s="702"/>
      <c r="F3775" s="702"/>
      <c r="G3775" s="675"/>
      <c r="H3775" s="675"/>
      <c r="I3775" s="675"/>
      <c r="J3775" s="675"/>
      <c r="K3775" s="675"/>
      <c r="L3775" s="675"/>
      <c r="M3775" s="675"/>
    </row>
    <row r="3776" spans="1:13" x14ac:dyDescent="0.25">
      <c r="A3776" s="675" t="s">
        <v>3667</v>
      </c>
      <c r="B3776" s="675" t="s">
        <v>564</v>
      </c>
      <c r="C3776" s="675" t="s">
        <v>3679</v>
      </c>
      <c r="D3776" s="675"/>
      <c r="E3776" s="702"/>
      <c r="F3776" s="702"/>
      <c r="G3776" s="675"/>
      <c r="H3776" s="675"/>
      <c r="I3776" s="675"/>
      <c r="J3776" s="675"/>
      <c r="K3776" s="675"/>
      <c r="L3776" s="675"/>
      <c r="M3776" s="675"/>
    </row>
    <row r="3777" spans="1:13" x14ac:dyDescent="0.25">
      <c r="A3777" s="675" t="s">
        <v>3667</v>
      </c>
      <c r="B3777" s="675" t="s">
        <v>564</v>
      </c>
      <c r="C3777" s="675" t="s">
        <v>3680</v>
      </c>
      <c r="D3777" s="675"/>
      <c r="E3777" s="702"/>
      <c r="F3777" s="702"/>
      <c r="G3777" s="675"/>
      <c r="H3777" s="675"/>
      <c r="I3777" s="675"/>
      <c r="J3777" s="675"/>
      <c r="K3777" s="675"/>
      <c r="L3777" s="675"/>
      <c r="M3777" s="675"/>
    </row>
    <row r="3778" spans="1:13" x14ac:dyDescent="0.25">
      <c r="A3778" s="675" t="s">
        <v>3667</v>
      </c>
      <c r="B3778" s="675" t="s">
        <v>564</v>
      </c>
      <c r="C3778" s="675" t="s">
        <v>3681</v>
      </c>
      <c r="D3778" s="675"/>
      <c r="E3778" s="702"/>
      <c r="F3778" s="702"/>
      <c r="G3778" s="675"/>
      <c r="H3778" s="675"/>
      <c r="I3778" s="675"/>
      <c r="J3778" s="675"/>
      <c r="K3778" s="675"/>
      <c r="L3778" s="675"/>
      <c r="M3778" s="675"/>
    </row>
    <row r="3779" spans="1:13" x14ac:dyDescent="0.25">
      <c r="A3779" s="675" t="s">
        <v>3667</v>
      </c>
      <c r="B3779" s="675" t="s">
        <v>564</v>
      </c>
      <c r="C3779" s="675" t="s">
        <v>3682</v>
      </c>
      <c r="D3779" s="675"/>
      <c r="E3779" s="702"/>
      <c r="F3779" s="702"/>
      <c r="G3779" s="675"/>
      <c r="H3779" s="675"/>
      <c r="I3779" s="675"/>
      <c r="J3779" s="675"/>
      <c r="K3779" s="675"/>
      <c r="L3779" s="675"/>
      <c r="M3779" s="675"/>
    </row>
    <row r="3780" spans="1:13" x14ac:dyDescent="0.25">
      <c r="A3780" s="675" t="s">
        <v>3667</v>
      </c>
      <c r="B3780" s="675" t="s">
        <v>564</v>
      </c>
      <c r="C3780" s="675" t="s">
        <v>3683</v>
      </c>
      <c r="D3780" s="675"/>
      <c r="E3780" s="702"/>
      <c r="F3780" s="702"/>
      <c r="G3780" s="675"/>
      <c r="H3780" s="675"/>
      <c r="I3780" s="675"/>
      <c r="J3780" s="675"/>
      <c r="K3780" s="675"/>
      <c r="L3780" s="675"/>
      <c r="M3780" s="675"/>
    </row>
    <row r="3781" spans="1:13" x14ac:dyDescent="0.25">
      <c r="A3781" s="675" t="s">
        <v>3667</v>
      </c>
      <c r="B3781" s="675" t="s">
        <v>564</v>
      </c>
      <c r="C3781" s="675" t="s">
        <v>3684</v>
      </c>
      <c r="D3781" s="675"/>
      <c r="E3781" s="702"/>
      <c r="F3781" s="702"/>
      <c r="G3781" s="675"/>
      <c r="H3781" s="675"/>
      <c r="I3781" s="675"/>
      <c r="J3781" s="675"/>
      <c r="K3781" s="675"/>
      <c r="L3781" s="675"/>
      <c r="M3781" s="675"/>
    </row>
    <row r="3782" spans="1:13" x14ac:dyDescent="0.25">
      <c r="A3782" s="675" t="s">
        <v>3667</v>
      </c>
      <c r="B3782" s="675" t="s">
        <v>564</v>
      </c>
      <c r="C3782" s="675" t="s">
        <v>3685</v>
      </c>
      <c r="D3782" s="675"/>
      <c r="E3782" s="702"/>
      <c r="F3782" s="702"/>
      <c r="G3782" s="675"/>
      <c r="H3782" s="675"/>
      <c r="I3782" s="675"/>
      <c r="J3782" s="675"/>
      <c r="K3782" s="675"/>
      <c r="L3782" s="675"/>
      <c r="M3782" s="675"/>
    </row>
    <row r="3783" spans="1:13" x14ac:dyDescent="0.25">
      <c r="A3783" s="675" t="s">
        <v>3667</v>
      </c>
      <c r="B3783" s="675" t="s">
        <v>564</v>
      </c>
      <c r="C3783" s="675" t="s">
        <v>3686</v>
      </c>
      <c r="D3783" s="675"/>
      <c r="E3783" s="702"/>
      <c r="F3783" s="702"/>
      <c r="G3783" s="675"/>
      <c r="H3783" s="675"/>
      <c r="I3783" s="675"/>
      <c r="J3783" s="675"/>
      <c r="K3783" s="675"/>
      <c r="L3783" s="675"/>
      <c r="M3783" s="675"/>
    </row>
    <row r="3784" spans="1:13" x14ac:dyDescent="0.25">
      <c r="A3784" s="675" t="s">
        <v>3667</v>
      </c>
      <c r="B3784" s="675" t="s">
        <v>564</v>
      </c>
      <c r="C3784" s="675" t="s">
        <v>3687</v>
      </c>
      <c r="D3784" s="675"/>
      <c r="E3784" s="702"/>
      <c r="F3784" s="702"/>
      <c r="G3784" s="675"/>
      <c r="H3784" s="675"/>
      <c r="I3784" s="675"/>
      <c r="J3784" s="675"/>
      <c r="K3784" s="675"/>
      <c r="L3784" s="675"/>
      <c r="M3784" s="675"/>
    </row>
    <row r="3785" spans="1:13" x14ac:dyDescent="0.25">
      <c r="A3785" s="675" t="s">
        <v>3667</v>
      </c>
      <c r="B3785" s="675" t="s">
        <v>512</v>
      </c>
      <c r="C3785" s="675" t="s">
        <v>3688</v>
      </c>
      <c r="D3785" s="675"/>
      <c r="E3785" s="702"/>
      <c r="F3785" s="702"/>
      <c r="G3785" s="675"/>
      <c r="H3785" s="675"/>
      <c r="I3785" s="675"/>
      <c r="J3785" s="675"/>
      <c r="K3785" s="675"/>
      <c r="L3785" s="675"/>
      <c r="M3785" s="675"/>
    </row>
    <row r="3786" spans="1:13" x14ac:dyDescent="0.25">
      <c r="A3786" s="675" t="s">
        <v>3667</v>
      </c>
      <c r="B3786" s="675" t="s">
        <v>512</v>
      </c>
      <c r="C3786" s="675" t="s">
        <v>3689</v>
      </c>
      <c r="D3786" s="675"/>
      <c r="E3786" s="702"/>
      <c r="F3786" s="702"/>
      <c r="G3786" s="675"/>
      <c r="H3786" s="675"/>
      <c r="I3786" s="675"/>
      <c r="J3786" s="675"/>
      <c r="K3786" s="675"/>
      <c r="L3786" s="675"/>
      <c r="M3786" s="675"/>
    </row>
    <row r="3787" spans="1:13" x14ac:dyDescent="0.25">
      <c r="A3787" s="675" t="s">
        <v>3667</v>
      </c>
      <c r="B3787" s="675" t="s">
        <v>512</v>
      </c>
      <c r="C3787" s="675" t="s">
        <v>3690</v>
      </c>
      <c r="D3787" s="675"/>
      <c r="E3787" s="702"/>
      <c r="F3787" s="702"/>
      <c r="G3787" s="675"/>
      <c r="H3787" s="675"/>
      <c r="I3787" s="675"/>
      <c r="J3787" s="675"/>
      <c r="K3787" s="675"/>
      <c r="L3787" s="675"/>
      <c r="M3787" s="675"/>
    </row>
    <row r="3788" spans="1:13" x14ac:dyDescent="0.25">
      <c r="A3788" s="675" t="s">
        <v>3667</v>
      </c>
      <c r="B3788" s="675" t="s">
        <v>512</v>
      </c>
      <c r="C3788" s="675" t="s">
        <v>3691</v>
      </c>
      <c r="D3788" s="675"/>
      <c r="E3788" s="702"/>
      <c r="F3788" s="702"/>
      <c r="G3788" s="675"/>
      <c r="H3788" s="675"/>
      <c r="I3788" s="675"/>
      <c r="J3788" s="675"/>
      <c r="K3788" s="675"/>
      <c r="L3788" s="675"/>
      <c r="M3788" s="675"/>
    </row>
    <row r="3789" spans="1:13" x14ac:dyDescent="0.25">
      <c r="A3789" s="675" t="s">
        <v>3667</v>
      </c>
      <c r="B3789" s="675" t="s">
        <v>512</v>
      </c>
      <c r="C3789" s="675" t="s">
        <v>3692</v>
      </c>
      <c r="D3789" s="675"/>
      <c r="E3789" s="702"/>
      <c r="F3789" s="702"/>
      <c r="G3789" s="675"/>
      <c r="H3789" s="675"/>
      <c r="I3789" s="675"/>
      <c r="J3789" s="675"/>
      <c r="K3789" s="675"/>
      <c r="L3789" s="675"/>
      <c r="M3789" s="675"/>
    </row>
    <row r="3790" spans="1:13" x14ac:dyDescent="0.25">
      <c r="A3790" s="675" t="s">
        <v>3667</v>
      </c>
      <c r="B3790" s="675" t="s">
        <v>512</v>
      </c>
      <c r="C3790" s="675" t="s">
        <v>3693</v>
      </c>
      <c r="D3790" s="675"/>
      <c r="E3790" s="702"/>
      <c r="F3790" s="702"/>
      <c r="G3790" s="675"/>
      <c r="H3790" s="675"/>
      <c r="I3790" s="675"/>
      <c r="J3790" s="675"/>
      <c r="K3790" s="675"/>
      <c r="L3790" s="675"/>
      <c r="M3790" s="675"/>
    </row>
    <row r="3791" spans="1:13" x14ac:dyDescent="0.25">
      <c r="A3791" s="675" t="s">
        <v>3667</v>
      </c>
      <c r="B3791" s="675" t="s">
        <v>512</v>
      </c>
      <c r="C3791" s="675" t="s">
        <v>3694</v>
      </c>
      <c r="D3791" s="675"/>
      <c r="E3791" s="702"/>
      <c r="F3791" s="702"/>
      <c r="G3791" s="675"/>
      <c r="H3791" s="675"/>
      <c r="I3791" s="675"/>
      <c r="J3791" s="675"/>
      <c r="K3791" s="675"/>
      <c r="L3791" s="675"/>
      <c r="M3791" s="675"/>
    </row>
    <row r="3792" spans="1:13" x14ac:dyDescent="0.25">
      <c r="A3792" s="675" t="s">
        <v>3667</v>
      </c>
      <c r="B3792" s="675" t="s">
        <v>512</v>
      </c>
      <c r="C3792" s="675" t="s">
        <v>3695</v>
      </c>
      <c r="D3792" s="675"/>
      <c r="E3792" s="702"/>
      <c r="F3792" s="702"/>
      <c r="G3792" s="675"/>
      <c r="H3792" s="675"/>
      <c r="I3792" s="675"/>
      <c r="J3792" s="675"/>
      <c r="K3792" s="675"/>
      <c r="L3792" s="675"/>
      <c r="M3792" s="675"/>
    </row>
    <row r="3793" spans="1:13" x14ac:dyDescent="0.25">
      <c r="A3793" s="675" t="s">
        <v>3667</v>
      </c>
      <c r="B3793" s="675" t="s">
        <v>512</v>
      </c>
      <c r="C3793" s="675" t="s">
        <v>3696</v>
      </c>
      <c r="D3793" s="675"/>
      <c r="E3793" s="702"/>
      <c r="F3793" s="702"/>
      <c r="G3793" s="675"/>
      <c r="H3793" s="675"/>
      <c r="I3793" s="675"/>
      <c r="J3793" s="675"/>
      <c r="K3793" s="675"/>
      <c r="L3793" s="675"/>
      <c r="M3793" s="675"/>
    </row>
    <row r="3794" spans="1:13" x14ac:dyDescent="0.25">
      <c r="A3794" s="675" t="s">
        <v>3667</v>
      </c>
      <c r="B3794" s="675" t="s">
        <v>512</v>
      </c>
      <c r="C3794" s="675" t="s">
        <v>3697</v>
      </c>
      <c r="D3794" s="675"/>
      <c r="E3794" s="702"/>
      <c r="F3794" s="702"/>
      <c r="G3794" s="675"/>
      <c r="H3794" s="675"/>
      <c r="I3794" s="675"/>
      <c r="J3794" s="675"/>
      <c r="K3794" s="675"/>
      <c r="L3794" s="675"/>
      <c r="M3794" s="675"/>
    </row>
    <row r="3795" spans="1:13" x14ac:dyDescent="0.25">
      <c r="A3795" s="675" t="s">
        <v>3698</v>
      </c>
      <c r="B3795" s="675" t="s">
        <v>545</v>
      </c>
      <c r="C3795" s="675" t="s">
        <v>3699</v>
      </c>
      <c r="D3795" s="675"/>
      <c r="E3795" s="702"/>
      <c r="F3795" s="702"/>
      <c r="G3795" s="675"/>
      <c r="H3795" s="675"/>
      <c r="I3795" s="675"/>
      <c r="J3795" s="675"/>
      <c r="K3795" s="675"/>
      <c r="L3795" s="675"/>
      <c r="M3795" s="675"/>
    </row>
    <row r="3796" spans="1:13" x14ac:dyDescent="0.25">
      <c r="A3796" s="675" t="s">
        <v>3698</v>
      </c>
      <c r="B3796" s="675" t="s">
        <v>545</v>
      </c>
      <c r="C3796" s="675" t="s">
        <v>3700</v>
      </c>
      <c r="D3796" s="675"/>
      <c r="E3796" s="702"/>
      <c r="F3796" s="702"/>
      <c r="G3796" s="675"/>
      <c r="H3796" s="675"/>
      <c r="I3796" s="675"/>
      <c r="J3796" s="675"/>
      <c r="K3796" s="675"/>
      <c r="L3796" s="675"/>
      <c r="M3796" s="675"/>
    </row>
    <row r="3797" spans="1:13" x14ac:dyDescent="0.25">
      <c r="A3797" s="675" t="s">
        <v>3698</v>
      </c>
      <c r="B3797" s="675" t="s">
        <v>545</v>
      </c>
      <c r="C3797" s="675" t="s">
        <v>3701</v>
      </c>
      <c r="D3797" s="675"/>
      <c r="E3797" s="702"/>
      <c r="F3797" s="702"/>
      <c r="G3797" s="675"/>
      <c r="H3797" s="675"/>
      <c r="I3797" s="675"/>
      <c r="J3797" s="675"/>
      <c r="K3797" s="675"/>
      <c r="L3797" s="675"/>
      <c r="M3797" s="675"/>
    </row>
    <row r="3798" spans="1:13" x14ac:dyDescent="0.25">
      <c r="A3798" s="675" t="s">
        <v>3698</v>
      </c>
      <c r="B3798" s="675" t="s">
        <v>545</v>
      </c>
      <c r="C3798" s="675" t="s">
        <v>3702</v>
      </c>
      <c r="D3798" s="675"/>
      <c r="E3798" s="702"/>
      <c r="F3798" s="702"/>
      <c r="G3798" s="675"/>
      <c r="H3798" s="675"/>
      <c r="I3798" s="675"/>
      <c r="J3798" s="675"/>
      <c r="K3798" s="675"/>
      <c r="L3798" s="675"/>
      <c r="M3798" s="675"/>
    </row>
    <row r="3799" spans="1:13" x14ac:dyDescent="0.25">
      <c r="A3799" s="675" t="s">
        <v>3698</v>
      </c>
      <c r="B3799" s="675" t="s">
        <v>545</v>
      </c>
      <c r="C3799" s="675" t="s">
        <v>3703</v>
      </c>
      <c r="D3799" s="675"/>
      <c r="E3799" s="702"/>
      <c r="F3799" s="702"/>
      <c r="G3799" s="675"/>
      <c r="H3799" s="675"/>
      <c r="I3799" s="675"/>
      <c r="J3799" s="675"/>
      <c r="K3799" s="675"/>
      <c r="L3799" s="675"/>
      <c r="M3799" s="675"/>
    </row>
    <row r="3800" spans="1:13" x14ac:dyDescent="0.25">
      <c r="A3800" s="675" t="s">
        <v>3698</v>
      </c>
      <c r="B3800" s="675" t="s">
        <v>545</v>
      </c>
      <c r="C3800" s="675" t="s">
        <v>3704</v>
      </c>
      <c r="D3800" s="675"/>
      <c r="E3800" s="702"/>
      <c r="F3800" s="702"/>
      <c r="G3800" s="675"/>
      <c r="H3800" s="675"/>
      <c r="I3800" s="675"/>
      <c r="J3800" s="675"/>
      <c r="K3800" s="675"/>
      <c r="L3800" s="675"/>
      <c r="M3800" s="675"/>
    </row>
    <row r="3801" spans="1:13" x14ac:dyDescent="0.25">
      <c r="A3801" s="675" t="s">
        <v>3698</v>
      </c>
      <c r="B3801" s="675" t="s">
        <v>545</v>
      </c>
      <c r="C3801" s="675" t="s">
        <v>3705</v>
      </c>
      <c r="D3801" s="675"/>
      <c r="E3801" s="702"/>
      <c r="F3801" s="702"/>
      <c r="G3801" s="675"/>
      <c r="H3801" s="675"/>
      <c r="I3801" s="675"/>
      <c r="J3801" s="675"/>
      <c r="K3801" s="675"/>
      <c r="L3801" s="675"/>
      <c r="M3801" s="675"/>
    </row>
    <row r="3802" spans="1:13" x14ac:dyDescent="0.25">
      <c r="A3802" s="675" t="s">
        <v>3698</v>
      </c>
      <c r="B3802" s="675" t="s">
        <v>545</v>
      </c>
      <c r="C3802" s="675" t="s">
        <v>3706</v>
      </c>
      <c r="D3802" s="675"/>
      <c r="E3802" s="702"/>
      <c r="F3802" s="702"/>
      <c r="G3802" s="675"/>
      <c r="H3802" s="675"/>
      <c r="I3802" s="675"/>
      <c r="J3802" s="675"/>
      <c r="K3802" s="675"/>
      <c r="L3802" s="675"/>
      <c r="M3802" s="675"/>
    </row>
    <row r="3803" spans="1:13" x14ac:dyDescent="0.25">
      <c r="A3803" s="675" t="s">
        <v>3698</v>
      </c>
      <c r="B3803" s="675" t="s">
        <v>545</v>
      </c>
      <c r="C3803" s="675" t="s">
        <v>3707</v>
      </c>
      <c r="D3803" s="675"/>
      <c r="E3803" s="702"/>
      <c r="F3803" s="702"/>
      <c r="G3803" s="675"/>
      <c r="H3803" s="675"/>
      <c r="I3803" s="675"/>
      <c r="J3803" s="675"/>
      <c r="K3803" s="675"/>
      <c r="L3803" s="675"/>
      <c r="M3803" s="675"/>
    </row>
    <row r="3804" spans="1:13" x14ac:dyDescent="0.25">
      <c r="A3804" s="675" t="s">
        <v>3698</v>
      </c>
      <c r="B3804" s="675" t="s">
        <v>545</v>
      </c>
      <c r="C3804" s="675" t="s">
        <v>3708</v>
      </c>
      <c r="D3804" s="675"/>
      <c r="E3804" s="702"/>
      <c r="F3804" s="702"/>
      <c r="G3804" s="675"/>
      <c r="H3804" s="675"/>
      <c r="I3804" s="675"/>
      <c r="J3804" s="675"/>
      <c r="K3804" s="675"/>
      <c r="L3804" s="675"/>
      <c r="M3804" s="675"/>
    </row>
    <row r="3805" spans="1:13" x14ac:dyDescent="0.25">
      <c r="A3805" s="675" t="s">
        <v>3698</v>
      </c>
      <c r="B3805" s="675" t="s">
        <v>564</v>
      </c>
      <c r="C3805" s="675" t="s">
        <v>3709</v>
      </c>
      <c r="D3805" s="675"/>
      <c r="E3805" s="702"/>
      <c r="F3805" s="702"/>
      <c r="G3805" s="675"/>
      <c r="H3805" s="675"/>
      <c r="I3805" s="675"/>
      <c r="J3805" s="675"/>
      <c r="K3805" s="675"/>
      <c r="L3805" s="675"/>
      <c r="M3805" s="675"/>
    </row>
    <row r="3806" spans="1:13" x14ac:dyDescent="0.25">
      <c r="A3806" s="675" t="s">
        <v>3698</v>
      </c>
      <c r="B3806" s="675" t="s">
        <v>564</v>
      </c>
      <c r="C3806" s="675" t="s">
        <v>3710</v>
      </c>
      <c r="D3806" s="675"/>
      <c r="E3806" s="702"/>
      <c r="F3806" s="702"/>
      <c r="G3806" s="675"/>
      <c r="H3806" s="675"/>
      <c r="I3806" s="675"/>
      <c r="J3806" s="675"/>
      <c r="K3806" s="675"/>
      <c r="L3806" s="675"/>
      <c r="M3806" s="675"/>
    </row>
    <row r="3807" spans="1:13" x14ac:dyDescent="0.25">
      <c r="A3807" s="675" t="s">
        <v>3698</v>
      </c>
      <c r="B3807" s="675" t="s">
        <v>564</v>
      </c>
      <c r="C3807" s="675" t="s">
        <v>3711</v>
      </c>
      <c r="D3807" s="675"/>
      <c r="E3807" s="702"/>
      <c r="F3807" s="702"/>
      <c r="G3807" s="675"/>
      <c r="H3807" s="675"/>
      <c r="I3807" s="675"/>
      <c r="J3807" s="675"/>
      <c r="K3807" s="675"/>
      <c r="L3807" s="675"/>
      <c r="M3807" s="675"/>
    </row>
    <row r="3808" spans="1:13" x14ac:dyDescent="0.25">
      <c r="A3808" s="675" t="s">
        <v>3698</v>
      </c>
      <c r="B3808" s="675" t="s">
        <v>564</v>
      </c>
      <c r="C3808" s="675" t="s">
        <v>3712</v>
      </c>
      <c r="D3808" s="675"/>
      <c r="E3808" s="702"/>
      <c r="F3808" s="702"/>
      <c r="G3808" s="675"/>
      <c r="H3808" s="675"/>
      <c r="I3808" s="675"/>
      <c r="J3808" s="675"/>
      <c r="K3808" s="675"/>
      <c r="L3808" s="675"/>
      <c r="M3808" s="675"/>
    </row>
    <row r="3809" spans="1:13" x14ac:dyDescent="0.25">
      <c r="A3809" s="675" t="s">
        <v>3698</v>
      </c>
      <c r="B3809" s="675" t="s">
        <v>564</v>
      </c>
      <c r="C3809" s="675" t="s">
        <v>3713</v>
      </c>
      <c r="D3809" s="675"/>
      <c r="E3809" s="702"/>
      <c r="F3809" s="702"/>
      <c r="G3809" s="675"/>
      <c r="H3809" s="675"/>
      <c r="I3809" s="675"/>
      <c r="J3809" s="675"/>
      <c r="K3809" s="675"/>
      <c r="L3809" s="675"/>
      <c r="M3809" s="675"/>
    </row>
    <row r="3810" spans="1:13" x14ac:dyDescent="0.25">
      <c r="A3810" s="675" t="s">
        <v>3698</v>
      </c>
      <c r="B3810" s="675" t="s">
        <v>564</v>
      </c>
      <c r="C3810" s="675" t="s">
        <v>3714</v>
      </c>
      <c r="D3810" s="675"/>
      <c r="E3810" s="702"/>
      <c r="F3810" s="702"/>
      <c r="G3810" s="675"/>
      <c r="H3810" s="675"/>
      <c r="I3810" s="675"/>
      <c r="J3810" s="675"/>
      <c r="K3810" s="675"/>
      <c r="L3810" s="675"/>
      <c r="M3810" s="675"/>
    </row>
    <row r="3811" spans="1:13" x14ac:dyDescent="0.25">
      <c r="A3811" s="675" t="s">
        <v>3698</v>
      </c>
      <c r="B3811" s="675" t="s">
        <v>564</v>
      </c>
      <c r="C3811" s="675" t="s">
        <v>3715</v>
      </c>
      <c r="D3811" s="675"/>
      <c r="E3811" s="702"/>
      <c r="F3811" s="702"/>
      <c r="G3811" s="675"/>
      <c r="H3811" s="675"/>
      <c r="I3811" s="675"/>
      <c r="J3811" s="675"/>
      <c r="K3811" s="675"/>
      <c r="L3811" s="675"/>
      <c r="M3811" s="675"/>
    </row>
    <row r="3812" spans="1:13" x14ac:dyDescent="0.25">
      <c r="A3812" s="675" t="s">
        <v>3698</v>
      </c>
      <c r="B3812" s="675" t="s">
        <v>564</v>
      </c>
      <c r="C3812" s="675" t="s">
        <v>3716</v>
      </c>
      <c r="D3812" s="675"/>
      <c r="E3812" s="702"/>
      <c r="F3812" s="702"/>
      <c r="G3812" s="675"/>
      <c r="H3812" s="675"/>
      <c r="I3812" s="675"/>
      <c r="J3812" s="675"/>
      <c r="K3812" s="675"/>
      <c r="L3812" s="675"/>
      <c r="M3812" s="675"/>
    </row>
    <row r="3813" spans="1:13" x14ac:dyDescent="0.25">
      <c r="A3813" s="675" t="s">
        <v>3698</v>
      </c>
      <c r="B3813" s="675" t="s">
        <v>564</v>
      </c>
      <c r="C3813" s="675" t="s">
        <v>3717</v>
      </c>
      <c r="D3813" s="675"/>
      <c r="E3813" s="702"/>
      <c r="F3813" s="702"/>
      <c r="G3813" s="675"/>
      <c r="H3813" s="675"/>
      <c r="I3813" s="675"/>
      <c r="J3813" s="675"/>
      <c r="K3813" s="675"/>
      <c r="L3813" s="675"/>
      <c r="M3813" s="675"/>
    </row>
    <row r="3814" spans="1:13" x14ac:dyDescent="0.25">
      <c r="A3814" s="675" t="s">
        <v>3698</v>
      </c>
      <c r="B3814" s="675" t="s">
        <v>564</v>
      </c>
      <c r="C3814" s="675" t="s">
        <v>3718</v>
      </c>
      <c r="D3814" s="675"/>
      <c r="E3814" s="702"/>
      <c r="F3814" s="702"/>
      <c r="G3814" s="675"/>
      <c r="H3814" s="675"/>
      <c r="I3814" s="675"/>
      <c r="J3814" s="675"/>
      <c r="K3814" s="675"/>
      <c r="L3814" s="675"/>
      <c r="M3814" s="675"/>
    </row>
    <row r="3815" spans="1:13" x14ac:dyDescent="0.25">
      <c r="A3815" s="675" t="s">
        <v>3698</v>
      </c>
      <c r="B3815" s="675" t="s">
        <v>512</v>
      </c>
      <c r="C3815" s="675" t="s">
        <v>3719</v>
      </c>
      <c r="D3815" s="675"/>
      <c r="E3815" s="702"/>
      <c r="F3815" s="702"/>
      <c r="G3815" s="675"/>
      <c r="H3815" s="675"/>
      <c r="I3815" s="675"/>
      <c r="J3815" s="675"/>
      <c r="K3815" s="675"/>
      <c r="L3815" s="675"/>
      <c r="M3815" s="675"/>
    </row>
    <row r="3816" spans="1:13" x14ac:dyDescent="0.25">
      <c r="A3816" s="675" t="s">
        <v>3698</v>
      </c>
      <c r="B3816" s="675" t="s">
        <v>512</v>
      </c>
      <c r="C3816" s="675" t="s">
        <v>3720</v>
      </c>
      <c r="D3816" s="675"/>
      <c r="E3816" s="702"/>
      <c r="F3816" s="702"/>
      <c r="G3816" s="675"/>
      <c r="H3816" s="675"/>
      <c r="I3816" s="675"/>
      <c r="J3816" s="675"/>
      <c r="K3816" s="675"/>
      <c r="L3816" s="675"/>
      <c r="M3816" s="675"/>
    </row>
    <row r="3817" spans="1:13" x14ac:dyDescent="0.25">
      <c r="A3817" s="675" t="s">
        <v>3698</v>
      </c>
      <c r="B3817" s="675" t="s">
        <v>512</v>
      </c>
      <c r="C3817" s="675" t="s">
        <v>3721</v>
      </c>
      <c r="D3817" s="675"/>
      <c r="E3817" s="702"/>
      <c r="F3817" s="702"/>
      <c r="G3817" s="675"/>
      <c r="H3817" s="675"/>
      <c r="I3817" s="675"/>
      <c r="J3817" s="675"/>
      <c r="K3817" s="675"/>
      <c r="L3817" s="675"/>
      <c r="M3817" s="675"/>
    </row>
    <row r="3818" spans="1:13" x14ac:dyDescent="0.25">
      <c r="A3818" s="675" t="s">
        <v>3698</v>
      </c>
      <c r="B3818" s="675" t="s">
        <v>512</v>
      </c>
      <c r="C3818" s="675" t="s">
        <v>3722</v>
      </c>
      <c r="D3818" s="675"/>
      <c r="E3818" s="702"/>
      <c r="F3818" s="702"/>
      <c r="G3818" s="675"/>
      <c r="H3818" s="675"/>
      <c r="I3818" s="675"/>
      <c r="J3818" s="675"/>
      <c r="K3818" s="675"/>
      <c r="L3818" s="675"/>
      <c r="M3818" s="675"/>
    </row>
    <row r="3819" spans="1:13" x14ac:dyDescent="0.25">
      <c r="A3819" s="675" t="s">
        <v>3698</v>
      </c>
      <c r="B3819" s="675" t="s">
        <v>512</v>
      </c>
      <c r="C3819" s="675" t="s">
        <v>3723</v>
      </c>
      <c r="D3819" s="675"/>
      <c r="E3819" s="702"/>
      <c r="F3819" s="702"/>
      <c r="G3819" s="675"/>
      <c r="H3819" s="675"/>
      <c r="I3819" s="675"/>
      <c r="J3819" s="675"/>
      <c r="K3819" s="675"/>
      <c r="L3819" s="675"/>
      <c r="M3819" s="675"/>
    </row>
    <row r="3820" spans="1:13" x14ac:dyDescent="0.25">
      <c r="A3820" s="675" t="s">
        <v>3698</v>
      </c>
      <c r="B3820" s="675" t="s">
        <v>512</v>
      </c>
      <c r="C3820" s="675" t="s">
        <v>3724</v>
      </c>
      <c r="D3820" s="675"/>
      <c r="E3820" s="702"/>
      <c r="F3820" s="702"/>
      <c r="G3820" s="675"/>
      <c r="H3820" s="675"/>
      <c r="I3820" s="675"/>
      <c r="J3820" s="675"/>
      <c r="K3820" s="675"/>
      <c r="L3820" s="675"/>
      <c r="M3820" s="675"/>
    </row>
    <row r="3821" spans="1:13" x14ac:dyDescent="0.25">
      <c r="A3821" s="675" t="s">
        <v>3698</v>
      </c>
      <c r="B3821" s="675" t="s">
        <v>512</v>
      </c>
      <c r="C3821" s="675" t="s">
        <v>3725</v>
      </c>
      <c r="D3821" s="675"/>
      <c r="E3821" s="702"/>
      <c r="F3821" s="702"/>
      <c r="G3821" s="675"/>
      <c r="H3821" s="675"/>
      <c r="I3821" s="675"/>
      <c r="J3821" s="675"/>
      <c r="K3821" s="675"/>
      <c r="L3821" s="675"/>
      <c r="M3821" s="675"/>
    </row>
    <row r="3822" spans="1:13" x14ac:dyDescent="0.25">
      <c r="A3822" s="675" t="s">
        <v>3698</v>
      </c>
      <c r="B3822" s="675" t="s">
        <v>512</v>
      </c>
      <c r="C3822" s="675" t="s">
        <v>3726</v>
      </c>
      <c r="D3822" s="675"/>
      <c r="E3822" s="702"/>
      <c r="F3822" s="702"/>
      <c r="G3822" s="675"/>
      <c r="H3822" s="675"/>
      <c r="I3822" s="675"/>
      <c r="J3822" s="675"/>
      <c r="K3822" s="675"/>
      <c r="L3822" s="675"/>
      <c r="M3822" s="675"/>
    </row>
    <row r="3823" spans="1:13" x14ac:dyDescent="0.25">
      <c r="A3823" s="675" t="s">
        <v>3698</v>
      </c>
      <c r="B3823" s="675" t="s">
        <v>512</v>
      </c>
      <c r="C3823" s="675" t="s">
        <v>3727</v>
      </c>
      <c r="D3823" s="675"/>
      <c r="E3823" s="702"/>
      <c r="F3823" s="702"/>
      <c r="G3823" s="675"/>
      <c r="H3823" s="675"/>
      <c r="I3823" s="675"/>
      <c r="J3823" s="675"/>
      <c r="K3823" s="675"/>
      <c r="L3823" s="675"/>
      <c r="M3823" s="675"/>
    </row>
    <row r="3824" spans="1:13" x14ac:dyDescent="0.25">
      <c r="A3824" s="675" t="s">
        <v>3698</v>
      </c>
      <c r="B3824" s="675" t="s">
        <v>512</v>
      </c>
      <c r="C3824" s="675" t="s">
        <v>3728</v>
      </c>
      <c r="D3824" s="675"/>
      <c r="E3824" s="702"/>
      <c r="F3824" s="702"/>
      <c r="G3824" s="675"/>
      <c r="H3824" s="675"/>
      <c r="I3824" s="675"/>
      <c r="J3824" s="675"/>
      <c r="K3824" s="675"/>
      <c r="L3824" s="675"/>
      <c r="M3824" s="675"/>
    </row>
    <row r="3825" spans="1:13" x14ac:dyDescent="0.25">
      <c r="A3825" s="675" t="s">
        <v>3729</v>
      </c>
      <c r="B3825" s="675" t="s">
        <v>545</v>
      </c>
      <c r="C3825" s="675" t="s">
        <v>3730</v>
      </c>
      <c r="D3825" s="675"/>
      <c r="E3825" s="702"/>
      <c r="F3825" s="702"/>
      <c r="G3825" s="675"/>
      <c r="H3825" s="675"/>
      <c r="I3825" s="675"/>
      <c r="J3825" s="675"/>
      <c r="K3825" s="675"/>
      <c r="L3825" s="675"/>
      <c r="M3825" s="675"/>
    </row>
    <row r="3826" spans="1:13" x14ac:dyDescent="0.25">
      <c r="A3826" s="675" t="s">
        <v>3729</v>
      </c>
      <c r="B3826" s="675" t="s">
        <v>545</v>
      </c>
      <c r="C3826" s="675" t="s">
        <v>3731</v>
      </c>
      <c r="D3826" s="675"/>
      <c r="E3826" s="702"/>
      <c r="F3826" s="702"/>
      <c r="G3826" s="675"/>
      <c r="H3826" s="675"/>
      <c r="I3826" s="675"/>
      <c r="J3826" s="675"/>
      <c r="K3826" s="675"/>
      <c r="L3826" s="675"/>
      <c r="M3826" s="675"/>
    </row>
    <row r="3827" spans="1:13" x14ac:dyDescent="0.25">
      <c r="A3827" s="675" t="s">
        <v>3729</v>
      </c>
      <c r="B3827" s="675" t="s">
        <v>545</v>
      </c>
      <c r="C3827" s="675" t="s">
        <v>3732</v>
      </c>
      <c r="D3827" s="675"/>
      <c r="E3827" s="702"/>
      <c r="F3827" s="702"/>
      <c r="G3827" s="675"/>
      <c r="H3827" s="675"/>
      <c r="I3827" s="675"/>
      <c r="J3827" s="675"/>
      <c r="K3827" s="675"/>
      <c r="L3827" s="675"/>
      <c r="M3827" s="675"/>
    </row>
    <row r="3828" spans="1:13" x14ac:dyDescent="0.25">
      <c r="A3828" s="675" t="s">
        <v>3729</v>
      </c>
      <c r="B3828" s="675" t="s">
        <v>545</v>
      </c>
      <c r="C3828" s="675" t="s">
        <v>3733</v>
      </c>
      <c r="D3828" s="675"/>
      <c r="E3828" s="702"/>
      <c r="F3828" s="702"/>
      <c r="G3828" s="675"/>
      <c r="H3828" s="675"/>
      <c r="I3828" s="675"/>
      <c r="J3828" s="675"/>
      <c r="K3828" s="675"/>
      <c r="L3828" s="675"/>
      <c r="M3828" s="675"/>
    </row>
    <row r="3829" spans="1:13" x14ac:dyDescent="0.25">
      <c r="A3829" s="675" t="s">
        <v>3729</v>
      </c>
      <c r="B3829" s="675" t="s">
        <v>545</v>
      </c>
      <c r="C3829" s="675" t="s">
        <v>3734</v>
      </c>
      <c r="D3829" s="675"/>
      <c r="E3829" s="702"/>
      <c r="F3829" s="702"/>
      <c r="G3829" s="675"/>
      <c r="H3829" s="675"/>
      <c r="I3829" s="675"/>
      <c r="J3829" s="675"/>
      <c r="K3829" s="675"/>
      <c r="L3829" s="675"/>
      <c r="M3829" s="675"/>
    </row>
    <row r="3830" spans="1:13" x14ac:dyDescent="0.25">
      <c r="A3830" s="675" t="s">
        <v>3729</v>
      </c>
      <c r="B3830" s="675" t="s">
        <v>545</v>
      </c>
      <c r="C3830" s="675" t="s">
        <v>3735</v>
      </c>
      <c r="D3830" s="675"/>
      <c r="E3830" s="702"/>
      <c r="F3830" s="702"/>
      <c r="G3830" s="675"/>
      <c r="H3830" s="675"/>
      <c r="I3830" s="675"/>
      <c r="J3830" s="675"/>
      <c r="K3830" s="675"/>
      <c r="L3830" s="675"/>
      <c r="M3830" s="675"/>
    </row>
    <row r="3831" spans="1:13" x14ac:dyDescent="0.25">
      <c r="A3831" s="675" t="s">
        <v>3729</v>
      </c>
      <c r="B3831" s="675" t="s">
        <v>545</v>
      </c>
      <c r="C3831" s="675" t="s">
        <v>3736</v>
      </c>
      <c r="D3831" s="675"/>
      <c r="E3831" s="702"/>
      <c r="F3831" s="702"/>
      <c r="G3831" s="675"/>
      <c r="H3831" s="675"/>
      <c r="I3831" s="675"/>
      <c r="J3831" s="675"/>
      <c r="K3831" s="675"/>
      <c r="L3831" s="675"/>
      <c r="M3831" s="675"/>
    </row>
    <row r="3832" spans="1:13" x14ac:dyDescent="0.25">
      <c r="A3832" s="675" t="s">
        <v>3729</v>
      </c>
      <c r="B3832" s="675" t="s">
        <v>545</v>
      </c>
      <c r="C3832" s="675" t="s">
        <v>3737</v>
      </c>
      <c r="D3832" s="675"/>
      <c r="E3832" s="702"/>
      <c r="F3832" s="702"/>
      <c r="G3832" s="675"/>
      <c r="H3832" s="675"/>
      <c r="I3832" s="675"/>
      <c r="J3832" s="675"/>
      <c r="K3832" s="675"/>
      <c r="L3832" s="675"/>
      <c r="M3832" s="675"/>
    </row>
    <row r="3833" spans="1:13" x14ac:dyDescent="0.25">
      <c r="A3833" s="675" t="s">
        <v>3729</v>
      </c>
      <c r="B3833" s="675" t="s">
        <v>545</v>
      </c>
      <c r="C3833" s="675" t="s">
        <v>3738</v>
      </c>
      <c r="D3833" s="675"/>
      <c r="E3833" s="702"/>
      <c r="F3833" s="702"/>
      <c r="G3833" s="675"/>
      <c r="H3833" s="675"/>
      <c r="I3833" s="675"/>
      <c r="J3833" s="675"/>
      <c r="K3833" s="675"/>
      <c r="L3833" s="675"/>
      <c r="M3833" s="675"/>
    </row>
    <row r="3834" spans="1:13" x14ac:dyDescent="0.25">
      <c r="A3834" s="675" t="s">
        <v>3729</v>
      </c>
      <c r="B3834" s="675" t="s">
        <v>545</v>
      </c>
      <c r="C3834" s="675" t="s">
        <v>3739</v>
      </c>
      <c r="D3834" s="675"/>
      <c r="E3834" s="702"/>
      <c r="F3834" s="702"/>
      <c r="G3834" s="675"/>
      <c r="H3834" s="675"/>
      <c r="I3834" s="675"/>
      <c r="J3834" s="675"/>
      <c r="K3834" s="675"/>
      <c r="L3834" s="675"/>
      <c r="M3834" s="675"/>
    </row>
    <row r="3835" spans="1:13" x14ac:dyDescent="0.25">
      <c r="A3835" s="675" t="s">
        <v>3729</v>
      </c>
      <c r="B3835" s="675" t="s">
        <v>564</v>
      </c>
      <c r="C3835" s="675" t="s">
        <v>3740</v>
      </c>
      <c r="D3835" s="675"/>
      <c r="E3835" s="702"/>
      <c r="F3835" s="702"/>
      <c r="G3835" s="675"/>
      <c r="H3835" s="675"/>
      <c r="I3835" s="675"/>
      <c r="J3835" s="675"/>
      <c r="K3835" s="675"/>
      <c r="L3835" s="675"/>
      <c r="M3835" s="675"/>
    </row>
    <row r="3836" spans="1:13" x14ac:dyDescent="0.25">
      <c r="A3836" s="675" t="s">
        <v>3729</v>
      </c>
      <c r="B3836" s="675" t="s">
        <v>564</v>
      </c>
      <c r="C3836" s="675" t="s">
        <v>3741</v>
      </c>
      <c r="D3836" s="675"/>
      <c r="E3836" s="702"/>
      <c r="F3836" s="702"/>
      <c r="G3836" s="675"/>
      <c r="H3836" s="675"/>
      <c r="I3836" s="675"/>
      <c r="J3836" s="675"/>
      <c r="K3836" s="675"/>
      <c r="L3836" s="675"/>
      <c r="M3836" s="675"/>
    </row>
    <row r="3837" spans="1:13" x14ac:dyDescent="0.25">
      <c r="A3837" s="675" t="s">
        <v>3729</v>
      </c>
      <c r="B3837" s="675" t="s">
        <v>564</v>
      </c>
      <c r="C3837" s="675" t="s">
        <v>3742</v>
      </c>
      <c r="D3837" s="675"/>
      <c r="E3837" s="702"/>
      <c r="F3837" s="702"/>
      <c r="G3837" s="675"/>
      <c r="H3837" s="675"/>
      <c r="I3837" s="675"/>
      <c r="J3837" s="675"/>
      <c r="K3837" s="675"/>
      <c r="L3837" s="675"/>
      <c r="M3837" s="675"/>
    </row>
    <row r="3838" spans="1:13" x14ac:dyDescent="0.25">
      <c r="A3838" s="675" t="s">
        <v>3729</v>
      </c>
      <c r="B3838" s="675" t="s">
        <v>564</v>
      </c>
      <c r="C3838" s="675" t="s">
        <v>3743</v>
      </c>
      <c r="D3838" s="675"/>
      <c r="E3838" s="702"/>
      <c r="F3838" s="702"/>
      <c r="G3838" s="675"/>
      <c r="H3838" s="675"/>
      <c r="I3838" s="675"/>
      <c r="J3838" s="675"/>
      <c r="K3838" s="675"/>
      <c r="L3838" s="675"/>
      <c r="M3838" s="675"/>
    </row>
    <row r="3839" spans="1:13" x14ac:dyDescent="0.25">
      <c r="A3839" s="675" t="s">
        <v>3729</v>
      </c>
      <c r="B3839" s="675" t="s">
        <v>564</v>
      </c>
      <c r="C3839" s="675" t="s">
        <v>3744</v>
      </c>
      <c r="D3839" s="675"/>
      <c r="E3839" s="702"/>
      <c r="F3839" s="702"/>
      <c r="G3839" s="675"/>
      <c r="H3839" s="675"/>
      <c r="I3839" s="675"/>
      <c r="J3839" s="675"/>
      <c r="K3839" s="675"/>
      <c r="L3839" s="675"/>
      <c r="M3839" s="675"/>
    </row>
    <row r="3840" spans="1:13" x14ac:dyDescent="0.25">
      <c r="A3840" s="675" t="s">
        <v>3729</v>
      </c>
      <c r="B3840" s="675" t="s">
        <v>564</v>
      </c>
      <c r="C3840" s="675" t="s">
        <v>3745</v>
      </c>
      <c r="D3840" s="675"/>
      <c r="E3840" s="702"/>
      <c r="F3840" s="702"/>
      <c r="G3840" s="675"/>
      <c r="H3840" s="675"/>
      <c r="I3840" s="675"/>
      <c r="J3840" s="675"/>
      <c r="K3840" s="675"/>
      <c r="L3840" s="675"/>
      <c r="M3840" s="675"/>
    </row>
    <row r="3841" spans="1:13" x14ac:dyDescent="0.25">
      <c r="A3841" s="675" t="s">
        <v>3729</v>
      </c>
      <c r="B3841" s="675" t="s">
        <v>564</v>
      </c>
      <c r="C3841" s="675" t="s">
        <v>3746</v>
      </c>
      <c r="D3841" s="675"/>
      <c r="E3841" s="702"/>
      <c r="F3841" s="702"/>
      <c r="G3841" s="675"/>
      <c r="H3841" s="675"/>
      <c r="I3841" s="675"/>
      <c r="J3841" s="675"/>
      <c r="K3841" s="675"/>
      <c r="L3841" s="675"/>
      <c r="M3841" s="675"/>
    </row>
    <row r="3842" spans="1:13" x14ac:dyDescent="0.25">
      <c r="A3842" s="675" t="s">
        <v>3729</v>
      </c>
      <c r="B3842" s="675" t="s">
        <v>564</v>
      </c>
      <c r="C3842" s="675" t="s">
        <v>3747</v>
      </c>
      <c r="D3842" s="675"/>
      <c r="E3842" s="702"/>
      <c r="F3842" s="702"/>
      <c r="G3842" s="675"/>
      <c r="H3842" s="675"/>
      <c r="I3842" s="675"/>
      <c r="J3842" s="675"/>
      <c r="K3842" s="675"/>
      <c r="L3842" s="675"/>
      <c r="M3842" s="675"/>
    </row>
    <row r="3843" spans="1:13" x14ac:dyDescent="0.25">
      <c r="A3843" s="675" t="s">
        <v>3729</v>
      </c>
      <c r="B3843" s="675" t="s">
        <v>564</v>
      </c>
      <c r="C3843" s="675" t="s">
        <v>3748</v>
      </c>
      <c r="D3843" s="675"/>
      <c r="E3843" s="702"/>
      <c r="F3843" s="702"/>
      <c r="G3843" s="675"/>
      <c r="H3843" s="675"/>
      <c r="I3843" s="675"/>
      <c r="J3843" s="675"/>
      <c r="K3843" s="675"/>
      <c r="L3843" s="675"/>
      <c r="M3843" s="675"/>
    </row>
    <row r="3844" spans="1:13" x14ac:dyDescent="0.25">
      <c r="A3844" s="675" t="s">
        <v>3729</v>
      </c>
      <c r="B3844" s="675" t="s">
        <v>564</v>
      </c>
      <c r="C3844" s="675" t="s">
        <v>3749</v>
      </c>
      <c r="D3844" s="675"/>
      <c r="E3844" s="702"/>
      <c r="F3844" s="702"/>
      <c r="G3844" s="675"/>
      <c r="H3844" s="675"/>
      <c r="I3844" s="675"/>
      <c r="J3844" s="675"/>
      <c r="K3844" s="675"/>
      <c r="L3844" s="675"/>
      <c r="M3844" s="675"/>
    </row>
    <row r="3845" spans="1:13" x14ac:dyDescent="0.25">
      <c r="A3845" s="675" t="s">
        <v>3729</v>
      </c>
      <c r="B3845" s="675" t="s">
        <v>512</v>
      </c>
      <c r="C3845" s="675" t="s">
        <v>3750</v>
      </c>
      <c r="D3845" s="675"/>
      <c r="E3845" s="702"/>
      <c r="F3845" s="702"/>
      <c r="G3845" s="675"/>
      <c r="H3845" s="675"/>
      <c r="I3845" s="675"/>
      <c r="J3845" s="675"/>
      <c r="K3845" s="675"/>
      <c r="L3845" s="675"/>
      <c r="M3845" s="675"/>
    </row>
    <row r="3846" spans="1:13" x14ac:dyDescent="0.25">
      <c r="A3846" s="675" t="s">
        <v>3729</v>
      </c>
      <c r="B3846" s="675" t="s">
        <v>512</v>
      </c>
      <c r="C3846" s="675" t="s">
        <v>3751</v>
      </c>
      <c r="D3846" s="675"/>
      <c r="E3846" s="702"/>
      <c r="F3846" s="702"/>
      <c r="G3846" s="675"/>
      <c r="H3846" s="675"/>
      <c r="I3846" s="675"/>
      <c r="J3846" s="675"/>
      <c r="K3846" s="675"/>
      <c r="L3846" s="675"/>
      <c r="M3846" s="675"/>
    </row>
    <row r="3847" spans="1:13" x14ac:dyDescent="0.25">
      <c r="A3847" s="675" t="s">
        <v>3729</v>
      </c>
      <c r="B3847" s="675" t="s">
        <v>512</v>
      </c>
      <c r="C3847" s="675" t="s">
        <v>3752</v>
      </c>
      <c r="D3847" s="675"/>
      <c r="E3847" s="702"/>
      <c r="F3847" s="702"/>
      <c r="G3847" s="675"/>
      <c r="H3847" s="675"/>
      <c r="I3847" s="675"/>
      <c r="J3847" s="675"/>
      <c r="K3847" s="675"/>
      <c r="L3847" s="675"/>
      <c r="M3847" s="675"/>
    </row>
    <row r="3848" spans="1:13" x14ac:dyDescent="0.25">
      <c r="A3848" s="675" t="s">
        <v>3729</v>
      </c>
      <c r="B3848" s="675" t="s">
        <v>512</v>
      </c>
      <c r="C3848" s="675" t="s">
        <v>3753</v>
      </c>
      <c r="D3848" s="675"/>
      <c r="E3848" s="702"/>
      <c r="F3848" s="702"/>
      <c r="G3848" s="675"/>
      <c r="H3848" s="675"/>
      <c r="I3848" s="675"/>
      <c r="J3848" s="675"/>
      <c r="K3848" s="675"/>
      <c r="L3848" s="675"/>
      <c r="M3848" s="675"/>
    </row>
    <row r="3849" spans="1:13" x14ac:dyDescent="0.25">
      <c r="A3849" s="675" t="s">
        <v>3729</v>
      </c>
      <c r="B3849" s="675" t="s">
        <v>512</v>
      </c>
      <c r="C3849" s="675" t="s">
        <v>3754</v>
      </c>
      <c r="D3849" s="675"/>
      <c r="E3849" s="702"/>
      <c r="F3849" s="702"/>
      <c r="G3849" s="675"/>
      <c r="H3849" s="675"/>
      <c r="I3849" s="675"/>
      <c r="J3849" s="675"/>
      <c r="K3849" s="675"/>
      <c r="L3849" s="675"/>
      <c r="M3849" s="675"/>
    </row>
    <row r="3850" spans="1:13" x14ac:dyDescent="0.25">
      <c r="A3850" s="675" t="s">
        <v>3729</v>
      </c>
      <c r="B3850" s="675" t="s">
        <v>512</v>
      </c>
      <c r="C3850" s="675" t="s">
        <v>3755</v>
      </c>
      <c r="D3850" s="675"/>
      <c r="E3850" s="702"/>
      <c r="F3850" s="702"/>
      <c r="G3850" s="675"/>
      <c r="H3850" s="675"/>
      <c r="I3850" s="675"/>
      <c r="J3850" s="675"/>
      <c r="K3850" s="675"/>
      <c r="L3850" s="675"/>
      <c r="M3850" s="675"/>
    </row>
    <row r="3851" spans="1:13" x14ac:dyDescent="0.25">
      <c r="A3851" s="675" t="s">
        <v>3729</v>
      </c>
      <c r="B3851" s="675" t="s">
        <v>512</v>
      </c>
      <c r="C3851" s="675" t="s">
        <v>3756</v>
      </c>
      <c r="D3851" s="675"/>
      <c r="E3851" s="702"/>
      <c r="F3851" s="702"/>
      <c r="G3851" s="675"/>
      <c r="H3851" s="675"/>
      <c r="I3851" s="675"/>
      <c r="J3851" s="675"/>
      <c r="K3851" s="675"/>
      <c r="L3851" s="675"/>
      <c r="M3851" s="675"/>
    </row>
    <row r="3852" spans="1:13" x14ac:dyDescent="0.25">
      <c r="A3852" s="675" t="s">
        <v>3729</v>
      </c>
      <c r="B3852" s="675" t="s">
        <v>512</v>
      </c>
      <c r="C3852" s="675" t="s">
        <v>3757</v>
      </c>
      <c r="D3852" s="675"/>
      <c r="E3852" s="702"/>
      <c r="F3852" s="702"/>
      <c r="G3852" s="675"/>
      <c r="H3852" s="675"/>
      <c r="I3852" s="675"/>
      <c r="J3852" s="675"/>
      <c r="K3852" s="675"/>
      <c r="L3852" s="675"/>
      <c r="M3852" s="675"/>
    </row>
    <row r="3853" spans="1:13" x14ac:dyDescent="0.25">
      <c r="A3853" s="675" t="s">
        <v>3729</v>
      </c>
      <c r="B3853" s="675" t="s">
        <v>512</v>
      </c>
      <c r="C3853" s="675" t="s">
        <v>3758</v>
      </c>
      <c r="D3853" s="675"/>
      <c r="E3853" s="702"/>
      <c r="F3853" s="702"/>
      <c r="G3853" s="675"/>
      <c r="H3853" s="675"/>
      <c r="I3853" s="675"/>
      <c r="J3853" s="675"/>
      <c r="K3853" s="675"/>
      <c r="L3853" s="675"/>
      <c r="M3853" s="675"/>
    </row>
    <row r="3854" spans="1:13" x14ac:dyDescent="0.25">
      <c r="A3854" s="675" t="s">
        <v>3729</v>
      </c>
      <c r="B3854" s="675" t="s">
        <v>512</v>
      </c>
      <c r="C3854" s="675" t="s">
        <v>3759</v>
      </c>
      <c r="D3854" s="675"/>
      <c r="E3854" s="702"/>
      <c r="F3854" s="702"/>
      <c r="G3854" s="675"/>
      <c r="H3854" s="675"/>
      <c r="I3854" s="675"/>
      <c r="J3854" s="675"/>
      <c r="K3854" s="675"/>
      <c r="L3854" s="675"/>
      <c r="M3854" s="675"/>
    </row>
    <row r="3855" spans="1:13" x14ac:dyDescent="0.25">
      <c r="A3855" s="675" t="s">
        <v>3760</v>
      </c>
      <c r="B3855" s="675" t="s">
        <v>545</v>
      </c>
      <c r="C3855" s="675" t="s">
        <v>3761</v>
      </c>
      <c r="D3855" s="675"/>
      <c r="E3855" s="702"/>
      <c r="F3855" s="702"/>
      <c r="G3855" s="675"/>
      <c r="H3855" s="675"/>
      <c r="I3855" s="675"/>
      <c r="J3855" s="675"/>
      <c r="K3855" s="675"/>
      <c r="L3855" s="675"/>
      <c r="M3855" s="675"/>
    </row>
    <row r="3856" spans="1:13" x14ac:dyDescent="0.25">
      <c r="A3856" s="675" t="s">
        <v>3760</v>
      </c>
      <c r="B3856" s="675" t="s">
        <v>545</v>
      </c>
      <c r="C3856" s="675" t="s">
        <v>3762</v>
      </c>
      <c r="D3856" s="675"/>
      <c r="E3856" s="702"/>
      <c r="F3856" s="702"/>
      <c r="G3856" s="675"/>
      <c r="H3856" s="675"/>
      <c r="I3856" s="675"/>
      <c r="J3856" s="675"/>
      <c r="K3856" s="675"/>
      <c r="L3856" s="675"/>
      <c r="M3856" s="675"/>
    </row>
    <row r="3857" spans="1:13" x14ac:dyDescent="0.25">
      <c r="A3857" s="675" t="s">
        <v>3760</v>
      </c>
      <c r="B3857" s="675" t="s">
        <v>545</v>
      </c>
      <c r="C3857" s="675" t="s">
        <v>3763</v>
      </c>
      <c r="D3857" s="675"/>
      <c r="E3857" s="702"/>
      <c r="F3857" s="702"/>
      <c r="G3857" s="675"/>
      <c r="H3857" s="675"/>
      <c r="I3857" s="675"/>
      <c r="J3857" s="675"/>
      <c r="K3857" s="675"/>
      <c r="L3857" s="675"/>
      <c r="M3857" s="675"/>
    </row>
    <row r="3858" spans="1:13" x14ac:dyDescent="0.25">
      <c r="A3858" s="675" t="s">
        <v>3760</v>
      </c>
      <c r="B3858" s="675" t="s">
        <v>545</v>
      </c>
      <c r="C3858" s="675" t="s">
        <v>3764</v>
      </c>
      <c r="D3858" s="675"/>
      <c r="E3858" s="702"/>
      <c r="F3858" s="702"/>
      <c r="G3858" s="675"/>
      <c r="H3858" s="675"/>
      <c r="I3858" s="675"/>
      <c r="J3858" s="675"/>
      <c r="K3858" s="675"/>
      <c r="L3858" s="675"/>
      <c r="M3858" s="675"/>
    </row>
    <row r="3859" spans="1:13" x14ac:dyDescent="0.25">
      <c r="A3859" s="675" t="s">
        <v>3760</v>
      </c>
      <c r="B3859" s="675" t="s">
        <v>545</v>
      </c>
      <c r="C3859" s="675" t="s">
        <v>3765</v>
      </c>
      <c r="D3859" s="675"/>
      <c r="E3859" s="702"/>
      <c r="F3859" s="702"/>
      <c r="G3859" s="675"/>
      <c r="H3859" s="675"/>
      <c r="I3859" s="675"/>
      <c r="J3859" s="675"/>
      <c r="K3859" s="675"/>
      <c r="L3859" s="675"/>
      <c r="M3859" s="675"/>
    </row>
    <row r="3860" spans="1:13" x14ac:dyDescent="0.25">
      <c r="A3860" s="675" t="s">
        <v>3760</v>
      </c>
      <c r="B3860" s="675" t="s">
        <v>545</v>
      </c>
      <c r="C3860" s="675" t="s">
        <v>3766</v>
      </c>
      <c r="D3860" s="675"/>
      <c r="E3860" s="702"/>
      <c r="F3860" s="702"/>
      <c r="G3860" s="675"/>
      <c r="H3860" s="675"/>
      <c r="I3860" s="675"/>
      <c r="J3860" s="675"/>
      <c r="K3860" s="675"/>
      <c r="L3860" s="675"/>
      <c r="M3860" s="675"/>
    </row>
    <row r="3861" spans="1:13" x14ac:dyDescent="0.25">
      <c r="A3861" s="675" t="s">
        <v>3760</v>
      </c>
      <c r="B3861" s="675" t="s">
        <v>545</v>
      </c>
      <c r="C3861" s="675" t="s">
        <v>3767</v>
      </c>
      <c r="D3861" s="675"/>
      <c r="E3861" s="702"/>
      <c r="F3861" s="702"/>
      <c r="G3861" s="675"/>
      <c r="H3861" s="675"/>
      <c r="I3861" s="675"/>
      <c r="J3861" s="675"/>
      <c r="K3861" s="675"/>
      <c r="L3861" s="675"/>
      <c r="M3861" s="675"/>
    </row>
    <row r="3862" spans="1:13" x14ac:dyDescent="0.25">
      <c r="A3862" s="675" t="s">
        <v>3760</v>
      </c>
      <c r="B3862" s="675" t="s">
        <v>545</v>
      </c>
      <c r="C3862" s="675" t="s">
        <v>3768</v>
      </c>
      <c r="D3862" s="675"/>
      <c r="E3862" s="702"/>
      <c r="F3862" s="702"/>
      <c r="G3862" s="675"/>
      <c r="H3862" s="675"/>
      <c r="I3862" s="675"/>
      <c r="J3862" s="675"/>
      <c r="K3862" s="675"/>
      <c r="L3862" s="675"/>
      <c r="M3862" s="675"/>
    </row>
    <row r="3863" spans="1:13" x14ac:dyDescent="0.25">
      <c r="A3863" s="675" t="s">
        <v>3760</v>
      </c>
      <c r="B3863" s="675" t="s">
        <v>545</v>
      </c>
      <c r="C3863" s="675" t="s">
        <v>3769</v>
      </c>
      <c r="D3863" s="675"/>
      <c r="E3863" s="702"/>
      <c r="F3863" s="702"/>
      <c r="G3863" s="675"/>
      <c r="H3863" s="675"/>
      <c r="I3863" s="675"/>
      <c r="J3863" s="675"/>
      <c r="K3863" s="675"/>
      <c r="L3863" s="675"/>
      <c r="M3863" s="675"/>
    </row>
    <row r="3864" spans="1:13" x14ac:dyDescent="0.25">
      <c r="A3864" s="675" t="s">
        <v>3760</v>
      </c>
      <c r="B3864" s="675" t="s">
        <v>545</v>
      </c>
      <c r="C3864" s="675" t="s">
        <v>3770</v>
      </c>
      <c r="D3864" s="675"/>
      <c r="E3864" s="702"/>
      <c r="F3864" s="702"/>
      <c r="G3864" s="675"/>
      <c r="H3864" s="675"/>
      <c r="I3864" s="675"/>
      <c r="J3864" s="675"/>
      <c r="K3864" s="675"/>
      <c r="L3864" s="675"/>
      <c r="M3864" s="675"/>
    </row>
    <row r="3865" spans="1:13" x14ac:dyDescent="0.25">
      <c r="A3865" s="675" t="s">
        <v>3760</v>
      </c>
      <c r="B3865" s="675" t="s">
        <v>564</v>
      </c>
      <c r="C3865" s="675" t="s">
        <v>3771</v>
      </c>
      <c r="D3865" s="675"/>
      <c r="E3865" s="702"/>
      <c r="F3865" s="702"/>
      <c r="G3865" s="675"/>
      <c r="H3865" s="675"/>
      <c r="I3865" s="675"/>
      <c r="J3865" s="675"/>
      <c r="K3865" s="675"/>
      <c r="L3865" s="675"/>
      <c r="M3865" s="675"/>
    </row>
    <row r="3866" spans="1:13" x14ac:dyDescent="0.25">
      <c r="A3866" s="675" t="s">
        <v>3760</v>
      </c>
      <c r="B3866" s="675" t="s">
        <v>564</v>
      </c>
      <c r="C3866" s="675" t="s">
        <v>3772</v>
      </c>
      <c r="D3866" s="675"/>
      <c r="E3866" s="702"/>
      <c r="F3866" s="702"/>
      <c r="G3866" s="675"/>
      <c r="H3866" s="675"/>
      <c r="I3866" s="675"/>
      <c r="J3866" s="675"/>
      <c r="K3866" s="675"/>
      <c r="L3866" s="675"/>
      <c r="M3866" s="675"/>
    </row>
    <row r="3867" spans="1:13" x14ac:dyDescent="0.25">
      <c r="A3867" s="675" t="s">
        <v>3760</v>
      </c>
      <c r="B3867" s="675" t="s">
        <v>564</v>
      </c>
      <c r="C3867" s="675" t="s">
        <v>3773</v>
      </c>
      <c r="D3867" s="675"/>
      <c r="E3867" s="702"/>
      <c r="F3867" s="702"/>
      <c r="G3867" s="675"/>
      <c r="H3867" s="675"/>
      <c r="I3867" s="675"/>
      <c r="J3867" s="675"/>
      <c r="K3867" s="675"/>
      <c r="L3867" s="675"/>
      <c r="M3867" s="675"/>
    </row>
    <row r="3868" spans="1:13" x14ac:dyDescent="0.25">
      <c r="A3868" s="675" t="s">
        <v>3760</v>
      </c>
      <c r="B3868" s="675" t="s">
        <v>564</v>
      </c>
      <c r="C3868" s="675" t="s">
        <v>3774</v>
      </c>
      <c r="D3868" s="675"/>
      <c r="E3868" s="702"/>
      <c r="F3868" s="702"/>
      <c r="G3868" s="675"/>
      <c r="H3868" s="675"/>
      <c r="I3868" s="675"/>
      <c r="J3868" s="675"/>
      <c r="K3868" s="675"/>
      <c r="L3868" s="675"/>
      <c r="M3868" s="675"/>
    </row>
    <row r="3869" spans="1:13" x14ac:dyDescent="0.25">
      <c r="A3869" s="675" t="s">
        <v>3760</v>
      </c>
      <c r="B3869" s="675" t="s">
        <v>564</v>
      </c>
      <c r="C3869" s="675" t="s">
        <v>3775</v>
      </c>
      <c r="D3869" s="675"/>
      <c r="E3869" s="702"/>
      <c r="F3869" s="702"/>
      <c r="G3869" s="675"/>
      <c r="H3869" s="675"/>
      <c r="I3869" s="675"/>
      <c r="J3869" s="675"/>
      <c r="K3869" s="675"/>
      <c r="L3869" s="675"/>
      <c r="M3869" s="675"/>
    </row>
    <row r="3870" spans="1:13" x14ac:dyDescent="0.25">
      <c r="A3870" s="675" t="s">
        <v>3760</v>
      </c>
      <c r="B3870" s="675" t="s">
        <v>564</v>
      </c>
      <c r="C3870" s="675" t="s">
        <v>3776</v>
      </c>
      <c r="D3870" s="675"/>
      <c r="E3870" s="702"/>
      <c r="F3870" s="702"/>
      <c r="G3870" s="675"/>
      <c r="H3870" s="675"/>
      <c r="I3870" s="675"/>
      <c r="J3870" s="675"/>
      <c r="K3870" s="675"/>
      <c r="L3870" s="675"/>
      <c r="M3870" s="675"/>
    </row>
    <row r="3871" spans="1:13" x14ac:dyDescent="0.25">
      <c r="A3871" s="675" t="s">
        <v>3760</v>
      </c>
      <c r="B3871" s="675" t="s">
        <v>564</v>
      </c>
      <c r="C3871" s="675" t="s">
        <v>3684</v>
      </c>
      <c r="D3871" s="675"/>
      <c r="E3871" s="702"/>
      <c r="F3871" s="702"/>
      <c r="G3871" s="675"/>
      <c r="H3871" s="675"/>
      <c r="I3871" s="675"/>
      <c r="J3871" s="675"/>
      <c r="K3871" s="675"/>
      <c r="L3871" s="675"/>
      <c r="M3871" s="675"/>
    </row>
    <row r="3872" spans="1:13" x14ac:dyDescent="0.25">
      <c r="A3872" s="675" t="s">
        <v>3760</v>
      </c>
      <c r="B3872" s="675" t="s">
        <v>564</v>
      </c>
      <c r="C3872" s="675" t="s">
        <v>3777</v>
      </c>
      <c r="D3872" s="675"/>
      <c r="E3872" s="702"/>
      <c r="F3872" s="702"/>
      <c r="G3872" s="675"/>
      <c r="H3872" s="675"/>
      <c r="I3872" s="675"/>
      <c r="J3872" s="675"/>
      <c r="K3872" s="675"/>
      <c r="L3872" s="675"/>
      <c r="M3872" s="675"/>
    </row>
    <row r="3873" spans="1:13" x14ac:dyDescent="0.25">
      <c r="A3873" s="675" t="s">
        <v>3760</v>
      </c>
      <c r="B3873" s="675" t="s">
        <v>564</v>
      </c>
      <c r="C3873" s="675" t="s">
        <v>3778</v>
      </c>
      <c r="D3873" s="675"/>
      <c r="E3873" s="702"/>
      <c r="F3873" s="702"/>
      <c r="G3873" s="675"/>
      <c r="H3873" s="675"/>
      <c r="I3873" s="675"/>
      <c r="J3873" s="675"/>
      <c r="K3873" s="675"/>
      <c r="L3873" s="675"/>
      <c r="M3873" s="675"/>
    </row>
    <row r="3874" spans="1:13" x14ac:dyDescent="0.25">
      <c r="A3874" s="675" t="s">
        <v>3760</v>
      </c>
      <c r="B3874" s="675" t="s">
        <v>564</v>
      </c>
      <c r="C3874" s="675" t="s">
        <v>3779</v>
      </c>
      <c r="D3874" s="675"/>
      <c r="E3874" s="702"/>
      <c r="F3874" s="702"/>
      <c r="G3874" s="675"/>
      <c r="H3874" s="675"/>
      <c r="I3874" s="675"/>
      <c r="J3874" s="675"/>
      <c r="K3874" s="675"/>
      <c r="L3874" s="675"/>
      <c r="M3874" s="675"/>
    </row>
    <row r="3875" spans="1:13" x14ac:dyDescent="0.25">
      <c r="A3875" s="675" t="s">
        <v>3760</v>
      </c>
      <c r="B3875" s="675" t="s">
        <v>512</v>
      </c>
      <c r="C3875" s="675" t="s">
        <v>3780</v>
      </c>
      <c r="D3875" s="675"/>
      <c r="E3875" s="702"/>
      <c r="F3875" s="702"/>
      <c r="G3875" s="675"/>
      <c r="H3875" s="675"/>
      <c r="I3875" s="675"/>
      <c r="J3875" s="675"/>
      <c r="K3875" s="675"/>
      <c r="L3875" s="675"/>
      <c r="M3875" s="675"/>
    </row>
    <row r="3876" spans="1:13" x14ac:dyDescent="0.25">
      <c r="A3876" s="675" t="s">
        <v>3760</v>
      </c>
      <c r="B3876" s="675" t="s">
        <v>512</v>
      </c>
      <c r="C3876" s="675" t="s">
        <v>3781</v>
      </c>
      <c r="D3876" s="675"/>
      <c r="E3876" s="702"/>
      <c r="F3876" s="702"/>
      <c r="G3876" s="675"/>
      <c r="H3876" s="675"/>
      <c r="I3876" s="675"/>
      <c r="J3876" s="675"/>
      <c r="K3876" s="675"/>
      <c r="L3876" s="675"/>
      <c r="M3876" s="675"/>
    </row>
    <row r="3877" spans="1:13" x14ac:dyDescent="0.25">
      <c r="A3877" s="675" t="s">
        <v>3760</v>
      </c>
      <c r="B3877" s="675" t="s">
        <v>512</v>
      </c>
      <c r="C3877" s="675" t="s">
        <v>3782</v>
      </c>
      <c r="D3877" s="675"/>
      <c r="E3877" s="702"/>
      <c r="F3877" s="702"/>
      <c r="G3877" s="675"/>
      <c r="H3877" s="675"/>
      <c r="I3877" s="675"/>
      <c r="J3877" s="675"/>
      <c r="K3877" s="675"/>
      <c r="L3877" s="675"/>
      <c r="M3877" s="675"/>
    </row>
    <row r="3878" spans="1:13" x14ac:dyDescent="0.25">
      <c r="A3878" s="675" t="s">
        <v>3760</v>
      </c>
      <c r="B3878" s="675" t="s">
        <v>512</v>
      </c>
      <c r="C3878" s="675" t="s">
        <v>3783</v>
      </c>
      <c r="D3878" s="675"/>
      <c r="E3878" s="702"/>
      <c r="F3878" s="702"/>
      <c r="G3878" s="675"/>
      <c r="H3878" s="675"/>
      <c r="I3878" s="675"/>
      <c r="J3878" s="675"/>
      <c r="K3878" s="675"/>
      <c r="L3878" s="675"/>
      <c r="M3878" s="675"/>
    </row>
    <row r="3879" spans="1:13" x14ac:dyDescent="0.25">
      <c r="A3879" s="675" t="s">
        <v>3760</v>
      </c>
      <c r="B3879" s="675" t="s">
        <v>512</v>
      </c>
      <c r="C3879" s="675" t="s">
        <v>3784</v>
      </c>
      <c r="D3879" s="675"/>
      <c r="E3879" s="702"/>
      <c r="F3879" s="702"/>
      <c r="G3879" s="675"/>
      <c r="H3879" s="675"/>
      <c r="I3879" s="675"/>
      <c r="J3879" s="675"/>
      <c r="K3879" s="675"/>
      <c r="L3879" s="675"/>
      <c r="M3879" s="675"/>
    </row>
    <row r="3880" spans="1:13" x14ac:dyDescent="0.25">
      <c r="A3880" s="675" t="s">
        <v>3760</v>
      </c>
      <c r="B3880" s="675" t="s">
        <v>512</v>
      </c>
      <c r="C3880" s="675" t="s">
        <v>3785</v>
      </c>
      <c r="D3880" s="675"/>
      <c r="E3880" s="702"/>
      <c r="F3880" s="702"/>
      <c r="G3880" s="675"/>
      <c r="H3880" s="675"/>
      <c r="I3880" s="675"/>
      <c r="J3880" s="675"/>
      <c r="K3880" s="675"/>
      <c r="L3880" s="675"/>
      <c r="M3880" s="675"/>
    </row>
    <row r="3881" spans="1:13" x14ac:dyDescent="0.25">
      <c r="A3881" s="675" t="s">
        <v>3760</v>
      </c>
      <c r="B3881" s="675" t="s">
        <v>512</v>
      </c>
      <c r="C3881" s="675" t="s">
        <v>3786</v>
      </c>
      <c r="D3881" s="675"/>
      <c r="E3881" s="702"/>
      <c r="F3881" s="702"/>
      <c r="G3881" s="675"/>
      <c r="H3881" s="675"/>
      <c r="I3881" s="675"/>
      <c r="J3881" s="675"/>
      <c r="K3881" s="675"/>
      <c r="L3881" s="675"/>
      <c r="M3881" s="675"/>
    </row>
    <row r="3882" spans="1:13" x14ac:dyDescent="0.25">
      <c r="A3882" s="675" t="s">
        <v>3760</v>
      </c>
      <c r="B3882" s="675" t="s">
        <v>512</v>
      </c>
      <c r="C3882" s="675" t="s">
        <v>3787</v>
      </c>
      <c r="D3882" s="675"/>
      <c r="E3882" s="702"/>
      <c r="F3882" s="702"/>
      <c r="G3882" s="675"/>
      <c r="H3882" s="675"/>
      <c r="I3882" s="675"/>
      <c r="J3882" s="675"/>
      <c r="K3882" s="675"/>
      <c r="L3882" s="675"/>
      <c r="M3882" s="675"/>
    </row>
    <row r="3883" spans="1:13" x14ac:dyDescent="0.25">
      <c r="A3883" s="675" t="s">
        <v>3760</v>
      </c>
      <c r="B3883" s="675" t="s">
        <v>512</v>
      </c>
      <c r="C3883" s="675" t="s">
        <v>3788</v>
      </c>
      <c r="D3883" s="675"/>
      <c r="E3883" s="702"/>
      <c r="F3883" s="702"/>
      <c r="G3883" s="675"/>
      <c r="H3883" s="675"/>
      <c r="I3883" s="675"/>
      <c r="J3883" s="675"/>
      <c r="K3883" s="675"/>
      <c r="L3883" s="675"/>
      <c r="M3883" s="675"/>
    </row>
    <row r="3884" spans="1:13" x14ac:dyDescent="0.25">
      <c r="A3884" s="675" t="s">
        <v>3760</v>
      </c>
      <c r="B3884" s="675" t="s">
        <v>512</v>
      </c>
      <c r="C3884" s="675" t="s">
        <v>3789</v>
      </c>
      <c r="D3884" s="675"/>
      <c r="E3884" s="702"/>
      <c r="F3884" s="702"/>
      <c r="G3884" s="675"/>
      <c r="H3884" s="675"/>
      <c r="I3884" s="675"/>
      <c r="J3884" s="675"/>
      <c r="K3884" s="675"/>
      <c r="L3884" s="675"/>
      <c r="M3884" s="675"/>
    </row>
    <row r="3885" spans="1:13" x14ac:dyDescent="0.25">
      <c r="A3885" s="675" t="s">
        <v>2692</v>
      </c>
      <c r="B3885" s="675" t="s">
        <v>545</v>
      </c>
      <c r="C3885" s="675" t="s">
        <v>3790</v>
      </c>
      <c r="D3885" s="675"/>
      <c r="E3885" s="702"/>
      <c r="F3885" s="702"/>
      <c r="G3885" s="675"/>
      <c r="H3885" s="675"/>
      <c r="I3885" s="675"/>
      <c r="J3885" s="675"/>
      <c r="K3885" s="675"/>
      <c r="L3885" s="675"/>
      <c r="M3885" s="675"/>
    </row>
    <row r="3886" spans="1:13" x14ac:dyDescent="0.25">
      <c r="A3886" s="675" t="s">
        <v>2692</v>
      </c>
      <c r="B3886" s="675" t="s">
        <v>545</v>
      </c>
      <c r="C3886" s="675" t="s">
        <v>3791</v>
      </c>
      <c r="D3886" s="675"/>
      <c r="E3886" s="702"/>
      <c r="F3886" s="702"/>
      <c r="G3886" s="675"/>
      <c r="H3886" s="675"/>
      <c r="I3886" s="675"/>
      <c r="J3886" s="675"/>
      <c r="K3886" s="675"/>
      <c r="L3886" s="675"/>
      <c r="M3886" s="675"/>
    </row>
    <row r="3887" spans="1:13" x14ac:dyDescent="0.25">
      <c r="A3887" s="675" t="s">
        <v>2692</v>
      </c>
      <c r="B3887" s="675" t="s">
        <v>545</v>
      </c>
      <c r="C3887" s="675" t="s">
        <v>3792</v>
      </c>
      <c r="D3887" s="675"/>
      <c r="E3887" s="702"/>
      <c r="F3887" s="702"/>
      <c r="G3887" s="675"/>
      <c r="H3887" s="675"/>
      <c r="I3887" s="675"/>
      <c r="J3887" s="675"/>
      <c r="K3887" s="675"/>
      <c r="L3887" s="675"/>
      <c r="M3887" s="675"/>
    </row>
    <row r="3888" spans="1:13" x14ac:dyDescent="0.25">
      <c r="A3888" s="675" t="s">
        <v>2692</v>
      </c>
      <c r="B3888" s="675" t="s">
        <v>545</v>
      </c>
      <c r="C3888" s="675" t="s">
        <v>3793</v>
      </c>
      <c r="D3888" s="675"/>
      <c r="E3888" s="702"/>
      <c r="F3888" s="702"/>
      <c r="G3888" s="675"/>
      <c r="H3888" s="675"/>
      <c r="I3888" s="675"/>
      <c r="J3888" s="675"/>
      <c r="K3888" s="675"/>
      <c r="L3888" s="675"/>
      <c r="M3888" s="675"/>
    </row>
    <row r="3889" spans="1:13" x14ac:dyDescent="0.25">
      <c r="A3889" s="675" t="s">
        <v>2692</v>
      </c>
      <c r="B3889" s="675" t="s">
        <v>545</v>
      </c>
      <c r="C3889" s="675" t="s">
        <v>3794</v>
      </c>
      <c r="D3889" s="675"/>
      <c r="E3889" s="702"/>
      <c r="F3889" s="702"/>
      <c r="G3889" s="675"/>
      <c r="H3889" s="675"/>
      <c r="I3889" s="675"/>
      <c r="J3889" s="675"/>
      <c r="K3889" s="675"/>
      <c r="L3889" s="675"/>
      <c r="M3889" s="675"/>
    </row>
    <row r="3890" spans="1:13" x14ac:dyDescent="0.25">
      <c r="A3890" s="675" t="s">
        <v>2692</v>
      </c>
      <c r="B3890" s="675" t="s">
        <v>545</v>
      </c>
      <c r="C3890" s="675" t="s">
        <v>3795</v>
      </c>
      <c r="D3890" s="675"/>
      <c r="E3890" s="702"/>
      <c r="F3890" s="702"/>
      <c r="G3890" s="675"/>
      <c r="H3890" s="675"/>
      <c r="I3890" s="675"/>
      <c r="J3890" s="675"/>
      <c r="K3890" s="675"/>
      <c r="L3890" s="675"/>
      <c r="M3890" s="675"/>
    </row>
    <row r="3891" spans="1:13" x14ac:dyDescent="0.25">
      <c r="A3891" s="675" t="s">
        <v>2692</v>
      </c>
      <c r="B3891" s="675" t="s">
        <v>545</v>
      </c>
      <c r="C3891" s="675" t="s">
        <v>3796</v>
      </c>
      <c r="D3891" s="675"/>
      <c r="E3891" s="702"/>
      <c r="F3891" s="702"/>
      <c r="G3891" s="675"/>
      <c r="H3891" s="675"/>
      <c r="I3891" s="675"/>
      <c r="J3891" s="675"/>
      <c r="K3891" s="675"/>
      <c r="L3891" s="675"/>
      <c r="M3891" s="675"/>
    </row>
    <row r="3892" spans="1:13" x14ac:dyDescent="0.25">
      <c r="A3892" s="675" t="s">
        <v>2692</v>
      </c>
      <c r="B3892" s="675" t="s">
        <v>545</v>
      </c>
      <c r="C3892" s="675" t="s">
        <v>3797</v>
      </c>
      <c r="D3892" s="675"/>
      <c r="E3892" s="702"/>
      <c r="F3892" s="702"/>
      <c r="G3892" s="675"/>
      <c r="H3892" s="675"/>
      <c r="I3892" s="675"/>
      <c r="J3892" s="675"/>
      <c r="K3892" s="675"/>
      <c r="L3892" s="675"/>
      <c r="M3892" s="675"/>
    </row>
    <row r="3893" spans="1:13" x14ac:dyDescent="0.25">
      <c r="A3893" s="675" t="s">
        <v>2692</v>
      </c>
      <c r="B3893" s="675" t="s">
        <v>545</v>
      </c>
      <c r="C3893" s="675" t="s">
        <v>3798</v>
      </c>
      <c r="D3893" s="675"/>
      <c r="E3893" s="702"/>
      <c r="F3893" s="702"/>
      <c r="G3893" s="675"/>
      <c r="H3893" s="675"/>
      <c r="I3893" s="675"/>
      <c r="J3893" s="675"/>
      <c r="K3893" s="675"/>
      <c r="L3893" s="675"/>
      <c r="M3893" s="675"/>
    </row>
    <row r="3894" spans="1:13" x14ac:dyDescent="0.25">
      <c r="A3894" s="675" t="s">
        <v>2692</v>
      </c>
      <c r="B3894" s="675" t="s">
        <v>545</v>
      </c>
      <c r="C3894" s="675" t="s">
        <v>3799</v>
      </c>
      <c r="D3894" s="675"/>
      <c r="E3894" s="702"/>
      <c r="F3894" s="702"/>
      <c r="G3894" s="675"/>
      <c r="H3894" s="675"/>
      <c r="I3894" s="675"/>
      <c r="J3894" s="675"/>
      <c r="K3894" s="675"/>
      <c r="L3894" s="675"/>
      <c r="M3894" s="675"/>
    </row>
    <row r="3895" spans="1:13" x14ac:dyDescent="0.25">
      <c r="A3895" s="675" t="s">
        <v>2692</v>
      </c>
      <c r="B3895" s="675" t="s">
        <v>564</v>
      </c>
      <c r="C3895" s="675" t="s">
        <v>3800</v>
      </c>
      <c r="D3895" s="675"/>
      <c r="E3895" s="702"/>
      <c r="F3895" s="702"/>
      <c r="G3895" s="675"/>
      <c r="H3895" s="675"/>
      <c r="I3895" s="675"/>
      <c r="J3895" s="675"/>
      <c r="K3895" s="675"/>
      <c r="L3895" s="675"/>
      <c r="M3895" s="675"/>
    </row>
    <row r="3896" spans="1:13" x14ac:dyDescent="0.25">
      <c r="A3896" s="675" t="s">
        <v>2692</v>
      </c>
      <c r="B3896" s="675" t="s">
        <v>564</v>
      </c>
      <c r="C3896" s="675" t="s">
        <v>3801</v>
      </c>
      <c r="D3896" s="675"/>
      <c r="E3896" s="702"/>
      <c r="F3896" s="702"/>
      <c r="G3896" s="675"/>
      <c r="H3896" s="675"/>
      <c r="I3896" s="675"/>
      <c r="J3896" s="675"/>
      <c r="K3896" s="675"/>
      <c r="L3896" s="675"/>
      <c r="M3896" s="675"/>
    </row>
    <row r="3897" spans="1:13" x14ac:dyDescent="0.25">
      <c r="A3897" s="675" t="s">
        <v>2692</v>
      </c>
      <c r="B3897" s="675" t="s">
        <v>564</v>
      </c>
      <c r="C3897" s="675" t="s">
        <v>3802</v>
      </c>
      <c r="D3897" s="675"/>
      <c r="E3897" s="702"/>
      <c r="F3897" s="702"/>
      <c r="G3897" s="675"/>
      <c r="H3897" s="675"/>
      <c r="I3897" s="675"/>
      <c r="J3897" s="675"/>
      <c r="K3897" s="675"/>
      <c r="L3897" s="675"/>
      <c r="M3897" s="675"/>
    </row>
    <row r="3898" spans="1:13" x14ac:dyDescent="0.25">
      <c r="A3898" s="675" t="s">
        <v>2692</v>
      </c>
      <c r="B3898" s="675" t="s">
        <v>564</v>
      </c>
      <c r="C3898" s="675" t="s">
        <v>3803</v>
      </c>
      <c r="D3898" s="675"/>
      <c r="E3898" s="702"/>
      <c r="F3898" s="702"/>
      <c r="G3898" s="675"/>
      <c r="H3898" s="675"/>
      <c r="I3898" s="675"/>
      <c r="J3898" s="675"/>
      <c r="K3898" s="675"/>
      <c r="L3898" s="675"/>
      <c r="M3898" s="675"/>
    </row>
    <row r="3899" spans="1:13" x14ac:dyDescent="0.25">
      <c r="A3899" s="675" t="s">
        <v>2692</v>
      </c>
      <c r="B3899" s="675" t="s">
        <v>564</v>
      </c>
      <c r="C3899" s="675" t="s">
        <v>3804</v>
      </c>
      <c r="D3899" s="675"/>
      <c r="E3899" s="702"/>
      <c r="F3899" s="702"/>
      <c r="G3899" s="675"/>
      <c r="H3899" s="675"/>
      <c r="I3899" s="675"/>
      <c r="J3899" s="675"/>
      <c r="K3899" s="675"/>
      <c r="L3899" s="675"/>
      <c r="M3899" s="675"/>
    </row>
    <row r="3900" spans="1:13" x14ac:dyDescent="0.25">
      <c r="A3900" s="675" t="s">
        <v>2692</v>
      </c>
      <c r="B3900" s="675" t="s">
        <v>564</v>
      </c>
      <c r="C3900" s="675" t="s">
        <v>3805</v>
      </c>
      <c r="D3900" s="675"/>
      <c r="E3900" s="702"/>
      <c r="F3900" s="702"/>
      <c r="G3900" s="675"/>
      <c r="H3900" s="675"/>
      <c r="I3900" s="675"/>
      <c r="J3900" s="675"/>
      <c r="K3900" s="675"/>
      <c r="L3900" s="675"/>
      <c r="M3900" s="675"/>
    </row>
    <row r="3901" spans="1:13" x14ac:dyDescent="0.25">
      <c r="A3901" s="675" t="s">
        <v>2692</v>
      </c>
      <c r="B3901" s="675" t="s">
        <v>564</v>
      </c>
      <c r="C3901" s="675" t="s">
        <v>3806</v>
      </c>
      <c r="D3901" s="675"/>
      <c r="E3901" s="702"/>
      <c r="F3901" s="702"/>
      <c r="G3901" s="675"/>
      <c r="H3901" s="675"/>
      <c r="I3901" s="675"/>
      <c r="J3901" s="675"/>
      <c r="K3901" s="675"/>
      <c r="L3901" s="675"/>
      <c r="M3901" s="675"/>
    </row>
    <row r="3902" spans="1:13" x14ac:dyDescent="0.25">
      <c r="A3902" s="675" t="s">
        <v>2692</v>
      </c>
      <c r="B3902" s="675" t="s">
        <v>564</v>
      </c>
      <c r="C3902" s="675" t="s">
        <v>3807</v>
      </c>
      <c r="D3902" s="675"/>
      <c r="E3902" s="702"/>
      <c r="F3902" s="702"/>
      <c r="G3902" s="675"/>
      <c r="H3902" s="675"/>
      <c r="I3902" s="675"/>
      <c r="J3902" s="675"/>
      <c r="K3902" s="675"/>
      <c r="L3902" s="675"/>
      <c r="M3902" s="675"/>
    </row>
    <row r="3903" spans="1:13" x14ac:dyDescent="0.25">
      <c r="A3903" s="675" t="s">
        <v>2692</v>
      </c>
      <c r="B3903" s="675" t="s">
        <v>564</v>
      </c>
      <c r="C3903" s="675" t="s">
        <v>3808</v>
      </c>
      <c r="D3903" s="675"/>
      <c r="E3903" s="702"/>
      <c r="F3903" s="702"/>
      <c r="G3903" s="675"/>
      <c r="H3903" s="675"/>
      <c r="I3903" s="675"/>
      <c r="J3903" s="675"/>
      <c r="K3903" s="675"/>
      <c r="L3903" s="675"/>
      <c r="M3903" s="675"/>
    </row>
    <row r="3904" spans="1:13" x14ac:dyDescent="0.25">
      <c r="A3904" s="675" t="s">
        <v>2692</v>
      </c>
      <c r="B3904" s="675" t="s">
        <v>564</v>
      </c>
      <c r="C3904" s="675" t="s">
        <v>3809</v>
      </c>
      <c r="D3904" s="675"/>
      <c r="E3904" s="702"/>
      <c r="F3904" s="702"/>
      <c r="G3904" s="675"/>
      <c r="H3904" s="675"/>
      <c r="I3904" s="675"/>
      <c r="J3904" s="675"/>
      <c r="K3904" s="675"/>
      <c r="L3904" s="675"/>
      <c r="M3904" s="675"/>
    </row>
    <row r="3905" spans="1:13" x14ac:dyDescent="0.25">
      <c r="A3905" s="675" t="s">
        <v>2692</v>
      </c>
      <c r="B3905" s="675" t="s">
        <v>512</v>
      </c>
      <c r="C3905" s="675" t="s">
        <v>3810</v>
      </c>
      <c r="D3905" s="675"/>
      <c r="E3905" s="702"/>
      <c r="F3905" s="702"/>
      <c r="G3905" s="675"/>
      <c r="H3905" s="675"/>
      <c r="I3905" s="675"/>
      <c r="J3905" s="675"/>
      <c r="K3905" s="675"/>
      <c r="L3905" s="675"/>
      <c r="M3905" s="675"/>
    </row>
    <row r="3906" spans="1:13" x14ac:dyDescent="0.25">
      <c r="A3906" s="675" t="s">
        <v>2692</v>
      </c>
      <c r="B3906" s="675" t="s">
        <v>512</v>
      </c>
      <c r="C3906" s="675" t="s">
        <v>3811</v>
      </c>
      <c r="D3906" s="675"/>
      <c r="E3906" s="702"/>
      <c r="F3906" s="702"/>
      <c r="G3906" s="675"/>
      <c r="H3906" s="675"/>
      <c r="I3906" s="675"/>
      <c r="J3906" s="675"/>
      <c r="K3906" s="675"/>
      <c r="L3906" s="675"/>
      <c r="M3906" s="675"/>
    </row>
    <row r="3907" spans="1:13" x14ac:dyDescent="0.25">
      <c r="A3907" s="675" t="s">
        <v>2692</v>
      </c>
      <c r="B3907" s="675" t="s">
        <v>512</v>
      </c>
      <c r="C3907" s="675" t="s">
        <v>3812</v>
      </c>
      <c r="D3907" s="675"/>
      <c r="E3907" s="702"/>
      <c r="F3907" s="702"/>
      <c r="G3907" s="675"/>
      <c r="H3907" s="675"/>
      <c r="I3907" s="675"/>
      <c r="J3907" s="675"/>
      <c r="K3907" s="675"/>
      <c r="L3907" s="675"/>
      <c r="M3907" s="675"/>
    </row>
    <row r="3908" spans="1:13" x14ac:dyDescent="0.25">
      <c r="A3908" s="675" t="s">
        <v>2692</v>
      </c>
      <c r="B3908" s="675" t="s">
        <v>512</v>
      </c>
      <c r="C3908" s="675" t="s">
        <v>3813</v>
      </c>
      <c r="D3908" s="675"/>
      <c r="E3908" s="702"/>
      <c r="F3908" s="702"/>
      <c r="G3908" s="675"/>
      <c r="H3908" s="675"/>
      <c r="I3908" s="675"/>
      <c r="J3908" s="675"/>
      <c r="K3908" s="675"/>
      <c r="L3908" s="675"/>
      <c r="M3908" s="675"/>
    </row>
    <row r="3909" spans="1:13" x14ac:dyDescent="0.25">
      <c r="A3909" s="675" t="s">
        <v>2692</v>
      </c>
      <c r="B3909" s="675" t="s">
        <v>512</v>
      </c>
      <c r="C3909" s="675" t="s">
        <v>3814</v>
      </c>
      <c r="D3909" s="675"/>
      <c r="E3909" s="702"/>
      <c r="F3909" s="702"/>
      <c r="G3909" s="675"/>
      <c r="H3909" s="675"/>
      <c r="I3909" s="675"/>
      <c r="J3909" s="675"/>
      <c r="K3909" s="675"/>
      <c r="L3909" s="675"/>
      <c r="M3909" s="675"/>
    </row>
    <row r="3910" spans="1:13" x14ac:dyDescent="0.25">
      <c r="A3910" s="675" t="s">
        <v>2692</v>
      </c>
      <c r="B3910" s="675" t="s">
        <v>512</v>
      </c>
      <c r="C3910" s="675" t="s">
        <v>3815</v>
      </c>
      <c r="D3910" s="675"/>
      <c r="E3910" s="702"/>
      <c r="F3910" s="702"/>
      <c r="G3910" s="675"/>
      <c r="H3910" s="675"/>
      <c r="I3910" s="675"/>
      <c r="J3910" s="675"/>
      <c r="K3910" s="675"/>
      <c r="L3910" s="675"/>
      <c r="M3910" s="675"/>
    </row>
    <row r="3911" spans="1:13" x14ac:dyDescent="0.25">
      <c r="A3911" s="675" t="s">
        <v>2692</v>
      </c>
      <c r="B3911" s="675" t="s">
        <v>512</v>
      </c>
      <c r="C3911" s="675" t="s">
        <v>3816</v>
      </c>
      <c r="D3911" s="675"/>
      <c r="E3911" s="702"/>
      <c r="F3911" s="702"/>
      <c r="G3911" s="675"/>
      <c r="H3911" s="675"/>
      <c r="I3911" s="675"/>
      <c r="J3911" s="675"/>
      <c r="K3911" s="675"/>
      <c r="L3911" s="675"/>
      <c r="M3911" s="675"/>
    </row>
    <row r="3912" spans="1:13" x14ac:dyDescent="0.25">
      <c r="A3912" s="675" t="s">
        <v>2692</v>
      </c>
      <c r="B3912" s="675" t="s">
        <v>512</v>
      </c>
      <c r="C3912" s="675" t="s">
        <v>3817</v>
      </c>
      <c r="D3912" s="675"/>
      <c r="E3912" s="702"/>
      <c r="F3912" s="702"/>
      <c r="G3912" s="675"/>
      <c r="H3912" s="675"/>
      <c r="I3912" s="675"/>
      <c r="J3912" s="675"/>
      <c r="K3912" s="675"/>
      <c r="L3912" s="675"/>
      <c r="M3912" s="675"/>
    </row>
    <row r="3913" spans="1:13" x14ac:dyDescent="0.25">
      <c r="A3913" s="675" t="s">
        <v>2692</v>
      </c>
      <c r="B3913" s="675" t="s">
        <v>512</v>
      </c>
      <c r="C3913" s="675" t="s">
        <v>3818</v>
      </c>
      <c r="D3913" s="675"/>
      <c r="E3913" s="702"/>
      <c r="F3913" s="702"/>
      <c r="G3913" s="675"/>
      <c r="H3913" s="675"/>
      <c r="I3913" s="675"/>
      <c r="J3913" s="675"/>
      <c r="K3913" s="675"/>
      <c r="L3913" s="675"/>
      <c r="M3913" s="675"/>
    </row>
    <row r="3914" spans="1:13" x14ac:dyDescent="0.25">
      <c r="A3914" s="675" t="s">
        <v>2692</v>
      </c>
      <c r="B3914" s="675" t="s">
        <v>512</v>
      </c>
      <c r="C3914" s="675" t="s">
        <v>3819</v>
      </c>
      <c r="D3914" s="675"/>
      <c r="E3914" s="702"/>
      <c r="F3914" s="702"/>
      <c r="G3914" s="675"/>
      <c r="H3914" s="675"/>
      <c r="I3914" s="675"/>
      <c r="J3914" s="675"/>
      <c r="K3914" s="675"/>
      <c r="L3914" s="675"/>
      <c r="M3914" s="675"/>
    </row>
    <row r="3915" spans="1:13" x14ac:dyDescent="0.25">
      <c r="A3915" s="675" t="s">
        <v>3820</v>
      </c>
      <c r="B3915" s="675" t="s">
        <v>545</v>
      </c>
      <c r="C3915" s="675" t="s">
        <v>3821</v>
      </c>
      <c r="D3915" s="675"/>
      <c r="E3915" s="702"/>
      <c r="F3915" s="702"/>
      <c r="G3915" s="675"/>
      <c r="H3915" s="675"/>
      <c r="I3915" s="675"/>
      <c r="J3915" s="675"/>
      <c r="K3915" s="675"/>
      <c r="L3915" s="675"/>
      <c r="M3915" s="675"/>
    </row>
    <row r="3916" spans="1:13" x14ac:dyDescent="0.25">
      <c r="A3916" s="675" t="s">
        <v>3820</v>
      </c>
      <c r="B3916" s="675" t="s">
        <v>545</v>
      </c>
      <c r="C3916" s="675" t="s">
        <v>3822</v>
      </c>
      <c r="D3916" s="675"/>
      <c r="E3916" s="702"/>
      <c r="F3916" s="702"/>
      <c r="G3916" s="675"/>
      <c r="H3916" s="675"/>
      <c r="I3916" s="675"/>
      <c r="J3916" s="675"/>
      <c r="K3916" s="675"/>
      <c r="L3916" s="675"/>
      <c r="M3916" s="675"/>
    </row>
    <row r="3917" spans="1:13" x14ac:dyDescent="0.25">
      <c r="A3917" s="675" t="s">
        <v>3820</v>
      </c>
      <c r="B3917" s="675" t="s">
        <v>545</v>
      </c>
      <c r="C3917" s="675" t="s">
        <v>3700</v>
      </c>
      <c r="D3917" s="675"/>
      <c r="E3917" s="702"/>
      <c r="F3917" s="702"/>
      <c r="G3917" s="675"/>
      <c r="H3917" s="675"/>
      <c r="I3917" s="675"/>
      <c r="J3917" s="675"/>
      <c r="K3917" s="675"/>
      <c r="L3917" s="675"/>
      <c r="M3917" s="675"/>
    </row>
    <row r="3918" spans="1:13" x14ac:dyDescent="0.25">
      <c r="A3918" s="675" t="s">
        <v>3820</v>
      </c>
      <c r="B3918" s="675" t="s">
        <v>545</v>
      </c>
      <c r="C3918" s="675" t="s">
        <v>3823</v>
      </c>
      <c r="D3918" s="675"/>
      <c r="E3918" s="702"/>
      <c r="F3918" s="702"/>
      <c r="G3918" s="675"/>
      <c r="H3918" s="675"/>
      <c r="I3918" s="675"/>
      <c r="J3918" s="675"/>
      <c r="K3918" s="675"/>
      <c r="L3918" s="675"/>
      <c r="M3918" s="675"/>
    </row>
    <row r="3919" spans="1:13" x14ac:dyDescent="0.25">
      <c r="A3919" s="675" t="s">
        <v>3820</v>
      </c>
      <c r="B3919" s="675" t="s">
        <v>545</v>
      </c>
      <c r="C3919" s="675" t="s">
        <v>3824</v>
      </c>
      <c r="D3919" s="675"/>
      <c r="E3919" s="702"/>
      <c r="F3919" s="702"/>
      <c r="G3919" s="675"/>
      <c r="H3919" s="675"/>
      <c r="I3919" s="675"/>
      <c r="J3919" s="675"/>
      <c r="K3919" s="675"/>
      <c r="L3919" s="675"/>
      <c r="M3919" s="675"/>
    </row>
    <row r="3920" spans="1:13" x14ac:dyDescent="0.25">
      <c r="A3920" s="675" t="s">
        <v>3820</v>
      </c>
      <c r="B3920" s="675" t="s">
        <v>545</v>
      </c>
      <c r="C3920" s="675" t="s">
        <v>3825</v>
      </c>
      <c r="D3920" s="675"/>
      <c r="E3920" s="702"/>
      <c r="F3920" s="702"/>
      <c r="G3920" s="675"/>
      <c r="H3920" s="675"/>
      <c r="I3920" s="675"/>
      <c r="J3920" s="675"/>
      <c r="K3920" s="675"/>
      <c r="L3920" s="675"/>
      <c r="M3920" s="675"/>
    </row>
    <row r="3921" spans="1:13" x14ac:dyDescent="0.25">
      <c r="A3921" s="675" t="s">
        <v>3820</v>
      </c>
      <c r="B3921" s="675" t="s">
        <v>545</v>
      </c>
      <c r="C3921" s="675" t="s">
        <v>3826</v>
      </c>
      <c r="D3921" s="675"/>
      <c r="E3921" s="702"/>
      <c r="F3921" s="702"/>
      <c r="G3921" s="675"/>
      <c r="H3921" s="675"/>
      <c r="I3921" s="675"/>
      <c r="J3921" s="675"/>
      <c r="K3921" s="675"/>
      <c r="L3921" s="675"/>
      <c r="M3921" s="675"/>
    </row>
    <row r="3922" spans="1:13" x14ac:dyDescent="0.25">
      <c r="A3922" s="675" t="s">
        <v>3820</v>
      </c>
      <c r="B3922" s="675" t="s">
        <v>545</v>
      </c>
      <c r="C3922" s="675" t="s">
        <v>3827</v>
      </c>
      <c r="D3922" s="675"/>
      <c r="E3922" s="702"/>
      <c r="F3922" s="702"/>
      <c r="G3922" s="675"/>
      <c r="H3922" s="675"/>
      <c r="I3922" s="675"/>
      <c r="J3922" s="675"/>
      <c r="K3922" s="675"/>
      <c r="L3922" s="675"/>
      <c r="M3922" s="675"/>
    </row>
    <row r="3923" spans="1:13" x14ac:dyDescent="0.25">
      <c r="A3923" s="675" t="s">
        <v>3820</v>
      </c>
      <c r="B3923" s="675" t="s">
        <v>545</v>
      </c>
      <c r="C3923" s="675" t="s">
        <v>3828</v>
      </c>
      <c r="D3923" s="675"/>
      <c r="E3923" s="702"/>
      <c r="F3923" s="702"/>
      <c r="G3923" s="675"/>
      <c r="H3923" s="675"/>
      <c r="I3923" s="675"/>
      <c r="J3923" s="675"/>
      <c r="K3923" s="675"/>
      <c r="L3923" s="675"/>
      <c r="M3923" s="675"/>
    </row>
    <row r="3924" spans="1:13" x14ac:dyDescent="0.25">
      <c r="A3924" s="675" t="s">
        <v>3820</v>
      </c>
      <c r="B3924" s="675" t="s">
        <v>545</v>
      </c>
      <c r="C3924" s="675" t="s">
        <v>3829</v>
      </c>
      <c r="D3924" s="675"/>
      <c r="E3924" s="702"/>
      <c r="F3924" s="702"/>
      <c r="G3924" s="675"/>
      <c r="H3924" s="675"/>
      <c r="I3924" s="675"/>
      <c r="J3924" s="675"/>
      <c r="K3924" s="675"/>
      <c r="L3924" s="675"/>
      <c r="M3924" s="675"/>
    </row>
    <row r="3925" spans="1:13" x14ac:dyDescent="0.25">
      <c r="A3925" s="675" t="s">
        <v>3820</v>
      </c>
      <c r="B3925" s="675" t="s">
        <v>564</v>
      </c>
      <c r="C3925" s="675" t="s">
        <v>3830</v>
      </c>
      <c r="D3925" s="675"/>
      <c r="E3925" s="702"/>
      <c r="F3925" s="702"/>
      <c r="G3925" s="675"/>
      <c r="H3925" s="675"/>
      <c r="I3925" s="675"/>
      <c r="J3925" s="675"/>
      <c r="K3925" s="675"/>
      <c r="L3925" s="675"/>
      <c r="M3925" s="675"/>
    </row>
    <row r="3926" spans="1:13" x14ac:dyDescent="0.25">
      <c r="A3926" s="675" t="s">
        <v>3820</v>
      </c>
      <c r="B3926" s="675" t="s">
        <v>564</v>
      </c>
      <c r="C3926" s="675" t="s">
        <v>3831</v>
      </c>
      <c r="D3926" s="675"/>
      <c r="E3926" s="702"/>
      <c r="F3926" s="702"/>
      <c r="G3926" s="675"/>
      <c r="H3926" s="675"/>
      <c r="I3926" s="675"/>
      <c r="J3926" s="675"/>
      <c r="K3926" s="675"/>
      <c r="L3926" s="675"/>
      <c r="M3926" s="675"/>
    </row>
    <row r="3927" spans="1:13" x14ac:dyDescent="0.25">
      <c r="A3927" s="675" t="s">
        <v>3820</v>
      </c>
      <c r="B3927" s="675" t="s">
        <v>564</v>
      </c>
      <c r="C3927" s="675" t="s">
        <v>3832</v>
      </c>
      <c r="D3927" s="675"/>
      <c r="E3927" s="702"/>
      <c r="F3927" s="702"/>
      <c r="G3927" s="675"/>
      <c r="H3927" s="675"/>
      <c r="I3927" s="675"/>
      <c r="J3927" s="675"/>
      <c r="K3927" s="675"/>
      <c r="L3927" s="675"/>
      <c r="M3927" s="675"/>
    </row>
    <row r="3928" spans="1:13" x14ac:dyDescent="0.25">
      <c r="A3928" s="675" t="s">
        <v>3820</v>
      </c>
      <c r="B3928" s="675" t="s">
        <v>564</v>
      </c>
      <c r="C3928" s="675" t="s">
        <v>3833</v>
      </c>
      <c r="D3928" s="675"/>
      <c r="E3928" s="702"/>
      <c r="F3928" s="702"/>
      <c r="G3928" s="675"/>
      <c r="H3928" s="675"/>
      <c r="I3928" s="675"/>
      <c r="J3928" s="675"/>
      <c r="K3928" s="675"/>
      <c r="L3928" s="675"/>
      <c r="M3928" s="675"/>
    </row>
    <row r="3929" spans="1:13" x14ac:dyDescent="0.25">
      <c r="A3929" s="675" t="s">
        <v>3820</v>
      </c>
      <c r="B3929" s="675" t="s">
        <v>564</v>
      </c>
      <c r="C3929" s="675" t="s">
        <v>3834</v>
      </c>
      <c r="D3929" s="675"/>
      <c r="E3929" s="702"/>
      <c r="F3929" s="702"/>
      <c r="G3929" s="675"/>
      <c r="H3929" s="675"/>
      <c r="I3929" s="675"/>
      <c r="J3929" s="675"/>
      <c r="K3929" s="675"/>
      <c r="L3929" s="675"/>
      <c r="M3929" s="675"/>
    </row>
    <row r="3930" spans="1:13" x14ac:dyDescent="0.25">
      <c r="A3930" s="675" t="s">
        <v>3820</v>
      </c>
      <c r="B3930" s="675" t="s">
        <v>564</v>
      </c>
      <c r="C3930" s="675" t="s">
        <v>3835</v>
      </c>
      <c r="D3930" s="675"/>
      <c r="E3930" s="702"/>
      <c r="F3930" s="702"/>
      <c r="G3930" s="675"/>
      <c r="H3930" s="675"/>
      <c r="I3930" s="675"/>
      <c r="J3930" s="675"/>
      <c r="K3930" s="675"/>
      <c r="L3930" s="675"/>
      <c r="M3930" s="675"/>
    </row>
    <row r="3931" spans="1:13" x14ac:dyDescent="0.25">
      <c r="A3931" s="675" t="s">
        <v>3820</v>
      </c>
      <c r="B3931" s="675" t="s">
        <v>564</v>
      </c>
      <c r="C3931" s="675" t="s">
        <v>3836</v>
      </c>
      <c r="D3931" s="675"/>
      <c r="E3931" s="702"/>
      <c r="F3931" s="702"/>
      <c r="G3931" s="675"/>
      <c r="H3931" s="675"/>
      <c r="I3931" s="675"/>
      <c r="J3931" s="675"/>
      <c r="K3931" s="675"/>
      <c r="L3931" s="675"/>
      <c r="M3931" s="675"/>
    </row>
    <row r="3932" spans="1:13" x14ac:dyDescent="0.25">
      <c r="A3932" s="675" t="s">
        <v>3820</v>
      </c>
      <c r="B3932" s="675" t="s">
        <v>564</v>
      </c>
      <c r="C3932" s="675" t="s">
        <v>3837</v>
      </c>
      <c r="D3932" s="675"/>
      <c r="E3932" s="702"/>
      <c r="F3932" s="702"/>
      <c r="G3932" s="675"/>
      <c r="H3932" s="675"/>
      <c r="I3932" s="675"/>
      <c r="J3932" s="675"/>
      <c r="K3932" s="675"/>
      <c r="L3932" s="675"/>
      <c r="M3932" s="675"/>
    </row>
    <row r="3933" spans="1:13" x14ac:dyDescent="0.25">
      <c r="A3933" s="675" t="s">
        <v>3820</v>
      </c>
      <c r="B3933" s="675" t="s">
        <v>564</v>
      </c>
      <c r="C3933" s="675" t="s">
        <v>3838</v>
      </c>
      <c r="D3933" s="675"/>
      <c r="E3933" s="702"/>
      <c r="F3933" s="702"/>
      <c r="G3933" s="675"/>
      <c r="H3933" s="675"/>
      <c r="I3933" s="675"/>
      <c r="J3933" s="675"/>
      <c r="K3933" s="675"/>
      <c r="L3933" s="675"/>
      <c r="M3933" s="675"/>
    </row>
    <row r="3934" spans="1:13" x14ac:dyDescent="0.25">
      <c r="A3934" s="675" t="s">
        <v>3820</v>
      </c>
      <c r="B3934" s="675" t="s">
        <v>564</v>
      </c>
      <c r="C3934" s="675" t="s">
        <v>3839</v>
      </c>
      <c r="D3934" s="675"/>
      <c r="E3934" s="702"/>
      <c r="F3934" s="702"/>
      <c r="G3934" s="675"/>
      <c r="H3934" s="675"/>
      <c r="I3934" s="675"/>
      <c r="J3934" s="675"/>
      <c r="K3934" s="675"/>
      <c r="L3934" s="675"/>
      <c r="M3934" s="675"/>
    </row>
    <row r="3935" spans="1:13" x14ac:dyDescent="0.25">
      <c r="A3935" s="675" t="s">
        <v>3820</v>
      </c>
      <c r="B3935" s="675" t="s">
        <v>512</v>
      </c>
      <c r="C3935" s="675" t="s">
        <v>3840</v>
      </c>
      <c r="D3935" s="675"/>
      <c r="E3935" s="702"/>
      <c r="F3935" s="702"/>
      <c r="G3935" s="675"/>
      <c r="H3935" s="675"/>
      <c r="I3935" s="675"/>
      <c r="J3935" s="675"/>
      <c r="K3935" s="675"/>
      <c r="L3935" s="675"/>
      <c r="M3935" s="675"/>
    </row>
    <row r="3936" spans="1:13" x14ac:dyDescent="0.25">
      <c r="A3936" s="675" t="s">
        <v>3820</v>
      </c>
      <c r="B3936" s="675" t="s">
        <v>512</v>
      </c>
      <c r="C3936" s="675" t="s">
        <v>3841</v>
      </c>
      <c r="D3936" s="675"/>
      <c r="E3936" s="702"/>
      <c r="F3936" s="702"/>
      <c r="G3936" s="675"/>
      <c r="H3936" s="675"/>
      <c r="I3936" s="675"/>
      <c r="J3936" s="675"/>
      <c r="K3936" s="675"/>
      <c r="L3936" s="675"/>
      <c r="M3936" s="675"/>
    </row>
    <row r="3937" spans="1:13" x14ac:dyDescent="0.25">
      <c r="A3937" s="675" t="s">
        <v>3820</v>
      </c>
      <c r="B3937" s="675" t="s">
        <v>512</v>
      </c>
      <c r="C3937" s="675" t="s">
        <v>3842</v>
      </c>
      <c r="D3937" s="675"/>
      <c r="E3937" s="702"/>
      <c r="F3937" s="702"/>
      <c r="G3937" s="675"/>
      <c r="H3937" s="675"/>
      <c r="I3937" s="675"/>
      <c r="J3937" s="675"/>
      <c r="K3937" s="675"/>
      <c r="L3937" s="675"/>
      <c r="M3937" s="675"/>
    </row>
    <row r="3938" spans="1:13" x14ac:dyDescent="0.25">
      <c r="A3938" s="675" t="s">
        <v>3820</v>
      </c>
      <c r="B3938" s="675" t="s">
        <v>512</v>
      </c>
      <c r="C3938" s="675" t="s">
        <v>3843</v>
      </c>
      <c r="D3938" s="675"/>
      <c r="E3938" s="702"/>
      <c r="F3938" s="702"/>
      <c r="G3938" s="675"/>
      <c r="H3938" s="675"/>
      <c r="I3938" s="675"/>
      <c r="J3938" s="675"/>
      <c r="K3938" s="675"/>
      <c r="L3938" s="675"/>
      <c r="M3938" s="675"/>
    </row>
    <row r="3939" spans="1:13" x14ac:dyDescent="0.25">
      <c r="A3939" s="675" t="s">
        <v>3820</v>
      </c>
      <c r="B3939" s="675" t="s">
        <v>512</v>
      </c>
      <c r="C3939" s="675" t="s">
        <v>3844</v>
      </c>
      <c r="D3939" s="675"/>
      <c r="E3939" s="702"/>
      <c r="F3939" s="702"/>
      <c r="G3939" s="675"/>
      <c r="H3939" s="675"/>
      <c r="I3939" s="675"/>
      <c r="J3939" s="675"/>
      <c r="K3939" s="675"/>
      <c r="L3939" s="675"/>
      <c r="M3939" s="675"/>
    </row>
    <row r="3940" spans="1:13" x14ac:dyDescent="0.25">
      <c r="A3940" s="675" t="s">
        <v>3820</v>
      </c>
      <c r="B3940" s="675" t="s">
        <v>512</v>
      </c>
      <c r="C3940" s="675" t="s">
        <v>3845</v>
      </c>
      <c r="D3940" s="675"/>
      <c r="E3940" s="702"/>
      <c r="F3940" s="702"/>
      <c r="G3940" s="675"/>
      <c r="H3940" s="675"/>
      <c r="I3940" s="675"/>
      <c r="J3940" s="675"/>
      <c r="K3940" s="675"/>
      <c r="L3940" s="675"/>
      <c r="M3940" s="675"/>
    </row>
    <row r="3941" spans="1:13" x14ac:dyDescent="0.25">
      <c r="A3941" s="675" t="s">
        <v>3820</v>
      </c>
      <c r="B3941" s="675" t="s">
        <v>512</v>
      </c>
      <c r="C3941" s="675" t="s">
        <v>3846</v>
      </c>
      <c r="D3941" s="675"/>
      <c r="E3941" s="702"/>
      <c r="F3941" s="702"/>
      <c r="G3941" s="675"/>
      <c r="H3941" s="675"/>
      <c r="I3941" s="675"/>
      <c r="J3941" s="675"/>
      <c r="K3941" s="675"/>
      <c r="L3941" s="675"/>
      <c r="M3941" s="675"/>
    </row>
    <row r="3942" spans="1:13" x14ac:dyDescent="0.25">
      <c r="A3942" s="675" t="s">
        <v>3820</v>
      </c>
      <c r="B3942" s="675" t="s">
        <v>512</v>
      </c>
      <c r="C3942" s="675" t="s">
        <v>3847</v>
      </c>
      <c r="D3942" s="675"/>
      <c r="E3942" s="702"/>
      <c r="F3942" s="702"/>
      <c r="G3942" s="675"/>
      <c r="H3942" s="675"/>
      <c r="I3942" s="675"/>
      <c r="J3942" s="675"/>
      <c r="K3942" s="675"/>
      <c r="L3942" s="675"/>
      <c r="M3942" s="675"/>
    </row>
    <row r="3943" spans="1:13" x14ac:dyDescent="0.25">
      <c r="A3943" s="675" t="s">
        <v>3820</v>
      </c>
      <c r="B3943" s="675" t="s">
        <v>512</v>
      </c>
      <c r="C3943" s="675" t="s">
        <v>3848</v>
      </c>
      <c r="D3943" s="675"/>
      <c r="E3943" s="702"/>
      <c r="F3943" s="702"/>
      <c r="G3943" s="675"/>
      <c r="H3943" s="675"/>
      <c r="I3943" s="675"/>
      <c r="J3943" s="675"/>
      <c r="K3943" s="675"/>
      <c r="L3943" s="675"/>
      <c r="M3943" s="675"/>
    </row>
    <row r="3944" spans="1:13" x14ac:dyDescent="0.25">
      <c r="A3944" s="675" t="s">
        <v>3820</v>
      </c>
      <c r="B3944" s="675" t="s">
        <v>512</v>
      </c>
      <c r="C3944" s="675" t="s">
        <v>3849</v>
      </c>
      <c r="D3944" s="675"/>
      <c r="E3944" s="702"/>
      <c r="F3944" s="702"/>
      <c r="G3944" s="675"/>
      <c r="H3944" s="675"/>
      <c r="I3944" s="675"/>
      <c r="J3944" s="675"/>
      <c r="K3944" s="675"/>
      <c r="L3944" s="675"/>
      <c r="M3944" s="675"/>
    </row>
    <row r="3945" spans="1:13" x14ac:dyDescent="0.25">
      <c r="A3945" s="675" t="s">
        <v>3850</v>
      </c>
      <c r="B3945" s="675" t="s">
        <v>545</v>
      </c>
      <c r="C3945" s="675" t="s">
        <v>3851</v>
      </c>
      <c r="D3945" s="675"/>
      <c r="E3945" s="702"/>
      <c r="F3945" s="702"/>
      <c r="G3945" s="675"/>
      <c r="H3945" s="675"/>
      <c r="I3945" s="675"/>
      <c r="J3945" s="675"/>
      <c r="K3945" s="675"/>
      <c r="L3945" s="675"/>
      <c r="M3945" s="675"/>
    </row>
    <row r="3946" spans="1:13" x14ac:dyDescent="0.25">
      <c r="A3946" s="675" t="s">
        <v>3850</v>
      </c>
      <c r="B3946" s="675" t="s">
        <v>545</v>
      </c>
      <c r="C3946" s="675" t="s">
        <v>3852</v>
      </c>
      <c r="D3946" s="675"/>
      <c r="E3946" s="702"/>
      <c r="F3946" s="702"/>
      <c r="G3946" s="675"/>
      <c r="H3946" s="675"/>
      <c r="I3946" s="675"/>
      <c r="J3946" s="675"/>
      <c r="K3946" s="675"/>
      <c r="L3946" s="675"/>
      <c r="M3946" s="675"/>
    </row>
    <row r="3947" spans="1:13" x14ac:dyDescent="0.25">
      <c r="A3947" s="675" t="s">
        <v>3850</v>
      </c>
      <c r="B3947" s="675" t="s">
        <v>545</v>
      </c>
      <c r="C3947" s="675" t="s">
        <v>3853</v>
      </c>
      <c r="D3947" s="675"/>
      <c r="E3947" s="702"/>
      <c r="F3947" s="702"/>
      <c r="G3947" s="675"/>
      <c r="H3947" s="675"/>
      <c r="I3947" s="675"/>
      <c r="J3947" s="675"/>
      <c r="K3947" s="675"/>
      <c r="L3947" s="675"/>
      <c r="M3947" s="675"/>
    </row>
    <row r="3948" spans="1:13" x14ac:dyDescent="0.25">
      <c r="A3948" s="675" t="s">
        <v>3850</v>
      </c>
      <c r="B3948" s="675" t="s">
        <v>545</v>
      </c>
      <c r="C3948" s="675" t="s">
        <v>3854</v>
      </c>
      <c r="D3948" s="675"/>
      <c r="E3948" s="702"/>
      <c r="F3948" s="702"/>
      <c r="G3948" s="675"/>
      <c r="H3948" s="675"/>
      <c r="I3948" s="675"/>
      <c r="J3948" s="675"/>
      <c r="K3948" s="675"/>
      <c r="L3948" s="675"/>
      <c r="M3948" s="675"/>
    </row>
    <row r="3949" spans="1:13" x14ac:dyDescent="0.25">
      <c r="A3949" s="675" t="s">
        <v>3850</v>
      </c>
      <c r="B3949" s="675" t="s">
        <v>545</v>
      </c>
      <c r="C3949" s="675" t="s">
        <v>3855</v>
      </c>
      <c r="D3949" s="675"/>
      <c r="E3949" s="702"/>
      <c r="F3949" s="702"/>
      <c r="G3949" s="675"/>
      <c r="H3949" s="675"/>
      <c r="I3949" s="675"/>
      <c r="J3949" s="675"/>
      <c r="K3949" s="675"/>
      <c r="L3949" s="675"/>
      <c r="M3949" s="675"/>
    </row>
    <row r="3950" spans="1:13" x14ac:dyDescent="0.25">
      <c r="A3950" s="675" t="s">
        <v>3850</v>
      </c>
      <c r="B3950" s="675" t="s">
        <v>545</v>
      </c>
      <c r="C3950" s="675" t="s">
        <v>3856</v>
      </c>
      <c r="D3950" s="675"/>
      <c r="E3950" s="702"/>
      <c r="F3950" s="702"/>
      <c r="G3950" s="675"/>
      <c r="H3950" s="675"/>
      <c r="I3950" s="675"/>
      <c r="J3950" s="675"/>
      <c r="K3950" s="675"/>
      <c r="L3950" s="675"/>
      <c r="M3950" s="675"/>
    </row>
    <row r="3951" spans="1:13" x14ac:dyDescent="0.25">
      <c r="A3951" s="675" t="s">
        <v>3850</v>
      </c>
      <c r="B3951" s="675" t="s">
        <v>545</v>
      </c>
      <c r="C3951" s="675" t="s">
        <v>3857</v>
      </c>
      <c r="D3951" s="675"/>
      <c r="E3951" s="702"/>
      <c r="F3951" s="702"/>
      <c r="G3951" s="675"/>
      <c r="H3951" s="675"/>
      <c r="I3951" s="675"/>
      <c r="J3951" s="675"/>
      <c r="K3951" s="675"/>
      <c r="L3951" s="675"/>
      <c r="M3951" s="675"/>
    </row>
    <row r="3952" spans="1:13" x14ac:dyDescent="0.25">
      <c r="A3952" s="675" t="s">
        <v>3850</v>
      </c>
      <c r="B3952" s="675" t="s">
        <v>545</v>
      </c>
      <c r="C3952" s="675" t="s">
        <v>3858</v>
      </c>
      <c r="D3952" s="675"/>
      <c r="E3952" s="702"/>
      <c r="F3952" s="702"/>
      <c r="G3952" s="675"/>
      <c r="H3952" s="675"/>
      <c r="I3952" s="675"/>
      <c r="J3952" s="675"/>
      <c r="K3952" s="675"/>
      <c r="L3952" s="675"/>
      <c r="M3952" s="675"/>
    </row>
    <row r="3953" spans="1:13" x14ac:dyDescent="0.25">
      <c r="A3953" s="675" t="s">
        <v>3850</v>
      </c>
      <c r="B3953" s="675" t="s">
        <v>545</v>
      </c>
      <c r="C3953" s="675" t="s">
        <v>3859</v>
      </c>
      <c r="D3953" s="675"/>
      <c r="E3953" s="702"/>
      <c r="F3953" s="702"/>
      <c r="G3953" s="675"/>
      <c r="H3953" s="675"/>
      <c r="I3953" s="675"/>
      <c r="J3953" s="675"/>
      <c r="K3953" s="675"/>
      <c r="L3953" s="675"/>
      <c r="M3953" s="675"/>
    </row>
    <row r="3954" spans="1:13" x14ac:dyDescent="0.25">
      <c r="A3954" s="675" t="s">
        <v>3850</v>
      </c>
      <c r="B3954" s="675" t="s">
        <v>545</v>
      </c>
      <c r="C3954" s="675" t="s">
        <v>3860</v>
      </c>
      <c r="D3954" s="675"/>
      <c r="E3954" s="702"/>
      <c r="F3954" s="702"/>
      <c r="G3954" s="675"/>
      <c r="H3954" s="675"/>
      <c r="I3954" s="675"/>
      <c r="J3954" s="675"/>
      <c r="K3954" s="675"/>
      <c r="L3954" s="675"/>
      <c r="M3954" s="675"/>
    </row>
    <row r="3955" spans="1:13" x14ac:dyDescent="0.25">
      <c r="A3955" s="675" t="s">
        <v>3850</v>
      </c>
      <c r="B3955" s="675" t="s">
        <v>564</v>
      </c>
      <c r="C3955" s="675" t="s">
        <v>3861</v>
      </c>
      <c r="D3955" s="675"/>
      <c r="E3955" s="702"/>
      <c r="F3955" s="702"/>
      <c r="G3955" s="675"/>
      <c r="H3955" s="675"/>
      <c r="I3955" s="675"/>
      <c r="J3955" s="675"/>
      <c r="K3955" s="675"/>
      <c r="L3955" s="675"/>
      <c r="M3955" s="675"/>
    </row>
    <row r="3956" spans="1:13" x14ac:dyDescent="0.25">
      <c r="A3956" s="675" t="s">
        <v>3850</v>
      </c>
      <c r="B3956" s="675" t="s">
        <v>564</v>
      </c>
      <c r="C3956" s="675" t="s">
        <v>3862</v>
      </c>
      <c r="D3956" s="675"/>
      <c r="E3956" s="702"/>
      <c r="F3956" s="702"/>
      <c r="G3956" s="675"/>
      <c r="H3956" s="675"/>
      <c r="I3956" s="675"/>
      <c r="J3956" s="675"/>
      <c r="K3956" s="675"/>
      <c r="L3956" s="675"/>
      <c r="M3956" s="675"/>
    </row>
    <row r="3957" spans="1:13" x14ac:dyDescent="0.25">
      <c r="A3957" s="675" t="s">
        <v>3850</v>
      </c>
      <c r="B3957" s="675" t="s">
        <v>564</v>
      </c>
      <c r="C3957" s="675" t="s">
        <v>3863</v>
      </c>
      <c r="D3957" s="675"/>
      <c r="E3957" s="702"/>
      <c r="F3957" s="702"/>
      <c r="G3957" s="675"/>
      <c r="H3957" s="675"/>
      <c r="I3957" s="675"/>
      <c r="J3957" s="675"/>
      <c r="K3957" s="675"/>
      <c r="L3957" s="675"/>
      <c r="M3957" s="675"/>
    </row>
    <row r="3958" spans="1:13" x14ac:dyDescent="0.25">
      <c r="A3958" s="675" t="s">
        <v>3850</v>
      </c>
      <c r="B3958" s="675" t="s">
        <v>564</v>
      </c>
      <c r="C3958" s="675" t="s">
        <v>3864</v>
      </c>
      <c r="D3958" s="675"/>
      <c r="E3958" s="702"/>
      <c r="F3958" s="702"/>
      <c r="G3958" s="675"/>
      <c r="H3958" s="675"/>
      <c r="I3958" s="675"/>
      <c r="J3958" s="675"/>
      <c r="K3958" s="675"/>
      <c r="L3958" s="675"/>
      <c r="M3958" s="675"/>
    </row>
    <row r="3959" spans="1:13" x14ac:dyDescent="0.25">
      <c r="A3959" s="675" t="s">
        <v>3850</v>
      </c>
      <c r="B3959" s="675" t="s">
        <v>564</v>
      </c>
      <c r="C3959" s="675" t="s">
        <v>3865</v>
      </c>
      <c r="D3959" s="675"/>
      <c r="E3959" s="702"/>
      <c r="F3959" s="702"/>
      <c r="G3959" s="675"/>
      <c r="H3959" s="675"/>
      <c r="I3959" s="675"/>
      <c r="J3959" s="675"/>
      <c r="K3959" s="675"/>
      <c r="L3959" s="675"/>
      <c r="M3959" s="675"/>
    </row>
    <row r="3960" spans="1:13" x14ac:dyDescent="0.25">
      <c r="A3960" s="675" t="s">
        <v>3850</v>
      </c>
      <c r="B3960" s="675" t="s">
        <v>564</v>
      </c>
      <c r="C3960" s="675" t="s">
        <v>3866</v>
      </c>
      <c r="D3960" s="675"/>
      <c r="E3960" s="702"/>
      <c r="F3960" s="702"/>
      <c r="G3960" s="675"/>
      <c r="H3960" s="675"/>
      <c r="I3960" s="675"/>
      <c r="J3960" s="675"/>
      <c r="K3960" s="675"/>
      <c r="L3960" s="675"/>
      <c r="M3960" s="675"/>
    </row>
    <row r="3961" spans="1:13" x14ac:dyDescent="0.25">
      <c r="A3961" s="675" t="s">
        <v>3850</v>
      </c>
      <c r="B3961" s="675" t="s">
        <v>564</v>
      </c>
      <c r="C3961" s="675" t="s">
        <v>3867</v>
      </c>
      <c r="D3961" s="675"/>
      <c r="E3961" s="702"/>
      <c r="F3961" s="702"/>
      <c r="G3961" s="675"/>
      <c r="H3961" s="675"/>
      <c r="I3961" s="675"/>
      <c r="J3961" s="675"/>
      <c r="K3961" s="675"/>
      <c r="L3961" s="675"/>
      <c r="M3961" s="675"/>
    </row>
    <row r="3962" spans="1:13" x14ac:dyDescent="0.25">
      <c r="A3962" s="675" t="s">
        <v>3850</v>
      </c>
      <c r="B3962" s="675" t="s">
        <v>564</v>
      </c>
      <c r="C3962" s="675" t="s">
        <v>3868</v>
      </c>
      <c r="D3962" s="675"/>
      <c r="E3962" s="702"/>
      <c r="F3962" s="702"/>
      <c r="G3962" s="675"/>
      <c r="H3962" s="675"/>
      <c r="I3962" s="675"/>
      <c r="J3962" s="675"/>
      <c r="K3962" s="675"/>
      <c r="L3962" s="675"/>
      <c r="M3962" s="675"/>
    </row>
    <row r="3963" spans="1:13" x14ac:dyDescent="0.25">
      <c r="A3963" s="675" t="s">
        <v>3850</v>
      </c>
      <c r="B3963" s="675" t="s">
        <v>564</v>
      </c>
      <c r="C3963" s="675" t="s">
        <v>3869</v>
      </c>
      <c r="D3963" s="675"/>
      <c r="E3963" s="702"/>
      <c r="F3963" s="702"/>
      <c r="G3963" s="675"/>
      <c r="H3963" s="675"/>
      <c r="I3963" s="675"/>
      <c r="J3963" s="675"/>
      <c r="K3963" s="675"/>
      <c r="L3963" s="675"/>
      <c r="M3963" s="675"/>
    </row>
    <row r="3964" spans="1:13" x14ac:dyDescent="0.25">
      <c r="A3964" s="675" t="s">
        <v>3850</v>
      </c>
      <c r="B3964" s="675" t="s">
        <v>564</v>
      </c>
      <c r="C3964" s="675" t="s">
        <v>3870</v>
      </c>
      <c r="D3964" s="675"/>
      <c r="E3964" s="702"/>
      <c r="F3964" s="702"/>
      <c r="G3964" s="675"/>
      <c r="H3964" s="675"/>
      <c r="I3964" s="675"/>
      <c r="J3964" s="675"/>
      <c r="K3964" s="675"/>
      <c r="L3964" s="675"/>
      <c r="M3964" s="675"/>
    </row>
    <row r="3965" spans="1:13" x14ac:dyDescent="0.25">
      <c r="A3965" s="675" t="s">
        <v>3850</v>
      </c>
      <c r="B3965" s="675" t="s">
        <v>512</v>
      </c>
      <c r="C3965" s="675" t="s">
        <v>3871</v>
      </c>
      <c r="D3965" s="675"/>
      <c r="E3965" s="702"/>
      <c r="F3965" s="702"/>
      <c r="G3965" s="675"/>
      <c r="H3965" s="675"/>
      <c r="I3965" s="675"/>
      <c r="J3965" s="675"/>
      <c r="K3965" s="675"/>
      <c r="L3965" s="675"/>
      <c r="M3965" s="675"/>
    </row>
    <row r="3966" spans="1:13" x14ac:dyDescent="0.25">
      <c r="A3966" s="675" t="s">
        <v>3850</v>
      </c>
      <c r="B3966" s="675" t="s">
        <v>512</v>
      </c>
      <c r="C3966" s="675" t="s">
        <v>3872</v>
      </c>
      <c r="D3966" s="675"/>
      <c r="E3966" s="702"/>
      <c r="F3966" s="702"/>
      <c r="G3966" s="675"/>
      <c r="H3966" s="675"/>
      <c r="I3966" s="675"/>
      <c r="J3966" s="675"/>
      <c r="K3966" s="675"/>
      <c r="L3966" s="675"/>
      <c r="M3966" s="675"/>
    </row>
    <row r="3967" spans="1:13" x14ac:dyDescent="0.25">
      <c r="A3967" s="675" t="s">
        <v>3850</v>
      </c>
      <c r="B3967" s="675" t="s">
        <v>512</v>
      </c>
      <c r="C3967" s="675" t="s">
        <v>3873</v>
      </c>
      <c r="D3967" s="675"/>
      <c r="E3967" s="702"/>
      <c r="F3967" s="702"/>
      <c r="G3967" s="675"/>
      <c r="H3967" s="675"/>
      <c r="I3967" s="675"/>
      <c r="J3967" s="675"/>
      <c r="K3967" s="675"/>
      <c r="L3967" s="675"/>
      <c r="M3967" s="675"/>
    </row>
    <row r="3968" spans="1:13" x14ac:dyDescent="0.25">
      <c r="A3968" s="675" t="s">
        <v>3850</v>
      </c>
      <c r="B3968" s="675" t="s">
        <v>512</v>
      </c>
      <c r="C3968" s="675" t="s">
        <v>3874</v>
      </c>
      <c r="D3968" s="675"/>
      <c r="E3968" s="702"/>
      <c r="F3968" s="702"/>
      <c r="G3968" s="675"/>
      <c r="H3968" s="675"/>
      <c r="I3968" s="675"/>
      <c r="J3968" s="675"/>
      <c r="K3968" s="675"/>
      <c r="L3968" s="675"/>
      <c r="M3968" s="675"/>
    </row>
    <row r="3969" spans="1:13" x14ac:dyDescent="0.25">
      <c r="A3969" s="675" t="s">
        <v>3850</v>
      </c>
      <c r="B3969" s="675" t="s">
        <v>512</v>
      </c>
      <c r="C3969" s="675" t="s">
        <v>3875</v>
      </c>
      <c r="D3969" s="675"/>
      <c r="E3969" s="702"/>
      <c r="F3969" s="702"/>
      <c r="G3969" s="675"/>
      <c r="H3969" s="675"/>
      <c r="I3969" s="675"/>
      <c r="J3969" s="675"/>
      <c r="K3969" s="675"/>
      <c r="L3969" s="675"/>
      <c r="M3969" s="675"/>
    </row>
    <row r="3970" spans="1:13" x14ac:dyDescent="0.25">
      <c r="A3970" s="675" t="s">
        <v>3850</v>
      </c>
      <c r="B3970" s="675" t="s">
        <v>512</v>
      </c>
      <c r="C3970" s="675" t="s">
        <v>3876</v>
      </c>
      <c r="D3970" s="675"/>
      <c r="E3970" s="702"/>
      <c r="F3970" s="702"/>
      <c r="G3970" s="675"/>
      <c r="H3970" s="675"/>
      <c r="I3970" s="675"/>
      <c r="J3970" s="675"/>
      <c r="K3970" s="675"/>
      <c r="L3970" s="675"/>
      <c r="M3970" s="675"/>
    </row>
    <row r="3971" spans="1:13" x14ac:dyDescent="0.25">
      <c r="A3971" s="675" t="s">
        <v>3850</v>
      </c>
      <c r="B3971" s="675" t="s">
        <v>512</v>
      </c>
      <c r="C3971" s="675" t="s">
        <v>3877</v>
      </c>
      <c r="D3971" s="675"/>
      <c r="E3971" s="702"/>
      <c r="F3971" s="702"/>
      <c r="G3971" s="675"/>
      <c r="H3971" s="675"/>
      <c r="I3971" s="675"/>
      <c r="J3971" s="675"/>
      <c r="K3971" s="675"/>
      <c r="L3971" s="675"/>
      <c r="M3971" s="675"/>
    </row>
    <row r="3972" spans="1:13" x14ac:dyDescent="0.25">
      <c r="A3972" s="675" t="s">
        <v>3850</v>
      </c>
      <c r="B3972" s="675" t="s">
        <v>512</v>
      </c>
      <c r="C3972" s="675" t="s">
        <v>3878</v>
      </c>
      <c r="D3972" s="675"/>
      <c r="E3972" s="702"/>
      <c r="F3972" s="702"/>
      <c r="G3972" s="675"/>
      <c r="H3972" s="675"/>
      <c r="I3972" s="675"/>
      <c r="J3972" s="675"/>
      <c r="K3972" s="675"/>
      <c r="L3972" s="675"/>
      <c r="M3972" s="675"/>
    </row>
    <row r="3973" spans="1:13" x14ac:dyDescent="0.25">
      <c r="A3973" s="675" t="s">
        <v>3850</v>
      </c>
      <c r="B3973" s="675" t="s">
        <v>512</v>
      </c>
      <c r="C3973" s="675" t="s">
        <v>3879</v>
      </c>
      <c r="D3973" s="675"/>
      <c r="E3973" s="702"/>
      <c r="F3973" s="702"/>
      <c r="G3973" s="675"/>
      <c r="H3973" s="675"/>
      <c r="I3973" s="675"/>
      <c r="J3973" s="675"/>
      <c r="K3973" s="675"/>
      <c r="L3973" s="675"/>
      <c r="M3973" s="675"/>
    </row>
    <row r="3974" spans="1:13" x14ac:dyDescent="0.25">
      <c r="A3974" s="675" t="s">
        <v>3850</v>
      </c>
      <c r="B3974" s="675" t="s">
        <v>512</v>
      </c>
      <c r="C3974" s="675" t="s">
        <v>3880</v>
      </c>
      <c r="D3974" s="675"/>
      <c r="E3974" s="702"/>
      <c r="F3974" s="702"/>
      <c r="G3974" s="675"/>
      <c r="H3974" s="675"/>
      <c r="I3974" s="675"/>
      <c r="J3974" s="675"/>
      <c r="K3974" s="675"/>
      <c r="L3974" s="675"/>
      <c r="M3974" s="675"/>
    </row>
    <row r="3975" spans="1:13" x14ac:dyDescent="0.25">
      <c r="A3975" s="675" t="s">
        <v>3881</v>
      </c>
      <c r="B3975" s="675" t="s">
        <v>545</v>
      </c>
      <c r="C3975" s="675" t="s">
        <v>3882</v>
      </c>
      <c r="D3975" s="675"/>
      <c r="E3975" s="702"/>
      <c r="F3975" s="702"/>
      <c r="G3975" s="675"/>
      <c r="H3975" s="675"/>
      <c r="I3975" s="675"/>
      <c r="J3975" s="675"/>
      <c r="K3975" s="675"/>
      <c r="L3975" s="675"/>
      <c r="M3975" s="675"/>
    </row>
    <row r="3976" spans="1:13" x14ac:dyDescent="0.25">
      <c r="A3976" s="675" t="s">
        <v>3881</v>
      </c>
      <c r="B3976" s="675" t="s">
        <v>545</v>
      </c>
      <c r="C3976" s="675" t="s">
        <v>3883</v>
      </c>
      <c r="D3976" s="675"/>
      <c r="E3976" s="702"/>
      <c r="F3976" s="702"/>
      <c r="G3976" s="675"/>
      <c r="H3976" s="675"/>
      <c r="I3976" s="675"/>
      <c r="J3976" s="675"/>
      <c r="K3976" s="675"/>
      <c r="L3976" s="675"/>
      <c r="M3976" s="675"/>
    </row>
    <row r="3977" spans="1:13" x14ac:dyDescent="0.25">
      <c r="A3977" s="675" t="s">
        <v>3881</v>
      </c>
      <c r="B3977" s="675" t="s">
        <v>545</v>
      </c>
      <c r="C3977" s="675" t="s">
        <v>3884</v>
      </c>
      <c r="D3977" s="675"/>
      <c r="E3977" s="702"/>
      <c r="F3977" s="702"/>
      <c r="G3977" s="675"/>
      <c r="H3977" s="675"/>
      <c r="I3977" s="675"/>
      <c r="J3977" s="675"/>
      <c r="K3977" s="675"/>
      <c r="L3977" s="675"/>
      <c r="M3977" s="675"/>
    </row>
    <row r="3978" spans="1:13" x14ac:dyDescent="0.25">
      <c r="A3978" s="675" t="s">
        <v>3881</v>
      </c>
      <c r="B3978" s="675" t="s">
        <v>545</v>
      </c>
      <c r="C3978" s="675" t="s">
        <v>3885</v>
      </c>
      <c r="D3978" s="675"/>
      <c r="E3978" s="702"/>
      <c r="F3978" s="702"/>
      <c r="G3978" s="675"/>
      <c r="H3978" s="675"/>
      <c r="I3978" s="675"/>
      <c r="J3978" s="675"/>
      <c r="K3978" s="675"/>
      <c r="L3978" s="675"/>
      <c r="M3978" s="675"/>
    </row>
    <row r="3979" spans="1:13" x14ac:dyDescent="0.25">
      <c r="A3979" s="675" t="s">
        <v>3881</v>
      </c>
      <c r="B3979" s="675" t="s">
        <v>545</v>
      </c>
      <c r="C3979" s="675" t="s">
        <v>3886</v>
      </c>
      <c r="D3979" s="675"/>
      <c r="E3979" s="702"/>
      <c r="F3979" s="702"/>
      <c r="G3979" s="675"/>
      <c r="H3979" s="675"/>
      <c r="I3979" s="675"/>
      <c r="J3979" s="675"/>
      <c r="K3979" s="675"/>
      <c r="L3979" s="675"/>
      <c r="M3979" s="675"/>
    </row>
    <row r="3980" spans="1:13" x14ac:dyDescent="0.25">
      <c r="A3980" s="675" t="s">
        <v>3881</v>
      </c>
      <c r="B3980" s="675" t="s">
        <v>545</v>
      </c>
      <c r="C3980" s="675" t="s">
        <v>3887</v>
      </c>
      <c r="D3980" s="675"/>
      <c r="E3980" s="702"/>
      <c r="F3980" s="702"/>
      <c r="G3980" s="675"/>
      <c r="H3980" s="675"/>
      <c r="I3980" s="675"/>
      <c r="J3980" s="675"/>
      <c r="K3980" s="675"/>
      <c r="L3980" s="675"/>
      <c r="M3980" s="675"/>
    </row>
    <row r="3981" spans="1:13" x14ac:dyDescent="0.25">
      <c r="A3981" s="675" t="s">
        <v>3881</v>
      </c>
      <c r="B3981" s="675" t="s">
        <v>545</v>
      </c>
      <c r="C3981" s="675" t="s">
        <v>3888</v>
      </c>
      <c r="D3981" s="675"/>
      <c r="E3981" s="702"/>
      <c r="F3981" s="702"/>
      <c r="G3981" s="675"/>
      <c r="H3981" s="675"/>
      <c r="I3981" s="675"/>
      <c r="J3981" s="675"/>
      <c r="K3981" s="675"/>
      <c r="L3981" s="675"/>
      <c r="M3981" s="675"/>
    </row>
    <row r="3982" spans="1:13" x14ac:dyDescent="0.25">
      <c r="A3982" s="675" t="s">
        <v>3881</v>
      </c>
      <c r="B3982" s="675" t="s">
        <v>545</v>
      </c>
      <c r="C3982" s="675" t="s">
        <v>3889</v>
      </c>
      <c r="D3982" s="675"/>
      <c r="E3982" s="702"/>
      <c r="F3982" s="702"/>
      <c r="G3982" s="675"/>
      <c r="H3982" s="675"/>
      <c r="I3982" s="675"/>
      <c r="J3982" s="675"/>
      <c r="K3982" s="675"/>
      <c r="L3982" s="675"/>
      <c r="M3982" s="675"/>
    </row>
    <row r="3983" spans="1:13" x14ac:dyDescent="0.25">
      <c r="A3983" s="675" t="s">
        <v>3881</v>
      </c>
      <c r="B3983" s="675" t="s">
        <v>545</v>
      </c>
      <c r="C3983" s="675" t="s">
        <v>3890</v>
      </c>
      <c r="D3983" s="675"/>
      <c r="E3983" s="702"/>
      <c r="F3983" s="702"/>
      <c r="G3983" s="675"/>
      <c r="H3983" s="675"/>
      <c r="I3983" s="675"/>
      <c r="J3983" s="675"/>
      <c r="K3983" s="675"/>
      <c r="L3983" s="675"/>
      <c r="M3983" s="675"/>
    </row>
    <row r="3984" spans="1:13" x14ac:dyDescent="0.25">
      <c r="A3984" s="675" t="s">
        <v>3881</v>
      </c>
      <c r="B3984" s="675" t="s">
        <v>545</v>
      </c>
      <c r="C3984" s="675" t="s">
        <v>3891</v>
      </c>
      <c r="D3984" s="675"/>
      <c r="E3984" s="702"/>
      <c r="F3984" s="702"/>
      <c r="G3984" s="675"/>
      <c r="H3984" s="675"/>
      <c r="I3984" s="675"/>
      <c r="J3984" s="675"/>
      <c r="K3984" s="675"/>
      <c r="L3984" s="675"/>
      <c r="M3984" s="675"/>
    </row>
    <row r="3985" spans="1:13" x14ac:dyDescent="0.25">
      <c r="A3985" s="675" t="s">
        <v>3881</v>
      </c>
      <c r="B3985" s="675" t="s">
        <v>564</v>
      </c>
      <c r="C3985" s="675" t="s">
        <v>3892</v>
      </c>
      <c r="D3985" s="675"/>
      <c r="E3985" s="702"/>
      <c r="F3985" s="702"/>
      <c r="G3985" s="675"/>
      <c r="H3985" s="675"/>
      <c r="I3985" s="675"/>
      <c r="J3985" s="675"/>
      <c r="K3985" s="675"/>
      <c r="L3985" s="675"/>
      <c r="M3985" s="675"/>
    </row>
    <row r="3986" spans="1:13" x14ac:dyDescent="0.25">
      <c r="A3986" s="675" t="s">
        <v>3881</v>
      </c>
      <c r="B3986" s="675" t="s">
        <v>564</v>
      </c>
      <c r="C3986" s="675" t="s">
        <v>3893</v>
      </c>
      <c r="D3986" s="675"/>
      <c r="E3986" s="702"/>
      <c r="F3986" s="702"/>
      <c r="G3986" s="675"/>
      <c r="H3986" s="675"/>
      <c r="I3986" s="675"/>
      <c r="J3986" s="675"/>
      <c r="K3986" s="675"/>
      <c r="L3986" s="675"/>
      <c r="M3986" s="675"/>
    </row>
    <row r="3987" spans="1:13" x14ac:dyDescent="0.25">
      <c r="A3987" s="675" t="s">
        <v>3881</v>
      </c>
      <c r="B3987" s="675" t="s">
        <v>564</v>
      </c>
      <c r="C3987" s="675" t="s">
        <v>3894</v>
      </c>
      <c r="D3987" s="675"/>
      <c r="E3987" s="702"/>
      <c r="F3987" s="702"/>
      <c r="G3987" s="675"/>
      <c r="H3987" s="675"/>
      <c r="I3987" s="675"/>
      <c r="J3987" s="675"/>
      <c r="K3987" s="675"/>
      <c r="L3987" s="675"/>
      <c r="M3987" s="675"/>
    </row>
    <row r="3988" spans="1:13" x14ac:dyDescent="0.25">
      <c r="A3988" s="675" t="s">
        <v>3881</v>
      </c>
      <c r="B3988" s="675" t="s">
        <v>564</v>
      </c>
      <c r="C3988" s="675" t="s">
        <v>3895</v>
      </c>
      <c r="D3988" s="675"/>
      <c r="E3988" s="702"/>
      <c r="F3988" s="702"/>
      <c r="G3988" s="675"/>
      <c r="H3988" s="675"/>
      <c r="I3988" s="675"/>
      <c r="J3988" s="675"/>
      <c r="K3988" s="675"/>
      <c r="L3988" s="675"/>
      <c r="M3988" s="675"/>
    </row>
    <row r="3989" spans="1:13" x14ac:dyDescent="0.25">
      <c r="A3989" s="675" t="s">
        <v>3881</v>
      </c>
      <c r="B3989" s="675" t="s">
        <v>564</v>
      </c>
      <c r="C3989" s="675" t="s">
        <v>3896</v>
      </c>
      <c r="D3989" s="675"/>
      <c r="E3989" s="702"/>
      <c r="F3989" s="702"/>
      <c r="G3989" s="675"/>
      <c r="H3989" s="675"/>
      <c r="I3989" s="675"/>
      <c r="J3989" s="675"/>
      <c r="K3989" s="675"/>
      <c r="L3989" s="675"/>
      <c r="M3989" s="675"/>
    </row>
    <row r="3990" spans="1:13" x14ac:dyDescent="0.25">
      <c r="A3990" s="675" t="s">
        <v>3881</v>
      </c>
      <c r="B3990" s="675" t="s">
        <v>564</v>
      </c>
      <c r="C3990" s="675" t="s">
        <v>3897</v>
      </c>
      <c r="D3990" s="675"/>
      <c r="E3990" s="702"/>
      <c r="F3990" s="702"/>
      <c r="G3990" s="675"/>
      <c r="H3990" s="675"/>
      <c r="I3990" s="675"/>
      <c r="J3990" s="675"/>
      <c r="K3990" s="675"/>
      <c r="L3990" s="675"/>
      <c r="M3990" s="675"/>
    </row>
    <row r="3991" spans="1:13" x14ac:dyDescent="0.25">
      <c r="A3991" s="675" t="s">
        <v>3881</v>
      </c>
      <c r="B3991" s="675" t="s">
        <v>564</v>
      </c>
      <c r="C3991" s="675" t="s">
        <v>3898</v>
      </c>
      <c r="D3991" s="675"/>
      <c r="E3991" s="702"/>
      <c r="F3991" s="702"/>
      <c r="G3991" s="675"/>
      <c r="H3991" s="675"/>
      <c r="I3991" s="675"/>
      <c r="J3991" s="675"/>
      <c r="K3991" s="675"/>
      <c r="L3991" s="675"/>
      <c r="M3991" s="675"/>
    </row>
    <row r="3992" spans="1:13" x14ac:dyDescent="0.25">
      <c r="A3992" s="675" t="s">
        <v>3881</v>
      </c>
      <c r="B3992" s="675" t="s">
        <v>564</v>
      </c>
      <c r="C3992" s="675" t="s">
        <v>3899</v>
      </c>
      <c r="D3992" s="675"/>
      <c r="E3992" s="702"/>
      <c r="F3992" s="702"/>
      <c r="G3992" s="675"/>
      <c r="H3992" s="675"/>
      <c r="I3992" s="675"/>
      <c r="J3992" s="675"/>
      <c r="K3992" s="675"/>
      <c r="L3992" s="675"/>
      <c r="M3992" s="675"/>
    </row>
    <row r="3993" spans="1:13" x14ac:dyDescent="0.25">
      <c r="A3993" s="675" t="s">
        <v>3881</v>
      </c>
      <c r="B3993" s="675" t="s">
        <v>564</v>
      </c>
      <c r="C3993" s="675" t="s">
        <v>3900</v>
      </c>
      <c r="D3993" s="675"/>
      <c r="E3993" s="702"/>
      <c r="F3993" s="702"/>
      <c r="G3993" s="675"/>
      <c r="H3993" s="675"/>
      <c r="I3993" s="675"/>
      <c r="J3993" s="675"/>
      <c r="K3993" s="675"/>
      <c r="L3993" s="675"/>
      <c r="M3993" s="675"/>
    </row>
    <row r="3994" spans="1:13" x14ac:dyDescent="0.25">
      <c r="A3994" s="675" t="s">
        <v>3881</v>
      </c>
      <c r="B3994" s="675" t="s">
        <v>564</v>
      </c>
      <c r="C3994" s="675" t="s">
        <v>3901</v>
      </c>
      <c r="D3994" s="675"/>
      <c r="E3994" s="702"/>
      <c r="F3994" s="702"/>
      <c r="G3994" s="675"/>
      <c r="H3994" s="675"/>
      <c r="I3994" s="675"/>
      <c r="J3994" s="675"/>
      <c r="K3994" s="675"/>
      <c r="L3994" s="675"/>
      <c r="M3994" s="675"/>
    </row>
    <row r="3995" spans="1:13" x14ac:dyDescent="0.25">
      <c r="A3995" s="675" t="s">
        <v>3881</v>
      </c>
      <c r="B3995" s="675" t="s">
        <v>512</v>
      </c>
      <c r="C3995" s="675" t="s">
        <v>3902</v>
      </c>
      <c r="D3995" s="675"/>
      <c r="E3995" s="702"/>
      <c r="F3995" s="702"/>
      <c r="G3995" s="675"/>
      <c r="H3995" s="675"/>
      <c r="I3995" s="675"/>
      <c r="J3995" s="675"/>
      <c r="K3995" s="675"/>
      <c r="L3995" s="675"/>
      <c r="M3995" s="675"/>
    </row>
    <row r="3996" spans="1:13" x14ac:dyDescent="0.25">
      <c r="A3996" s="675" t="s">
        <v>3881</v>
      </c>
      <c r="B3996" s="675" t="s">
        <v>512</v>
      </c>
      <c r="C3996" s="675" t="s">
        <v>3903</v>
      </c>
      <c r="D3996" s="675"/>
      <c r="E3996" s="702"/>
      <c r="F3996" s="702"/>
      <c r="G3996" s="675"/>
      <c r="H3996" s="675"/>
      <c r="I3996" s="675"/>
      <c r="J3996" s="675"/>
      <c r="K3996" s="675"/>
      <c r="L3996" s="675"/>
      <c r="M3996" s="675"/>
    </row>
    <row r="3997" spans="1:13" x14ac:dyDescent="0.25">
      <c r="A3997" s="675" t="s">
        <v>3881</v>
      </c>
      <c r="B3997" s="675" t="s">
        <v>512</v>
      </c>
      <c r="C3997" s="675" t="s">
        <v>3904</v>
      </c>
      <c r="D3997" s="675"/>
      <c r="E3997" s="702"/>
      <c r="F3997" s="702"/>
      <c r="G3997" s="675"/>
      <c r="H3997" s="675"/>
      <c r="I3997" s="675"/>
      <c r="J3997" s="675"/>
      <c r="K3997" s="675"/>
      <c r="L3997" s="675"/>
      <c r="M3997" s="675"/>
    </row>
    <row r="3998" spans="1:13" x14ac:dyDescent="0.25">
      <c r="A3998" s="675" t="s">
        <v>3881</v>
      </c>
      <c r="B3998" s="675" t="s">
        <v>512</v>
      </c>
      <c r="C3998" s="675" t="s">
        <v>3905</v>
      </c>
      <c r="D3998" s="675"/>
      <c r="E3998" s="702"/>
      <c r="F3998" s="702"/>
      <c r="G3998" s="675"/>
      <c r="H3998" s="675"/>
      <c r="I3998" s="675"/>
      <c r="J3998" s="675"/>
      <c r="K3998" s="675"/>
      <c r="L3998" s="675"/>
      <c r="M3998" s="675"/>
    </row>
    <row r="3999" spans="1:13" x14ac:dyDescent="0.25">
      <c r="A3999" s="675" t="s">
        <v>3881</v>
      </c>
      <c r="B3999" s="675" t="s">
        <v>512</v>
      </c>
      <c r="C3999" s="675" t="s">
        <v>3906</v>
      </c>
      <c r="D3999" s="675"/>
      <c r="E3999" s="702"/>
      <c r="F3999" s="702"/>
      <c r="G3999" s="675"/>
      <c r="H3999" s="675"/>
      <c r="I3999" s="675"/>
      <c r="J3999" s="675"/>
      <c r="K3999" s="675"/>
      <c r="L3999" s="675"/>
      <c r="M3999" s="675"/>
    </row>
    <row r="4000" spans="1:13" x14ac:dyDescent="0.25">
      <c r="A4000" s="675" t="s">
        <v>3881</v>
      </c>
      <c r="B4000" s="675" t="s">
        <v>512</v>
      </c>
      <c r="C4000" s="675" t="s">
        <v>3907</v>
      </c>
      <c r="D4000" s="675"/>
      <c r="E4000" s="702"/>
      <c r="F4000" s="702"/>
      <c r="G4000" s="675"/>
      <c r="H4000" s="675"/>
      <c r="I4000" s="675"/>
      <c r="J4000" s="675"/>
      <c r="K4000" s="675"/>
      <c r="L4000" s="675"/>
      <c r="M4000" s="675"/>
    </row>
    <row r="4001" spans="1:13" x14ac:dyDescent="0.25">
      <c r="A4001" s="675" t="s">
        <v>3881</v>
      </c>
      <c r="B4001" s="675" t="s">
        <v>512</v>
      </c>
      <c r="C4001" s="675" t="s">
        <v>3908</v>
      </c>
      <c r="D4001" s="675"/>
      <c r="E4001" s="702"/>
      <c r="F4001" s="702"/>
      <c r="G4001" s="675"/>
      <c r="H4001" s="675"/>
      <c r="I4001" s="675"/>
      <c r="J4001" s="675"/>
      <c r="K4001" s="675"/>
      <c r="L4001" s="675"/>
      <c r="M4001" s="675"/>
    </row>
    <row r="4002" spans="1:13" x14ac:dyDescent="0.25">
      <c r="A4002" s="675" t="s">
        <v>3881</v>
      </c>
      <c r="B4002" s="675" t="s">
        <v>512</v>
      </c>
      <c r="C4002" s="675" t="s">
        <v>3909</v>
      </c>
      <c r="D4002" s="675"/>
      <c r="E4002" s="702"/>
      <c r="F4002" s="702"/>
      <c r="G4002" s="675"/>
      <c r="H4002" s="675"/>
      <c r="I4002" s="675"/>
      <c r="J4002" s="675"/>
      <c r="K4002" s="675"/>
      <c r="L4002" s="675"/>
      <c r="M4002" s="675"/>
    </row>
    <row r="4003" spans="1:13" x14ac:dyDescent="0.25">
      <c r="A4003" s="675" t="s">
        <v>3881</v>
      </c>
      <c r="B4003" s="675" t="s">
        <v>512</v>
      </c>
      <c r="C4003" s="675" t="s">
        <v>3910</v>
      </c>
      <c r="D4003" s="675"/>
      <c r="E4003" s="702"/>
      <c r="F4003" s="702"/>
      <c r="G4003" s="675"/>
      <c r="H4003" s="675"/>
      <c r="I4003" s="675"/>
      <c r="J4003" s="675"/>
      <c r="K4003" s="675"/>
      <c r="L4003" s="675"/>
      <c r="M4003" s="675"/>
    </row>
    <row r="4004" spans="1:13" x14ac:dyDescent="0.25">
      <c r="A4004" s="675" t="s">
        <v>3881</v>
      </c>
      <c r="B4004" s="675" t="s">
        <v>512</v>
      </c>
      <c r="C4004" s="675" t="s">
        <v>3911</v>
      </c>
      <c r="D4004" s="675"/>
      <c r="E4004" s="702"/>
      <c r="F4004" s="702"/>
      <c r="G4004" s="675"/>
      <c r="H4004" s="675"/>
      <c r="I4004" s="675"/>
      <c r="J4004" s="675"/>
      <c r="K4004" s="675"/>
      <c r="L4004" s="675"/>
      <c r="M4004" s="675"/>
    </row>
    <row r="4005" spans="1:13" x14ac:dyDescent="0.25">
      <c r="A4005" s="675" t="s">
        <v>3912</v>
      </c>
      <c r="B4005" s="675" t="s">
        <v>545</v>
      </c>
      <c r="C4005" s="675" t="s">
        <v>3913</v>
      </c>
      <c r="D4005" s="675"/>
      <c r="E4005" s="702"/>
      <c r="F4005" s="702"/>
      <c r="G4005" s="675"/>
      <c r="H4005" s="675"/>
      <c r="I4005" s="675"/>
      <c r="J4005" s="675"/>
      <c r="K4005" s="675"/>
      <c r="L4005" s="675"/>
      <c r="M4005" s="675"/>
    </row>
    <row r="4006" spans="1:13" x14ac:dyDescent="0.25">
      <c r="A4006" s="675" t="s">
        <v>3912</v>
      </c>
      <c r="B4006" s="675" t="s">
        <v>545</v>
      </c>
      <c r="C4006" s="675" t="s">
        <v>3914</v>
      </c>
      <c r="D4006" s="675"/>
      <c r="E4006" s="702"/>
      <c r="F4006" s="702"/>
      <c r="G4006" s="675"/>
      <c r="H4006" s="675"/>
      <c r="I4006" s="675"/>
      <c r="J4006" s="675"/>
      <c r="K4006" s="675"/>
      <c r="L4006" s="675"/>
      <c r="M4006" s="675"/>
    </row>
    <row r="4007" spans="1:13" x14ac:dyDescent="0.25">
      <c r="A4007" s="675" t="s">
        <v>3912</v>
      </c>
      <c r="B4007" s="675" t="s">
        <v>545</v>
      </c>
      <c r="C4007" s="675" t="s">
        <v>3915</v>
      </c>
      <c r="D4007" s="675"/>
      <c r="E4007" s="702"/>
      <c r="F4007" s="702"/>
      <c r="G4007" s="675"/>
      <c r="H4007" s="675"/>
      <c r="I4007" s="675"/>
      <c r="J4007" s="675"/>
      <c r="K4007" s="675"/>
      <c r="L4007" s="675"/>
      <c r="M4007" s="675"/>
    </row>
    <row r="4008" spans="1:13" x14ac:dyDescent="0.25">
      <c r="A4008" s="675" t="s">
        <v>3912</v>
      </c>
      <c r="B4008" s="675" t="s">
        <v>545</v>
      </c>
      <c r="C4008" s="675" t="s">
        <v>3700</v>
      </c>
      <c r="D4008" s="675"/>
      <c r="E4008" s="702"/>
      <c r="F4008" s="702"/>
      <c r="G4008" s="675"/>
      <c r="H4008" s="675"/>
      <c r="I4008" s="675"/>
      <c r="J4008" s="675"/>
      <c r="K4008" s="675"/>
      <c r="L4008" s="675"/>
      <c r="M4008" s="675"/>
    </row>
    <row r="4009" spans="1:13" x14ac:dyDescent="0.25">
      <c r="A4009" s="675" t="s">
        <v>3912</v>
      </c>
      <c r="B4009" s="675" t="s">
        <v>545</v>
      </c>
      <c r="C4009" s="675" t="s">
        <v>3916</v>
      </c>
      <c r="D4009" s="675"/>
      <c r="E4009" s="702"/>
      <c r="F4009" s="702"/>
      <c r="G4009" s="675"/>
      <c r="H4009" s="675"/>
      <c r="I4009" s="675"/>
      <c r="J4009" s="675"/>
      <c r="K4009" s="675"/>
      <c r="L4009" s="675"/>
      <c r="M4009" s="675"/>
    </row>
    <row r="4010" spans="1:13" x14ac:dyDescent="0.25">
      <c r="A4010" s="675" t="s">
        <v>3912</v>
      </c>
      <c r="B4010" s="675" t="s">
        <v>545</v>
      </c>
      <c r="C4010" s="675" t="s">
        <v>3917</v>
      </c>
      <c r="D4010" s="675"/>
      <c r="E4010" s="702"/>
      <c r="F4010" s="702"/>
      <c r="G4010" s="675"/>
      <c r="H4010" s="675"/>
      <c r="I4010" s="675"/>
      <c r="J4010" s="675"/>
      <c r="K4010" s="675"/>
      <c r="L4010" s="675"/>
      <c r="M4010" s="675"/>
    </row>
    <row r="4011" spans="1:13" x14ac:dyDescent="0.25">
      <c r="A4011" s="675" t="s">
        <v>3912</v>
      </c>
      <c r="B4011" s="675" t="s">
        <v>545</v>
      </c>
      <c r="C4011" s="675" t="s">
        <v>3918</v>
      </c>
      <c r="D4011" s="675"/>
      <c r="E4011" s="702"/>
      <c r="F4011" s="702"/>
      <c r="G4011" s="675"/>
      <c r="H4011" s="675"/>
      <c r="I4011" s="675"/>
      <c r="J4011" s="675"/>
      <c r="K4011" s="675"/>
      <c r="L4011" s="675"/>
      <c r="M4011" s="675"/>
    </row>
    <row r="4012" spans="1:13" x14ac:dyDescent="0.25">
      <c r="A4012" s="675" t="s">
        <v>3912</v>
      </c>
      <c r="B4012" s="675" t="s">
        <v>545</v>
      </c>
      <c r="C4012" s="675" t="s">
        <v>3919</v>
      </c>
      <c r="D4012" s="675"/>
      <c r="E4012" s="702"/>
      <c r="F4012" s="702"/>
      <c r="G4012" s="675"/>
      <c r="H4012" s="675"/>
      <c r="I4012" s="675"/>
      <c r="J4012" s="675"/>
      <c r="K4012" s="675"/>
      <c r="L4012" s="675"/>
      <c r="M4012" s="675"/>
    </row>
    <row r="4013" spans="1:13" x14ac:dyDescent="0.25">
      <c r="A4013" s="675" t="s">
        <v>3912</v>
      </c>
      <c r="B4013" s="675" t="s">
        <v>545</v>
      </c>
      <c r="C4013" s="675" t="s">
        <v>3920</v>
      </c>
      <c r="D4013" s="675"/>
      <c r="E4013" s="702"/>
      <c r="F4013" s="702"/>
      <c r="G4013" s="675"/>
      <c r="H4013" s="675"/>
      <c r="I4013" s="675"/>
      <c r="J4013" s="675"/>
      <c r="K4013" s="675"/>
      <c r="L4013" s="675"/>
      <c r="M4013" s="675"/>
    </row>
    <row r="4014" spans="1:13" x14ac:dyDescent="0.25">
      <c r="A4014" s="675" t="s">
        <v>3912</v>
      </c>
      <c r="B4014" s="675" t="s">
        <v>545</v>
      </c>
      <c r="C4014" s="675" t="s">
        <v>3921</v>
      </c>
      <c r="D4014" s="675"/>
      <c r="E4014" s="702"/>
      <c r="F4014" s="702"/>
      <c r="G4014" s="675"/>
      <c r="H4014" s="675"/>
      <c r="I4014" s="675"/>
      <c r="J4014" s="675"/>
      <c r="K4014" s="675"/>
      <c r="L4014" s="675"/>
      <c r="M4014" s="675"/>
    </row>
    <row r="4015" spans="1:13" x14ac:dyDescent="0.25">
      <c r="A4015" s="675" t="s">
        <v>3912</v>
      </c>
      <c r="B4015" s="675" t="s">
        <v>564</v>
      </c>
      <c r="C4015" s="675" t="s">
        <v>3922</v>
      </c>
      <c r="D4015" s="675"/>
      <c r="E4015" s="702"/>
      <c r="F4015" s="702"/>
      <c r="G4015" s="675"/>
      <c r="H4015" s="675"/>
      <c r="I4015" s="675"/>
      <c r="J4015" s="675"/>
      <c r="K4015" s="675"/>
      <c r="L4015" s="675"/>
      <c r="M4015" s="675"/>
    </row>
    <row r="4016" spans="1:13" x14ac:dyDescent="0.25">
      <c r="A4016" s="675" t="s">
        <v>3912</v>
      </c>
      <c r="B4016" s="675" t="s">
        <v>564</v>
      </c>
      <c r="C4016" s="675" t="s">
        <v>3923</v>
      </c>
      <c r="D4016" s="675"/>
      <c r="E4016" s="702"/>
      <c r="F4016" s="702"/>
      <c r="G4016" s="675"/>
      <c r="H4016" s="675"/>
      <c r="I4016" s="675"/>
      <c r="J4016" s="675"/>
      <c r="K4016" s="675"/>
      <c r="L4016" s="675"/>
      <c r="M4016" s="675"/>
    </row>
    <row r="4017" spans="1:13" x14ac:dyDescent="0.25">
      <c r="A4017" s="675" t="s">
        <v>3912</v>
      </c>
      <c r="B4017" s="675" t="s">
        <v>564</v>
      </c>
      <c r="C4017" s="675" t="s">
        <v>3924</v>
      </c>
      <c r="D4017" s="675"/>
      <c r="E4017" s="702"/>
      <c r="F4017" s="702"/>
      <c r="G4017" s="675"/>
      <c r="H4017" s="675"/>
      <c r="I4017" s="675"/>
      <c r="J4017" s="675"/>
      <c r="K4017" s="675"/>
      <c r="L4017" s="675"/>
      <c r="M4017" s="675"/>
    </row>
    <row r="4018" spans="1:13" x14ac:dyDescent="0.25">
      <c r="A4018" s="675" t="s">
        <v>3912</v>
      </c>
      <c r="B4018" s="675" t="s">
        <v>564</v>
      </c>
      <c r="C4018" s="675" t="s">
        <v>3925</v>
      </c>
      <c r="D4018" s="675"/>
      <c r="E4018" s="702"/>
      <c r="F4018" s="702"/>
      <c r="G4018" s="675"/>
      <c r="H4018" s="675"/>
      <c r="I4018" s="675"/>
      <c r="J4018" s="675"/>
      <c r="K4018" s="675"/>
      <c r="L4018" s="675"/>
      <c r="M4018" s="675"/>
    </row>
    <row r="4019" spans="1:13" x14ac:dyDescent="0.25">
      <c r="A4019" s="675" t="s">
        <v>3912</v>
      </c>
      <c r="B4019" s="675" t="s">
        <v>564</v>
      </c>
      <c r="C4019" s="675" t="s">
        <v>3926</v>
      </c>
      <c r="D4019" s="675"/>
      <c r="E4019" s="702"/>
      <c r="F4019" s="702"/>
      <c r="G4019" s="675"/>
      <c r="H4019" s="675"/>
      <c r="I4019" s="675"/>
      <c r="J4019" s="675"/>
      <c r="K4019" s="675"/>
      <c r="L4019" s="675"/>
      <c r="M4019" s="675"/>
    </row>
    <row r="4020" spans="1:13" x14ac:dyDescent="0.25">
      <c r="A4020" s="675" t="s">
        <v>3912</v>
      </c>
      <c r="B4020" s="675" t="s">
        <v>564</v>
      </c>
      <c r="C4020" s="675" t="s">
        <v>3927</v>
      </c>
      <c r="D4020" s="675"/>
      <c r="E4020" s="702"/>
      <c r="F4020" s="702"/>
      <c r="G4020" s="675"/>
      <c r="H4020" s="675"/>
      <c r="I4020" s="675"/>
      <c r="J4020" s="675"/>
      <c r="K4020" s="675"/>
      <c r="L4020" s="675"/>
      <c r="M4020" s="675"/>
    </row>
    <row r="4021" spans="1:13" x14ac:dyDescent="0.25">
      <c r="A4021" s="675" t="s">
        <v>3912</v>
      </c>
      <c r="B4021" s="675" t="s">
        <v>564</v>
      </c>
      <c r="C4021" s="675" t="s">
        <v>3928</v>
      </c>
      <c r="D4021" s="675"/>
      <c r="E4021" s="702"/>
      <c r="F4021" s="702"/>
      <c r="G4021" s="675"/>
      <c r="H4021" s="675"/>
      <c r="I4021" s="675"/>
      <c r="J4021" s="675"/>
      <c r="K4021" s="675"/>
      <c r="L4021" s="675"/>
      <c r="M4021" s="675"/>
    </row>
    <row r="4022" spans="1:13" x14ac:dyDescent="0.25">
      <c r="A4022" s="675" t="s">
        <v>3912</v>
      </c>
      <c r="B4022" s="675" t="s">
        <v>564</v>
      </c>
      <c r="C4022" s="675" t="s">
        <v>3929</v>
      </c>
      <c r="D4022" s="675"/>
      <c r="E4022" s="702"/>
      <c r="F4022" s="702"/>
      <c r="G4022" s="675"/>
      <c r="H4022" s="675"/>
      <c r="I4022" s="675"/>
      <c r="J4022" s="675"/>
      <c r="K4022" s="675"/>
      <c r="L4022" s="675"/>
      <c r="M4022" s="675"/>
    </row>
    <row r="4023" spans="1:13" x14ac:dyDescent="0.25">
      <c r="A4023" s="675" t="s">
        <v>3912</v>
      </c>
      <c r="B4023" s="675" t="s">
        <v>564</v>
      </c>
      <c r="C4023" s="675" t="s">
        <v>3930</v>
      </c>
      <c r="D4023" s="675"/>
      <c r="E4023" s="702"/>
      <c r="F4023" s="702"/>
      <c r="G4023" s="675"/>
      <c r="H4023" s="675"/>
      <c r="I4023" s="675"/>
      <c r="J4023" s="675"/>
      <c r="K4023" s="675"/>
      <c r="L4023" s="675"/>
      <c r="M4023" s="675"/>
    </row>
    <row r="4024" spans="1:13" x14ac:dyDescent="0.25">
      <c r="A4024" s="675" t="s">
        <v>3912</v>
      </c>
      <c r="B4024" s="675" t="s">
        <v>564</v>
      </c>
      <c r="C4024" s="675" t="s">
        <v>3931</v>
      </c>
      <c r="D4024" s="675"/>
      <c r="E4024" s="702"/>
      <c r="F4024" s="702"/>
      <c r="G4024" s="675"/>
      <c r="H4024" s="675"/>
      <c r="I4024" s="675"/>
      <c r="J4024" s="675"/>
      <c r="K4024" s="675"/>
      <c r="L4024" s="675"/>
      <c r="M4024" s="675"/>
    </row>
    <row r="4025" spans="1:13" x14ac:dyDescent="0.25">
      <c r="A4025" s="675" t="s">
        <v>3912</v>
      </c>
      <c r="B4025" s="675" t="s">
        <v>512</v>
      </c>
      <c r="C4025" s="675" t="s">
        <v>3932</v>
      </c>
      <c r="D4025" s="675"/>
      <c r="E4025" s="702"/>
      <c r="F4025" s="702"/>
      <c r="G4025" s="675"/>
      <c r="H4025" s="675"/>
      <c r="I4025" s="675"/>
      <c r="J4025" s="675"/>
      <c r="K4025" s="675"/>
      <c r="L4025" s="675"/>
      <c r="M4025" s="675"/>
    </row>
    <row r="4026" spans="1:13" x14ac:dyDescent="0.25">
      <c r="A4026" s="675" t="s">
        <v>3912</v>
      </c>
      <c r="B4026" s="675" t="s">
        <v>512</v>
      </c>
      <c r="C4026" s="675" t="s">
        <v>3933</v>
      </c>
      <c r="D4026" s="675"/>
      <c r="E4026" s="702"/>
      <c r="F4026" s="702"/>
      <c r="G4026" s="675"/>
      <c r="H4026" s="675"/>
      <c r="I4026" s="675"/>
      <c r="J4026" s="675"/>
      <c r="K4026" s="675"/>
      <c r="L4026" s="675"/>
      <c r="M4026" s="675"/>
    </row>
    <row r="4027" spans="1:13" x14ac:dyDescent="0.25">
      <c r="A4027" s="675" t="s">
        <v>3912</v>
      </c>
      <c r="B4027" s="675" t="s">
        <v>512</v>
      </c>
      <c r="C4027" s="675" t="s">
        <v>3934</v>
      </c>
      <c r="D4027" s="675"/>
      <c r="E4027" s="702"/>
      <c r="F4027" s="702"/>
      <c r="G4027" s="675"/>
      <c r="H4027" s="675"/>
      <c r="I4027" s="675"/>
      <c r="J4027" s="675"/>
      <c r="K4027" s="675"/>
      <c r="L4027" s="675"/>
      <c r="M4027" s="675"/>
    </row>
    <row r="4028" spans="1:13" x14ac:dyDescent="0.25">
      <c r="A4028" s="675" t="s">
        <v>3912</v>
      </c>
      <c r="B4028" s="675" t="s">
        <v>512</v>
      </c>
      <c r="C4028" s="675" t="s">
        <v>3935</v>
      </c>
      <c r="D4028" s="675"/>
      <c r="E4028" s="702"/>
      <c r="F4028" s="702"/>
      <c r="G4028" s="675"/>
      <c r="H4028" s="675"/>
      <c r="I4028" s="675"/>
      <c r="J4028" s="675"/>
      <c r="K4028" s="675"/>
      <c r="L4028" s="675"/>
      <c r="M4028" s="675"/>
    </row>
    <row r="4029" spans="1:13" x14ac:dyDescent="0.25">
      <c r="A4029" s="675" t="s">
        <v>3912</v>
      </c>
      <c r="B4029" s="675" t="s">
        <v>512</v>
      </c>
      <c r="C4029" s="675" t="s">
        <v>3936</v>
      </c>
      <c r="D4029" s="675"/>
      <c r="E4029" s="702"/>
      <c r="F4029" s="702"/>
      <c r="G4029" s="675"/>
      <c r="H4029" s="675"/>
      <c r="I4029" s="675"/>
      <c r="J4029" s="675"/>
      <c r="K4029" s="675"/>
      <c r="L4029" s="675"/>
      <c r="M4029" s="675"/>
    </row>
    <row r="4030" spans="1:13" x14ac:dyDescent="0.25">
      <c r="A4030" s="675" t="s">
        <v>3912</v>
      </c>
      <c r="B4030" s="675" t="s">
        <v>512</v>
      </c>
      <c r="C4030" s="675" t="s">
        <v>3937</v>
      </c>
      <c r="D4030" s="675"/>
      <c r="E4030" s="702"/>
      <c r="F4030" s="702"/>
      <c r="G4030" s="675"/>
      <c r="H4030" s="675"/>
      <c r="I4030" s="675"/>
      <c r="J4030" s="675"/>
      <c r="K4030" s="675"/>
      <c r="L4030" s="675"/>
      <c r="M4030" s="675"/>
    </row>
    <row r="4031" spans="1:13" x14ac:dyDescent="0.25">
      <c r="A4031" s="675" t="s">
        <v>3912</v>
      </c>
      <c r="B4031" s="675" t="s">
        <v>512</v>
      </c>
      <c r="C4031" s="675" t="s">
        <v>3938</v>
      </c>
      <c r="D4031" s="675"/>
      <c r="E4031" s="702"/>
      <c r="F4031" s="702"/>
      <c r="G4031" s="675"/>
      <c r="H4031" s="675"/>
      <c r="I4031" s="675"/>
      <c r="J4031" s="675"/>
      <c r="K4031" s="675"/>
      <c r="L4031" s="675"/>
      <c r="M4031" s="675"/>
    </row>
    <row r="4032" spans="1:13" x14ac:dyDescent="0.25">
      <c r="A4032" s="675" t="s">
        <v>3912</v>
      </c>
      <c r="B4032" s="675" t="s">
        <v>512</v>
      </c>
      <c r="C4032" s="675" t="s">
        <v>3939</v>
      </c>
      <c r="D4032" s="675"/>
      <c r="E4032" s="702"/>
      <c r="F4032" s="702"/>
      <c r="G4032" s="675"/>
      <c r="H4032" s="675"/>
      <c r="I4032" s="675"/>
      <c r="J4032" s="675"/>
      <c r="K4032" s="675"/>
      <c r="L4032" s="675"/>
      <c r="M4032" s="675"/>
    </row>
    <row r="4033" spans="1:13" x14ac:dyDescent="0.25">
      <c r="A4033" s="675" t="s">
        <v>3912</v>
      </c>
      <c r="B4033" s="675" t="s">
        <v>512</v>
      </c>
      <c r="C4033" s="675" t="s">
        <v>3940</v>
      </c>
      <c r="D4033" s="675"/>
      <c r="E4033" s="702"/>
      <c r="F4033" s="702"/>
      <c r="G4033" s="675"/>
      <c r="H4033" s="675"/>
      <c r="I4033" s="675"/>
      <c r="J4033" s="675"/>
      <c r="K4033" s="675"/>
      <c r="L4033" s="675"/>
      <c r="M4033" s="675"/>
    </row>
    <row r="4034" spans="1:13" x14ac:dyDescent="0.25">
      <c r="A4034" s="675" t="s">
        <v>3912</v>
      </c>
      <c r="B4034" s="675" t="s">
        <v>512</v>
      </c>
      <c r="C4034" s="675" t="s">
        <v>3941</v>
      </c>
      <c r="D4034" s="675"/>
      <c r="E4034" s="702"/>
      <c r="F4034" s="702"/>
      <c r="G4034" s="675"/>
      <c r="H4034" s="675"/>
      <c r="I4034" s="675"/>
      <c r="J4034" s="675"/>
      <c r="K4034" s="675"/>
      <c r="L4034" s="675"/>
      <c r="M4034" s="675"/>
    </row>
    <row r="4035" spans="1:13" x14ac:dyDescent="0.25">
      <c r="A4035" s="675" t="s">
        <v>3942</v>
      </c>
      <c r="B4035" s="675" t="s">
        <v>545</v>
      </c>
      <c r="C4035" s="675" t="s">
        <v>3943</v>
      </c>
      <c r="D4035" s="675"/>
      <c r="E4035" s="702"/>
      <c r="F4035" s="702"/>
      <c r="G4035" s="675"/>
      <c r="H4035" s="675"/>
      <c r="I4035" s="675"/>
      <c r="J4035" s="675"/>
      <c r="K4035" s="675"/>
      <c r="L4035" s="675"/>
      <c r="M4035" s="675"/>
    </row>
    <row r="4036" spans="1:13" x14ac:dyDescent="0.25">
      <c r="A4036" s="675" t="s">
        <v>3942</v>
      </c>
      <c r="B4036" s="675" t="s">
        <v>545</v>
      </c>
      <c r="C4036" s="675" t="s">
        <v>3944</v>
      </c>
      <c r="D4036" s="675"/>
      <c r="E4036" s="702"/>
      <c r="F4036" s="702"/>
      <c r="G4036" s="675"/>
      <c r="H4036" s="675"/>
      <c r="I4036" s="675"/>
      <c r="J4036" s="675"/>
      <c r="K4036" s="675"/>
      <c r="L4036" s="675"/>
      <c r="M4036" s="675"/>
    </row>
    <row r="4037" spans="1:13" x14ac:dyDescent="0.25">
      <c r="A4037" s="675" t="s">
        <v>3942</v>
      </c>
      <c r="B4037" s="675" t="s">
        <v>545</v>
      </c>
      <c r="C4037" s="675" t="s">
        <v>3945</v>
      </c>
      <c r="D4037" s="675"/>
      <c r="E4037" s="702"/>
      <c r="F4037" s="702"/>
      <c r="G4037" s="675"/>
      <c r="H4037" s="675"/>
      <c r="I4037" s="675"/>
      <c r="J4037" s="675"/>
      <c r="K4037" s="675"/>
      <c r="L4037" s="675"/>
      <c r="M4037" s="675"/>
    </row>
    <row r="4038" spans="1:13" x14ac:dyDescent="0.25">
      <c r="A4038" s="675" t="s">
        <v>3942</v>
      </c>
      <c r="B4038" s="675" t="s">
        <v>545</v>
      </c>
      <c r="C4038" s="675" t="s">
        <v>3946</v>
      </c>
      <c r="D4038" s="675"/>
      <c r="E4038" s="702"/>
      <c r="F4038" s="702"/>
      <c r="G4038" s="675"/>
      <c r="H4038" s="675"/>
      <c r="I4038" s="675"/>
      <c r="J4038" s="675"/>
      <c r="K4038" s="675"/>
      <c r="L4038" s="675"/>
      <c r="M4038" s="675"/>
    </row>
    <row r="4039" spans="1:13" x14ac:dyDescent="0.25">
      <c r="A4039" s="675" t="s">
        <v>3942</v>
      </c>
      <c r="B4039" s="675" t="s">
        <v>545</v>
      </c>
      <c r="C4039" s="675" t="s">
        <v>3947</v>
      </c>
      <c r="D4039" s="675"/>
      <c r="E4039" s="702"/>
      <c r="F4039" s="702"/>
      <c r="G4039" s="675"/>
      <c r="H4039" s="675"/>
      <c r="I4039" s="675"/>
      <c r="J4039" s="675"/>
      <c r="K4039" s="675"/>
      <c r="L4039" s="675"/>
      <c r="M4039" s="675"/>
    </row>
    <row r="4040" spans="1:13" x14ac:dyDescent="0.25">
      <c r="A4040" s="675" t="s">
        <v>3942</v>
      </c>
      <c r="B4040" s="675" t="s">
        <v>545</v>
      </c>
      <c r="C4040" s="675" t="s">
        <v>3948</v>
      </c>
      <c r="D4040" s="675"/>
      <c r="E4040" s="702"/>
      <c r="F4040" s="702"/>
      <c r="G4040" s="675"/>
      <c r="H4040" s="675"/>
      <c r="I4040" s="675"/>
      <c r="J4040" s="675"/>
      <c r="K4040" s="675"/>
      <c r="L4040" s="675"/>
      <c r="M4040" s="675"/>
    </row>
    <row r="4041" spans="1:13" x14ac:dyDescent="0.25">
      <c r="A4041" s="675" t="s">
        <v>3942</v>
      </c>
      <c r="B4041" s="675" t="s">
        <v>545</v>
      </c>
      <c r="C4041" s="675" t="s">
        <v>3949</v>
      </c>
      <c r="D4041" s="675"/>
      <c r="E4041" s="702"/>
      <c r="F4041" s="702"/>
      <c r="G4041" s="675"/>
      <c r="H4041" s="675"/>
      <c r="I4041" s="675"/>
      <c r="J4041" s="675"/>
      <c r="K4041" s="675"/>
      <c r="L4041" s="675"/>
      <c r="M4041" s="675"/>
    </row>
    <row r="4042" spans="1:13" x14ac:dyDescent="0.25">
      <c r="A4042" s="675" t="s">
        <v>3942</v>
      </c>
      <c r="B4042" s="675" t="s">
        <v>545</v>
      </c>
      <c r="C4042" s="675" t="s">
        <v>3950</v>
      </c>
      <c r="D4042" s="675"/>
      <c r="E4042" s="702"/>
      <c r="F4042" s="702"/>
      <c r="G4042" s="675"/>
      <c r="H4042" s="675"/>
      <c r="I4042" s="675"/>
      <c r="J4042" s="675"/>
      <c r="K4042" s="675"/>
      <c r="L4042" s="675"/>
      <c r="M4042" s="675"/>
    </row>
    <row r="4043" spans="1:13" x14ac:dyDescent="0.25">
      <c r="A4043" s="675" t="s">
        <v>3942</v>
      </c>
      <c r="B4043" s="675" t="s">
        <v>545</v>
      </c>
      <c r="C4043" s="675" t="s">
        <v>3951</v>
      </c>
      <c r="D4043" s="675"/>
      <c r="E4043" s="702"/>
      <c r="F4043" s="702"/>
      <c r="G4043" s="675"/>
      <c r="H4043" s="675"/>
      <c r="I4043" s="675"/>
      <c r="J4043" s="675"/>
      <c r="K4043" s="675"/>
      <c r="L4043" s="675"/>
      <c r="M4043" s="675"/>
    </row>
    <row r="4044" spans="1:13" x14ac:dyDescent="0.25">
      <c r="A4044" s="675" t="s">
        <v>3942</v>
      </c>
      <c r="B4044" s="675" t="s">
        <v>545</v>
      </c>
      <c r="C4044" s="675" t="s">
        <v>3952</v>
      </c>
      <c r="D4044" s="675"/>
      <c r="E4044" s="702"/>
      <c r="F4044" s="702"/>
      <c r="G4044" s="675"/>
      <c r="H4044" s="675"/>
      <c r="I4044" s="675"/>
      <c r="J4044" s="675"/>
      <c r="K4044" s="675"/>
      <c r="L4044" s="675"/>
      <c r="M4044" s="675"/>
    </row>
    <row r="4045" spans="1:13" x14ac:dyDescent="0.25">
      <c r="A4045" s="675" t="s">
        <v>3942</v>
      </c>
      <c r="B4045" s="675" t="s">
        <v>564</v>
      </c>
      <c r="C4045" s="675" t="s">
        <v>3953</v>
      </c>
      <c r="D4045" s="675"/>
      <c r="E4045" s="702"/>
      <c r="F4045" s="702"/>
      <c r="G4045" s="675"/>
      <c r="H4045" s="675"/>
      <c r="I4045" s="675"/>
      <c r="J4045" s="675"/>
      <c r="K4045" s="675"/>
      <c r="L4045" s="675"/>
      <c r="M4045" s="675"/>
    </row>
    <row r="4046" spans="1:13" x14ac:dyDescent="0.25">
      <c r="A4046" s="675" t="s">
        <v>3942</v>
      </c>
      <c r="B4046" s="675" t="s">
        <v>564</v>
      </c>
      <c r="C4046" s="675" t="s">
        <v>3954</v>
      </c>
      <c r="D4046" s="675"/>
      <c r="E4046" s="702"/>
      <c r="F4046" s="702"/>
      <c r="G4046" s="675"/>
      <c r="H4046" s="675"/>
      <c r="I4046" s="675"/>
      <c r="J4046" s="675"/>
      <c r="K4046" s="675"/>
      <c r="L4046" s="675"/>
      <c r="M4046" s="675"/>
    </row>
    <row r="4047" spans="1:13" x14ac:dyDescent="0.25">
      <c r="A4047" s="675" t="s">
        <v>3942</v>
      </c>
      <c r="B4047" s="675" t="s">
        <v>564</v>
      </c>
      <c r="C4047" s="675" t="s">
        <v>3955</v>
      </c>
      <c r="D4047" s="675"/>
      <c r="E4047" s="702"/>
      <c r="F4047" s="702"/>
      <c r="G4047" s="675"/>
      <c r="H4047" s="675"/>
      <c r="I4047" s="675"/>
      <c r="J4047" s="675"/>
      <c r="K4047" s="675"/>
      <c r="L4047" s="675"/>
      <c r="M4047" s="675"/>
    </row>
    <row r="4048" spans="1:13" x14ac:dyDescent="0.25">
      <c r="A4048" s="675" t="s">
        <v>3942</v>
      </c>
      <c r="B4048" s="675" t="s">
        <v>564</v>
      </c>
      <c r="C4048" s="675" t="s">
        <v>3956</v>
      </c>
      <c r="D4048" s="675"/>
      <c r="E4048" s="702"/>
      <c r="F4048" s="702"/>
      <c r="G4048" s="675"/>
      <c r="H4048" s="675"/>
      <c r="I4048" s="675"/>
      <c r="J4048" s="675"/>
      <c r="K4048" s="675"/>
      <c r="L4048" s="675"/>
      <c r="M4048" s="675"/>
    </row>
    <row r="4049" spans="1:13" x14ac:dyDescent="0.25">
      <c r="A4049" s="675" t="s">
        <v>3942</v>
      </c>
      <c r="B4049" s="675" t="s">
        <v>564</v>
      </c>
      <c r="C4049" s="675" t="s">
        <v>3957</v>
      </c>
      <c r="D4049" s="675"/>
      <c r="E4049" s="702"/>
      <c r="F4049" s="702"/>
      <c r="G4049" s="675"/>
      <c r="H4049" s="675"/>
      <c r="I4049" s="675"/>
      <c r="J4049" s="675"/>
      <c r="K4049" s="675"/>
      <c r="L4049" s="675"/>
      <c r="M4049" s="675"/>
    </row>
    <row r="4050" spans="1:13" x14ac:dyDescent="0.25">
      <c r="A4050" s="675" t="s">
        <v>3942</v>
      </c>
      <c r="B4050" s="675" t="s">
        <v>564</v>
      </c>
      <c r="C4050" s="675" t="s">
        <v>3958</v>
      </c>
      <c r="D4050" s="675"/>
      <c r="E4050" s="702"/>
      <c r="F4050" s="702"/>
      <c r="G4050" s="675"/>
      <c r="H4050" s="675"/>
      <c r="I4050" s="675"/>
      <c r="J4050" s="675"/>
      <c r="K4050" s="675"/>
      <c r="L4050" s="675"/>
      <c r="M4050" s="675"/>
    </row>
    <row r="4051" spans="1:13" x14ac:dyDescent="0.25">
      <c r="A4051" s="675" t="s">
        <v>3942</v>
      </c>
      <c r="B4051" s="675" t="s">
        <v>564</v>
      </c>
      <c r="C4051" s="675" t="s">
        <v>3959</v>
      </c>
      <c r="D4051" s="675"/>
      <c r="E4051" s="702"/>
      <c r="F4051" s="702"/>
      <c r="G4051" s="675"/>
      <c r="H4051" s="675"/>
      <c r="I4051" s="675"/>
      <c r="J4051" s="675"/>
      <c r="K4051" s="675"/>
      <c r="L4051" s="675"/>
      <c r="M4051" s="675"/>
    </row>
    <row r="4052" spans="1:13" x14ac:dyDescent="0.25">
      <c r="A4052" s="675" t="s">
        <v>3942</v>
      </c>
      <c r="B4052" s="675" t="s">
        <v>564</v>
      </c>
      <c r="C4052" s="675" t="s">
        <v>3960</v>
      </c>
      <c r="D4052" s="675"/>
      <c r="E4052" s="702"/>
      <c r="F4052" s="702"/>
      <c r="G4052" s="675"/>
      <c r="H4052" s="675"/>
      <c r="I4052" s="675"/>
      <c r="J4052" s="675"/>
      <c r="K4052" s="675"/>
      <c r="L4052" s="675"/>
      <c r="M4052" s="675"/>
    </row>
    <row r="4053" spans="1:13" x14ac:dyDescent="0.25">
      <c r="A4053" s="675" t="s">
        <v>3942</v>
      </c>
      <c r="B4053" s="675" t="s">
        <v>564</v>
      </c>
      <c r="C4053" s="675" t="s">
        <v>3961</v>
      </c>
      <c r="D4053" s="675"/>
      <c r="E4053" s="702"/>
      <c r="F4053" s="702"/>
      <c r="G4053" s="675"/>
      <c r="H4053" s="675"/>
      <c r="I4053" s="675"/>
      <c r="J4053" s="675"/>
      <c r="K4053" s="675"/>
      <c r="L4053" s="675"/>
      <c r="M4053" s="675"/>
    </row>
    <row r="4054" spans="1:13" x14ac:dyDescent="0.25">
      <c r="A4054" s="675" t="s">
        <v>3942</v>
      </c>
      <c r="B4054" s="675" t="s">
        <v>564</v>
      </c>
      <c r="C4054" s="675" t="s">
        <v>3962</v>
      </c>
      <c r="D4054" s="675"/>
      <c r="E4054" s="702"/>
      <c r="F4054" s="702"/>
      <c r="G4054" s="675"/>
      <c r="H4054" s="675"/>
      <c r="I4054" s="675"/>
      <c r="J4054" s="675"/>
      <c r="K4054" s="675"/>
      <c r="L4054" s="675"/>
      <c r="M4054" s="675"/>
    </row>
    <row r="4055" spans="1:13" x14ac:dyDescent="0.25">
      <c r="A4055" s="675" t="s">
        <v>3942</v>
      </c>
      <c r="B4055" s="675" t="s">
        <v>512</v>
      </c>
      <c r="C4055" s="675" t="s">
        <v>3963</v>
      </c>
      <c r="D4055" s="675"/>
      <c r="E4055" s="702"/>
      <c r="F4055" s="702"/>
      <c r="G4055" s="675"/>
      <c r="H4055" s="675"/>
      <c r="I4055" s="675"/>
      <c r="J4055" s="675"/>
      <c r="K4055" s="675"/>
      <c r="L4055" s="675"/>
      <c r="M4055" s="675"/>
    </row>
    <row r="4056" spans="1:13" x14ac:dyDescent="0.25">
      <c r="A4056" s="675" t="s">
        <v>3942</v>
      </c>
      <c r="B4056" s="675" t="s">
        <v>512</v>
      </c>
      <c r="C4056" s="675" t="s">
        <v>3964</v>
      </c>
      <c r="D4056" s="675"/>
      <c r="E4056" s="702"/>
      <c r="F4056" s="702"/>
      <c r="G4056" s="675"/>
      <c r="H4056" s="675"/>
      <c r="I4056" s="675"/>
      <c r="J4056" s="675"/>
      <c r="K4056" s="675"/>
      <c r="L4056" s="675"/>
      <c r="M4056" s="675"/>
    </row>
    <row r="4057" spans="1:13" x14ac:dyDescent="0.25">
      <c r="A4057" s="675" t="s">
        <v>3942</v>
      </c>
      <c r="B4057" s="675" t="s">
        <v>512</v>
      </c>
      <c r="C4057" s="675" t="s">
        <v>3965</v>
      </c>
      <c r="D4057" s="675"/>
      <c r="E4057" s="702"/>
      <c r="F4057" s="702"/>
      <c r="G4057" s="675"/>
      <c r="H4057" s="675"/>
      <c r="I4057" s="675"/>
      <c r="J4057" s="675"/>
      <c r="K4057" s="675"/>
      <c r="L4057" s="675"/>
      <c r="M4057" s="675"/>
    </row>
    <row r="4058" spans="1:13" x14ac:dyDescent="0.25">
      <c r="A4058" s="675" t="s">
        <v>3942</v>
      </c>
      <c r="B4058" s="675" t="s">
        <v>512</v>
      </c>
      <c r="C4058" s="675" t="s">
        <v>3966</v>
      </c>
      <c r="D4058" s="675"/>
      <c r="E4058" s="702"/>
      <c r="F4058" s="702"/>
      <c r="G4058" s="675"/>
      <c r="H4058" s="675"/>
      <c r="I4058" s="675"/>
      <c r="J4058" s="675"/>
      <c r="K4058" s="675"/>
      <c r="L4058" s="675"/>
      <c r="M4058" s="675"/>
    </row>
    <row r="4059" spans="1:13" x14ac:dyDescent="0.25">
      <c r="A4059" s="675" t="s">
        <v>3942</v>
      </c>
      <c r="B4059" s="675" t="s">
        <v>512</v>
      </c>
      <c r="C4059" s="675" t="s">
        <v>3967</v>
      </c>
      <c r="D4059" s="675"/>
      <c r="E4059" s="702"/>
      <c r="F4059" s="702"/>
      <c r="G4059" s="675"/>
      <c r="H4059" s="675"/>
      <c r="I4059" s="675"/>
      <c r="J4059" s="675"/>
      <c r="K4059" s="675"/>
      <c r="L4059" s="675"/>
      <c r="M4059" s="675"/>
    </row>
    <row r="4060" spans="1:13" x14ac:dyDescent="0.25">
      <c r="A4060" s="675" t="s">
        <v>3942</v>
      </c>
      <c r="B4060" s="675" t="s">
        <v>512</v>
      </c>
      <c r="C4060" s="675" t="s">
        <v>3968</v>
      </c>
      <c r="D4060" s="675"/>
      <c r="E4060" s="702"/>
      <c r="F4060" s="702"/>
      <c r="G4060" s="675"/>
      <c r="H4060" s="675"/>
      <c r="I4060" s="675"/>
      <c r="J4060" s="675"/>
      <c r="K4060" s="675"/>
      <c r="L4060" s="675"/>
      <c r="M4060" s="675"/>
    </row>
    <row r="4061" spans="1:13" x14ac:dyDescent="0.25">
      <c r="A4061" s="675" t="s">
        <v>3942</v>
      </c>
      <c r="B4061" s="675" t="s">
        <v>512</v>
      </c>
      <c r="C4061" s="675" t="s">
        <v>3969</v>
      </c>
      <c r="D4061" s="675"/>
      <c r="E4061" s="702"/>
      <c r="F4061" s="702"/>
      <c r="G4061" s="675"/>
      <c r="H4061" s="675"/>
      <c r="I4061" s="675"/>
      <c r="J4061" s="675"/>
      <c r="K4061" s="675"/>
      <c r="L4061" s="675"/>
      <c r="M4061" s="675"/>
    </row>
    <row r="4062" spans="1:13" x14ac:dyDescent="0.25">
      <c r="A4062" s="675" t="s">
        <v>3942</v>
      </c>
      <c r="B4062" s="675" t="s">
        <v>512</v>
      </c>
      <c r="C4062" s="675" t="s">
        <v>3970</v>
      </c>
      <c r="D4062" s="675"/>
      <c r="E4062" s="702"/>
      <c r="F4062" s="702"/>
      <c r="G4062" s="675"/>
      <c r="H4062" s="675"/>
      <c r="I4062" s="675"/>
      <c r="J4062" s="675"/>
      <c r="K4062" s="675"/>
      <c r="L4062" s="675"/>
      <c r="M4062" s="675"/>
    </row>
    <row r="4063" spans="1:13" x14ac:dyDescent="0.25">
      <c r="A4063" s="675" t="s">
        <v>3942</v>
      </c>
      <c r="B4063" s="675" t="s">
        <v>512</v>
      </c>
      <c r="C4063" s="675" t="s">
        <v>3971</v>
      </c>
      <c r="D4063" s="675"/>
      <c r="E4063" s="702"/>
      <c r="F4063" s="702"/>
      <c r="G4063" s="675"/>
      <c r="H4063" s="675"/>
      <c r="I4063" s="675"/>
      <c r="J4063" s="675"/>
      <c r="K4063" s="675"/>
      <c r="L4063" s="675"/>
      <c r="M4063" s="675"/>
    </row>
    <row r="4064" spans="1:13" x14ac:dyDescent="0.25">
      <c r="A4064" s="675" t="s">
        <v>3942</v>
      </c>
      <c r="B4064" s="675" t="s">
        <v>512</v>
      </c>
      <c r="C4064" s="675" t="s">
        <v>3972</v>
      </c>
      <c r="D4064" s="675"/>
      <c r="E4064" s="702"/>
      <c r="F4064" s="702"/>
      <c r="G4064" s="675"/>
      <c r="H4064" s="675"/>
      <c r="I4064" s="675"/>
      <c r="J4064" s="675"/>
      <c r="K4064" s="675"/>
      <c r="L4064" s="675"/>
      <c r="M4064" s="675"/>
    </row>
    <row r="4065" spans="1:13" x14ac:dyDescent="0.25">
      <c r="A4065" s="675" t="s">
        <v>2772</v>
      </c>
      <c r="B4065" s="675" t="s">
        <v>545</v>
      </c>
      <c r="C4065" s="675" t="s">
        <v>3973</v>
      </c>
      <c r="D4065" s="675"/>
      <c r="E4065" s="702"/>
      <c r="F4065" s="702"/>
      <c r="G4065" s="675"/>
      <c r="H4065" s="675"/>
      <c r="I4065" s="675"/>
      <c r="J4065" s="675"/>
      <c r="K4065" s="675"/>
      <c r="L4065" s="675"/>
      <c r="M4065" s="675"/>
    </row>
    <row r="4066" spans="1:13" x14ac:dyDescent="0.25">
      <c r="A4066" s="675" t="s">
        <v>2772</v>
      </c>
      <c r="B4066" s="675" t="s">
        <v>545</v>
      </c>
      <c r="C4066" s="675" t="s">
        <v>3974</v>
      </c>
      <c r="D4066" s="675"/>
      <c r="E4066" s="702"/>
      <c r="F4066" s="702"/>
      <c r="G4066" s="675"/>
      <c r="H4066" s="675"/>
      <c r="I4066" s="675"/>
      <c r="J4066" s="675"/>
      <c r="K4066" s="675"/>
      <c r="L4066" s="675"/>
      <c r="M4066" s="675"/>
    </row>
    <row r="4067" spans="1:13" x14ac:dyDescent="0.25">
      <c r="A4067" s="675" t="s">
        <v>2772</v>
      </c>
      <c r="B4067" s="675" t="s">
        <v>545</v>
      </c>
      <c r="C4067" s="675" t="s">
        <v>3975</v>
      </c>
      <c r="D4067" s="675"/>
      <c r="E4067" s="702"/>
      <c r="F4067" s="702"/>
      <c r="G4067" s="675"/>
      <c r="H4067" s="675"/>
      <c r="I4067" s="675"/>
      <c r="J4067" s="675"/>
      <c r="K4067" s="675"/>
      <c r="L4067" s="675"/>
      <c r="M4067" s="675"/>
    </row>
    <row r="4068" spans="1:13" x14ac:dyDescent="0.25">
      <c r="A4068" s="675" t="s">
        <v>2772</v>
      </c>
      <c r="B4068" s="675" t="s">
        <v>545</v>
      </c>
      <c r="C4068" s="675" t="s">
        <v>3976</v>
      </c>
      <c r="D4068" s="675"/>
      <c r="E4068" s="702"/>
      <c r="F4068" s="702"/>
      <c r="G4068" s="675"/>
      <c r="H4068" s="675"/>
      <c r="I4068" s="675"/>
      <c r="J4068" s="675"/>
      <c r="K4068" s="675"/>
      <c r="L4068" s="675"/>
      <c r="M4068" s="675"/>
    </row>
    <row r="4069" spans="1:13" x14ac:dyDescent="0.25">
      <c r="A4069" s="675" t="s">
        <v>2772</v>
      </c>
      <c r="B4069" s="675" t="s">
        <v>545</v>
      </c>
      <c r="C4069" s="675" t="s">
        <v>3977</v>
      </c>
      <c r="D4069" s="675"/>
      <c r="E4069" s="702"/>
      <c r="F4069" s="702"/>
      <c r="G4069" s="675"/>
      <c r="H4069" s="675"/>
      <c r="I4069" s="675"/>
      <c r="J4069" s="675"/>
      <c r="K4069" s="675"/>
      <c r="L4069" s="675"/>
      <c r="M4069" s="675"/>
    </row>
    <row r="4070" spans="1:13" x14ac:dyDescent="0.25">
      <c r="A4070" s="675" t="s">
        <v>2772</v>
      </c>
      <c r="B4070" s="675" t="s">
        <v>545</v>
      </c>
      <c r="C4070" s="675" t="s">
        <v>3978</v>
      </c>
      <c r="D4070" s="675"/>
      <c r="E4070" s="702"/>
      <c r="F4070" s="702"/>
      <c r="G4070" s="675"/>
      <c r="H4070" s="675"/>
      <c r="I4070" s="675"/>
      <c r="J4070" s="675"/>
      <c r="K4070" s="675"/>
      <c r="L4070" s="675"/>
      <c r="M4070" s="675"/>
    </row>
    <row r="4071" spans="1:13" x14ac:dyDescent="0.25">
      <c r="A4071" s="675" t="s">
        <v>2772</v>
      </c>
      <c r="B4071" s="675" t="s">
        <v>545</v>
      </c>
      <c r="C4071" s="675" t="s">
        <v>3979</v>
      </c>
      <c r="D4071" s="675"/>
      <c r="E4071" s="702"/>
      <c r="F4071" s="702"/>
      <c r="G4071" s="675"/>
      <c r="H4071" s="675"/>
      <c r="I4071" s="675"/>
      <c r="J4071" s="675"/>
      <c r="K4071" s="675"/>
      <c r="L4071" s="675"/>
      <c r="M4071" s="675"/>
    </row>
    <row r="4072" spans="1:13" x14ac:dyDescent="0.25">
      <c r="A4072" s="675" t="s">
        <v>2772</v>
      </c>
      <c r="B4072" s="675" t="s">
        <v>545</v>
      </c>
      <c r="C4072" s="675" t="s">
        <v>3980</v>
      </c>
      <c r="D4072" s="675"/>
      <c r="E4072" s="702"/>
      <c r="F4072" s="702"/>
      <c r="G4072" s="675"/>
      <c r="H4072" s="675"/>
      <c r="I4072" s="675"/>
      <c r="J4072" s="675"/>
      <c r="K4072" s="675"/>
      <c r="L4072" s="675"/>
      <c r="M4072" s="675"/>
    </row>
    <row r="4073" spans="1:13" x14ac:dyDescent="0.25">
      <c r="A4073" s="675" t="s">
        <v>2772</v>
      </c>
      <c r="B4073" s="675" t="s">
        <v>545</v>
      </c>
      <c r="C4073" s="675" t="s">
        <v>3981</v>
      </c>
      <c r="D4073" s="675"/>
      <c r="E4073" s="702"/>
      <c r="F4073" s="702"/>
      <c r="G4073" s="675"/>
      <c r="H4073" s="675"/>
      <c r="I4073" s="675"/>
      <c r="J4073" s="675"/>
      <c r="K4073" s="675"/>
      <c r="L4073" s="675"/>
      <c r="M4073" s="675"/>
    </row>
    <row r="4074" spans="1:13" x14ac:dyDescent="0.25">
      <c r="A4074" s="675" t="s">
        <v>2772</v>
      </c>
      <c r="B4074" s="675" t="s">
        <v>545</v>
      </c>
      <c r="C4074" s="675" t="s">
        <v>3982</v>
      </c>
      <c r="D4074" s="675"/>
      <c r="E4074" s="702"/>
      <c r="F4074" s="702"/>
      <c r="G4074" s="675"/>
      <c r="H4074" s="675"/>
      <c r="I4074" s="675"/>
      <c r="J4074" s="675"/>
      <c r="K4074" s="675"/>
      <c r="L4074" s="675"/>
      <c r="M4074" s="675"/>
    </row>
    <row r="4075" spans="1:13" x14ac:dyDescent="0.25">
      <c r="A4075" s="675" t="s">
        <v>2772</v>
      </c>
      <c r="B4075" s="675" t="s">
        <v>564</v>
      </c>
      <c r="C4075" s="675" t="s">
        <v>3983</v>
      </c>
      <c r="D4075" s="675"/>
      <c r="E4075" s="702"/>
      <c r="F4075" s="702"/>
      <c r="G4075" s="675"/>
      <c r="H4075" s="675"/>
      <c r="I4075" s="675"/>
      <c r="J4075" s="675"/>
      <c r="K4075" s="675"/>
      <c r="L4075" s="675"/>
      <c r="M4075" s="675"/>
    </row>
    <row r="4076" spans="1:13" x14ac:dyDescent="0.25">
      <c r="A4076" s="675" t="s">
        <v>2772</v>
      </c>
      <c r="B4076" s="675" t="s">
        <v>564</v>
      </c>
      <c r="C4076" s="675" t="s">
        <v>3984</v>
      </c>
      <c r="D4076" s="675"/>
      <c r="E4076" s="702"/>
      <c r="F4076" s="702"/>
      <c r="G4076" s="675"/>
      <c r="H4076" s="675"/>
      <c r="I4076" s="675"/>
      <c r="J4076" s="675"/>
      <c r="K4076" s="675"/>
      <c r="L4076" s="675"/>
      <c r="M4076" s="675"/>
    </row>
    <row r="4077" spans="1:13" x14ac:dyDescent="0.25">
      <c r="A4077" s="675" t="s">
        <v>2772</v>
      </c>
      <c r="B4077" s="675" t="s">
        <v>564</v>
      </c>
      <c r="C4077" s="675" t="s">
        <v>3985</v>
      </c>
      <c r="D4077" s="675"/>
      <c r="E4077" s="702"/>
      <c r="F4077" s="702"/>
      <c r="G4077" s="675"/>
      <c r="H4077" s="675"/>
      <c r="I4077" s="675"/>
      <c r="J4077" s="675"/>
      <c r="K4077" s="675"/>
      <c r="L4077" s="675"/>
      <c r="M4077" s="675"/>
    </row>
    <row r="4078" spans="1:13" x14ac:dyDescent="0.25">
      <c r="A4078" s="675" t="s">
        <v>2772</v>
      </c>
      <c r="B4078" s="675" t="s">
        <v>564</v>
      </c>
      <c r="C4078" s="675" t="s">
        <v>3986</v>
      </c>
      <c r="D4078" s="675"/>
      <c r="E4078" s="702"/>
      <c r="F4078" s="702"/>
      <c r="G4078" s="675"/>
      <c r="H4078" s="675"/>
      <c r="I4078" s="675"/>
      <c r="J4078" s="675"/>
      <c r="K4078" s="675"/>
      <c r="L4078" s="675"/>
      <c r="M4078" s="675"/>
    </row>
    <row r="4079" spans="1:13" x14ac:dyDescent="0.25">
      <c r="A4079" s="675" t="s">
        <v>2772</v>
      </c>
      <c r="B4079" s="675" t="s">
        <v>564</v>
      </c>
      <c r="C4079" s="675" t="s">
        <v>3987</v>
      </c>
      <c r="D4079" s="675"/>
      <c r="E4079" s="702"/>
      <c r="F4079" s="702"/>
      <c r="G4079" s="675"/>
      <c r="H4079" s="675"/>
      <c r="I4079" s="675"/>
      <c r="J4079" s="675"/>
      <c r="K4079" s="675"/>
      <c r="L4079" s="675"/>
      <c r="M4079" s="675"/>
    </row>
    <row r="4080" spans="1:13" x14ac:dyDescent="0.25">
      <c r="A4080" s="675" t="s">
        <v>2772</v>
      </c>
      <c r="B4080" s="675" t="s">
        <v>564</v>
      </c>
      <c r="C4080" s="675" t="s">
        <v>3988</v>
      </c>
      <c r="D4080" s="675"/>
      <c r="E4080" s="702"/>
      <c r="F4080" s="702"/>
      <c r="G4080" s="675"/>
      <c r="H4080" s="675"/>
      <c r="I4080" s="675"/>
      <c r="J4080" s="675"/>
      <c r="K4080" s="675"/>
      <c r="L4080" s="675"/>
      <c r="M4080" s="675"/>
    </row>
    <row r="4081" spans="1:13" x14ac:dyDescent="0.25">
      <c r="A4081" s="675" t="s">
        <v>2772</v>
      </c>
      <c r="B4081" s="675" t="s">
        <v>564</v>
      </c>
      <c r="C4081" s="675" t="s">
        <v>3989</v>
      </c>
      <c r="D4081" s="675"/>
      <c r="E4081" s="702"/>
      <c r="F4081" s="702"/>
      <c r="G4081" s="675"/>
      <c r="H4081" s="675"/>
      <c r="I4081" s="675"/>
      <c r="J4081" s="675"/>
      <c r="K4081" s="675"/>
      <c r="L4081" s="675"/>
      <c r="M4081" s="675"/>
    </row>
    <row r="4082" spans="1:13" x14ac:dyDescent="0.25">
      <c r="A4082" s="675" t="s">
        <v>2772</v>
      </c>
      <c r="B4082" s="675" t="s">
        <v>564</v>
      </c>
      <c r="C4082" s="675" t="s">
        <v>3990</v>
      </c>
      <c r="D4082" s="675"/>
      <c r="E4082" s="702"/>
      <c r="F4082" s="702"/>
      <c r="G4082" s="675"/>
      <c r="H4082" s="675"/>
      <c r="I4082" s="675"/>
      <c r="J4082" s="675"/>
      <c r="K4082" s="675"/>
      <c r="L4082" s="675"/>
      <c r="M4082" s="675"/>
    </row>
    <row r="4083" spans="1:13" x14ac:dyDescent="0.25">
      <c r="A4083" s="675" t="s">
        <v>2772</v>
      </c>
      <c r="B4083" s="675" t="s">
        <v>564</v>
      </c>
      <c r="C4083" s="675" t="s">
        <v>3991</v>
      </c>
      <c r="D4083" s="675"/>
      <c r="E4083" s="702"/>
      <c r="F4083" s="702"/>
      <c r="G4083" s="675"/>
      <c r="H4083" s="675"/>
      <c r="I4083" s="675"/>
      <c r="J4083" s="675"/>
      <c r="K4083" s="675"/>
      <c r="L4083" s="675"/>
      <c r="M4083" s="675"/>
    </row>
    <row r="4084" spans="1:13" x14ac:dyDescent="0.25">
      <c r="A4084" s="675" t="s">
        <v>2772</v>
      </c>
      <c r="B4084" s="675" t="s">
        <v>564</v>
      </c>
      <c r="C4084" s="675" t="s">
        <v>3992</v>
      </c>
      <c r="D4084" s="675"/>
      <c r="E4084" s="702"/>
      <c r="F4084" s="702"/>
      <c r="G4084" s="675"/>
      <c r="H4084" s="675"/>
      <c r="I4084" s="675"/>
      <c r="J4084" s="675"/>
      <c r="K4084" s="675"/>
      <c r="L4084" s="675"/>
      <c r="M4084" s="675"/>
    </row>
    <row r="4085" spans="1:13" x14ac:dyDescent="0.25">
      <c r="A4085" s="675" t="s">
        <v>2772</v>
      </c>
      <c r="B4085" s="675" t="s">
        <v>512</v>
      </c>
      <c r="C4085" s="675" t="s">
        <v>3993</v>
      </c>
      <c r="D4085" s="675"/>
      <c r="E4085" s="702"/>
      <c r="F4085" s="702"/>
      <c r="G4085" s="675"/>
      <c r="H4085" s="675"/>
      <c r="I4085" s="675"/>
      <c r="J4085" s="675"/>
      <c r="K4085" s="675"/>
      <c r="L4085" s="675"/>
      <c r="M4085" s="675"/>
    </row>
    <row r="4086" spans="1:13" x14ac:dyDescent="0.25">
      <c r="A4086" s="675" t="s">
        <v>2772</v>
      </c>
      <c r="B4086" s="675" t="s">
        <v>512</v>
      </c>
      <c r="C4086" s="675" t="s">
        <v>3994</v>
      </c>
      <c r="D4086" s="675"/>
      <c r="E4086" s="702"/>
      <c r="F4086" s="702"/>
      <c r="G4086" s="675"/>
      <c r="H4086" s="675"/>
      <c r="I4086" s="675"/>
      <c r="J4086" s="675"/>
      <c r="K4086" s="675"/>
      <c r="L4086" s="675"/>
      <c r="M4086" s="675"/>
    </row>
    <row r="4087" spans="1:13" x14ac:dyDescent="0.25">
      <c r="A4087" s="675" t="s">
        <v>2772</v>
      </c>
      <c r="B4087" s="675" t="s">
        <v>512</v>
      </c>
      <c r="C4087" s="675" t="s">
        <v>3995</v>
      </c>
      <c r="D4087" s="675"/>
      <c r="E4087" s="702"/>
      <c r="F4087" s="702"/>
      <c r="G4087" s="675"/>
      <c r="H4087" s="675"/>
      <c r="I4087" s="675"/>
      <c r="J4087" s="675"/>
      <c r="K4087" s="675"/>
      <c r="L4087" s="675"/>
      <c r="M4087" s="675"/>
    </row>
    <row r="4088" spans="1:13" x14ac:dyDescent="0.25">
      <c r="A4088" s="675" t="s">
        <v>2772</v>
      </c>
      <c r="B4088" s="675" t="s">
        <v>512</v>
      </c>
      <c r="C4088" s="675" t="s">
        <v>3996</v>
      </c>
      <c r="D4088" s="675"/>
      <c r="E4088" s="702"/>
      <c r="F4088" s="702"/>
      <c r="G4088" s="675"/>
      <c r="H4088" s="675"/>
      <c r="I4088" s="675"/>
      <c r="J4088" s="675"/>
      <c r="K4088" s="675"/>
      <c r="L4088" s="675"/>
      <c r="M4088" s="675"/>
    </row>
    <row r="4089" spans="1:13" x14ac:dyDescent="0.25">
      <c r="A4089" s="675" t="s">
        <v>2772</v>
      </c>
      <c r="B4089" s="675" t="s">
        <v>512</v>
      </c>
      <c r="C4089" s="675" t="s">
        <v>3997</v>
      </c>
      <c r="D4089" s="675"/>
      <c r="E4089" s="702"/>
      <c r="F4089" s="702"/>
      <c r="G4089" s="675"/>
      <c r="H4089" s="675"/>
      <c r="I4089" s="675"/>
      <c r="J4089" s="675"/>
      <c r="K4089" s="675"/>
      <c r="L4089" s="675"/>
      <c r="M4089" s="675"/>
    </row>
    <row r="4090" spans="1:13" x14ac:dyDescent="0.25">
      <c r="A4090" s="675" t="s">
        <v>2772</v>
      </c>
      <c r="B4090" s="675" t="s">
        <v>512</v>
      </c>
      <c r="C4090" s="675" t="s">
        <v>3998</v>
      </c>
      <c r="D4090" s="675"/>
      <c r="E4090" s="702"/>
      <c r="F4090" s="702"/>
      <c r="G4090" s="675"/>
      <c r="H4090" s="675"/>
      <c r="I4090" s="675"/>
      <c r="J4090" s="675"/>
      <c r="K4090" s="675"/>
      <c r="L4090" s="675"/>
      <c r="M4090" s="675"/>
    </row>
    <row r="4091" spans="1:13" x14ac:dyDescent="0.25">
      <c r="A4091" s="675" t="s">
        <v>2772</v>
      </c>
      <c r="B4091" s="675" t="s">
        <v>512</v>
      </c>
      <c r="C4091" s="675" t="s">
        <v>3999</v>
      </c>
      <c r="D4091" s="675"/>
      <c r="E4091" s="702"/>
      <c r="F4091" s="702"/>
      <c r="G4091" s="675"/>
      <c r="H4091" s="675"/>
      <c r="I4091" s="675"/>
      <c r="J4091" s="675"/>
      <c r="K4091" s="675"/>
      <c r="L4091" s="675"/>
      <c r="M4091" s="675"/>
    </row>
    <row r="4092" spans="1:13" x14ac:dyDescent="0.25">
      <c r="A4092" s="675" t="s">
        <v>2772</v>
      </c>
      <c r="B4092" s="675" t="s">
        <v>512</v>
      </c>
      <c r="C4092" s="675" t="s">
        <v>4000</v>
      </c>
      <c r="D4092" s="675"/>
      <c r="E4092" s="702"/>
      <c r="F4092" s="702"/>
      <c r="G4092" s="675"/>
      <c r="H4092" s="675"/>
      <c r="I4092" s="675"/>
      <c r="J4092" s="675"/>
      <c r="K4092" s="675"/>
      <c r="L4092" s="675"/>
      <c r="M4092" s="675"/>
    </row>
    <row r="4093" spans="1:13" x14ac:dyDescent="0.25">
      <c r="A4093" s="675" t="s">
        <v>2772</v>
      </c>
      <c r="B4093" s="675" t="s">
        <v>512</v>
      </c>
      <c r="C4093" s="675" t="s">
        <v>4001</v>
      </c>
      <c r="D4093" s="675"/>
      <c r="E4093" s="702"/>
      <c r="F4093" s="702"/>
      <c r="G4093" s="675"/>
      <c r="H4093" s="675"/>
      <c r="I4093" s="675"/>
      <c r="J4093" s="675"/>
      <c r="K4093" s="675"/>
      <c r="L4093" s="675"/>
      <c r="M4093" s="675"/>
    </row>
    <row r="4094" spans="1:13" x14ac:dyDescent="0.25">
      <c r="A4094" s="675" t="s">
        <v>2772</v>
      </c>
      <c r="B4094" s="675" t="s">
        <v>512</v>
      </c>
      <c r="C4094" s="675" t="s">
        <v>4002</v>
      </c>
      <c r="D4094" s="675"/>
      <c r="E4094" s="702"/>
      <c r="F4094" s="702"/>
      <c r="G4094" s="675"/>
      <c r="H4094" s="675"/>
      <c r="I4094" s="675"/>
      <c r="J4094" s="675"/>
      <c r="K4094" s="675"/>
      <c r="L4094" s="675"/>
      <c r="M4094" s="675"/>
    </row>
    <row r="4095" spans="1:13" x14ac:dyDescent="0.25">
      <c r="A4095" s="675" t="s">
        <v>4003</v>
      </c>
      <c r="B4095" s="675" t="s">
        <v>545</v>
      </c>
      <c r="C4095" s="675" t="s">
        <v>4004</v>
      </c>
      <c r="D4095" s="675"/>
      <c r="E4095" s="702"/>
      <c r="F4095" s="702"/>
      <c r="G4095" s="675"/>
      <c r="H4095" s="675"/>
      <c r="I4095" s="675"/>
      <c r="J4095" s="675"/>
      <c r="K4095" s="675"/>
      <c r="L4095" s="675"/>
      <c r="M4095" s="675"/>
    </row>
    <row r="4096" spans="1:13" x14ac:dyDescent="0.25">
      <c r="A4096" s="675" t="s">
        <v>4003</v>
      </c>
      <c r="B4096" s="675" t="s">
        <v>545</v>
      </c>
      <c r="C4096" s="675" t="s">
        <v>4005</v>
      </c>
      <c r="D4096" s="675"/>
      <c r="E4096" s="702"/>
      <c r="F4096" s="702"/>
      <c r="G4096" s="675"/>
      <c r="H4096" s="675"/>
      <c r="I4096" s="675"/>
      <c r="J4096" s="675"/>
      <c r="K4096" s="675"/>
      <c r="L4096" s="675"/>
      <c r="M4096" s="675"/>
    </row>
    <row r="4097" spans="1:13" x14ac:dyDescent="0.25">
      <c r="A4097" s="675" t="s">
        <v>4003</v>
      </c>
      <c r="B4097" s="675" t="s">
        <v>545</v>
      </c>
      <c r="C4097" s="675" t="s">
        <v>4006</v>
      </c>
      <c r="D4097" s="675"/>
      <c r="E4097" s="702"/>
      <c r="F4097" s="702"/>
      <c r="G4097" s="675"/>
      <c r="H4097" s="675"/>
      <c r="I4097" s="675"/>
      <c r="J4097" s="675"/>
      <c r="K4097" s="675"/>
      <c r="L4097" s="675"/>
      <c r="M4097" s="675"/>
    </row>
    <row r="4098" spans="1:13" x14ac:dyDescent="0.25">
      <c r="A4098" s="675" t="s">
        <v>4003</v>
      </c>
      <c r="B4098" s="675" t="s">
        <v>545</v>
      </c>
      <c r="C4098" s="675" t="s">
        <v>4007</v>
      </c>
      <c r="D4098" s="675"/>
      <c r="E4098" s="702"/>
      <c r="F4098" s="702"/>
      <c r="G4098" s="675"/>
      <c r="H4098" s="675"/>
      <c r="I4098" s="675"/>
      <c r="J4098" s="675"/>
      <c r="K4098" s="675"/>
      <c r="L4098" s="675"/>
      <c r="M4098" s="675"/>
    </row>
    <row r="4099" spans="1:13" x14ac:dyDescent="0.25">
      <c r="A4099" s="675" t="s">
        <v>4003</v>
      </c>
      <c r="B4099" s="675" t="s">
        <v>545</v>
      </c>
      <c r="C4099" s="675" t="s">
        <v>4008</v>
      </c>
      <c r="D4099" s="675"/>
      <c r="E4099" s="702"/>
      <c r="F4099" s="702"/>
      <c r="G4099" s="675"/>
      <c r="H4099" s="675"/>
      <c r="I4099" s="675"/>
      <c r="J4099" s="675"/>
      <c r="K4099" s="675"/>
      <c r="L4099" s="675"/>
      <c r="M4099" s="675"/>
    </row>
    <row r="4100" spans="1:13" x14ac:dyDescent="0.25">
      <c r="A4100" s="675" t="s">
        <v>4003</v>
      </c>
      <c r="B4100" s="675" t="s">
        <v>545</v>
      </c>
      <c r="C4100" s="675" t="s">
        <v>4009</v>
      </c>
      <c r="D4100" s="675"/>
      <c r="E4100" s="702"/>
      <c r="F4100" s="702"/>
      <c r="G4100" s="675"/>
      <c r="H4100" s="675"/>
      <c r="I4100" s="675"/>
      <c r="J4100" s="675"/>
      <c r="K4100" s="675"/>
      <c r="L4100" s="675"/>
      <c r="M4100" s="675"/>
    </row>
    <row r="4101" spans="1:13" x14ac:dyDescent="0.25">
      <c r="A4101" s="675" t="s">
        <v>4003</v>
      </c>
      <c r="B4101" s="675" t="s">
        <v>545</v>
      </c>
      <c r="C4101" s="675" t="s">
        <v>4010</v>
      </c>
      <c r="D4101" s="675"/>
      <c r="E4101" s="702"/>
      <c r="F4101" s="702"/>
      <c r="G4101" s="675"/>
      <c r="H4101" s="675"/>
      <c r="I4101" s="675"/>
      <c r="J4101" s="675"/>
      <c r="K4101" s="675"/>
      <c r="L4101" s="675"/>
      <c r="M4101" s="675"/>
    </row>
    <row r="4102" spans="1:13" x14ac:dyDescent="0.25">
      <c r="A4102" s="675" t="s">
        <v>4003</v>
      </c>
      <c r="B4102" s="675" t="s">
        <v>545</v>
      </c>
      <c r="C4102" s="675" t="s">
        <v>4011</v>
      </c>
      <c r="D4102" s="675"/>
      <c r="E4102" s="702"/>
      <c r="F4102" s="702"/>
      <c r="G4102" s="675"/>
      <c r="H4102" s="675"/>
      <c r="I4102" s="675"/>
      <c r="J4102" s="675"/>
      <c r="K4102" s="675"/>
      <c r="L4102" s="675"/>
      <c r="M4102" s="675"/>
    </row>
    <row r="4103" spans="1:13" x14ac:dyDescent="0.25">
      <c r="A4103" s="675" t="s">
        <v>4003</v>
      </c>
      <c r="B4103" s="675" t="s">
        <v>545</v>
      </c>
      <c r="C4103" s="675" t="s">
        <v>4012</v>
      </c>
      <c r="D4103" s="675"/>
      <c r="E4103" s="702"/>
      <c r="F4103" s="702"/>
      <c r="G4103" s="675"/>
      <c r="H4103" s="675"/>
      <c r="I4103" s="675"/>
      <c r="J4103" s="675"/>
      <c r="K4103" s="675"/>
      <c r="L4103" s="675"/>
      <c r="M4103" s="675"/>
    </row>
    <row r="4104" spans="1:13" x14ac:dyDescent="0.25">
      <c r="A4104" s="675" t="s">
        <v>4003</v>
      </c>
      <c r="B4104" s="675" t="s">
        <v>545</v>
      </c>
      <c r="C4104" s="675" t="s">
        <v>4013</v>
      </c>
      <c r="D4104" s="675"/>
      <c r="E4104" s="702"/>
      <c r="F4104" s="702"/>
      <c r="G4104" s="675"/>
      <c r="H4104" s="675"/>
      <c r="I4104" s="675"/>
      <c r="J4104" s="675"/>
      <c r="K4104" s="675"/>
      <c r="L4104" s="675"/>
      <c r="M4104" s="675"/>
    </row>
    <row r="4105" spans="1:13" x14ac:dyDescent="0.25">
      <c r="A4105" s="675" t="s">
        <v>4003</v>
      </c>
      <c r="B4105" s="675" t="s">
        <v>564</v>
      </c>
      <c r="C4105" s="675" t="s">
        <v>4014</v>
      </c>
      <c r="D4105" s="675"/>
      <c r="E4105" s="702"/>
      <c r="F4105" s="702"/>
      <c r="G4105" s="675"/>
      <c r="H4105" s="675"/>
      <c r="I4105" s="675"/>
      <c r="J4105" s="675"/>
      <c r="K4105" s="675"/>
      <c r="L4105" s="675"/>
      <c r="M4105" s="675"/>
    </row>
    <row r="4106" spans="1:13" x14ac:dyDescent="0.25">
      <c r="A4106" s="675" t="s">
        <v>4003</v>
      </c>
      <c r="B4106" s="675" t="s">
        <v>564</v>
      </c>
      <c r="C4106" s="675" t="s">
        <v>4015</v>
      </c>
      <c r="D4106" s="675"/>
      <c r="E4106" s="702"/>
      <c r="F4106" s="702"/>
      <c r="G4106" s="675"/>
      <c r="H4106" s="675"/>
      <c r="I4106" s="675"/>
      <c r="J4106" s="675"/>
      <c r="K4106" s="675"/>
      <c r="L4106" s="675"/>
      <c r="M4106" s="675"/>
    </row>
    <row r="4107" spans="1:13" x14ac:dyDescent="0.25">
      <c r="A4107" s="675" t="s">
        <v>4003</v>
      </c>
      <c r="B4107" s="675" t="s">
        <v>564</v>
      </c>
      <c r="C4107" s="675" t="s">
        <v>4016</v>
      </c>
      <c r="D4107" s="675"/>
      <c r="E4107" s="702"/>
      <c r="F4107" s="702"/>
      <c r="G4107" s="675"/>
      <c r="H4107" s="675"/>
      <c r="I4107" s="675"/>
      <c r="J4107" s="675"/>
      <c r="K4107" s="675"/>
      <c r="L4107" s="675"/>
      <c r="M4107" s="675"/>
    </row>
    <row r="4108" spans="1:13" x14ac:dyDescent="0.25">
      <c r="A4108" s="675" t="s">
        <v>4003</v>
      </c>
      <c r="B4108" s="675" t="s">
        <v>564</v>
      </c>
      <c r="C4108" s="675" t="s">
        <v>4017</v>
      </c>
      <c r="D4108" s="675"/>
      <c r="E4108" s="702"/>
      <c r="F4108" s="702"/>
      <c r="G4108" s="675"/>
      <c r="H4108" s="675"/>
      <c r="I4108" s="675"/>
      <c r="J4108" s="675"/>
      <c r="K4108" s="675"/>
      <c r="L4108" s="675"/>
      <c r="M4108" s="675"/>
    </row>
    <row r="4109" spans="1:13" x14ac:dyDescent="0.25">
      <c r="A4109" s="675" t="s">
        <v>4003</v>
      </c>
      <c r="B4109" s="675" t="s">
        <v>564</v>
      </c>
      <c r="C4109" s="675" t="s">
        <v>4018</v>
      </c>
      <c r="D4109" s="675"/>
      <c r="E4109" s="702"/>
      <c r="F4109" s="702"/>
      <c r="G4109" s="675"/>
      <c r="H4109" s="675"/>
      <c r="I4109" s="675"/>
      <c r="J4109" s="675"/>
      <c r="K4109" s="675"/>
      <c r="L4109" s="675"/>
      <c r="M4109" s="675"/>
    </row>
    <row r="4110" spans="1:13" x14ac:dyDescent="0.25">
      <c r="A4110" s="675" t="s">
        <v>4003</v>
      </c>
      <c r="B4110" s="675" t="s">
        <v>564</v>
      </c>
      <c r="C4110" s="675" t="s">
        <v>4019</v>
      </c>
      <c r="D4110" s="675"/>
      <c r="E4110" s="702"/>
      <c r="F4110" s="702"/>
      <c r="G4110" s="675"/>
      <c r="H4110" s="675"/>
      <c r="I4110" s="675"/>
      <c r="J4110" s="675"/>
      <c r="K4110" s="675"/>
      <c r="L4110" s="675"/>
      <c r="M4110" s="675"/>
    </row>
    <row r="4111" spans="1:13" x14ac:dyDescent="0.25">
      <c r="A4111" s="675" t="s">
        <v>4003</v>
      </c>
      <c r="B4111" s="675" t="s">
        <v>564</v>
      </c>
      <c r="C4111" s="675" t="s">
        <v>4020</v>
      </c>
      <c r="D4111" s="675"/>
      <c r="E4111" s="702"/>
      <c r="F4111" s="702"/>
      <c r="G4111" s="675"/>
      <c r="H4111" s="675"/>
      <c r="I4111" s="675"/>
      <c r="J4111" s="675"/>
      <c r="K4111" s="675"/>
      <c r="L4111" s="675"/>
      <c r="M4111" s="675"/>
    </row>
    <row r="4112" spans="1:13" x14ac:dyDescent="0.25">
      <c r="A4112" s="675" t="s">
        <v>4003</v>
      </c>
      <c r="B4112" s="675" t="s">
        <v>564</v>
      </c>
      <c r="C4112" s="675" t="s">
        <v>4021</v>
      </c>
      <c r="D4112" s="675"/>
      <c r="E4112" s="702"/>
      <c r="F4112" s="702"/>
      <c r="G4112" s="675"/>
      <c r="H4112" s="675"/>
      <c r="I4112" s="675"/>
      <c r="J4112" s="675"/>
      <c r="K4112" s="675"/>
      <c r="L4112" s="675"/>
      <c r="M4112" s="675"/>
    </row>
    <row r="4113" spans="1:13" x14ac:dyDescent="0.25">
      <c r="A4113" s="675" t="s">
        <v>4003</v>
      </c>
      <c r="B4113" s="675" t="s">
        <v>564</v>
      </c>
      <c r="C4113" s="675" t="s">
        <v>4022</v>
      </c>
      <c r="D4113" s="675"/>
      <c r="E4113" s="702"/>
      <c r="F4113" s="702"/>
      <c r="G4113" s="675"/>
      <c r="H4113" s="675"/>
      <c r="I4113" s="675"/>
      <c r="J4113" s="675"/>
      <c r="K4113" s="675"/>
      <c r="L4113" s="675"/>
      <c r="M4113" s="675"/>
    </row>
    <row r="4114" spans="1:13" x14ac:dyDescent="0.25">
      <c r="A4114" s="675" t="s">
        <v>4003</v>
      </c>
      <c r="B4114" s="675" t="s">
        <v>564</v>
      </c>
      <c r="C4114" s="675" t="s">
        <v>4023</v>
      </c>
      <c r="D4114" s="675"/>
      <c r="E4114" s="702"/>
      <c r="F4114" s="702"/>
      <c r="G4114" s="675"/>
      <c r="H4114" s="675"/>
      <c r="I4114" s="675"/>
      <c r="J4114" s="675"/>
      <c r="K4114" s="675"/>
      <c r="L4114" s="675"/>
      <c r="M4114" s="675"/>
    </row>
    <row r="4115" spans="1:13" x14ac:dyDescent="0.25">
      <c r="A4115" s="675" t="s">
        <v>4003</v>
      </c>
      <c r="B4115" s="675" t="s">
        <v>512</v>
      </c>
      <c r="C4115" s="675" t="s">
        <v>4024</v>
      </c>
      <c r="D4115" s="675"/>
      <c r="E4115" s="702"/>
      <c r="F4115" s="702"/>
      <c r="G4115" s="675"/>
      <c r="H4115" s="675"/>
      <c r="I4115" s="675"/>
      <c r="J4115" s="675"/>
      <c r="K4115" s="675"/>
      <c r="L4115" s="675"/>
      <c r="M4115" s="675"/>
    </row>
    <row r="4116" spans="1:13" x14ac:dyDescent="0.25">
      <c r="A4116" s="675" t="s">
        <v>4003</v>
      </c>
      <c r="B4116" s="675" t="s">
        <v>512</v>
      </c>
      <c r="C4116" s="675" t="s">
        <v>4025</v>
      </c>
      <c r="D4116" s="675"/>
      <c r="E4116" s="702"/>
      <c r="F4116" s="702"/>
      <c r="G4116" s="675"/>
      <c r="H4116" s="675"/>
      <c r="I4116" s="675"/>
      <c r="J4116" s="675"/>
      <c r="K4116" s="675"/>
      <c r="L4116" s="675"/>
      <c r="M4116" s="675"/>
    </row>
    <row r="4117" spans="1:13" x14ac:dyDescent="0.25">
      <c r="A4117" s="675" t="s">
        <v>4003</v>
      </c>
      <c r="B4117" s="675" t="s">
        <v>512</v>
      </c>
      <c r="C4117" s="675" t="s">
        <v>4026</v>
      </c>
      <c r="D4117" s="675"/>
      <c r="E4117" s="702"/>
      <c r="F4117" s="702"/>
      <c r="G4117" s="675"/>
      <c r="H4117" s="675"/>
      <c r="I4117" s="675"/>
      <c r="J4117" s="675"/>
      <c r="K4117" s="675"/>
      <c r="L4117" s="675"/>
      <c r="M4117" s="675"/>
    </row>
    <row r="4118" spans="1:13" x14ac:dyDescent="0.25">
      <c r="A4118" s="675" t="s">
        <v>4003</v>
      </c>
      <c r="B4118" s="675" t="s">
        <v>512</v>
      </c>
      <c r="C4118" s="675" t="s">
        <v>4027</v>
      </c>
      <c r="D4118" s="675"/>
      <c r="E4118" s="702"/>
      <c r="F4118" s="702"/>
      <c r="G4118" s="675"/>
      <c r="H4118" s="675"/>
      <c r="I4118" s="675"/>
      <c r="J4118" s="675"/>
      <c r="K4118" s="675"/>
      <c r="L4118" s="675"/>
      <c r="M4118" s="675"/>
    </row>
    <row r="4119" spans="1:13" x14ac:dyDescent="0.25">
      <c r="A4119" s="675" t="s">
        <v>4003</v>
      </c>
      <c r="B4119" s="675" t="s">
        <v>512</v>
      </c>
      <c r="C4119" s="675" t="s">
        <v>4028</v>
      </c>
      <c r="D4119" s="675"/>
      <c r="E4119" s="702"/>
      <c r="F4119" s="702"/>
      <c r="G4119" s="675"/>
      <c r="H4119" s="675"/>
      <c r="I4119" s="675"/>
      <c r="J4119" s="675"/>
      <c r="K4119" s="675"/>
      <c r="L4119" s="675"/>
      <c r="M4119" s="675"/>
    </row>
    <row r="4120" spans="1:13" x14ac:dyDescent="0.25">
      <c r="A4120" s="675" t="s">
        <v>4003</v>
      </c>
      <c r="B4120" s="675" t="s">
        <v>512</v>
      </c>
      <c r="C4120" s="675" t="s">
        <v>4029</v>
      </c>
      <c r="D4120" s="675"/>
      <c r="E4120" s="702"/>
      <c r="F4120" s="702"/>
      <c r="G4120" s="675"/>
      <c r="H4120" s="675"/>
      <c r="I4120" s="675"/>
      <c r="J4120" s="675"/>
      <c r="K4120" s="675"/>
      <c r="L4120" s="675"/>
      <c r="M4120" s="675"/>
    </row>
    <row r="4121" spans="1:13" x14ac:dyDescent="0.25">
      <c r="A4121" s="675" t="s">
        <v>4003</v>
      </c>
      <c r="B4121" s="675" t="s">
        <v>512</v>
      </c>
      <c r="C4121" s="675" t="s">
        <v>4030</v>
      </c>
      <c r="D4121" s="675"/>
      <c r="E4121" s="702"/>
      <c r="F4121" s="702"/>
      <c r="G4121" s="675"/>
      <c r="H4121" s="675"/>
      <c r="I4121" s="675"/>
      <c r="J4121" s="675"/>
      <c r="K4121" s="675"/>
      <c r="L4121" s="675"/>
      <c r="M4121" s="675"/>
    </row>
    <row r="4122" spans="1:13" x14ac:dyDescent="0.25">
      <c r="A4122" s="675" t="s">
        <v>4003</v>
      </c>
      <c r="B4122" s="675" t="s">
        <v>512</v>
      </c>
      <c r="C4122" s="675" t="s">
        <v>4031</v>
      </c>
      <c r="D4122" s="675"/>
      <c r="E4122" s="702"/>
      <c r="F4122" s="702"/>
      <c r="G4122" s="675"/>
      <c r="H4122" s="675"/>
      <c r="I4122" s="675"/>
      <c r="J4122" s="675"/>
      <c r="K4122" s="675"/>
      <c r="L4122" s="675"/>
      <c r="M4122" s="675"/>
    </row>
    <row r="4123" spans="1:13" x14ac:dyDescent="0.25">
      <c r="A4123" s="675" t="s">
        <v>4003</v>
      </c>
      <c r="B4123" s="675" t="s">
        <v>512</v>
      </c>
      <c r="C4123" s="675" t="s">
        <v>4032</v>
      </c>
      <c r="D4123" s="675"/>
      <c r="E4123" s="702"/>
      <c r="F4123" s="702"/>
      <c r="G4123" s="675"/>
      <c r="H4123" s="675"/>
      <c r="I4123" s="675"/>
      <c r="J4123" s="675"/>
      <c r="K4123" s="675"/>
      <c r="L4123" s="675"/>
      <c r="M4123" s="675"/>
    </row>
    <row r="4124" spans="1:13" x14ac:dyDescent="0.25">
      <c r="A4124" s="675" t="s">
        <v>4003</v>
      </c>
      <c r="B4124" s="675" t="s">
        <v>512</v>
      </c>
      <c r="C4124" s="675" t="s">
        <v>4033</v>
      </c>
      <c r="D4124" s="675"/>
      <c r="E4124" s="702"/>
      <c r="F4124" s="702"/>
      <c r="G4124" s="675"/>
      <c r="H4124" s="675"/>
      <c r="I4124" s="675"/>
      <c r="J4124" s="675"/>
      <c r="K4124" s="675"/>
      <c r="L4124" s="675"/>
      <c r="M4124" s="675"/>
    </row>
    <row r="4125" spans="1:13" x14ac:dyDescent="0.25">
      <c r="A4125" s="675" t="s">
        <v>4034</v>
      </c>
      <c r="B4125" s="675" t="s">
        <v>545</v>
      </c>
      <c r="C4125" s="675" t="s">
        <v>4035</v>
      </c>
      <c r="D4125" s="675"/>
      <c r="E4125" s="702"/>
      <c r="F4125" s="702"/>
      <c r="G4125" s="675"/>
      <c r="H4125" s="675"/>
      <c r="I4125" s="675"/>
      <c r="J4125" s="675"/>
      <c r="K4125" s="675"/>
      <c r="L4125" s="675"/>
      <c r="M4125" s="675"/>
    </row>
    <row r="4126" spans="1:13" x14ac:dyDescent="0.25">
      <c r="A4126" s="675" t="s">
        <v>4034</v>
      </c>
      <c r="B4126" s="675" t="s">
        <v>545</v>
      </c>
      <c r="C4126" s="675" t="s">
        <v>4036</v>
      </c>
      <c r="D4126" s="675"/>
      <c r="E4126" s="702"/>
      <c r="F4126" s="702"/>
      <c r="G4126" s="675"/>
      <c r="H4126" s="675"/>
      <c r="I4126" s="675"/>
      <c r="J4126" s="675"/>
      <c r="K4126" s="675"/>
      <c r="L4126" s="675"/>
      <c r="M4126" s="675"/>
    </row>
    <row r="4127" spans="1:13" x14ac:dyDescent="0.25">
      <c r="A4127" s="675" t="s">
        <v>4034</v>
      </c>
      <c r="B4127" s="675" t="s">
        <v>545</v>
      </c>
      <c r="C4127" s="675" t="s">
        <v>4037</v>
      </c>
      <c r="D4127" s="675"/>
      <c r="E4127" s="702"/>
      <c r="F4127" s="702"/>
      <c r="G4127" s="675"/>
      <c r="H4127" s="675"/>
      <c r="I4127" s="675"/>
      <c r="J4127" s="675"/>
      <c r="K4127" s="675"/>
      <c r="L4127" s="675"/>
      <c r="M4127" s="675"/>
    </row>
    <row r="4128" spans="1:13" x14ac:dyDescent="0.25">
      <c r="A4128" s="675" t="s">
        <v>4034</v>
      </c>
      <c r="B4128" s="675" t="s">
        <v>545</v>
      </c>
      <c r="C4128" s="675" t="s">
        <v>4038</v>
      </c>
      <c r="D4128" s="675"/>
      <c r="E4128" s="702"/>
      <c r="F4128" s="702"/>
      <c r="G4128" s="675"/>
      <c r="H4128" s="675"/>
      <c r="I4128" s="675"/>
      <c r="J4128" s="675"/>
      <c r="K4128" s="675"/>
      <c r="L4128" s="675"/>
      <c r="M4128" s="675"/>
    </row>
    <row r="4129" spans="1:13" x14ac:dyDescent="0.25">
      <c r="A4129" s="675" t="s">
        <v>4034</v>
      </c>
      <c r="B4129" s="675" t="s">
        <v>545</v>
      </c>
      <c r="C4129" s="675" t="s">
        <v>4039</v>
      </c>
      <c r="D4129" s="675"/>
      <c r="E4129" s="702"/>
      <c r="F4129" s="702"/>
      <c r="G4129" s="675"/>
      <c r="H4129" s="675"/>
      <c r="I4129" s="675"/>
      <c r="J4129" s="675"/>
      <c r="K4129" s="675"/>
      <c r="L4129" s="675"/>
      <c r="M4129" s="675"/>
    </row>
    <row r="4130" spans="1:13" x14ac:dyDescent="0.25">
      <c r="A4130" s="675" t="s">
        <v>4034</v>
      </c>
      <c r="B4130" s="675" t="s">
        <v>545</v>
      </c>
      <c r="C4130" s="675" t="s">
        <v>4040</v>
      </c>
      <c r="D4130" s="675"/>
      <c r="E4130" s="702"/>
      <c r="F4130" s="702"/>
      <c r="G4130" s="675"/>
      <c r="H4130" s="675"/>
      <c r="I4130" s="675"/>
      <c r="J4130" s="675"/>
      <c r="K4130" s="675"/>
      <c r="L4130" s="675"/>
      <c r="M4130" s="675"/>
    </row>
    <row r="4131" spans="1:13" x14ac:dyDescent="0.25">
      <c r="A4131" s="675" t="s">
        <v>4034</v>
      </c>
      <c r="B4131" s="675" t="s">
        <v>545</v>
      </c>
      <c r="C4131" s="675" t="s">
        <v>4041</v>
      </c>
      <c r="D4131" s="675"/>
      <c r="E4131" s="702"/>
      <c r="F4131" s="702"/>
      <c r="G4131" s="675"/>
      <c r="H4131" s="675"/>
      <c r="I4131" s="675"/>
      <c r="J4131" s="675"/>
      <c r="K4131" s="675"/>
      <c r="L4131" s="675"/>
      <c r="M4131" s="675"/>
    </row>
    <row r="4132" spans="1:13" x14ac:dyDescent="0.25">
      <c r="A4132" s="675" t="s">
        <v>4034</v>
      </c>
      <c r="B4132" s="675" t="s">
        <v>545</v>
      </c>
      <c r="C4132" s="675" t="s">
        <v>4042</v>
      </c>
      <c r="D4132" s="675"/>
      <c r="E4132" s="702"/>
      <c r="F4132" s="702"/>
      <c r="G4132" s="675"/>
      <c r="H4132" s="675"/>
      <c r="I4132" s="675"/>
      <c r="J4132" s="675"/>
      <c r="K4132" s="675"/>
      <c r="L4132" s="675"/>
      <c r="M4132" s="675"/>
    </row>
    <row r="4133" spans="1:13" x14ac:dyDescent="0.25">
      <c r="A4133" s="675" t="s">
        <v>4034</v>
      </c>
      <c r="B4133" s="675" t="s">
        <v>545</v>
      </c>
      <c r="C4133" s="675" t="s">
        <v>4043</v>
      </c>
      <c r="D4133" s="675"/>
      <c r="E4133" s="702"/>
      <c r="F4133" s="702"/>
      <c r="G4133" s="675"/>
      <c r="H4133" s="675"/>
      <c r="I4133" s="675"/>
      <c r="J4133" s="675"/>
      <c r="K4133" s="675"/>
      <c r="L4133" s="675"/>
      <c r="M4133" s="675"/>
    </row>
    <row r="4134" spans="1:13" x14ac:dyDescent="0.25">
      <c r="A4134" s="675" t="s">
        <v>4034</v>
      </c>
      <c r="B4134" s="675" t="s">
        <v>545</v>
      </c>
      <c r="C4134" s="675" t="s">
        <v>4044</v>
      </c>
      <c r="D4134" s="675"/>
      <c r="E4134" s="702"/>
      <c r="F4134" s="702"/>
      <c r="G4134" s="675"/>
      <c r="H4134" s="675"/>
      <c r="I4134" s="675"/>
      <c r="J4134" s="675"/>
      <c r="K4134" s="675"/>
      <c r="L4134" s="675"/>
      <c r="M4134" s="675"/>
    </row>
    <row r="4135" spans="1:13" x14ac:dyDescent="0.25">
      <c r="A4135" s="675" t="s">
        <v>4034</v>
      </c>
      <c r="B4135" s="675" t="s">
        <v>564</v>
      </c>
      <c r="C4135" s="675" t="s">
        <v>4045</v>
      </c>
      <c r="D4135" s="675"/>
      <c r="E4135" s="702"/>
      <c r="F4135" s="702"/>
      <c r="G4135" s="675"/>
      <c r="H4135" s="675"/>
      <c r="I4135" s="675"/>
      <c r="J4135" s="675"/>
      <c r="K4135" s="675"/>
      <c r="L4135" s="675"/>
      <c r="M4135" s="675"/>
    </row>
    <row r="4136" spans="1:13" x14ac:dyDescent="0.25">
      <c r="A4136" s="675" t="s">
        <v>4034</v>
      </c>
      <c r="B4136" s="675" t="s">
        <v>564</v>
      </c>
      <c r="C4136" s="675" t="s">
        <v>4046</v>
      </c>
      <c r="D4136" s="675"/>
      <c r="E4136" s="702"/>
      <c r="F4136" s="702"/>
      <c r="G4136" s="675"/>
      <c r="H4136" s="675"/>
      <c r="I4136" s="675"/>
      <c r="J4136" s="675"/>
      <c r="K4136" s="675"/>
      <c r="L4136" s="675"/>
      <c r="M4136" s="675"/>
    </row>
    <row r="4137" spans="1:13" x14ac:dyDescent="0.25">
      <c r="A4137" s="675" t="s">
        <v>4034</v>
      </c>
      <c r="B4137" s="675" t="s">
        <v>564</v>
      </c>
      <c r="C4137" s="675" t="s">
        <v>4047</v>
      </c>
      <c r="D4137" s="675"/>
      <c r="E4137" s="702"/>
      <c r="F4137" s="702"/>
      <c r="G4137" s="675"/>
      <c r="H4137" s="675"/>
      <c r="I4137" s="675"/>
      <c r="J4137" s="675"/>
      <c r="K4137" s="675"/>
      <c r="L4137" s="675"/>
      <c r="M4137" s="675"/>
    </row>
    <row r="4138" spans="1:13" x14ac:dyDescent="0.25">
      <c r="A4138" s="675" t="s">
        <v>4034</v>
      </c>
      <c r="B4138" s="675" t="s">
        <v>564</v>
      </c>
      <c r="C4138" s="675" t="s">
        <v>4048</v>
      </c>
      <c r="D4138" s="675"/>
      <c r="E4138" s="702"/>
      <c r="F4138" s="702"/>
      <c r="G4138" s="675"/>
      <c r="H4138" s="675"/>
      <c r="I4138" s="675"/>
      <c r="J4138" s="675"/>
      <c r="K4138" s="675"/>
      <c r="L4138" s="675"/>
      <c r="M4138" s="675"/>
    </row>
    <row r="4139" spans="1:13" x14ac:dyDescent="0.25">
      <c r="A4139" s="675" t="s">
        <v>4034</v>
      </c>
      <c r="B4139" s="675" t="s">
        <v>564</v>
      </c>
      <c r="C4139" s="675" t="s">
        <v>4049</v>
      </c>
      <c r="D4139" s="675"/>
      <c r="E4139" s="702"/>
      <c r="F4139" s="702"/>
      <c r="G4139" s="675"/>
      <c r="H4139" s="675"/>
      <c r="I4139" s="675"/>
      <c r="J4139" s="675"/>
      <c r="K4139" s="675"/>
      <c r="L4139" s="675"/>
      <c r="M4139" s="675"/>
    </row>
    <row r="4140" spans="1:13" x14ac:dyDescent="0.25">
      <c r="A4140" s="675" t="s">
        <v>4034</v>
      </c>
      <c r="B4140" s="675" t="s">
        <v>564</v>
      </c>
      <c r="C4140" s="675" t="s">
        <v>4050</v>
      </c>
      <c r="D4140" s="675"/>
      <c r="E4140" s="702"/>
      <c r="F4140" s="702"/>
      <c r="G4140" s="675"/>
      <c r="H4140" s="675"/>
      <c r="I4140" s="675"/>
      <c r="J4140" s="675"/>
      <c r="K4140" s="675"/>
      <c r="L4140" s="675"/>
      <c r="M4140" s="675"/>
    </row>
    <row r="4141" spans="1:13" x14ac:dyDescent="0.25">
      <c r="A4141" s="675" t="s">
        <v>4034</v>
      </c>
      <c r="B4141" s="675" t="s">
        <v>564</v>
      </c>
      <c r="C4141" s="675" t="s">
        <v>4051</v>
      </c>
      <c r="D4141" s="675"/>
      <c r="E4141" s="702"/>
      <c r="F4141" s="702"/>
      <c r="G4141" s="675"/>
      <c r="H4141" s="675"/>
      <c r="I4141" s="675"/>
      <c r="J4141" s="675"/>
      <c r="K4141" s="675"/>
      <c r="L4141" s="675"/>
      <c r="M4141" s="675"/>
    </row>
    <row r="4142" spans="1:13" x14ac:dyDescent="0.25">
      <c r="A4142" s="675" t="s">
        <v>4034</v>
      </c>
      <c r="B4142" s="675" t="s">
        <v>564</v>
      </c>
      <c r="C4142" s="675" t="s">
        <v>4052</v>
      </c>
      <c r="D4142" s="675"/>
      <c r="E4142" s="702"/>
      <c r="F4142" s="702"/>
      <c r="G4142" s="675"/>
      <c r="H4142" s="675"/>
      <c r="I4142" s="675"/>
      <c r="J4142" s="675"/>
      <c r="K4142" s="675"/>
      <c r="L4142" s="675"/>
      <c r="M4142" s="675"/>
    </row>
    <row r="4143" spans="1:13" x14ac:dyDescent="0.25">
      <c r="A4143" s="675" t="s">
        <v>4034</v>
      </c>
      <c r="B4143" s="675" t="s">
        <v>564</v>
      </c>
      <c r="C4143" s="675" t="s">
        <v>4053</v>
      </c>
      <c r="D4143" s="675"/>
      <c r="E4143" s="702"/>
      <c r="F4143" s="702"/>
      <c r="G4143" s="675"/>
      <c r="H4143" s="675"/>
      <c r="I4143" s="675"/>
      <c r="J4143" s="675"/>
      <c r="K4143" s="675"/>
      <c r="L4143" s="675"/>
      <c r="M4143" s="675"/>
    </row>
    <row r="4144" spans="1:13" x14ac:dyDescent="0.25">
      <c r="A4144" s="675" t="s">
        <v>4034</v>
      </c>
      <c r="B4144" s="675" t="s">
        <v>564</v>
      </c>
      <c r="C4144" s="675" t="s">
        <v>4054</v>
      </c>
      <c r="D4144" s="675"/>
      <c r="E4144" s="702"/>
      <c r="F4144" s="702"/>
      <c r="G4144" s="675"/>
      <c r="H4144" s="675"/>
      <c r="I4144" s="675"/>
      <c r="J4144" s="675"/>
      <c r="K4144" s="675"/>
      <c r="L4144" s="675"/>
      <c r="M4144" s="675"/>
    </row>
    <row r="4145" spans="1:13" x14ac:dyDescent="0.25">
      <c r="A4145" s="675" t="s">
        <v>4034</v>
      </c>
      <c r="B4145" s="675" t="s">
        <v>512</v>
      </c>
      <c r="C4145" s="675" t="s">
        <v>4055</v>
      </c>
      <c r="D4145" s="675"/>
      <c r="E4145" s="702"/>
      <c r="F4145" s="702"/>
      <c r="G4145" s="675"/>
      <c r="H4145" s="675"/>
      <c r="I4145" s="675"/>
      <c r="J4145" s="675"/>
      <c r="K4145" s="675"/>
      <c r="L4145" s="675"/>
      <c r="M4145" s="675"/>
    </row>
    <row r="4146" spans="1:13" x14ac:dyDescent="0.25">
      <c r="A4146" s="675" t="s">
        <v>4034</v>
      </c>
      <c r="B4146" s="675" t="s">
        <v>512</v>
      </c>
      <c r="C4146" s="675" t="s">
        <v>4056</v>
      </c>
      <c r="D4146" s="675"/>
      <c r="E4146" s="702"/>
      <c r="F4146" s="702"/>
      <c r="G4146" s="675"/>
      <c r="H4146" s="675"/>
      <c r="I4146" s="675"/>
      <c r="J4146" s="675"/>
      <c r="K4146" s="675"/>
      <c r="L4146" s="675"/>
      <c r="M4146" s="675"/>
    </row>
    <row r="4147" spans="1:13" x14ac:dyDescent="0.25">
      <c r="A4147" s="675" t="s">
        <v>4034</v>
      </c>
      <c r="B4147" s="675" t="s">
        <v>512</v>
      </c>
      <c r="C4147" s="675" t="s">
        <v>4057</v>
      </c>
      <c r="D4147" s="675"/>
      <c r="E4147" s="702"/>
      <c r="F4147" s="702"/>
      <c r="G4147" s="675"/>
      <c r="H4147" s="675"/>
      <c r="I4147" s="675"/>
      <c r="J4147" s="675"/>
      <c r="K4147" s="675"/>
      <c r="L4147" s="675"/>
      <c r="M4147" s="675"/>
    </row>
    <row r="4148" spans="1:13" x14ac:dyDescent="0.25">
      <c r="A4148" s="675" t="s">
        <v>4034</v>
      </c>
      <c r="B4148" s="675" t="s">
        <v>512</v>
      </c>
      <c r="C4148" s="675" t="s">
        <v>4058</v>
      </c>
      <c r="D4148" s="675"/>
      <c r="E4148" s="702"/>
      <c r="F4148" s="702"/>
      <c r="G4148" s="675"/>
      <c r="H4148" s="675"/>
      <c r="I4148" s="675"/>
      <c r="J4148" s="675"/>
      <c r="K4148" s="675"/>
      <c r="L4148" s="675"/>
      <c r="M4148" s="675"/>
    </row>
    <row r="4149" spans="1:13" x14ac:dyDescent="0.25">
      <c r="A4149" s="675" t="s">
        <v>4034</v>
      </c>
      <c r="B4149" s="675" t="s">
        <v>512</v>
      </c>
      <c r="C4149" s="675" t="s">
        <v>4059</v>
      </c>
      <c r="D4149" s="675"/>
      <c r="E4149" s="702"/>
      <c r="F4149" s="702"/>
      <c r="G4149" s="675"/>
      <c r="H4149" s="675"/>
      <c r="I4149" s="675"/>
      <c r="J4149" s="675"/>
      <c r="K4149" s="675"/>
      <c r="L4149" s="675"/>
      <c r="M4149" s="675"/>
    </row>
    <row r="4150" spans="1:13" x14ac:dyDescent="0.25">
      <c r="A4150" s="675" t="s">
        <v>4034</v>
      </c>
      <c r="B4150" s="675" t="s">
        <v>512</v>
      </c>
      <c r="C4150" s="675" t="s">
        <v>4060</v>
      </c>
      <c r="D4150" s="675"/>
      <c r="E4150" s="702"/>
      <c r="F4150" s="702"/>
      <c r="G4150" s="675"/>
      <c r="H4150" s="675"/>
      <c r="I4150" s="675"/>
      <c r="J4150" s="675"/>
      <c r="K4150" s="675"/>
      <c r="L4150" s="675"/>
      <c r="M4150" s="675"/>
    </row>
    <row r="4151" spans="1:13" x14ac:dyDescent="0.25">
      <c r="A4151" s="675" t="s">
        <v>4034</v>
      </c>
      <c r="B4151" s="675" t="s">
        <v>512</v>
      </c>
      <c r="C4151" s="675" t="s">
        <v>4061</v>
      </c>
      <c r="D4151" s="675"/>
      <c r="E4151" s="702"/>
      <c r="F4151" s="702"/>
      <c r="G4151" s="675"/>
      <c r="H4151" s="675"/>
      <c r="I4151" s="675"/>
      <c r="J4151" s="675"/>
      <c r="K4151" s="675"/>
      <c r="L4151" s="675"/>
      <c r="M4151" s="675"/>
    </row>
    <row r="4152" spans="1:13" x14ac:dyDescent="0.25">
      <c r="A4152" s="675" t="s">
        <v>4034</v>
      </c>
      <c r="B4152" s="675" t="s">
        <v>512</v>
      </c>
      <c r="C4152" s="675" t="s">
        <v>4062</v>
      </c>
      <c r="D4152" s="675"/>
      <c r="E4152" s="702"/>
      <c r="F4152" s="702"/>
      <c r="G4152" s="675"/>
      <c r="H4152" s="675"/>
      <c r="I4152" s="675"/>
      <c r="J4152" s="675"/>
      <c r="K4152" s="675"/>
      <c r="L4152" s="675"/>
      <c r="M4152" s="675"/>
    </row>
    <row r="4153" spans="1:13" x14ac:dyDescent="0.25">
      <c r="A4153" s="675" t="s">
        <v>4034</v>
      </c>
      <c r="B4153" s="675" t="s">
        <v>512</v>
      </c>
      <c r="C4153" s="675" t="s">
        <v>4063</v>
      </c>
      <c r="D4153" s="675"/>
      <c r="E4153" s="702"/>
      <c r="F4153" s="702"/>
      <c r="G4153" s="675"/>
      <c r="H4153" s="675"/>
      <c r="I4153" s="675"/>
      <c r="J4153" s="675"/>
      <c r="K4153" s="675"/>
      <c r="L4153" s="675"/>
      <c r="M4153" s="675"/>
    </row>
    <row r="4154" spans="1:13" x14ac:dyDescent="0.25">
      <c r="A4154" s="675" t="s">
        <v>4034</v>
      </c>
      <c r="B4154" s="675" t="s">
        <v>512</v>
      </c>
      <c r="C4154" s="675" t="s">
        <v>4064</v>
      </c>
      <c r="D4154" s="675"/>
      <c r="E4154" s="702"/>
      <c r="F4154" s="702"/>
      <c r="G4154" s="675"/>
      <c r="H4154" s="675"/>
      <c r="I4154" s="675"/>
      <c r="J4154" s="675"/>
      <c r="K4154" s="675"/>
      <c r="L4154" s="675"/>
      <c r="M4154" s="675"/>
    </row>
    <row r="4155" spans="1:13" x14ac:dyDescent="0.25">
      <c r="A4155" s="675" t="s">
        <v>4065</v>
      </c>
      <c r="B4155" s="675" t="s">
        <v>545</v>
      </c>
      <c r="C4155" s="675" t="s">
        <v>4066</v>
      </c>
      <c r="D4155" s="675"/>
      <c r="E4155" s="702"/>
      <c r="F4155" s="702"/>
      <c r="G4155" s="675"/>
      <c r="H4155" s="675"/>
      <c r="I4155" s="675"/>
      <c r="J4155" s="675"/>
      <c r="K4155" s="675"/>
      <c r="L4155" s="675"/>
      <c r="M4155" s="675"/>
    </row>
    <row r="4156" spans="1:13" x14ac:dyDescent="0.25">
      <c r="A4156" s="675" t="s">
        <v>4065</v>
      </c>
      <c r="B4156" s="675" t="s">
        <v>545</v>
      </c>
      <c r="C4156" s="675" t="s">
        <v>4067</v>
      </c>
      <c r="D4156" s="675"/>
      <c r="E4156" s="702"/>
      <c r="F4156" s="702"/>
      <c r="G4156" s="675"/>
      <c r="H4156" s="675"/>
      <c r="I4156" s="675"/>
      <c r="J4156" s="675"/>
      <c r="K4156" s="675"/>
      <c r="L4156" s="675"/>
      <c r="M4156" s="675"/>
    </row>
    <row r="4157" spans="1:13" x14ac:dyDescent="0.25">
      <c r="A4157" s="675" t="s">
        <v>4065</v>
      </c>
      <c r="B4157" s="675" t="s">
        <v>545</v>
      </c>
      <c r="C4157" s="675" t="s">
        <v>4068</v>
      </c>
      <c r="D4157" s="675"/>
      <c r="E4157" s="702"/>
      <c r="F4157" s="702"/>
      <c r="G4157" s="675"/>
      <c r="H4157" s="675"/>
      <c r="I4157" s="675"/>
      <c r="J4157" s="675"/>
      <c r="K4157" s="675"/>
      <c r="L4157" s="675"/>
      <c r="M4157" s="675"/>
    </row>
    <row r="4158" spans="1:13" x14ac:dyDescent="0.25">
      <c r="A4158" s="675" t="s">
        <v>4065</v>
      </c>
      <c r="B4158" s="675" t="s">
        <v>545</v>
      </c>
      <c r="C4158" s="675" t="s">
        <v>4069</v>
      </c>
      <c r="D4158" s="675"/>
      <c r="E4158" s="702"/>
      <c r="F4158" s="702"/>
      <c r="G4158" s="675"/>
      <c r="H4158" s="675"/>
      <c r="I4158" s="675"/>
      <c r="J4158" s="675"/>
      <c r="K4158" s="675"/>
      <c r="L4158" s="675"/>
      <c r="M4158" s="675"/>
    </row>
    <row r="4159" spans="1:13" x14ac:dyDescent="0.25">
      <c r="A4159" s="675" t="s">
        <v>4065</v>
      </c>
      <c r="B4159" s="675" t="s">
        <v>545</v>
      </c>
      <c r="C4159" s="675" t="s">
        <v>4070</v>
      </c>
      <c r="D4159" s="675"/>
      <c r="E4159" s="702"/>
      <c r="F4159" s="702"/>
      <c r="G4159" s="675"/>
      <c r="H4159" s="675"/>
      <c r="I4159" s="675"/>
      <c r="J4159" s="675"/>
      <c r="K4159" s="675"/>
      <c r="L4159" s="675"/>
      <c r="M4159" s="675"/>
    </row>
    <row r="4160" spans="1:13" x14ac:dyDescent="0.25">
      <c r="A4160" s="675" t="s">
        <v>4065</v>
      </c>
      <c r="B4160" s="675" t="s">
        <v>545</v>
      </c>
      <c r="C4160" s="675" t="s">
        <v>4071</v>
      </c>
      <c r="D4160" s="675"/>
      <c r="E4160" s="702"/>
      <c r="F4160" s="702"/>
      <c r="G4160" s="675"/>
      <c r="H4160" s="675"/>
      <c r="I4160" s="675"/>
      <c r="J4160" s="675"/>
      <c r="K4160" s="675"/>
      <c r="L4160" s="675"/>
      <c r="M4160" s="675"/>
    </row>
    <row r="4161" spans="1:13" x14ac:dyDescent="0.25">
      <c r="A4161" s="675" t="s">
        <v>4065</v>
      </c>
      <c r="B4161" s="675" t="s">
        <v>545</v>
      </c>
      <c r="C4161" s="675" t="s">
        <v>4072</v>
      </c>
      <c r="D4161" s="675"/>
      <c r="E4161" s="702"/>
      <c r="F4161" s="702"/>
      <c r="G4161" s="675"/>
      <c r="H4161" s="675"/>
      <c r="I4161" s="675"/>
      <c r="J4161" s="675"/>
      <c r="K4161" s="675"/>
      <c r="L4161" s="675"/>
      <c r="M4161" s="675"/>
    </row>
    <row r="4162" spans="1:13" x14ac:dyDescent="0.25">
      <c r="A4162" s="675" t="s">
        <v>4065</v>
      </c>
      <c r="B4162" s="675" t="s">
        <v>545</v>
      </c>
      <c r="C4162" s="675" t="s">
        <v>4073</v>
      </c>
      <c r="D4162" s="675"/>
      <c r="E4162" s="702"/>
      <c r="F4162" s="702"/>
      <c r="G4162" s="675"/>
      <c r="H4162" s="675"/>
      <c r="I4162" s="675"/>
      <c r="J4162" s="675"/>
      <c r="K4162" s="675"/>
      <c r="L4162" s="675"/>
      <c r="M4162" s="675"/>
    </row>
    <row r="4163" spans="1:13" x14ac:dyDescent="0.25">
      <c r="A4163" s="675" t="s">
        <v>4065</v>
      </c>
      <c r="B4163" s="675" t="s">
        <v>545</v>
      </c>
      <c r="C4163" s="675" t="s">
        <v>4074</v>
      </c>
      <c r="D4163" s="675"/>
      <c r="E4163" s="702"/>
      <c r="F4163" s="702"/>
      <c r="G4163" s="675"/>
      <c r="H4163" s="675"/>
      <c r="I4163" s="675"/>
      <c r="J4163" s="675"/>
      <c r="K4163" s="675"/>
      <c r="L4163" s="675"/>
      <c r="M4163" s="675"/>
    </row>
    <row r="4164" spans="1:13" x14ac:dyDescent="0.25">
      <c r="A4164" s="675" t="s">
        <v>4065</v>
      </c>
      <c r="B4164" s="675" t="s">
        <v>545</v>
      </c>
      <c r="C4164" s="675" t="s">
        <v>4075</v>
      </c>
      <c r="D4164" s="675"/>
      <c r="E4164" s="702"/>
      <c r="F4164" s="702"/>
      <c r="G4164" s="675"/>
      <c r="H4164" s="675"/>
      <c r="I4164" s="675"/>
      <c r="J4164" s="675"/>
      <c r="K4164" s="675"/>
      <c r="L4164" s="675"/>
      <c r="M4164" s="675"/>
    </row>
    <row r="4165" spans="1:13" x14ac:dyDescent="0.25">
      <c r="A4165" s="675" t="s">
        <v>4065</v>
      </c>
      <c r="B4165" s="675" t="s">
        <v>564</v>
      </c>
      <c r="C4165" s="675" t="s">
        <v>4076</v>
      </c>
      <c r="D4165" s="675"/>
      <c r="E4165" s="702"/>
      <c r="F4165" s="702"/>
      <c r="G4165" s="675"/>
      <c r="H4165" s="675"/>
      <c r="I4165" s="675"/>
      <c r="J4165" s="675"/>
      <c r="K4165" s="675"/>
      <c r="L4165" s="675"/>
      <c r="M4165" s="675"/>
    </row>
    <row r="4166" spans="1:13" x14ac:dyDescent="0.25">
      <c r="A4166" s="675" t="s">
        <v>4065</v>
      </c>
      <c r="B4166" s="675" t="s">
        <v>564</v>
      </c>
      <c r="C4166" s="675" t="s">
        <v>4077</v>
      </c>
      <c r="D4166" s="675"/>
      <c r="E4166" s="702"/>
      <c r="F4166" s="702"/>
      <c r="G4166" s="675"/>
      <c r="H4166" s="675"/>
      <c r="I4166" s="675"/>
      <c r="J4166" s="675"/>
      <c r="K4166" s="675"/>
      <c r="L4166" s="675"/>
      <c r="M4166" s="675"/>
    </row>
    <row r="4167" spans="1:13" x14ac:dyDescent="0.25">
      <c r="A4167" s="675" t="s">
        <v>4065</v>
      </c>
      <c r="B4167" s="675" t="s">
        <v>564</v>
      </c>
      <c r="C4167" s="675" t="s">
        <v>4078</v>
      </c>
      <c r="D4167" s="675"/>
      <c r="E4167" s="702"/>
      <c r="F4167" s="702"/>
      <c r="G4167" s="675"/>
      <c r="H4167" s="675"/>
      <c r="I4167" s="675"/>
      <c r="J4167" s="675"/>
      <c r="K4167" s="675"/>
      <c r="L4167" s="675"/>
      <c r="M4167" s="675"/>
    </row>
    <row r="4168" spans="1:13" x14ac:dyDescent="0.25">
      <c r="A4168" s="675" t="s">
        <v>4065</v>
      </c>
      <c r="B4168" s="675" t="s">
        <v>564</v>
      </c>
      <c r="C4168" s="675" t="s">
        <v>4079</v>
      </c>
      <c r="D4168" s="675"/>
      <c r="E4168" s="702"/>
      <c r="F4168" s="702"/>
      <c r="G4168" s="675"/>
      <c r="H4168" s="675"/>
      <c r="I4168" s="675"/>
      <c r="J4168" s="675"/>
      <c r="K4168" s="675"/>
      <c r="L4168" s="675"/>
      <c r="M4168" s="675"/>
    </row>
    <row r="4169" spans="1:13" x14ac:dyDescent="0.25">
      <c r="A4169" s="675" t="s">
        <v>4065</v>
      </c>
      <c r="B4169" s="675" t="s">
        <v>564</v>
      </c>
      <c r="C4169" s="675" t="s">
        <v>4080</v>
      </c>
      <c r="D4169" s="675"/>
      <c r="E4169" s="702"/>
      <c r="F4169" s="702"/>
      <c r="G4169" s="675"/>
      <c r="H4169" s="675"/>
      <c r="I4169" s="675"/>
      <c r="J4169" s="675"/>
      <c r="K4169" s="675"/>
      <c r="L4169" s="675"/>
      <c r="M4169" s="675"/>
    </row>
    <row r="4170" spans="1:13" x14ac:dyDescent="0.25">
      <c r="A4170" s="675" t="s">
        <v>4065</v>
      </c>
      <c r="B4170" s="675" t="s">
        <v>564</v>
      </c>
      <c r="C4170" s="675" t="s">
        <v>4081</v>
      </c>
      <c r="D4170" s="675"/>
      <c r="E4170" s="702"/>
      <c r="F4170" s="702"/>
      <c r="G4170" s="675"/>
      <c r="H4170" s="675"/>
      <c r="I4170" s="675"/>
      <c r="J4170" s="675"/>
      <c r="K4170" s="675"/>
      <c r="L4170" s="675"/>
      <c r="M4170" s="675"/>
    </row>
    <row r="4171" spans="1:13" x14ac:dyDescent="0.25">
      <c r="A4171" s="675" t="s">
        <v>4065</v>
      </c>
      <c r="B4171" s="675" t="s">
        <v>564</v>
      </c>
      <c r="C4171" s="675" t="s">
        <v>4082</v>
      </c>
      <c r="D4171" s="675"/>
      <c r="E4171" s="702"/>
      <c r="F4171" s="702"/>
      <c r="G4171" s="675"/>
      <c r="H4171" s="675"/>
      <c r="I4171" s="675"/>
      <c r="J4171" s="675"/>
      <c r="K4171" s="675"/>
      <c r="L4171" s="675"/>
      <c r="M4171" s="675"/>
    </row>
    <row r="4172" spans="1:13" x14ac:dyDescent="0.25">
      <c r="A4172" s="675" t="s">
        <v>4065</v>
      </c>
      <c r="B4172" s="675" t="s">
        <v>564</v>
      </c>
      <c r="C4172" s="675" t="s">
        <v>4083</v>
      </c>
      <c r="D4172" s="675"/>
      <c r="E4172" s="702"/>
      <c r="F4172" s="702"/>
      <c r="G4172" s="675"/>
      <c r="H4172" s="675"/>
      <c r="I4172" s="675"/>
      <c r="J4172" s="675"/>
      <c r="K4172" s="675"/>
      <c r="L4172" s="675"/>
      <c r="M4172" s="675"/>
    </row>
    <row r="4173" spans="1:13" x14ac:dyDescent="0.25">
      <c r="A4173" s="675" t="s">
        <v>4065</v>
      </c>
      <c r="B4173" s="675" t="s">
        <v>564</v>
      </c>
      <c r="C4173" s="675" t="s">
        <v>4084</v>
      </c>
      <c r="D4173" s="675"/>
      <c r="E4173" s="702"/>
      <c r="F4173" s="702"/>
      <c r="G4173" s="675"/>
      <c r="H4173" s="675"/>
      <c r="I4173" s="675"/>
      <c r="J4173" s="675"/>
      <c r="K4173" s="675"/>
      <c r="L4173" s="675"/>
      <c r="M4173" s="675"/>
    </row>
    <row r="4174" spans="1:13" x14ac:dyDescent="0.25">
      <c r="A4174" s="675" t="s">
        <v>4065</v>
      </c>
      <c r="B4174" s="675" t="s">
        <v>564</v>
      </c>
      <c r="C4174" s="675" t="s">
        <v>4085</v>
      </c>
      <c r="D4174" s="675"/>
      <c r="E4174" s="702"/>
      <c r="F4174" s="702"/>
      <c r="G4174" s="675"/>
      <c r="H4174" s="675"/>
      <c r="I4174" s="675"/>
      <c r="J4174" s="675"/>
      <c r="K4174" s="675"/>
      <c r="L4174" s="675"/>
      <c r="M4174" s="675"/>
    </row>
    <row r="4175" spans="1:13" x14ac:dyDescent="0.25">
      <c r="A4175" s="675" t="s">
        <v>4065</v>
      </c>
      <c r="B4175" s="675" t="s">
        <v>512</v>
      </c>
      <c r="C4175" s="675" t="s">
        <v>4086</v>
      </c>
      <c r="D4175" s="675"/>
      <c r="E4175" s="702"/>
      <c r="F4175" s="702"/>
      <c r="G4175" s="675"/>
      <c r="H4175" s="675"/>
      <c r="I4175" s="675"/>
      <c r="J4175" s="675"/>
      <c r="K4175" s="675"/>
      <c r="L4175" s="675"/>
      <c r="M4175" s="675"/>
    </row>
    <row r="4176" spans="1:13" x14ac:dyDescent="0.25">
      <c r="A4176" s="675" t="s">
        <v>4065</v>
      </c>
      <c r="B4176" s="675" t="s">
        <v>512</v>
      </c>
      <c r="C4176" s="675" t="s">
        <v>4087</v>
      </c>
      <c r="D4176" s="675"/>
      <c r="E4176" s="702"/>
      <c r="F4176" s="702"/>
      <c r="G4176" s="675"/>
      <c r="H4176" s="675"/>
      <c r="I4176" s="675"/>
      <c r="J4176" s="675"/>
      <c r="K4176" s="675"/>
      <c r="L4176" s="675"/>
      <c r="M4176" s="675"/>
    </row>
    <row r="4177" spans="1:13" x14ac:dyDescent="0.25">
      <c r="A4177" s="675" t="s">
        <v>4065</v>
      </c>
      <c r="B4177" s="675" t="s">
        <v>512</v>
      </c>
      <c r="C4177" s="675" t="s">
        <v>4088</v>
      </c>
      <c r="D4177" s="675"/>
      <c r="E4177" s="702"/>
      <c r="F4177" s="702"/>
      <c r="G4177" s="675"/>
      <c r="H4177" s="675"/>
      <c r="I4177" s="675"/>
      <c r="J4177" s="675"/>
      <c r="K4177" s="675"/>
      <c r="L4177" s="675"/>
      <c r="M4177" s="675"/>
    </row>
    <row r="4178" spans="1:13" x14ac:dyDescent="0.25">
      <c r="A4178" s="675" t="s">
        <v>4065</v>
      </c>
      <c r="B4178" s="675" t="s">
        <v>512</v>
      </c>
      <c r="C4178" s="675" t="s">
        <v>4089</v>
      </c>
      <c r="D4178" s="675"/>
      <c r="E4178" s="702"/>
      <c r="F4178" s="702"/>
      <c r="G4178" s="675"/>
      <c r="H4178" s="675"/>
      <c r="I4178" s="675"/>
      <c r="J4178" s="675"/>
      <c r="K4178" s="675"/>
      <c r="L4178" s="675"/>
      <c r="M4178" s="675"/>
    </row>
    <row r="4179" spans="1:13" x14ac:dyDescent="0.25">
      <c r="A4179" s="675" t="s">
        <v>4065</v>
      </c>
      <c r="B4179" s="675" t="s">
        <v>512</v>
      </c>
      <c r="C4179" s="675" t="s">
        <v>4090</v>
      </c>
      <c r="D4179" s="675"/>
      <c r="E4179" s="702"/>
      <c r="F4179" s="702"/>
      <c r="G4179" s="675"/>
      <c r="H4179" s="675"/>
      <c r="I4179" s="675"/>
      <c r="J4179" s="675"/>
      <c r="K4179" s="675"/>
      <c r="L4179" s="675"/>
      <c r="M4179" s="675"/>
    </row>
    <row r="4180" spans="1:13" x14ac:dyDescent="0.25">
      <c r="A4180" s="675" t="s">
        <v>4065</v>
      </c>
      <c r="B4180" s="675" t="s">
        <v>512</v>
      </c>
      <c r="C4180" s="675" t="s">
        <v>4091</v>
      </c>
      <c r="D4180" s="675"/>
      <c r="E4180" s="702"/>
      <c r="F4180" s="702"/>
      <c r="G4180" s="675"/>
      <c r="H4180" s="675"/>
      <c r="I4180" s="675"/>
      <c r="J4180" s="675"/>
      <c r="K4180" s="675"/>
      <c r="L4180" s="675"/>
      <c r="M4180" s="675"/>
    </row>
    <row r="4181" spans="1:13" x14ac:dyDescent="0.25">
      <c r="A4181" s="675" t="s">
        <v>4065</v>
      </c>
      <c r="B4181" s="675" t="s">
        <v>512</v>
      </c>
      <c r="C4181" s="675" t="s">
        <v>4092</v>
      </c>
      <c r="D4181" s="675"/>
      <c r="E4181" s="702"/>
      <c r="F4181" s="702"/>
      <c r="G4181" s="675"/>
      <c r="H4181" s="675"/>
      <c r="I4181" s="675"/>
      <c r="J4181" s="675"/>
      <c r="K4181" s="675"/>
      <c r="L4181" s="675"/>
      <c r="M4181" s="675"/>
    </row>
    <row r="4182" spans="1:13" x14ac:dyDescent="0.25">
      <c r="A4182" s="675" t="s">
        <v>4065</v>
      </c>
      <c r="B4182" s="675" t="s">
        <v>512</v>
      </c>
      <c r="C4182" s="675" t="s">
        <v>4093</v>
      </c>
      <c r="D4182" s="675"/>
      <c r="E4182" s="702"/>
      <c r="F4182" s="702"/>
      <c r="G4182" s="675"/>
      <c r="H4182" s="675"/>
      <c r="I4182" s="675"/>
      <c r="J4182" s="675"/>
      <c r="K4182" s="675"/>
      <c r="L4182" s="675"/>
      <c r="M4182" s="675"/>
    </row>
    <row r="4183" spans="1:13" x14ac:dyDescent="0.25">
      <c r="A4183" s="675" t="s">
        <v>4065</v>
      </c>
      <c r="B4183" s="675" t="s">
        <v>512</v>
      </c>
      <c r="C4183" s="675" t="s">
        <v>4094</v>
      </c>
      <c r="D4183" s="675"/>
      <c r="E4183" s="702"/>
      <c r="F4183" s="702"/>
      <c r="G4183" s="675"/>
      <c r="H4183" s="675"/>
      <c r="I4183" s="675"/>
      <c r="J4183" s="675"/>
      <c r="K4183" s="675"/>
      <c r="L4183" s="675"/>
      <c r="M4183" s="675"/>
    </row>
    <row r="4184" spans="1:13" x14ac:dyDescent="0.25">
      <c r="A4184" s="675" t="s">
        <v>4065</v>
      </c>
      <c r="B4184" s="675" t="s">
        <v>512</v>
      </c>
      <c r="C4184" s="675" t="s">
        <v>4095</v>
      </c>
      <c r="D4184" s="675"/>
      <c r="E4184" s="702"/>
      <c r="F4184" s="702"/>
      <c r="G4184" s="675"/>
      <c r="H4184" s="675"/>
      <c r="I4184" s="675"/>
      <c r="J4184" s="675"/>
      <c r="K4184" s="675"/>
      <c r="L4184" s="675"/>
      <c r="M4184" s="675"/>
    </row>
    <row r="4185" spans="1:13" x14ac:dyDescent="0.25">
      <c r="A4185" s="675" t="s">
        <v>2804</v>
      </c>
      <c r="B4185" s="675" t="s">
        <v>545</v>
      </c>
      <c r="C4185" s="675" t="s">
        <v>4096</v>
      </c>
      <c r="D4185" s="675"/>
      <c r="E4185" s="702"/>
      <c r="F4185" s="702"/>
      <c r="G4185" s="675"/>
      <c r="H4185" s="675"/>
      <c r="I4185" s="675"/>
      <c r="J4185" s="675"/>
      <c r="K4185" s="675"/>
      <c r="L4185" s="675"/>
      <c r="M4185" s="675"/>
    </row>
    <row r="4186" spans="1:13" x14ac:dyDescent="0.25">
      <c r="A4186" s="675" t="s">
        <v>2804</v>
      </c>
      <c r="B4186" s="675" t="s">
        <v>545</v>
      </c>
      <c r="C4186" s="675" t="s">
        <v>4097</v>
      </c>
      <c r="D4186" s="675"/>
      <c r="E4186" s="702"/>
      <c r="F4186" s="702"/>
      <c r="G4186" s="675"/>
      <c r="H4186" s="675"/>
      <c r="I4186" s="675"/>
      <c r="J4186" s="675"/>
      <c r="K4186" s="675"/>
      <c r="L4186" s="675"/>
      <c r="M4186" s="675"/>
    </row>
    <row r="4187" spans="1:13" x14ac:dyDescent="0.25">
      <c r="A4187" s="675" t="s">
        <v>2804</v>
      </c>
      <c r="B4187" s="675" t="s">
        <v>545</v>
      </c>
      <c r="C4187" s="675" t="s">
        <v>4098</v>
      </c>
      <c r="D4187" s="675"/>
      <c r="E4187" s="702"/>
      <c r="F4187" s="702"/>
      <c r="G4187" s="675"/>
      <c r="H4187" s="675"/>
      <c r="I4187" s="675"/>
      <c r="J4187" s="675"/>
      <c r="K4187" s="675"/>
      <c r="L4187" s="675"/>
      <c r="M4187" s="675"/>
    </row>
    <row r="4188" spans="1:13" x14ac:dyDescent="0.25">
      <c r="A4188" s="675" t="s">
        <v>2804</v>
      </c>
      <c r="B4188" s="675" t="s">
        <v>545</v>
      </c>
      <c r="C4188" s="675" t="s">
        <v>4099</v>
      </c>
      <c r="D4188" s="675"/>
      <c r="E4188" s="702"/>
      <c r="F4188" s="702"/>
      <c r="G4188" s="675"/>
      <c r="H4188" s="675"/>
      <c r="I4188" s="675"/>
      <c r="J4188" s="675"/>
      <c r="K4188" s="675"/>
      <c r="L4188" s="675"/>
      <c r="M4188" s="675"/>
    </row>
    <row r="4189" spans="1:13" x14ac:dyDescent="0.25">
      <c r="A4189" s="675" t="s">
        <v>2804</v>
      </c>
      <c r="B4189" s="675" t="s">
        <v>545</v>
      </c>
      <c r="C4189" s="675" t="s">
        <v>4100</v>
      </c>
      <c r="D4189" s="675"/>
      <c r="E4189" s="702"/>
      <c r="F4189" s="702"/>
      <c r="G4189" s="675"/>
      <c r="H4189" s="675"/>
      <c r="I4189" s="675"/>
      <c r="J4189" s="675"/>
      <c r="K4189" s="675"/>
      <c r="L4189" s="675"/>
      <c r="M4189" s="675"/>
    </row>
    <row r="4190" spans="1:13" x14ac:dyDescent="0.25">
      <c r="A4190" s="675" t="s">
        <v>2804</v>
      </c>
      <c r="B4190" s="675" t="s">
        <v>545</v>
      </c>
      <c r="C4190" s="675" t="s">
        <v>4101</v>
      </c>
      <c r="D4190" s="675"/>
      <c r="E4190" s="702"/>
      <c r="F4190" s="702"/>
      <c r="G4190" s="675"/>
      <c r="H4190" s="675"/>
      <c r="I4190" s="675"/>
      <c r="J4190" s="675"/>
      <c r="K4190" s="675"/>
      <c r="L4190" s="675"/>
      <c r="M4190" s="675"/>
    </row>
    <row r="4191" spans="1:13" x14ac:dyDescent="0.25">
      <c r="A4191" s="675" t="s">
        <v>2804</v>
      </c>
      <c r="B4191" s="675" t="s">
        <v>545</v>
      </c>
      <c r="C4191" s="675" t="s">
        <v>4102</v>
      </c>
      <c r="D4191" s="675"/>
      <c r="E4191" s="702"/>
      <c r="F4191" s="702"/>
      <c r="G4191" s="675"/>
      <c r="H4191" s="675"/>
      <c r="I4191" s="675"/>
      <c r="J4191" s="675"/>
      <c r="K4191" s="675"/>
      <c r="L4191" s="675"/>
      <c r="M4191" s="675"/>
    </row>
    <row r="4192" spans="1:13" x14ac:dyDescent="0.25">
      <c r="A4192" s="675" t="s">
        <v>2804</v>
      </c>
      <c r="B4192" s="675" t="s">
        <v>545</v>
      </c>
      <c r="C4192" s="675" t="s">
        <v>4103</v>
      </c>
      <c r="D4192" s="675"/>
      <c r="E4192" s="702"/>
      <c r="F4192" s="702"/>
      <c r="G4192" s="675"/>
      <c r="H4192" s="675"/>
      <c r="I4192" s="675"/>
      <c r="J4192" s="675"/>
      <c r="K4192" s="675"/>
      <c r="L4192" s="675"/>
      <c r="M4192" s="675"/>
    </row>
    <row r="4193" spans="1:13" x14ac:dyDescent="0.25">
      <c r="A4193" s="675" t="s">
        <v>2804</v>
      </c>
      <c r="B4193" s="675" t="s">
        <v>545</v>
      </c>
      <c r="C4193" s="675" t="s">
        <v>3761</v>
      </c>
      <c r="D4193" s="675"/>
      <c r="E4193" s="702"/>
      <c r="F4193" s="702"/>
      <c r="G4193" s="675"/>
      <c r="H4193" s="675"/>
      <c r="I4193" s="675"/>
      <c r="J4193" s="675"/>
      <c r="K4193" s="675"/>
      <c r="L4193" s="675"/>
      <c r="M4193" s="675"/>
    </row>
    <row r="4194" spans="1:13" x14ac:dyDescent="0.25">
      <c r="A4194" s="675" t="s">
        <v>2804</v>
      </c>
      <c r="B4194" s="675" t="s">
        <v>545</v>
      </c>
      <c r="C4194" s="675" t="s">
        <v>4104</v>
      </c>
      <c r="D4194" s="675"/>
      <c r="E4194" s="702"/>
      <c r="F4194" s="702"/>
      <c r="G4194" s="675"/>
      <c r="H4194" s="675"/>
      <c r="I4194" s="675"/>
      <c r="J4194" s="675"/>
      <c r="K4194" s="675"/>
      <c r="L4194" s="675"/>
      <c r="M4194" s="675"/>
    </row>
    <row r="4195" spans="1:13" x14ac:dyDescent="0.25">
      <c r="A4195" s="675" t="s">
        <v>2804</v>
      </c>
      <c r="B4195" s="675" t="s">
        <v>564</v>
      </c>
      <c r="C4195" s="675" t="s">
        <v>4105</v>
      </c>
      <c r="D4195" s="675"/>
      <c r="E4195" s="702"/>
      <c r="F4195" s="702"/>
      <c r="G4195" s="675"/>
      <c r="H4195" s="675"/>
      <c r="I4195" s="675"/>
      <c r="J4195" s="675"/>
      <c r="K4195" s="675"/>
      <c r="L4195" s="675"/>
      <c r="M4195" s="675"/>
    </row>
    <row r="4196" spans="1:13" x14ac:dyDescent="0.25">
      <c r="A4196" s="675" t="s">
        <v>2804</v>
      </c>
      <c r="B4196" s="675" t="s">
        <v>564</v>
      </c>
      <c r="C4196" s="675" t="s">
        <v>4106</v>
      </c>
      <c r="D4196" s="675"/>
      <c r="E4196" s="702"/>
      <c r="F4196" s="702"/>
      <c r="G4196" s="675"/>
      <c r="H4196" s="675"/>
      <c r="I4196" s="675"/>
      <c r="J4196" s="675"/>
      <c r="K4196" s="675"/>
      <c r="L4196" s="675"/>
      <c r="M4196" s="675"/>
    </row>
    <row r="4197" spans="1:13" x14ac:dyDescent="0.25">
      <c r="A4197" s="675" t="s">
        <v>2804</v>
      </c>
      <c r="B4197" s="675" t="s">
        <v>564</v>
      </c>
      <c r="C4197" s="675" t="s">
        <v>4107</v>
      </c>
      <c r="D4197" s="675"/>
      <c r="E4197" s="702"/>
      <c r="F4197" s="702"/>
      <c r="G4197" s="675"/>
      <c r="H4197" s="675"/>
      <c r="I4197" s="675"/>
      <c r="J4197" s="675"/>
      <c r="K4197" s="675"/>
      <c r="L4197" s="675"/>
      <c r="M4197" s="675"/>
    </row>
    <row r="4198" spans="1:13" x14ac:dyDescent="0.25">
      <c r="A4198" s="675" t="s">
        <v>2804</v>
      </c>
      <c r="B4198" s="675" t="s">
        <v>564</v>
      </c>
      <c r="C4198" s="675" t="s">
        <v>4108</v>
      </c>
      <c r="D4198" s="675"/>
      <c r="E4198" s="702"/>
      <c r="F4198" s="702"/>
      <c r="G4198" s="675"/>
      <c r="H4198" s="675"/>
      <c r="I4198" s="675"/>
      <c r="J4198" s="675"/>
      <c r="K4198" s="675"/>
      <c r="L4198" s="675"/>
      <c r="M4198" s="675"/>
    </row>
    <row r="4199" spans="1:13" x14ac:dyDescent="0.25">
      <c r="A4199" s="675" t="s">
        <v>2804</v>
      </c>
      <c r="B4199" s="675" t="s">
        <v>564</v>
      </c>
      <c r="C4199" s="675" t="s">
        <v>4109</v>
      </c>
      <c r="D4199" s="675"/>
      <c r="E4199" s="702"/>
      <c r="F4199" s="702"/>
      <c r="G4199" s="675"/>
      <c r="H4199" s="675"/>
      <c r="I4199" s="675"/>
      <c r="J4199" s="675"/>
      <c r="K4199" s="675"/>
      <c r="L4199" s="675"/>
      <c r="M4199" s="675"/>
    </row>
    <row r="4200" spans="1:13" x14ac:dyDescent="0.25">
      <c r="A4200" s="675" t="s">
        <v>2804</v>
      </c>
      <c r="B4200" s="675" t="s">
        <v>564</v>
      </c>
      <c r="C4200" s="675" t="s">
        <v>4110</v>
      </c>
      <c r="D4200" s="675"/>
      <c r="E4200" s="702"/>
      <c r="F4200" s="702"/>
      <c r="G4200" s="675"/>
      <c r="H4200" s="675"/>
      <c r="I4200" s="675"/>
      <c r="J4200" s="675"/>
      <c r="K4200" s="675"/>
      <c r="L4200" s="675"/>
      <c r="M4200" s="675"/>
    </row>
    <row r="4201" spans="1:13" x14ac:dyDescent="0.25">
      <c r="A4201" s="675" t="s">
        <v>2804</v>
      </c>
      <c r="B4201" s="675" t="s">
        <v>564</v>
      </c>
      <c r="C4201" s="675" t="s">
        <v>4111</v>
      </c>
      <c r="D4201" s="675"/>
      <c r="E4201" s="702"/>
      <c r="F4201" s="702"/>
      <c r="G4201" s="675"/>
      <c r="H4201" s="675"/>
      <c r="I4201" s="675"/>
      <c r="J4201" s="675"/>
      <c r="K4201" s="675"/>
      <c r="L4201" s="675"/>
      <c r="M4201" s="675"/>
    </row>
    <row r="4202" spans="1:13" x14ac:dyDescent="0.25">
      <c r="A4202" s="675" t="s">
        <v>2804</v>
      </c>
      <c r="B4202" s="675" t="s">
        <v>564</v>
      </c>
      <c r="C4202" s="675" t="s">
        <v>4112</v>
      </c>
      <c r="D4202" s="675"/>
      <c r="E4202" s="702"/>
      <c r="F4202" s="702"/>
      <c r="G4202" s="675"/>
      <c r="H4202" s="675"/>
      <c r="I4202" s="675"/>
      <c r="J4202" s="675"/>
      <c r="K4202" s="675"/>
      <c r="L4202" s="675"/>
      <c r="M4202" s="675"/>
    </row>
    <row r="4203" spans="1:13" x14ac:dyDescent="0.25">
      <c r="A4203" s="675" t="s">
        <v>2804</v>
      </c>
      <c r="B4203" s="675" t="s">
        <v>564</v>
      </c>
      <c r="C4203" s="675" t="s">
        <v>4113</v>
      </c>
      <c r="D4203" s="675"/>
      <c r="E4203" s="702"/>
      <c r="F4203" s="702"/>
      <c r="G4203" s="675"/>
      <c r="H4203" s="675"/>
      <c r="I4203" s="675"/>
      <c r="J4203" s="675"/>
      <c r="K4203" s="675"/>
      <c r="L4203" s="675"/>
      <c r="M4203" s="675"/>
    </row>
    <row r="4204" spans="1:13" x14ac:dyDescent="0.25">
      <c r="A4204" s="675" t="s">
        <v>2804</v>
      </c>
      <c r="B4204" s="675" t="s">
        <v>564</v>
      </c>
      <c r="C4204" s="675" t="s">
        <v>4114</v>
      </c>
      <c r="D4204" s="675"/>
      <c r="E4204" s="702"/>
      <c r="F4204" s="702"/>
      <c r="G4204" s="675"/>
      <c r="H4204" s="675"/>
      <c r="I4204" s="675"/>
      <c r="J4204" s="675"/>
      <c r="K4204" s="675"/>
      <c r="L4204" s="675"/>
      <c r="M4204" s="675"/>
    </row>
    <row r="4205" spans="1:13" x14ac:dyDescent="0.25">
      <c r="A4205" s="675" t="s">
        <v>2804</v>
      </c>
      <c r="B4205" s="675" t="s">
        <v>512</v>
      </c>
      <c r="C4205" s="675" t="s">
        <v>4115</v>
      </c>
      <c r="D4205" s="675"/>
      <c r="E4205" s="702"/>
      <c r="F4205" s="702"/>
      <c r="G4205" s="675"/>
      <c r="H4205" s="675"/>
      <c r="I4205" s="675"/>
      <c r="J4205" s="675"/>
      <c r="K4205" s="675"/>
      <c r="L4205" s="675"/>
      <c r="M4205" s="675"/>
    </row>
    <row r="4206" spans="1:13" x14ac:dyDescent="0.25">
      <c r="A4206" s="675" t="s">
        <v>2804</v>
      </c>
      <c r="B4206" s="675" t="s">
        <v>512</v>
      </c>
      <c r="C4206" s="675" t="s">
        <v>4116</v>
      </c>
      <c r="D4206" s="675"/>
      <c r="E4206" s="702"/>
      <c r="F4206" s="702"/>
      <c r="G4206" s="675"/>
      <c r="H4206" s="675"/>
      <c r="I4206" s="675"/>
      <c r="J4206" s="675"/>
      <c r="K4206" s="675"/>
      <c r="L4206" s="675"/>
      <c r="M4206" s="675"/>
    </row>
    <row r="4207" spans="1:13" x14ac:dyDescent="0.25">
      <c r="A4207" s="675" t="s">
        <v>2804</v>
      </c>
      <c r="B4207" s="675" t="s">
        <v>512</v>
      </c>
      <c r="C4207" s="675" t="s">
        <v>4117</v>
      </c>
      <c r="D4207" s="675"/>
      <c r="E4207" s="702"/>
      <c r="F4207" s="702"/>
      <c r="G4207" s="675"/>
      <c r="H4207" s="675"/>
      <c r="I4207" s="675"/>
      <c r="J4207" s="675"/>
      <c r="K4207" s="675"/>
      <c r="L4207" s="675"/>
      <c r="M4207" s="675"/>
    </row>
    <row r="4208" spans="1:13" x14ac:dyDescent="0.25">
      <c r="A4208" s="675" t="s">
        <v>2804</v>
      </c>
      <c r="B4208" s="675" t="s">
        <v>512</v>
      </c>
      <c r="C4208" s="675" t="s">
        <v>4118</v>
      </c>
      <c r="D4208" s="675"/>
      <c r="E4208" s="702"/>
      <c r="F4208" s="702"/>
      <c r="G4208" s="675"/>
      <c r="H4208" s="675"/>
      <c r="I4208" s="675"/>
      <c r="J4208" s="675"/>
      <c r="K4208" s="675"/>
      <c r="L4208" s="675"/>
      <c r="M4208" s="675"/>
    </row>
    <row r="4209" spans="1:13" x14ac:dyDescent="0.25">
      <c r="A4209" s="675" t="s">
        <v>2804</v>
      </c>
      <c r="B4209" s="675" t="s">
        <v>512</v>
      </c>
      <c r="C4209" s="675" t="s">
        <v>4119</v>
      </c>
      <c r="D4209" s="675"/>
      <c r="E4209" s="702"/>
      <c r="F4209" s="702"/>
      <c r="G4209" s="675"/>
      <c r="H4209" s="675"/>
      <c r="I4209" s="675"/>
      <c r="J4209" s="675"/>
      <c r="K4209" s="675"/>
      <c r="L4209" s="675"/>
      <c r="M4209" s="675"/>
    </row>
    <row r="4210" spans="1:13" x14ac:dyDescent="0.25">
      <c r="A4210" s="675" t="s">
        <v>2804</v>
      </c>
      <c r="B4210" s="675" t="s">
        <v>512</v>
      </c>
      <c r="C4210" s="675" t="s">
        <v>4120</v>
      </c>
      <c r="D4210" s="675"/>
      <c r="E4210" s="702"/>
      <c r="F4210" s="702"/>
      <c r="G4210" s="675"/>
      <c r="H4210" s="675"/>
      <c r="I4210" s="675"/>
      <c r="J4210" s="675"/>
      <c r="K4210" s="675"/>
      <c r="L4210" s="675"/>
      <c r="M4210" s="675"/>
    </row>
    <row r="4211" spans="1:13" x14ac:dyDescent="0.25">
      <c r="A4211" s="675" t="s">
        <v>2804</v>
      </c>
      <c r="B4211" s="675" t="s">
        <v>512</v>
      </c>
      <c r="C4211" s="675" t="s">
        <v>4121</v>
      </c>
      <c r="D4211" s="675"/>
      <c r="E4211" s="702"/>
      <c r="F4211" s="702"/>
      <c r="G4211" s="675"/>
      <c r="H4211" s="675"/>
      <c r="I4211" s="675"/>
      <c r="J4211" s="675"/>
      <c r="K4211" s="675"/>
      <c r="L4211" s="675"/>
      <c r="M4211" s="675"/>
    </row>
    <row r="4212" spans="1:13" x14ac:dyDescent="0.25">
      <c r="A4212" s="675" t="s">
        <v>2804</v>
      </c>
      <c r="B4212" s="675" t="s">
        <v>512</v>
      </c>
      <c r="C4212" s="675" t="s">
        <v>4122</v>
      </c>
      <c r="D4212" s="675"/>
      <c r="E4212" s="702"/>
      <c r="F4212" s="702"/>
      <c r="G4212" s="675"/>
      <c r="H4212" s="675"/>
      <c r="I4212" s="675"/>
      <c r="J4212" s="675"/>
      <c r="K4212" s="675"/>
      <c r="L4212" s="675"/>
      <c r="M4212" s="675"/>
    </row>
    <row r="4213" spans="1:13" x14ac:dyDescent="0.25">
      <c r="A4213" s="675" t="s">
        <v>2804</v>
      </c>
      <c r="B4213" s="675" t="s">
        <v>512</v>
      </c>
      <c r="C4213" s="675" t="s">
        <v>4123</v>
      </c>
      <c r="D4213" s="675"/>
      <c r="E4213" s="702"/>
      <c r="F4213" s="702"/>
      <c r="G4213" s="675"/>
      <c r="H4213" s="675"/>
      <c r="I4213" s="675"/>
      <c r="J4213" s="675"/>
      <c r="K4213" s="675"/>
      <c r="L4213" s="675"/>
      <c r="M4213" s="675"/>
    </row>
    <row r="4214" spans="1:13" x14ac:dyDescent="0.25">
      <c r="A4214" s="675" t="s">
        <v>2804</v>
      </c>
      <c r="B4214" s="675" t="s">
        <v>512</v>
      </c>
      <c r="C4214" s="675" t="s">
        <v>4124</v>
      </c>
      <c r="D4214" s="675"/>
      <c r="E4214" s="702"/>
      <c r="F4214" s="702"/>
      <c r="G4214" s="675"/>
      <c r="H4214" s="675"/>
      <c r="I4214" s="675"/>
      <c r="J4214" s="675"/>
      <c r="K4214" s="675"/>
      <c r="L4214" s="675"/>
      <c r="M4214" s="675"/>
    </row>
    <row r="4215" spans="1:13" x14ac:dyDescent="0.25">
      <c r="A4215" s="675" t="s">
        <v>2498</v>
      </c>
      <c r="B4215" s="675" t="s">
        <v>564</v>
      </c>
      <c r="C4215" s="675" t="s">
        <v>4125</v>
      </c>
      <c r="D4215" s="675"/>
      <c r="E4215" s="702"/>
      <c r="F4215" s="702"/>
      <c r="G4215" s="675"/>
      <c r="H4215" s="675"/>
      <c r="I4215" s="675"/>
      <c r="J4215" s="675"/>
      <c r="K4215" s="675"/>
      <c r="L4215" s="675"/>
      <c r="M4215" s="675"/>
    </row>
    <row r="4216" spans="1:13" x14ac:dyDescent="0.25">
      <c r="A4216" s="675" t="s">
        <v>2498</v>
      </c>
      <c r="B4216" s="675" t="s">
        <v>564</v>
      </c>
      <c r="C4216" s="675" t="s">
        <v>4126</v>
      </c>
      <c r="D4216" s="675"/>
      <c r="E4216" s="702"/>
      <c r="F4216" s="702"/>
      <c r="G4216" s="675"/>
      <c r="H4216" s="675"/>
      <c r="I4216" s="675"/>
      <c r="J4216" s="675"/>
      <c r="K4216" s="675"/>
      <c r="L4216" s="675"/>
      <c r="M4216" s="675"/>
    </row>
    <row r="4217" spans="1:13" x14ac:dyDescent="0.25">
      <c r="A4217" s="675" t="s">
        <v>2498</v>
      </c>
      <c r="B4217" s="675" t="s">
        <v>564</v>
      </c>
      <c r="C4217" s="675" t="s">
        <v>4127</v>
      </c>
      <c r="D4217" s="675"/>
      <c r="E4217" s="702"/>
      <c r="F4217" s="702"/>
      <c r="G4217" s="675"/>
      <c r="H4217" s="675"/>
      <c r="I4217" s="675"/>
      <c r="J4217" s="675"/>
      <c r="K4217" s="675"/>
      <c r="L4217" s="675"/>
      <c r="M4217" s="675"/>
    </row>
    <row r="4218" spans="1:13" x14ac:dyDescent="0.25">
      <c r="A4218" s="675" t="s">
        <v>2498</v>
      </c>
      <c r="B4218" s="675" t="s">
        <v>564</v>
      </c>
      <c r="C4218" s="675" t="s">
        <v>4128</v>
      </c>
      <c r="D4218" s="675"/>
      <c r="E4218" s="702"/>
      <c r="F4218" s="702"/>
      <c r="G4218" s="675"/>
      <c r="H4218" s="675"/>
      <c r="I4218" s="675"/>
      <c r="J4218" s="675"/>
      <c r="K4218" s="675"/>
      <c r="L4218" s="675"/>
      <c r="M4218" s="675"/>
    </row>
    <row r="4219" spans="1:13" x14ac:dyDescent="0.25">
      <c r="A4219" s="675" t="s">
        <v>2498</v>
      </c>
      <c r="B4219" s="675" t="s">
        <v>564</v>
      </c>
      <c r="C4219" s="675" t="s">
        <v>4129</v>
      </c>
      <c r="D4219" s="675"/>
      <c r="E4219" s="702"/>
      <c r="F4219" s="702"/>
      <c r="G4219" s="675"/>
      <c r="H4219" s="675"/>
      <c r="I4219" s="675"/>
      <c r="J4219" s="675"/>
      <c r="K4219" s="675"/>
      <c r="L4219" s="675"/>
      <c r="M4219" s="675"/>
    </row>
    <row r="4220" spans="1:13" x14ac:dyDescent="0.25">
      <c r="A4220" s="675" t="s">
        <v>2498</v>
      </c>
      <c r="B4220" s="675" t="s">
        <v>545</v>
      </c>
      <c r="C4220" s="676" t="s">
        <v>4130</v>
      </c>
      <c r="D4220" s="675"/>
      <c r="E4220" s="702"/>
      <c r="F4220" s="702"/>
      <c r="G4220" s="675"/>
      <c r="H4220" s="675"/>
      <c r="I4220" s="675"/>
      <c r="J4220" s="675"/>
      <c r="K4220" s="675"/>
      <c r="L4220" s="675"/>
      <c r="M4220" s="675"/>
    </row>
    <row r="4221" spans="1:13" x14ac:dyDescent="0.25">
      <c r="A4221" s="675" t="s">
        <v>2498</v>
      </c>
      <c r="B4221" s="675" t="s">
        <v>545</v>
      </c>
      <c r="C4221" s="676" t="s">
        <v>4131</v>
      </c>
      <c r="D4221" s="675"/>
      <c r="E4221" s="702"/>
      <c r="F4221" s="702"/>
      <c r="G4221" s="675"/>
      <c r="H4221" s="675"/>
      <c r="I4221" s="675"/>
      <c r="J4221" s="675"/>
      <c r="K4221" s="675"/>
      <c r="L4221" s="675"/>
      <c r="M4221" s="675"/>
    </row>
    <row r="4222" spans="1:13" x14ac:dyDescent="0.25">
      <c r="A4222" s="675" t="s">
        <v>2498</v>
      </c>
      <c r="B4222" s="675" t="s">
        <v>545</v>
      </c>
      <c r="C4222" s="676" t="s">
        <v>4132</v>
      </c>
      <c r="D4222" s="675"/>
      <c r="E4222" s="702"/>
      <c r="F4222" s="702"/>
      <c r="G4222" s="675"/>
      <c r="H4222" s="675"/>
      <c r="I4222" s="675"/>
      <c r="J4222" s="675"/>
      <c r="K4222" s="675"/>
      <c r="L4222" s="675"/>
      <c r="M4222" s="675"/>
    </row>
    <row r="4223" spans="1:13" x14ac:dyDescent="0.25">
      <c r="A4223" s="675" t="s">
        <v>2498</v>
      </c>
      <c r="B4223" s="675" t="s">
        <v>545</v>
      </c>
      <c r="C4223" s="676" t="s">
        <v>4133</v>
      </c>
      <c r="D4223" s="675"/>
      <c r="E4223" s="702"/>
      <c r="F4223" s="702"/>
      <c r="G4223" s="675"/>
      <c r="H4223" s="675"/>
      <c r="I4223" s="675"/>
      <c r="J4223" s="675"/>
      <c r="K4223" s="675"/>
      <c r="L4223" s="675"/>
      <c r="M4223" s="675"/>
    </row>
    <row r="4224" spans="1:13" x14ac:dyDescent="0.25">
      <c r="A4224" s="675" t="s">
        <v>2498</v>
      </c>
      <c r="B4224" s="675" t="s">
        <v>545</v>
      </c>
      <c r="C4224" s="676" t="s">
        <v>4134</v>
      </c>
      <c r="D4224" s="675"/>
      <c r="E4224" s="702"/>
      <c r="F4224" s="702"/>
      <c r="G4224" s="675"/>
      <c r="H4224" s="675"/>
      <c r="I4224" s="675"/>
      <c r="J4224" s="675"/>
      <c r="K4224" s="675"/>
      <c r="L4224" s="675"/>
      <c r="M4224" s="675"/>
    </row>
    <row r="4225" spans="1:13" x14ac:dyDescent="0.25">
      <c r="A4225" s="675" t="s">
        <v>2498</v>
      </c>
      <c r="B4225" s="675" t="s">
        <v>512</v>
      </c>
      <c r="C4225" s="675" t="s">
        <v>4135</v>
      </c>
      <c r="D4225" s="675"/>
      <c r="E4225" s="702"/>
      <c r="F4225" s="702"/>
      <c r="G4225" s="675"/>
      <c r="H4225" s="675"/>
      <c r="I4225" s="675"/>
      <c r="J4225" s="675"/>
      <c r="K4225" s="675"/>
      <c r="L4225" s="675"/>
      <c r="M4225" s="675"/>
    </row>
    <row r="4226" spans="1:13" x14ac:dyDescent="0.25">
      <c r="A4226" s="675" t="s">
        <v>2498</v>
      </c>
      <c r="B4226" s="675" t="s">
        <v>512</v>
      </c>
      <c r="C4226" s="675" t="s">
        <v>4136</v>
      </c>
      <c r="D4226" s="675"/>
      <c r="E4226" s="702"/>
      <c r="F4226" s="702"/>
      <c r="G4226" s="675"/>
      <c r="H4226" s="675"/>
      <c r="I4226" s="675"/>
      <c r="J4226" s="675"/>
      <c r="K4226" s="675"/>
      <c r="L4226" s="675"/>
      <c r="M4226" s="675"/>
    </row>
    <row r="4227" spans="1:13" x14ac:dyDescent="0.25">
      <c r="A4227" s="675" t="s">
        <v>2498</v>
      </c>
      <c r="B4227" s="675" t="s">
        <v>512</v>
      </c>
      <c r="C4227" s="675" t="s">
        <v>4137</v>
      </c>
      <c r="D4227" s="675"/>
      <c r="E4227" s="702"/>
      <c r="F4227" s="702"/>
      <c r="G4227" s="675"/>
      <c r="H4227" s="675"/>
      <c r="I4227" s="675"/>
      <c r="J4227" s="675"/>
      <c r="K4227" s="675"/>
      <c r="L4227" s="675"/>
      <c r="M4227" s="675"/>
    </row>
    <row r="4228" spans="1:13" x14ac:dyDescent="0.25">
      <c r="A4228" s="675" t="s">
        <v>2498</v>
      </c>
      <c r="B4228" s="675" t="s">
        <v>512</v>
      </c>
      <c r="C4228" s="675" t="s">
        <v>4138</v>
      </c>
      <c r="D4228" s="675"/>
      <c r="E4228" s="702"/>
      <c r="F4228" s="702"/>
      <c r="G4228" s="675"/>
      <c r="H4228" s="675"/>
      <c r="I4228" s="675"/>
      <c r="J4228" s="675"/>
      <c r="K4228" s="675"/>
      <c r="L4228" s="675"/>
      <c r="M4228" s="675"/>
    </row>
    <row r="4229" spans="1:13" x14ac:dyDescent="0.25">
      <c r="A4229" s="675" t="s">
        <v>2498</v>
      </c>
      <c r="B4229" s="675" t="s">
        <v>512</v>
      </c>
      <c r="C4229" s="675" t="s">
        <v>4139</v>
      </c>
      <c r="D4229" s="675"/>
      <c r="E4229" s="702"/>
      <c r="F4229" s="702"/>
      <c r="G4229" s="675"/>
      <c r="H4229" s="675"/>
      <c r="I4229" s="675"/>
      <c r="J4229" s="675"/>
      <c r="K4229" s="675"/>
      <c r="L4229" s="675"/>
      <c r="M4229" s="675"/>
    </row>
    <row r="4230" spans="1:13" x14ac:dyDescent="0.25">
      <c r="A4230" s="675" t="s">
        <v>4140</v>
      </c>
      <c r="B4230" s="675" t="s">
        <v>545</v>
      </c>
      <c r="C4230" s="675" t="s">
        <v>4141</v>
      </c>
      <c r="D4230" s="675"/>
      <c r="E4230" s="702"/>
      <c r="F4230" s="702"/>
      <c r="G4230" s="675"/>
      <c r="H4230" s="675"/>
      <c r="I4230" s="675"/>
      <c r="J4230" s="675"/>
      <c r="K4230" s="675"/>
      <c r="L4230" s="675"/>
      <c r="M4230" s="675"/>
    </row>
    <row r="4231" spans="1:13" x14ac:dyDescent="0.25">
      <c r="A4231" s="675" t="s">
        <v>4140</v>
      </c>
      <c r="B4231" s="675" t="s">
        <v>545</v>
      </c>
      <c r="C4231" s="675" t="s">
        <v>4142</v>
      </c>
      <c r="D4231" s="675"/>
      <c r="E4231" s="702"/>
      <c r="F4231" s="702"/>
      <c r="G4231" s="675"/>
      <c r="H4231" s="675"/>
      <c r="I4231" s="675"/>
      <c r="J4231" s="675"/>
      <c r="K4231" s="675"/>
      <c r="L4231" s="675"/>
      <c r="M4231" s="675"/>
    </row>
    <row r="4232" spans="1:13" x14ac:dyDescent="0.25">
      <c r="A4232" s="675" t="s">
        <v>4140</v>
      </c>
      <c r="B4232" s="675" t="s">
        <v>545</v>
      </c>
      <c r="C4232" s="675" t="s">
        <v>4143</v>
      </c>
      <c r="D4232" s="675"/>
      <c r="E4232" s="702"/>
      <c r="F4232" s="702"/>
      <c r="G4232" s="675"/>
      <c r="H4232" s="675"/>
      <c r="I4232" s="675"/>
      <c r="J4232" s="675"/>
      <c r="K4232" s="675"/>
      <c r="L4232" s="675"/>
      <c r="M4232" s="675"/>
    </row>
    <row r="4233" spans="1:13" x14ac:dyDescent="0.25">
      <c r="A4233" s="675" t="s">
        <v>4140</v>
      </c>
      <c r="B4233" s="675" t="s">
        <v>545</v>
      </c>
      <c r="C4233" s="675" t="s">
        <v>4144</v>
      </c>
      <c r="D4233" s="675"/>
      <c r="E4233" s="702"/>
      <c r="F4233" s="702"/>
      <c r="G4233" s="675"/>
      <c r="H4233" s="675"/>
      <c r="I4233" s="675"/>
      <c r="J4233" s="675"/>
      <c r="K4233" s="675"/>
      <c r="L4233" s="675"/>
      <c r="M4233" s="675"/>
    </row>
    <row r="4234" spans="1:13" x14ac:dyDescent="0.25">
      <c r="A4234" s="675" t="s">
        <v>4140</v>
      </c>
      <c r="B4234" s="675" t="s">
        <v>545</v>
      </c>
      <c r="C4234" s="675" t="s">
        <v>4145</v>
      </c>
      <c r="D4234" s="675"/>
      <c r="E4234" s="702"/>
      <c r="F4234" s="702"/>
      <c r="G4234" s="675"/>
      <c r="H4234" s="675"/>
      <c r="I4234" s="675"/>
      <c r="J4234" s="675"/>
      <c r="K4234" s="675"/>
      <c r="L4234" s="675"/>
      <c r="M4234" s="675"/>
    </row>
    <row r="4235" spans="1:13" x14ac:dyDescent="0.25">
      <c r="A4235" s="675" t="s">
        <v>4140</v>
      </c>
      <c r="B4235" s="675" t="s">
        <v>545</v>
      </c>
      <c r="C4235" s="675" t="s">
        <v>4146</v>
      </c>
      <c r="D4235" s="675"/>
      <c r="E4235" s="702"/>
      <c r="F4235" s="702"/>
      <c r="G4235" s="675"/>
      <c r="H4235" s="675"/>
      <c r="I4235" s="675"/>
      <c r="J4235" s="675"/>
      <c r="K4235" s="675"/>
      <c r="L4235" s="675"/>
      <c r="M4235" s="675"/>
    </row>
    <row r="4236" spans="1:13" x14ac:dyDescent="0.25">
      <c r="A4236" s="675" t="s">
        <v>4140</v>
      </c>
      <c r="B4236" s="675" t="s">
        <v>545</v>
      </c>
      <c r="C4236" s="675" t="s">
        <v>4147</v>
      </c>
      <c r="D4236" s="675"/>
      <c r="E4236" s="702"/>
      <c r="F4236" s="702"/>
      <c r="G4236" s="675"/>
      <c r="H4236" s="675"/>
      <c r="I4236" s="675"/>
      <c r="J4236" s="675"/>
      <c r="K4236" s="675"/>
      <c r="L4236" s="675"/>
      <c r="M4236" s="675"/>
    </row>
    <row r="4237" spans="1:13" x14ac:dyDescent="0.25">
      <c r="A4237" s="675" t="s">
        <v>4140</v>
      </c>
      <c r="B4237" s="675" t="s">
        <v>564</v>
      </c>
      <c r="C4237" s="675" t="s">
        <v>4148</v>
      </c>
      <c r="D4237" s="675"/>
      <c r="E4237" s="702"/>
      <c r="F4237" s="702"/>
      <c r="G4237" s="675"/>
      <c r="H4237" s="675"/>
      <c r="I4237" s="675"/>
      <c r="J4237" s="675"/>
      <c r="K4237" s="675"/>
      <c r="L4237" s="675"/>
      <c r="M4237" s="675"/>
    </row>
    <row r="4238" spans="1:13" x14ac:dyDescent="0.25">
      <c r="A4238" s="675" t="s">
        <v>4140</v>
      </c>
      <c r="B4238" s="675" t="s">
        <v>564</v>
      </c>
      <c r="C4238" s="675" t="s">
        <v>4149</v>
      </c>
      <c r="D4238" s="675"/>
      <c r="E4238" s="702"/>
      <c r="F4238" s="702"/>
      <c r="G4238" s="675"/>
      <c r="H4238" s="675"/>
      <c r="I4238" s="675"/>
      <c r="J4238" s="675"/>
      <c r="K4238" s="675"/>
      <c r="L4238" s="675"/>
      <c r="M4238" s="675"/>
    </row>
    <row r="4239" spans="1:13" x14ac:dyDescent="0.25">
      <c r="A4239" s="675" t="s">
        <v>4140</v>
      </c>
      <c r="B4239" s="675" t="s">
        <v>564</v>
      </c>
      <c r="C4239" s="675" t="s">
        <v>4150</v>
      </c>
      <c r="D4239" s="675"/>
      <c r="E4239" s="702"/>
      <c r="F4239" s="702"/>
      <c r="G4239" s="675"/>
      <c r="H4239" s="675"/>
      <c r="I4239" s="675"/>
      <c r="J4239" s="675"/>
      <c r="K4239" s="675"/>
      <c r="L4239" s="675"/>
      <c r="M4239" s="675"/>
    </row>
    <row r="4240" spans="1:13" x14ac:dyDescent="0.25">
      <c r="A4240" s="675" t="s">
        <v>4140</v>
      </c>
      <c r="B4240" s="675" t="s">
        <v>564</v>
      </c>
      <c r="C4240" s="675" t="s">
        <v>4151</v>
      </c>
      <c r="D4240" s="675"/>
      <c r="E4240" s="702"/>
      <c r="F4240" s="702"/>
      <c r="G4240" s="675"/>
      <c r="H4240" s="675"/>
      <c r="I4240" s="675"/>
      <c r="J4240" s="675"/>
      <c r="K4240" s="675"/>
      <c r="L4240" s="675"/>
      <c r="M4240" s="675"/>
    </row>
    <row r="4241" spans="1:13" x14ac:dyDescent="0.25">
      <c r="A4241" s="675" t="s">
        <v>4140</v>
      </c>
      <c r="B4241" s="675" t="s">
        <v>564</v>
      </c>
      <c r="C4241" s="675" t="s">
        <v>4152</v>
      </c>
      <c r="D4241" s="675"/>
      <c r="E4241" s="702"/>
      <c r="F4241" s="702"/>
      <c r="G4241" s="675"/>
      <c r="H4241" s="675"/>
      <c r="I4241" s="675"/>
      <c r="J4241" s="675"/>
      <c r="K4241" s="675"/>
      <c r="L4241" s="675"/>
      <c r="M4241" s="675"/>
    </row>
    <row r="4242" spans="1:13" x14ac:dyDescent="0.25">
      <c r="A4242" s="675" t="s">
        <v>4140</v>
      </c>
      <c r="B4242" s="675" t="s">
        <v>564</v>
      </c>
      <c r="C4242" s="675" t="s">
        <v>4153</v>
      </c>
      <c r="D4242" s="675"/>
      <c r="E4242" s="702"/>
      <c r="F4242" s="702"/>
      <c r="G4242" s="675"/>
      <c r="H4242" s="675"/>
      <c r="I4242" s="675"/>
      <c r="J4242" s="675"/>
      <c r="K4242" s="675"/>
      <c r="L4242" s="675"/>
      <c r="M4242" s="675"/>
    </row>
    <row r="4243" spans="1:13" x14ac:dyDescent="0.25">
      <c r="A4243" s="675" t="s">
        <v>4140</v>
      </c>
      <c r="B4243" s="675" t="s">
        <v>564</v>
      </c>
      <c r="C4243" s="675" t="s">
        <v>4154</v>
      </c>
      <c r="D4243" s="675"/>
      <c r="E4243" s="702"/>
      <c r="F4243" s="702"/>
      <c r="G4243" s="675"/>
      <c r="H4243" s="675"/>
      <c r="I4243" s="675"/>
      <c r="J4243" s="675"/>
      <c r="K4243" s="675"/>
      <c r="L4243" s="675"/>
      <c r="M4243" s="675"/>
    </row>
    <row r="4244" spans="1:13" x14ac:dyDescent="0.25">
      <c r="A4244" s="675" t="s">
        <v>4140</v>
      </c>
      <c r="B4244" s="675" t="s">
        <v>512</v>
      </c>
      <c r="C4244" s="675" t="s">
        <v>4155</v>
      </c>
      <c r="D4244" s="675"/>
      <c r="E4244" s="702"/>
      <c r="F4244" s="702"/>
      <c r="G4244" s="675"/>
      <c r="H4244" s="675"/>
      <c r="I4244" s="675"/>
      <c r="J4244" s="675"/>
      <c r="K4244" s="675"/>
      <c r="L4244" s="675"/>
      <c r="M4244" s="675"/>
    </row>
    <row r="4245" spans="1:13" x14ac:dyDescent="0.25">
      <c r="A4245" s="675" t="s">
        <v>4140</v>
      </c>
      <c r="B4245" s="675" t="s">
        <v>512</v>
      </c>
      <c r="C4245" s="675" t="s">
        <v>4156</v>
      </c>
      <c r="D4245" s="675"/>
      <c r="E4245" s="702"/>
      <c r="F4245" s="702"/>
      <c r="G4245" s="675"/>
      <c r="H4245" s="675"/>
      <c r="I4245" s="675"/>
      <c r="J4245" s="675"/>
      <c r="K4245" s="675"/>
      <c r="L4245" s="675"/>
      <c r="M4245" s="675"/>
    </row>
    <row r="4246" spans="1:13" x14ac:dyDescent="0.25">
      <c r="A4246" s="675" t="s">
        <v>4140</v>
      </c>
      <c r="B4246" s="675" t="s">
        <v>512</v>
      </c>
      <c r="C4246" s="675" t="s">
        <v>4157</v>
      </c>
      <c r="D4246" s="675"/>
      <c r="E4246" s="702"/>
      <c r="F4246" s="702"/>
      <c r="G4246" s="675"/>
      <c r="H4246" s="675"/>
      <c r="I4246" s="675"/>
      <c r="J4246" s="675"/>
      <c r="K4246" s="675"/>
      <c r="L4246" s="675"/>
      <c r="M4246" s="675"/>
    </row>
    <row r="4247" spans="1:13" x14ac:dyDescent="0.25">
      <c r="A4247" s="675" t="s">
        <v>4140</v>
      </c>
      <c r="B4247" s="675" t="s">
        <v>512</v>
      </c>
      <c r="C4247" s="675" t="s">
        <v>4158</v>
      </c>
      <c r="D4247" s="675"/>
      <c r="E4247" s="702"/>
      <c r="F4247" s="702"/>
      <c r="G4247" s="675"/>
      <c r="H4247" s="675"/>
      <c r="I4247" s="675"/>
      <c r="J4247" s="675"/>
      <c r="K4247" s="675"/>
      <c r="L4247" s="675"/>
      <c r="M4247" s="675"/>
    </row>
    <row r="4248" spans="1:13" x14ac:dyDescent="0.25">
      <c r="A4248" s="675" t="s">
        <v>4140</v>
      </c>
      <c r="B4248" s="675" t="s">
        <v>512</v>
      </c>
      <c r="C4248" s="675" t="s">
        <v>4159</v>
      </c>
      <c r="D4248" s="675"/>
      <c r="E4248" s="702"/>
      <c r="F4248" s="702"/>
      <c r="G4248" s="675"/>
      <c r="H4248" s="675"/>
      <c r="I4248" s="675"/>
      <c r="J4248" s="675"/>
      <c r="K4248" s="675"/>
      <c r="L4248" s="675"/>
      <c r="M4248" s="675"/>
    </row>
    <row r="4249" spans="1:13" x14ac:dyDescent="0.25">
      <c r="A4249" s="675" t="s">
        <v>4140</v>
      </c>
      <c r="B4249" s="675" t="s">
        <v>512</v>
      </c>
      <c r="C4249" s="675" t="s">
        <v>4160</v>
      </c>
      <c r="D4249" s="675"/>
      <c r="E4249" s="702"/>
      <c r="F4249" s="702"/>
      <c r="G4249" s="675"/>
      <c r="H4249" s="675"/>
      <c r="I4249" s="675"/>
      <c r="J4249" s="675"/>
      <c r="K4249" s="675"/>
      <c r="L4249" s="675"/>
      <c r="M4249" s="675"/>
    </row>
    <row r="4250" spans="1:13" x14ac:dyDescent="0.25">
      <c r="A4250" s="675" t="s">
        <v>4140</v>
      </c>
      <c r="B4250" s="675" t="s">
        <v>512</v>
      </c>
      <c r="C4250" s="675" t="s">
        <v>4161</v>
      </c>
      <c r="D4250" s="675"/>
      <c r="E4250" s="702"/>
      <c r="F4250" s="702"/>
      <c r="G4250" s="675"/>
      <c r="H4250" s="675"/>
      <c r="I4250" s="675"/>
      <c r="J4250" s="675"/>
      <c r="K4250" s="675"/>
      <c r="L4250" s="675"/>
      <c r="M4250" s="675"/>
    </row>
    <row r="4251" spans="1:13" x14ac:dyDescent="0.25">
      <c r="A4251" s="675" t="s">
        <v>4162</v>
      </c>
      <c r="B4251" s="675" t="s">
        <v>545</v>
      </c>
      <c r="C4251" s="675" t="s">
        <v>4163</v>
      </c>
      <c r="D4251" s="675"/>
      <c r="E4251" s="702"/>
      <c r="F4251" s="702"/>
      <c r="G4251" s="675"/>
      <c r="H4251" s="675"/>
      <c r="I4251" s="675"/>
      <c r="J4251" s="675"/>
      <c r="K4251" s="675"/>
      <c r="L4251" s="675"/>
      <c r="M4251" s="675"/>
    </row>
    <row r="4252" spans="1:13" x14ac:dyDescent="0.25">
      <c r="A4252" s="675" t="s">
        <v>4162</v>
      </c>
      <c r="B4252" s="675" t="s">
        <v>545</v>
      </c>
      <c r="C4252" s="675" t="s">
        <v>4164</v>
      </c>
      <c r="D4252" s="675"/>
      <c r="E4252" s="702"/>
      <c r="F4252" s="702"/>
      <c r="G4252" s="675"/>
      <c r="H4252" s="675"/>
      <c r="I4252" s="675"/>
      <c r="J4252" s="675"/>
      <c r="K4252" s="675"/>
      <c r="L4252" s="675"/>
      <c r="M4252" s="675"/>
    </row>
    <row r="4253" spans="1:13" x14ac:dyDescent="0.25">
      <c r="A4253" s="675" t="s">
        <v>4162</v>
      </c>
      <c r="B4253" s="675" t="s">
        <v>545</v>
      </c>
      <c r="C4253" s="675" t="s">
        <v>4165</v>
      </c>
      <c r="D4253" s="675"/>
      <c r="E4253" s="702"/>
      <c r="F4253" s="702"/>
      <c r="G4253" s="675"/>
      <c r="H4253" s="675"/>
      <c r="I4253" s="675"/>
      <c r="J4253" s="675"/>
      <c r="K4253" s="675"/>
      <c r="L4253" s="675"/>
      <c r="M4253" s="675"/>
    </row>
    <row r="4254" spans="1:13" x14ac:dyDescent="0.25">
      <c r="A4254" s="675" t="s">
        <v>4162</v>
      </c>
      <c r="B4254" s="675" t="s">
        <v>545</v>
      </c>
      <c r="C4254" s="675" t="s">
        <v>4166</v>
      </c>
      <c r="D4254" s="675"/>
      <c r="E4254" s="702"/>
      <c r="F4254" s="702"/>
      <c r="G4254" s="675"/>
      <c r="H4254" s="675"/>
      <c r="I4254" s="675"/>
      <c r="J4254" s="675"/>
      <c r="K4254" s="675"/>
      <c r="L4254" s="675"/>
      <c r="M4254" s="675"/>
    </row>
    <row r="4255" spans="1:13" x14ac:dyDescent="0.25">
      <c r="A4255" s="675" t="s">
        <v>4162</v>
      </c>
      <c r="B4255" s="675" t="s">
        <v>545</v>
      </c>
      <c r="C4255" s="675" t="s">
        <v>4167</v>
      </c>
      <c r="D4255" s="675"/>
      <c r="E4255" s="702"/>
      <c r="F4255" s="702"/>
      <c r="G4255" s="675"/>
      <c r="H4255" s="675"/>
      <c r="I4255" s="675"/>
      <c r="J4255" s="675"/>
      <c r="K4255" s="675"/>
      <c r="L4255" s="675"/>
      <c r="M4255" s="675"/>
    </row>
    <row r="4256" spans="1:13" x14ac:dyDescent="0.25">
      <c r="A4256" s="675" t="s">
        <v>4162</v>
      </c>
      <c r="B4256" s="675" t="s">
        <v>545</v>
      </c>
      <c r="C4256" s="675" t="s">
        <v>4168</v>
      </c>
      <c r="D4256" s="675"/>
      <c r="E4256" s="702"/>
      <c r="F4256" s="702"/>
      <c r="G4256" s="675"/>
      <c r="H4256" s="675"/>
      <c r="I4256" s="675"/>
      <c r="J4256" s="675"/>
      <c r="K4256" s="675"/>
      <c r="L4256" s="675"/>
      <c r="M4256" s="675"/>
    </row>
    <row r="4257" spans="1:13" x14ac:dyDescent="0.25">
      <c r="A4257" s="675" t="s">
        <v>4162</v>
      </c>
      <c r="B4257" s="675" t="s">
        <v>545</v>
      </c>
      <c r="C4257" s="675" t="s">
        <v>4169</v>
      </c>
      <c r="D4257" s="675"/>
      <c r="E4257" s="702"/>
      <c r="F4257" s="702"/>
      <c r="G4257" s="675"/>
      <c r="H4257" s="675"/>
      <c r="I4257" s="675"/>
      <c r="J4257" s="675"/>
      <c r="K4257" s="675"/>
      <c r="L4257" s="675"/>
      <c r="M4257" s="675"/>
    </row>
    <row r="4258" spans="1:13" x14ac:dyDescent="0.25">
      <c r="A4258" s="675" t="s">
        <v>4162</v>
      </c>
      <c r="B4258" s="675" t="s">
        <v>545</v>
      </c>
      <c r="C4258" s="675" t="s">
        <v>4170</v>
      </c>
      <c r="D4258" s="675"/>
      <c r="E4258" s="702"/>
      <c r="F4258" s="702"/>
      <c r="G4258" s="675"/>
      <c r="H4258" s="675"/>
      <c r="I4258" s="675"/>
      <c r="J4258" s="675"/>
      <c r="K4258" s="675"/>
      <c r="L4258" s="675"/>
      <c r="M4258" s="675"/>
    </row>
    <row r="4259" spans="1:13" x14ac:dyDescent="0.25">
      <c r="A4259" s="675" t="s">
        <v>4162</v>
      </c>
      <c r="B4259" s="675" t="s">
        <v>545</v>
      </c>
      <c r="C4259" s="675" t="s">
        <v>4171</v>
      </c>
      <c r="D4259" s="675"/>
      <c r="E4259" s="702"/>
      <c r="F4259" s="702"/>
      <c r="G4259" s="675"/>
      <c r="H4259" s="675"/>
      <c r="I4259" s="675"/>
      <c r="J4259" s="675"/>
      <c r="K4259" s="675"/>
      <c r="L4259" s="675"/>
      <c r="M4259" s="675"/>
    </row>
    <row r="4260" spans="1:13" x14ac:dyDescent="0.25">
      <c r="A4260" s="675" t="s">
        <v>4162</v>
      </c>
      <c r="B4260" s="675" t="s">
        <v>545</v>
      </c>
      <c r="C4260" s="675" t="s">
        <v>4172</v>
      </c>
      <c r="D4260" s="675"/>
      <c r="E4260" s="702"/>
      <c r="F4260" s="702"/>
      <c r="G4260" s="675"/>
      <c r="H4260" s="675"/>
      <c r="I4260" s="675"/>
      <c r="J4260" s="675"/>
      <c r="K4260" s="675"/>
      <c r="L4260" s="675"/>
      <c r="M4260" s="675"/>
    </row>
    <row r="4261" spans="1:13" x14ac:dyDescent="0.25">
      <c r="A4261" s="675" t="s">
        <v>4162</v>
      </c>
      <c r="B4261" s="675" t="s">
        <v>564</v>
      </c>
      <c r="C4261" s="675" t="s">
        <v>4173</v>
      </c>
      <c r="D4261" s="675"/>
      <c r="E4261" s="702"/>
      <c r="F4261" s="702"/>
      <c r="G4261" s="675"/>
      <c r="H4261" s="675"/>
      <c r="I4261" s="675"/>
      <c r="J4261" s="675"/>
      <c r="K4261" s="675"/>
      <c r="L4261" s="675"/>
      <c r="M4261" s="675"/>
    </row>
    <row r="4262" spans="1:13" x14ac:dyDescent="0.25">
      <c r="A4262" s="675" t="s">
        <v>4162</v>
      </c>
      <c r="B4262" s="675" t="s">
        <v>564</v>
      </c>
      <c r="C4262" s="675" t="s">
        <v>4174</v>
      </c>
      <c r="D4262" s="675"/>
      <c r="E4262" s="702"/>
      <c r="F4262" s="702"/>
      <c r="G4262" s="675"/>
      <c r="H4262" s="675"/>
      <c r="I4262" s="675"/>
      <c r="J4262" s="675"/>
      <c r="K4262" s="675"/>
      <c r="L4262" s="675"/>
      <c r="M4262" s="675"/>
    </row>
    <row r="4263" spans="1:13" x14ac:dyDescent="0.25">
      <c r="A4263" s="675" t="s">
        <v>4162</v>
      </c>
      <c r="B4263" s="675" t="s">
        <v>564</v>
      </c>
      <c r="C4263" s="675" t="s">
        <v>4175</v>
      </c>
      <c r="D4263" s="675"/>
      <c r="E4263" s="702"/>
      <c r="F4263" s="702"/>
      <c r="G4263" s="675"/>
      <c r="H4263" s="675"/>
      <c r="I4263" s="675"/>
      <c r="J4263" s="675"/>
      <c r="K4263" s="675"/>
      <c r="L4263" s="675"/>
      <c r="M4263" s="675"/>
    </row>
    <row r="4264" spans="1:13" x14ac:dyDescent="0.25">
      <c r="A4264" s="675" t="s">
        <v>4162</v>
      </c>
      <c r="B4264" s="675" t="s">
        <v>564</v>
      </c>
      <c r="C4264" s="675" t="s">
        <v>4176</v>
      </c>
      <c r="D4264" s="675"/>
      <c r="E4264" s="702"/>
      <c r="F4264" s="702"/>
      <c r="G4264" s="675"/>
      <c r="H4264" s="675"/>
      <c r="I4264" s="675"/>
      <c r="J4264" s="675"/>
      <c r="K4264" s="675"/>
      <c r="L4264" s="675"/>
      <c r="M4264" s="675"/>
    </row>
    <row r="4265" spans="1:13" x14ac:dyDescent="0.25">
      <c r="A4265" s="675" t="s">
        <v>4162</v>
      </c>
      <c r="B4265" s="675" t="s">
        <v>564</v>
      </c>
      <c r="C4265" s="675" t="s">
        <v>4177</v>
      </c>
      <c r="D4265" s="675"/>
      <c r="E4265" s="702"/>
      <c r="F4265" s="702"/>
      <c r="G4265" s="675"/>
      <c r="H4265" s="675"/>
      <c r="I4265" s="675"/>
      <c r="J4265" s="675"/>
      <c r="K4265" s="675"/>
      <c r="L4265" s="675"/>
      <c r="M4265" s="675"/>
    </row>
    <row r="4266" spans="1:13" x14ac:dyDescent="0.25">
      <c r="A4266" s="675" t="s">
        <v>4162</v>
      </c>
      <c r="B4266" s="675" t="s">
        <v>564</v>
      </c>
      <c r="C4266" s="675" t="s">
        <v>4178</v>
      </c>
      <c r="D4266" s="675"/>
      <c r="E4266" s="702"/>
      <c r="F4266" s="702"/>
      <c r="G4266" s="675"/>
      <c r="H4266" s="675"/>
      <c r="I4266" s="675"/>
      <c r="J4266" s="675"/>
      <c r="K4266" s="675"/>
      <c r="L4266" s="675"/>
      <c r="M4266" s="675"/>
    </row>
    <row r="4267" spans="1:13" x14ac:dyDescent="0.25">
      <c r="A4267" s="675" t="s">
        <v>4162</v>
      </c>
      <c r="B4267" s="675" t="s">
        <v>564</v>
      </c>
      <c r="C4267" s="675" t="s">
        <v>4179</v>
      </c>
      <c r="D4267" s="675"/>
      <c r="E4267" s="702"/>
      <c r="F4267" s="702"/>
      <c r="G4267" s="675"/>
      <c r="H4267" s="675"/>
      <c r="I4267" s="675"/>
      <c r="J4267" s="675"/>
      <c r="K4267" s="675"/>
      <c r="L4267" s="675"/>
      <c r="M4267" s="675"/>
    </row>
    <row r="4268" spans="1:13" x14ac:dyDescent="0.25">
      <c r="A4268" s="675" t="s">
        <v>4162</v>
      </c>
      <c r="B4268" s="675" t="s">
        <v>564</v>
      </c>
      <c r="C4268" s="675" t="s">
        <v>4180</v>
      </c>
      <c r="D4268" s="675"/>
      <c r="E4268" s="702"/>
      <c r="F4268" s="702"/>
      <c r="G4268" s="675"/>
      <c r="H4268" s="675"/>
      <c r="I4268" s="675"/>
      <c r="J4268" s="675"/>
      <c r="K4268" s="675"/>
      <c r="L4268" s="675"/>
      <c r="M4268" s="675"/>
    </row>
    <row r="4269" spans="1:13" x14ac:dyDescent="0.25">
      <c r="A4269" s="675" t="s">
        <v>4162</v>
      </c>
      <c r="B4269" s="675" t="s">
        <v>564</v>
      </c>
      <c r="C4269" s="675" t="s">
        <v>4181</v>
      </c>
      <c r="D4269" s="675"/>
      <c r="E4269" s="702"/>
      <c r="F4269" s="702"/>
      <c r="G4269" s="675"/>
      <c r="H4269" s="675"/>
      <c r="I4269" s="675"/>
      <c r="J4269" s="675"/>
      <c r="K4269" s="675"/>
      <c r="L4269" s="675"/>
      <c r="M4269" s="675"/>
    </row>
    <row r="4270" spans="1:13" x14ac:dyDescent="0.25">
      <c r="A4270" s="675" t="s">
        <v>4162</v>
      </c>
      <c r="B4270" s="675" t="s">
        <v>564</v>
      </c>
      <c r="C4270" s="675" t="s">
        <v>4182</v>
      </c>
      <c r="D4270" s="675"/>
      <c r="E4270" s="702"/>
      <c r="F4270" s="702"/>
      <c r="G4270" s="675"/>
      <c r="H4270" s="675"/>
      <c r="I4270" s="675"/>
      <c r="J4270" s="675"/>
      <c r="K4270" s="675"/>
      <c r="L4270" s="675"/>
      <c r="M4270" s="675"/>
    </row>
    <row r="4271" spans="1:13" x14ac:dyDescent="0.25">
      <c r="A4271" s="675" t="s">
        <v>4162</v>
      </c>
      <c r="B4271" s="675" t="s">
        <v>512</v>
      </c>
      <c r="C4271" s="675" t="s">
        <v>4183</v>
      </c>
      <c r="D4271" s="675"/>
      <c r="E4271" s="702"/>
      <c r="F4271" s="702"/>
      <c r="G4271" s="675"/>
      <c r="H4271" s="675"/>
      <c r="I4271" s="675"/>
      <c r="J4271" s="675"/>
      <c r="K4271" s="675"/>
      <c r="L4271" s="675"/>
      <c r="M4271" s="675"/>
    </row>
    <row r="4272" spans="1:13" x14ac:dyDescent="0.25">
      <c r="A4272" s="675" t="s">
        <v>4162</v>
      </c>
      <c r="B4272" s="675" t="s">
        <v>512</v>
      </c>
      <c r="C4272" s="675" t="s">
        <v>4184</v>
      </c>
      <c r="D4272" s="675"/>
      <c r="E4272" s="702"/>
      <c r="F4272" s="702"/>
      <c r="G4272" s="675"/>
      <c r="H4272" s="675"/>
      <c r="I4272" s="675"/>
      <c r="J4272" s="675"/>
      <c r="K4272" s="675"/>
      <c r="L4272" s="675"/>
      <c r="M4272" s="675"/>
    </row>
    <row r="4273" spans="1:13" x14ac:dyDescent="0.25">
      <c r="A4273" s="675" t="s">
        <v>4162</v>
      </c>
      <c r="B4273" s="675" t="s">
        <v>512</v>
      </c>
      <c r="C4273" s="675" t="s">
        <v>4185</v>
      </c>
      <c r="D4273" s="675"/>
      <c r="E4273" s="702"/>
      <c r="F4273" s="702"/>
      <c r="G4273" s="675"/>
      <c r="H4273" s="675"/>
      <c r="I4273" s="675"/>
      <c r="J4273" s="675"/>
      <c r="K4273" s="675"/>
      <c r="L4273" s="675"/>
      <c r="M4273" s="675"/>
    </row>
    <row r="4274" spans="1:13" x14ac:dyDescent="0.25">
      <c r="A4274" s="675" t="s">
        <v>4162</v>
      </c>
      <c r="B4274" s="675" t="s">
        <v>512</v>
      </c>
      <c r="C4274" s="675" t="s">
        <v>4186</v>
      </c>
      <c r="D4274" s="675"/>
      <c r="E4274" s="702"/>
      <c r="F4274" s="702"/>
      <c r="G4274" s="675"/>
      <c r="H4274" s="675"/>
      <c r="I4274" s="675"/>
      <c r="J4274" s="675"/>
      <c r="K4274" s="675"/>
      <c r="L4274" s="675"/>
      <c r="M4274" s="675"/>
    </row>
    <row r="4275" spans="1:13" x14ac:dyDescent="0.25">
      <c r="A4275" s="675" t="s">
        <v>4162</v>
      </c>
      <c r="B4275" s="675" t="s">
        <v>512</v>
      </c>
      <c r="C4275" s="675" t="s">
        <v>4187</v>
      </c>
      <c r="D4275" s="675"/>
      <c r="E4275" s="702"/>
      <c r="F4275" s="702"/>
      <c r="G4275" s="675"/>
      <c r="H4275" s="675"/>
      <c r="I4275" s="675"/>
      <c r="J4275" s="675"/>
      <c r="K4275" s="675"/>
      <c r="L4275" s="675"/>
      <c r="M4275" s="675"/>
    </row>
    <row r="4276" spans="1:13" x14ac:dyDescent="0.25">
      <c r="A4276" s="675" t="s">
        <v>4162</v>
      </c>
      <c r="B4276" s="675" t="s">
        <v>512</v>
      </c>
      <c r="C4276" s="675" t="s">
        <v>4188</v>
      </c>
      <c r="D4276" s="675"/>
      <c r="E4276" s="702"/>
      <c r="F4276" s="702"/>
      <c r="G4276" s="675"/>
      <c r="H4276" s="675"/>
      <c r="I4276" s="675"/>
      <c r="J4276" s="675"/>
      <c r="K4276" s="675"/>
      <c r="L4276" s="675"/>
      <c r="M4276" s="675"/>
    </row>
    <row r="4277" spans="1:13" x14ac:dyDescent="0.25">
      <c r="A4277" s="675" t="s">
        <v>4162</v>
      </c>
      <c r="B4277" s="675" t="s">
        <v>512</v>
      </c>
      <c r="C4277" s="675" t="s">
        <v>4189</v>
      </c>
      <c r="D4277" s="675"/>
      <c r="E4277" s="702"/>
      <c r="F4277" s="702"/>
      <c r="G4277" s="675"/>
      <c r="H4277" s="675"/>
      <c r="I4277" s="675"/>
      <c r="J4277" s="675"/>
      <c r="K4277" s="675"/>
      <c r="L4277" s="675"/>
      <c r="M4277" s="675"/>
    </row>
    <row r="4278" spans="1:13" x14ac:dyDescent="0.25">
      <c r="A4278" s="675" t="s">
        <v>4162</v>
      </c>
      <c r="B4278" s="675" t="s">
        <v>512</v>
      </c>
      <c r="C4278" s="675" t="s">
        <v>4190</v>
      </c>
      <c r="D4278" s="675"/>
      <c r="E4278" s="702"/>
      <c r="F4278" s="702"/>
      <c r="G4278" s="675"/>
      <c r="H4278" s="675"/>
      <c r="I4278" s="675"/>
      <c r="J4278" s="675"/>
      <c r="K4278" s="675"/>
      <c r="L4278" s="675"/>
      <c r="M4278" s="675"/>
    </row>
    <row r="4279" spans="1:13" x14ac:dyDescent="0.25">
      <c r="A4279" s="675" t="s">
        <v>4162</v>
      </c>
      <c r="B4279" s="675" t="s">
        <v>512</v>
      </c>
      <c r="C4279" s="675" t="s">
        <v>4191</v>
      </c>
      <c r="D4279" s="675"/>
      <c r="E4279" s="702"/>
      <c r="F4279" s="702"/>
      <c r="G4279" s="675"/>
      <c r="H4279" s="675"/>
      <c r="I4279" s="675"/>
      <c r="J4279" s="675"/>
      <c r="K4279" s="675"/>
      <c r="L4279" s="675"/>
      <c r="M4279" s="675"/>
    </row>
    <row r="4280" spans="1:13" x14ac:dyDescent="0.25">
      <c r="A4280" s="675" t="s">
        <v>4162</v>
      </c>
      <c r="B4280" s="675" t="s">
        <v>512</v>
      </c>
      <c r="C4280" s="675" t="s">
        <v>4192</v>
      </c>
      <c r="D4280" s="675"/>
      <c r="E4280" s="702"/>
      <c r="F4280" s="702"/>
      <c r="G4280" s="675"/>
      <c r="H4280" s="675"/>
      <c r="I4280" s="675"/>
      <c r="J4280" s="675"/>
      <c r="K4280" s="675"/>
      <c r="L4280" s="675"/>
      <c r="M4280" s="675"/>
    </row>
    <row r="4281" spans="1:13" x14ac:dyDescent="0.25">
      <c r="A4281" s="675" t="s">
        <v>2498</v>
      </c>
      <c r="B4281" s="675" t="s">
        <v>545</v>
      </c>
      <c r="C4281" s="675" t="s">
        <v>4193</v>
      </c>
      <c r="D4281" s="675"/>
      <c r="E4281" s="702"/>
      <c r="F4281" s="702"/>
      <c r="G4281" s="675"/>
      <c r="H4281" s="675"/>
      <c r="I4281" s="675"/>
      <c r="J4281" s="675"/>
      <c r="K4281" s="675"/>
      <c r="L4281" s="675"/>
      <c r="M4281" s="675"/>
    </row>
    <row r="4282" spans="1:13" x14ac:dyDescent="0.25">
      <c r="A4282" s="675" t="s">
        <v>2498</v>
      </c>
      <c r="B4282" s="675" t="s">
        <v>545</v>
      </c>
      <c r="C4282" s="675" t="s">
        <v>4194</v>
      </c>
      <c r="D4282" s="675"/>
      <c r="E4282" s="702"/>
      <c r="F4282" s="702"/>
      <c r="G4282" s="675"/>
      <c r="H4282" s="675"/>
      <c r="I4282" s="675"/>
      <c r="J4282" s="675"/>
      <c r="K4282" s="675"/>
      <c r="L4282" s="675"/>
      <c r="M4282" s="675"/>
    </row>
    <row r="4283" spans="1:13" x14ac:dyDescent="0.25">
      <c r="A4283" s="675" t="s">
        <v>2498</v>
      </c>
      <c r="B4283" s="675" t="s">
        <v>545</v>
      </c>
      <c r="C4283" s="675" t="s">
        <v>4195</v>
      </c>
      <c r="D4283" s="675"/>
      <c r="E4283" s="702"/>
      <c r="F4283" s="702"/>
      <c r="G4283" s="675"/>
      <c r="H4283" s="675"/>
      <c r="I4283" s="675"/>
      <c r="J4283" s="675"/>
      <c r="K4283" s="675"/>
      <c r="L4283" s="675"/>
      <c r="M4283" s="675"/>
    </row>
    <row r="4284" spans="1:13" x14ac:dyDescent="0.25">
      <c r="A4284" s="675" t="s">
        <v>2498</v>
      </c>
      <c r="B4284" s="675" t="s">
        <v>545</v>
      </c>
      <c r="C4284" s="675" t="s">
        <v>4196</v>
      </c>
      <c r="D4284" s="675"/>
      <c r="E4284" s="702"/>
      <c r="F4284" s="702"/>
      <c r="G4284" s="675"/>
      <c r="H4284" s="675"/>
      <c r="I4284" s="675"/>
      <c r="J4284" s="675"/>
      <c r="K4284" s="675"/>
      <c r="L4284" s="675"/>
      <c r="M4284" s="675"/>
    </row>
    <row r="4285" spans="1:13" x14ac:dyDescent="0.25">
      <c r="A4285" s="675" t="s">
        <v>2498</v>
      </c>
      <c r="B4285" s="675" t="s">
        <v>545</v>
      </c>
      <c r="C4285" s="675" t="s">
        <v>4197</v>
      </c>
      <c r="D4285" s="675"/>
      <c r="E4285" s="702"/>
      <c r="F4285" s="702"/>
      <c r="G4285" s="675"/>
      <c r="H4285" s="675"/>
      <c r="I4285" s="675"/>
      <c r="J4285" s="675"/>
      <c r="K4285" s="675"/>
      <c r="L4285" s="675"/>
      <c r="M4285" s="675"/>
    </row>
    <row r="4286" spans="1:13" x14ac:dyDescent="0.25">
      <c r="A4286" s="675" t="s">
        <v>2498</v>
      </c>
      <c r="B4286" s="675" t="s">
        <v>545</v>
      </c>
      <c r="C4286" s="675" t="s">
        <v>4198</v>
      </c>
      <c r="D4286" s="675"/>
      <c r="E4286" s="702"/>
      <c r="F4286" s="702"/>
      <c r="G4286" s="675"/>
      <c r="H4286" s="675"/>
      <c r="I4286" s="675"/>
      <c r="J4286" s="675"/>
      <c r="K4286" s="675"/>
      <c r="L4286" s="675"/>
      <c r="M4286" s="675"/>
    </row>
    <row r="4287" spans="1:13" x14ac:dyDescent="0.25">
      <c r="A4287" s="675" t="s">
        <v>2498</v>
      </c>
      <c r="B4287" s="675" t="s">
        <v>545</v>
      </c>
      <c r="C4287" s="675" t="s">
        <v>4199</v>
      </c>
      <c r="D4287" s="675"/>
      <c r="E4287" s="702"/>
      <c r="F4287" s="702"/>
      <c r="G4287" s="675"/>
      <c r="H4287" s="675"/>
      <c r="I4287" s="675"/>
      <c r="J4287" s="675"/>
      <c r="K4287" s="675"/>
      <c r="L4287" s="675"/>
      <c r="M4287" s="675"/>
    </row>
    <row r="4288" spans="1:13" x14ac:dyDescent="0.25">
      <c r="A4288" s="675" t="s">
        <v>2498</v>
      </c>
      <c r="B4288" s="675" t="s">
        <v>545</v>
      </c>
      <c r="C4288" s="675" t="s">
        <v>4200</v>
      </c>
      <c r="D4288" s="675"/>
      <c r="E4288" s="702"/>
      <c r="F4288" s="702"/>
      <c r="G4288" s="675"/>
      <c r="H4288" s="675"/>
      <c r="I4288" s="675"/>
      <c r="J4288" s="675"/>
      <c r="K4288" s="675"/>
      <c r="L4288" s="675"/>
      <c r="M4288" s="675"/>
    </row>
    <row r="4289" spans="1:13" x14ac:dyDescent="0.25">
      <c r="A4289" s="675" t="s">
        <v>2498</v>
      </c>
      <c r="B4289" s="675" t="s">
        <v>545</v>
      </c>
      <c r="C4289" s="675" t="s">
        <v>4201</v>
      </c>
      <c r="D4289" s="675"/>
      <c r="E4289" s="702"/>
      <c r="F4289" s="702"/>
      <c r="G4289" s="675"/>
      <c r="H4289" s="675"/>
      <c r="I4289" s="675"/>
      <c r="J4289" s="675"/>
      <c r="K4289" s="675"/>
      <c r="L4289" s="675"/>
      <c r="M4289" s="675"/>
    </row>
    <row r="4290" spans="1:13" x14ac:dyDescent="0.25">
      <c r="A4290" s="675" t="s">
        <v>2498</v>
      </c>
      <c r="B4290" s="675" t="s">
        <v>545</v>
      </c>
      <c r="C4290" s="675" t="s">
        <v>4202</v>
      </c>
      <c r="D4290" s="675"/>
      <c r="E4290" s="702"/>
      <c r="F4290" s="702"/>
      <c r="G4290" s="675"/>
      <c r="H4290" s="675"/>
      <c r="I4290" s="675"/>
      <c r="J4290" s="675"/>
      <c r="K4290" s="675"/>
      <c r="L4290" s="675"/>
      <c r="M4290" s="675"/>
    </row>
    <row r="4291" spans="1:13" x14ac:dyDescent="0.25">
      <c r="A4291" s="675" t="s">
        <v>2498</v>
      </c>
      <c r="B4291" s="675" t="s">
        <v>564</v>
      </c>
      <c r="C4291" s="675" t="s">
        <v>4203</v>
      </c>
      <c r="D4291" s="675"/>
      <c r="E4291" s="702"/>
      <c r="F4291" s="702"/>
      <c r="G4291" s="675"/>
      <c r="H4291" s="675"/>
      <c r="I4291" s="675"/>
      <c r="J4291" s="675"/>
      <c r="K4291" s="675"/>
      <c r="L4291" s="675"/>
      <c r="M4291" s="675"/>
    </row>
    <row r="4292" spans="1:13" x14ac:dyDescent="0.25">
      <c r="A4292" s="675" t="s">
        <v>2498</v>
      </c>
      <c r="B4292" s="675" t="s">
        <v>564</v>
      </c>
      <c r="C4292" s="675" t="s">
        <v>4204</v>
      </c>
      <c r="D4292" s="675"/>
      <c r="E4292" s="702"/>
      <c r="F4292" s="702"/>
      <c r="G4292" s="675"/>
      <c r="H4292" s="675"/>
      <c r="I4292" s="675"/>
      <c r="J4292" s="675"/>
      <c r="K4292" s="675"/>
      <c r="L4292" s="675"/>
      <c r="M4292" s="675"/>
    </row>
    <row r="4293" spans="1:13" x14ac:dyDescent="0.25">
      <c r="A4293" s="675" t="s">
        <v>2498</v>
      </c>
      <c r="B4293" s="675" t="s">
        <v>564</v>
      </c>
      <c r="C4293" s="675" t="s">
        <v>4205</v>
      </c>
      <c r="D4293" s="675"/>
      <c r="E4293" s="702"/>
      <c r="F4293" s="702"/>
      <c r="G4293" s="675"/>
      <c r="H4293" s="675"/>
      <c r="I4293" s="675"/>
      <c r="J4293" s="675"/>
      <c r="K4293" s="675"/>
      <c r="L4293" s="675"/>
      <c r="M4293" s="675"/>
    </row>
    <row r="4294" spans="1:13" x14ac:dyDescent="0.25">
      <c r="A4294" s="675" t="s">
        <v>2498</v>
      </c>
      <c r="B4294" s="675" t="s">
        <v>564</v>
      </c>
      <c r="C4294" s="675" t="s">
        <v>4206</v>
      </c>
      <c r="D4294" s="675"/>
      <c r="E4294" s="702"/>
      <c r="F4294" s="702"/>
      <c r="G4294" s="675"/>
      <c r="H4294" s="675"/>
      <c r="I4294" s="675"/>
      <c r="J4294" s="675"/>
      <c r="K4294" s="675"/>
      <c r="L4294" s="675"/>
      <c r="M4294" s="675"/>
    </row>
    <row r="4295" spans="1:13" x14ac:dyDescent="0.25">
      <c r="A4295" s="675" t="s">
        <v>2498</v>
      </c>
      <c r="B4295" s="675" t="s">
        <v>564</v>
      </c>
      <c r="C4295" s="675" t="s">
        <v>4207</v>
      </c>
      <c r="D4295" s="675"/>
      <c r="E4295" s="702"/>
      <c r="F4295" s="702"/>
      <c r="G4295" s="675"/>
      <c r="H4295" s="675"/>
      <c r="I4295" s="675"/>
      <c r="J4295" s="675"/>
      <c r="K4295" s="675"/>
      <c r="L4295" s="675"/>
      <c r="M4295" s="675"/>
    </row>
    <row r="4296" spans="1:13" x14ac:dyDescent="0.25">
      <c r="A4296" s="675" t="s">
        <v>2498</v>
      </c>
      <c r="B4296" s="675" t="s">
        <v>564</v>
      </c>
      <c r="C4296" s="675" t="s">
        <v>4208</v>
      </c>
      <c r="D4296" s="675"/>
      <c r="E4296" s="702"/>
      <c r="F4296" s="702"/>
      <c r="G4296" s="675"/>
      <c r="H4296" s="675"/>
      <c r="I4296" s="675"/>
      <c r="J4296" s="675"/>
      <c r="K4296" s="675"/>
      <c r="L4296" s="675"/>
      <c r="M4296" s="675"/>
    </row>
    <row r="4297" spans="1:13" x14ac:dyDescent="0.25">
      <c r="A4297" s="675" t="s">
        <v>2498</v>
      </c>
      <c r="B4297" s="675" t="s">
        <v>564</v>
      </c>
      <c r="C4297" s="675" t="s">
        <v>4209</v>
      </c>
      <c r="D4297" s="675"/>
      <c r="E4297" s="702"/>
      <c r="F4297" s="702"/>
      <c r="G4297" s="675"/>
      <c r="H4297" s="675"/>
      <c r="I4297" s="675"/>
      <c r="J4297" s="675"/>
      <c r="K4297" s="675"/>
      <c r="L4297" s="675"/>
      <c r="M4297" s="675"/>
    </row>
    <row r="4298" spans="1:13" x14ac:dyDescent="0.25">
      <c r="A4298" s="675" t="s">
        <v>2498</v>
      </c>
      <c r="B4298" s="675" t="s">
        <v>564</v>
      </c>
      <c r="C4298" s="675" t="s">
        <v>4210</v>
      </c>
      <c r="D4298" s="675"/>
      <c r="E4298" s="702"/>
      <c r="F4298" s="702"/>
      <c r="G4298" s="675"/>
      <c r="H4298" s="675"/>
      <c r="I4298" s="675"/>
      <c r="J4298" s="675"/>
      <c r="K4298" s="675"/>
      <c r="L4298" s="675"/>
      <c r="M4298" s="675"/>
    </row>
    <row r="4299" spans="1:13" x14ac:dyDescent="0.25">
      <c r="A4299" s="675" t="s">
        <v>2498</v>
      </c>
      <c r="B4299" s="675" t="s">
        <v>564</v>
      </c>
      <c r="C4299" s="675" t="s">
        <v>4211</v>
      </c>
      <c r="D4299" s="675"/>
      <c r="E4299" s="702"/>
      <c r="F4299" s="702"/>
      <c r="G4299" s="675"/>
      <c r="H4299" s="675"/>
      <c r="I4299" s="675"/>
      <c r="J4299" s="675"/>
      <c r="K4299" s="675"/>
      <c r="L4299" s="675"/>
      <c r="M4299" s="675"/>
    </row>
    <row r="4300" spans="1:13" x14ac:dyDescent="0.25">
      <c r="A4300" s="675" t="s">
        <v>2498</v>
      </c>
      <c r="B4300" s="675" t="s">
        <v>564</v>
      </c>
      <c r="C4300" s="675" t="s">
        <v>4212</v>
      </c>
      <c r="D4300" s="675"/>
      <c r="E4300" s="702"/>
      <c r="F4300" s="702"/>
      <c r="G4300" s="675"/>
      <c r="H4300" s="675"/>
      <c r="I4300" s="675"/>
      <c r="J4300" s="675"/>
      <c r="K4300" s="675"/>
      <c r="L4300" s="675"/>
      <c r="M4300" s="675"/>
    </row>
    <row r="4301" spans="1:13" x14ac:dyDescent="0.25">
      <c r="A4301" s="675" t="s">
        <v>2498</v>
      </c>
      <c r="B4301" s="675" t="s">
        <v>512</v>
      </c>
      <c r="C4301" s="675" t="s">
        <v>4213</v>
      </c>
      <c r="D4301" s="675"/>
      <c r="E4301" s="702"/>
      <c r="F4301" s="702"/>
      <c r="G4301" s="675"/>
      <c r="H4301" s="675"/>
      <c r="I4301" s="675"/>
      <c r="J4301" s="675"/>
      <c r="K4301" s="675"/>
      <c r="L4301" s="675"/>
      <c r="M4301" s="675"/>
    </row>
    <row r="4302" spans="1:13" x14ac:dyDescent="0.25">
      <c r="A4302" s="675" t="s">
        <v>2498</v>
      </c>
      <c r="B4302" s="675" t="s">
        <v>512</v>
      </c>
      <c r="C4302" s="675" t="s">
        <v>4214</v>
      </c>
      <c r="D4302" s="675"/>
      <c r="E4302" s="702"/>
      <c r="F4302" s="702"/>
      <c r="G4302" s="675"/>
      <c r="H4302" s="675"/>
      <c r="I4302" s="675"/>
      <c r="J4302" s="675"/>
      <c r="K4302" s="675"/>
      <c r="L4302" s="675"/>
      <c r="M4302" s="675"/>
    </row>
    <row r="4303" spans="1:13" x14ac:dyDescent="0.25">
      <c r="A4303" s="675" t="s">
        <v>2498</v>
      </c>
      <c r="B4303" s="675" t="s">
        <v>512</v>
      </c>
      <c r="C4303" s="675" t="s">
        <v>4215</v>
      </c>
      <c r="D4303" s="675"/>
      <c r="E4303" s="702"/>
      <c r="F4303" s="702"/>
      <c r="G4303" s="675"/>
      <c r="H4303" s="675"/>
      <c r="I4303" s="675"/>
      <c r="J4303" s="675"/>
      <c r="K4303" s="675"/>
      <c r="L4303" s="675"/>
      <c r="M4303" s="675"/>
    </row>
    <row r="4304" spans="1:13" x14ac:dyDescent="0.25">
      <c r="A4304" s="675" t="s">
        <v>2498</v>
      </c>
      <c r="B4304" s="675" t="s">
        <v>512</v>
      </c>
      <c r="C4304" s="675" t="s">
        <v>4216</v>
      </c>
      <c r="D4304" s="675"/>
      <c r="E4304" s="702"/>
      <c r="F4304" s="702"/>
      <c r="G4304" s="675"/>
      <c r="H4304" s="675"/>
      <c r="I4304" s="675"/>
      <c r="J4304" s="675"/>
      <c r="K4304" s="675"/>
      <c r="L4304" s="675"/>
      <c r="M4304" s="675"/>
    </row>
    <row r="4305" spans="1:13" x14ac:dyDescent="0.25">
      <c r="A4305" s="675" t="s">
        <v>2498</v>
      </c>
      <c r="B4305" s="675" t="s">
        <v>512</v>
      </c>
      <c r="C4305" s="675" t="s">
        <v>4217</v>
      </c>
      <c r="D4305" s="675"/>
      <c r="E4305" s="702"/>
      <c r="F4305" s="702"/>
      <c r="G4305" s="675"/>
      <c r="H4305" s="675"/>
      <c r="I4305" s="675"/>
      <c r="J4305" s="675"/>
      <c r="K4305" s="675"/>
      <c r="L4305" s="675"/>
      <c r="M4305" s="675"/>
    </row>
    <row r="4306" spans="1:13" x14ac:dyDescent="0.25">
      <c r="A4306" s="675" t="s">
        <v>2498</v>
      </c>
      <c r="B4306" s="675" t="s">
        <v>512</v>
      </c>
      <c r="C4306" s="675" t="s">
        <v>4218</v>
      </c>
      <c r="D4306" s="675"/>
      <c r="E4306" s="702"/>
      <c r="F4306" s="702"/>
      <c r="G4306" s="675"/>
      <c r="H4306" s="675"/>
      <c r="I4306" s="675"/>
      <c r="J4306" s="675"/>
      <c r="K4306" s="675"/>
      <c r="L4306" s="675"/>
      <c r="M4306" s="675"/>
    </row>
    <row r="4307" spans="1:13" x14ac:dyDescent="0.25">
      <c r="A4307" s="675" t="s">
        <v>2498</v>
      </c>
      <c r="B4307" s="675" t="s">
        <v>512</v>
      </c>
      <c r="C4307" s="675" t="s">
        <v>4219</v>
      </c>
      <c r="D4307" s="675"/>
      <c r="E4307" s="702"/>
      <c r="F4307" s="702"/>
      <c r="G4307" s="675"/>
      <c r="H4307" s="675"/>
      <c r="I4307" s="675"/>
      <c r="J4307" s="675"/>
      <c r="K4307" s="675"/>
      <c r="L4307" s="675"/>
      <c r="M4307" s="675"/>
    </row>
    <row r="4308" spans="1:13" x14ac:dyDescent="0.25">
      <c r="A4308" s="675" t="s">
        <v>2498</v>
      </c>
      <c r="B4308" s="675" t="s">
        <v>512</v>
      </c>
      <c r="C4308" s="675" t="s">
        <v>4220</v>
      </c>
      <c r="D4308" s="675"/>
      <c r="E4308" s="702"/>
      <c r="F4308" s="702"/>
      <c r="G4308" s="675"/>
      <c r="H4308" s="675"/>
      <c r="I4308" s="675"/>
      <c r="J4308" s="675"/>
      <c r="K4308" s="675"/>
      <c r="L4308" s="675"/>
      <c r="M4308" s="675"/>
    </row>
    <row r="4309" spans="1:13" x14ac:dyDescent="0.25">
      <c r="A4309" s="675" t="s">
        <v>2498</v>
      </c>
      <c r="B4309" s="675" t="s">
        <v>512</v>
      </c>
      <c r="C4309" s="675" t="s">
        <v>4221</v>
      </c>
      <c r="D4309" s="675"/>
      <c r="E4309" s="702"/>
      <c r="F4309" s="702"/>
      <c r="G4309" s="675"/>
      <c r="H4309" s="675"/>
      <c r="I4309" s="675"/>
      <c r="J4309" s="675"/>
      <c r="K4309" s="675"/>
      <c r="L4309" s="675"/>
      <c r="M4309" s="675"/>
    </row>
    <row r="4310" spans="1:13" x14ac:dyDescent="0.25">
      <c r="A4310" s="675" t="s">
        <v>2498</v>
      </c>
      <c r="B4310" s="675" t="s">
        <v>512</v>
      </c>
      <c r="C4310" s="675" t="s">
        <v>4222</v>
      </c>
      <c r="D4310" s="675"/>
      <c r="E4310" s="702"/>
      <c r="F4310" s="702"/>
      <c r="G4310" s="675"/>
      <c r="H4310" s="675"/>
      <c r="I4310" s="675"/>
      <c r="J4310" s="675"/>
      <c r="K4310" s="675"/>
      <c r="L4310" s="675"/>
      <c r="M4310" s="675"/>
    </row>
    <row r="4311" spans="1:13" x14ac:dyDescent="0.25">
      <c r="A4311" s="675" t="s">
        <v>4223</v>
      </c>
      <c r="B4311" s="675" t="s">
        <v>545</v>
      </c>
      <c r="C4311" s="675" t="s">
        <v>4224</v>
      </c>
      <c r="D4311" s="675"/>
      <c r="E4311" s="702"/>
      <c r="F4311" s="702"/>
      <c r="G4311" s="675"/>
      <c r="H4311" s="675"/>
      <c r="I4311" s="675"/>
      <c r="J4311" s="675"/>
      <c r="K4311" s="675"/>
      <c r="L4311" s="675"/>
      <c r="M4311" s="675"/>
    </row>
    <row r="4312" spans="1:13" x14ac:dyDescent="0.25">
      <c r="A4312" s="675" t="s">
        <v>4223</v>
      </c>
      <c r="B4312" s="675" t="s">
        <v>545</v>
      </c>
      <c r="C4312" s="675" t="s">
        <v>4225</v>
      </c>
      <c r="D4312" s="675"/>
      <c r="E4312" s="702"/>
      <c r="F4312" s="702"/>
      <c r="G4312" s="675"/>
      <c r="H4312" s="675"/>
      <c r="I4312" s="675"/>
      <c r="J4312" s="675"/>
      <c r="K4312" s="675"/>
      <c r="L4312" s="675"/>
      <c r="M4312" s="675"/>
    </row>
    <row r="4313" spans="1:13" x14ac:dyDescent="0.25">
      <c r="A4313" s="675" t="s">
        <v>4223</v>
      </c>
      <c r="B4313" s="675" t="s">
        <v>545</v>
      </c>
      <c r="C4313" s="675" t="s">
        <v>4226</v>
      </c>
      <c r="D4313" s="675"/>
      <c r="E4313" s="702"/>
      <c r="F4313" s="702"/>
      <c r="G4313" s="675"/>
      <c r="H4313" s="675"/>
      <c r="I4313" s="675"/>
      <c r="J4313" s="675"/>
      <c r="K4313" s="675"/>
      <c r="L4313" s="675"/>
      <c r="M4313" s="675"/>
    </row>
    <row r="4314" spans="1:13" x14ac:dyDescent="0.25">
      <c r="A4314" s="675" t="s">
        <v>4223</v>
      </c>
      <c r="B4314" s="675" t="s">
        <v>545</v>
      </c>
      <c r="C4314" s="675" t="s">
        <v>4227</v>
      </c>
      <c r="D4314" s="675"/>
      <c r="E4314" s="702"/>
      <c r="F4314" s="702"/>
      <c r="G4314" s="675"/>
      <c r="H4314" s="675"/>
      <c r="I4314" s="675"/>
      <c r="J4314" s="675"/>
      <c r="K4314" s="675"/>
      <c r="L4314" s="675"/>
      <c r="M4314" s="675"/>
    </row>
    <row r="4315" spans="1:13" x14ac:dyDescent="0.25">
      <c r="A4315" s="675" t="s">
        <v>4223</v>
      </c>
      <c r="B4315" s="675" t="s">
        <v>545</v>
      </c>
      <c r="C4315" s="675" t="s">
        <v>4228</v>
      </c>
      <c r="D4315" s="675"/>
      <c r="E4315" s="702"/>
      <c r="F4315" s="702"/>
      <c r="G4315" s="675"/>
      <c r="H4315" s="675"/>
      <c r="I4315" s="675"/>
      <c r="J4315" s="675"/>
      <c r="K4315" s="675"/>
      <c r="L4315" s="675"/>
      <c r="M4315" s="675"/>
    </row>
    <row r="4316" spans="1:13" x14ac:dyDescent="0.25">
      <c r="A4316" s="675" t="s">
        <v>4223</v>
      </c>
      <c r="B4316" s="675" t="s">
        <v>545</v>
      </c>
      <c r="C4316" s="675" t="s">
        <v>4229</v>
      </c>
      <c r="D4316" s="675"/>
      <c r="E4316" s="702"/>
      <c r="F4316" s="702"/>
      <c r="G4316" s="675"/>
      <c r="H4316" s="675"/>
      <c r="I4316" s="675"/>
      <c r="J4316" s="675"/>
      <c r="K4316" s="675"/>
      <c r="L4316" s="675"/>
      <c r="M4316" s="675"/>
    </row>
    <row r="4317" spans="1:13" x14ac:dyDescent="0.25">
      <c r="A4317" s="675" t="s">
        <v>4223</v>
      </c>
      <c r="B4317" s="675" t="s">
        <v>545</v>
      </c>
      <c r="C4317" s="675" t="s">
        <v>4230</v>
      </c>
      <c r="D4317" s="675"/>
      <c r="E4317" s="702"/>
      <c r="F4317" s="702"/>
      <c r="G4317" s="675"/>
      <c r="H4317" s="675"/>
      <c r="I4317" s="675"/>
      <c r="J4317" s="675"/>
      <c r="K4317" s="675"/>
      <c r="L4317" s="675"/>
      <c r="M4317" s="675"/>
    </row>
    <row r="4318" spans="1:13" x14ac:dyDescent="0.25">
      <c r="A4318" s="675" t="s">
        <v>4223</v>
      </c>
      <c r="B4318" s="675" t="s">
        <v>545</v>
      </c>
      <c r="C4318" s="675" t="s">
        <v>4231</v>
      </c>
      <c r="D4318" s="675"/>
      <c r="E4318" s="702"/>
      <c r="F4318" s="702"/>
      <c r="G4318" s="675"/>
      <c r="H4318" s="675"/>
      <c r="I4318" s="675"/>
      <c r="J4318" s="675"/>
      <c r="K4318" s="675"/>
      <c r="L4318" s="675"/>
      <c r="M4318" s="675"/>
    </row>
    <row r="4319" spans="1:13" x14ac:dyDescent="0.25">
      <c r="A4319" s="675" t="s">
        <v>4223</v>
      </c>
      <c r="B4319" s="675" t="s">
        <v>545</v>
      </c>
      <c r="C4319" s="675" t="s">
        <v>4232</v>
      </c>
      <c r="D4319" s="675"/>
      <c r="E4319" s="702"/>
      <c r="F4319" s="702"/>
      <c r="G4319" s="675"/>
      <c r="H4319" s="675"/>
      <c r="I4319" s="675"/>
      <c r="J4319" s="675"/>
      <c r="K4319" s="675"/>
      <c r="L4319" s="675"/>
      <c r="M4319" s="675"/>
    </row>
    <row r="4320" spans="1:13" x14ac:dyDescent="0.25">
      <c r="A4320" s="675" t="s">
        <v>4223</v>
      </c>
      <c r="B4320" s="675" t="s">
        <v>545</v>
      </c>
      <c r="C4320" s="675" t="s">
        <v>4233</v>
      </c>
      <c r="D4320" s="675"/>
      <c r="E4320" s="702"/>
      <c r="F4320" s="702"/>
      <c r="G4320" s="675"/>
      <c r="H4320" s="675"/>
      <c r="I4320" s="675"/>
      <c r="J4320" s="675"/>
      <c r="K4320" s="675"/>
      <c r="L4320" s="675"/>
      <c r="M4320" s="675"/>
    </row>
    <row r="4321" spans="1:13" x14ac:dyDescent="0.25">
      <c r="A4321" s="675" t="s">
        <v>4223</v>
      </c>
      <c r="B4321" s="675" t="s">
        <v>564</v>
      </c>
      <c r="C4321" s="675" t="s">
        <v>4234</v>
      </c>
      <c r="D4321" s="675"/>
      <c r="E4321" s="702"/>
      <c r="F4321" s="702"/>
      <c r="G4321" s="675"/>
      <c r="H4321" s="675"/>
      <c r="I4321" s="675"/>
      <c r="J4321" s="675"/>
      <c r="K4321" s="675"/>
      <c r="L4321" s="675"/>
      <c r="M4321" s="675"/>
    </row>
    <row r="4322" spans="1:13" x14ac:dyDescent="0.25">
      <c r="A4322" s="675" t="s">
        <v>4223</v>
      </c>
      <c r="B4322" s="675" t="s">
        <v>564</v>
      </c>
      <c r="C4322" s="675" t="s">
        <v>4174</v>
      </c>
      <c r="D4322" s="675"/>
      <c r="E4322" s="702"/>
      <c r="F4322" s="702"/>
      <c r="G4322" s="675"/>
      <c r="H4322" s="675"/>
      <c r="I4322" s="675"/>
      <c r="J4322" s="675"/>
      <c r="K4322" s="675"/>
      <c r="L4322" s="675"/>
      <c r="M4322" s="675"/>
    </row>
    <row r="4323" spans="1:13" x14ac:dyDescent="0.25">
      <c r="A4323" s="675" t="s">
        <v>4223</v>
      </c>
      <c r="B4323" s="675" t="s">
        <v>564</v>
      </c>
      <c r="C4323" s="675" t="s">
        <v>4235</v>
      </c>
      <c r="D4323" s="675"/>
      <c r="E4323" s="702"/>
      <c r="F4323" s="702"/>
      <c r="G4323" s="675"/>
      <c r="H4323" s="675"/>
      <c r="I4323" s="675"/>
      <c r="J4323" s="675"/>
      <c r="K4323" s="675"/>
      <c r="L4323" s="675"/>
      <c r="M4323" s="675"/>
    </row>
    <row r="4324" spans="1:13" x14ac:dyDescent="0.25">
      <c r="A4324" s="675" t="s">
        <v>4223</v>
      </c>
      <c r="B4324" s="675" t="s">
        <v>564</v>
      </c>
      <c r="C4324" s="675" t="s">
        <v>4236</v>
      </c>
      <c r="D4324" s="675"/>
      <c r="E4324" s="702"/>
      <c r="F4324" s="702"/>
      <c r="G4324" s="675"/>
      <c r="H4324" s="675"/>
      <c r="I4324" s="675"/>
      <c r="J4324" s="675"/>
      <c r="K4324" s="675"/>
      <c r="L4324" s="675"/>
      <c r="M4324" s="675"/>
    </row>
    <row r="4325" spans="1:13" x14ac:dyDescent="0.25">
      <c r="A4325" s="675" t="s">
        <v>4223</v>
      </c>
      <c r="B4325" s="675" t="s">
        <v>564</v>
      </c>
      <c r="C4325" s="675" t="s">
        <v>4237</v>
      </c>
      <c r="D4325" s="675"/>
      <c r="E4325" s="702"/>
      <c r="F4325" s="702"/>
      <c r="G4325" s="675"/>
      <c r="H4325" s="675"/>
      <c r="I4325" s="675"/>
      <c r="J4325" s="675"/>
      <c r="K4325" s="675"/>
      <c r="L4325" s="675"/>
      <c r="M4325" s="675"/>
    </row>
    <row r="4326" spans="1:13" x14ac:dyDescent="0.25">
      <c r="A4326" s="675" t="s">
        <v>4223</v>
      </c>
      <c r="B4326" s="675" t="s">
        <v>564</v>
      </c>
      <c r="C4326" s="675" t="s">
        <v>4238</v>
      </c>
      <c r="D4326" s="675"/>
      <c r="E4326" s="702"/>
      <c r="F4326" s="702"/>
      <c r="G4326" s="675"/>
      <c r="H4326" s="675"/>
      <c r="I4326" s="675"/>
      <c r="J4326" s="675"/>
      <c r="K4326" s="675"/>
      <c r="L4326" s="675"/>
      <c r="M4326" s="675"/>
    </row>
    <row r="4327" spans="1:13" x14ac:dyDescent="0.25">
      <c r="A4327" s="675" t="s">
        <v>4223</v>
      </c>
      <c r="B4327" s="675" t="s">
        <v>564</v>
      </c>
      <c r="C4327" s="675" t="s">
        <v>4239</v>
      </c>
      <c r="D4327" s="675"/>
      <c r="E4327" s="702"/>
      <c r="F4327" s="702"/>
      <c r="G4327" s="675"/>
      <c r="H4327" s="675"/>
      <c r="I4327" s="675"/>
      <c r="J4327" s="675"/>
      <c r="K4327" s="675"/>
      <c r="L4327" s="675"/>
      <c r="M4327" s="675"/>
    </row>
    <row r="4328" spans="1:13" x14ac:dyDescent="0.25">
      <c r="A4328" s="675" t="s">
        <v>4223</v>
      </c>
      <c r="B4328" s="675" t="s">
        <v>564</v>
      </c>
      <c r="C4328" s="675" t="s">
        <v>4240</v>
      </c>
      <c r="D4328" s="675"/>
      <c r="E4328" s="702"/>
      <c r="F4328" s="702"/>
      <c r="G4328" s="675"/>
      <c r="H4328" s="675"/>
      <c r="I4328" s="675"/>
      <c r="J4328" s="675"/>
      <c r="K4328" s="675"/>
      <c r="L4328" s="675"/>
      <c r="M4328" s="675"/>
    </row>
    <row r="4329" spans="1:13" x14ac:dyDescent="0.25">
      <c r="A4329" s="675" t="s">
        <v>4223</v>
      </c>
      <c r="B4329" s="675" t="s">
        <v>564</v>
      </c>
      <c r="C4329" s="675" t="s">
        <v>4241</v>
      </c>
      <c r="D4329" s="675"/>
      <c r="E4329" s="702"/>
      <c r="F4329" s="702"/>
      <c r="G4329" s="675"/>
      <c r="H4329" s="675"/>
      <c r="I4329" s="675"/>
      <c r="J4329" s="675"/>
      <c r="K4329" s="675"/>
      <c r="L4329" s="675"/>
      <c r="M4329" s="675"/>
    </row>
    <row r="4330" spans="1:13" x14ac:dyDescent="0.25">
      <c r="A4330" s="675" t="s">
        <v>4223</v>
      </c>
      <c r="B4330" s="675" t="s">
        <v>564</v>
      </c>
      <c r="C4330" s="675" t="s">
        <v>4242</v>
      </c>
      <c r="D4330" s="675"/>
      <c r="E4330" s="702"/>
      <c r="F4330" s="702"/>
      <c r="G4330" s="675"/>
      <c r="H4330" s="675"/>
      <c r="I4330" s="675"/>
      <c r="J4330" s="675"/>
      <c r="K4330" s="675"/>
      <c r="L4330" s="675"/>
      <c r="M4330" s="675"/>
    </row>
    <row r="4331" spans="1:13" x14ac:dyDescent="0.25">
      <c r="A4331" s="675" t="s">
        <v>4223</v>
      </c>
      <c r="B4331" s="675" t="s">
        <v>512</v>
      </c>
      <c r="C4331" s="675" t="s">
        <v>4243</v>
      </c>
      <c r="D4331" s="675"/>
      <c r="E4331" s="702"/>
      <c r="F4331" s="702"/>
      <c r="G4331" s="675"/>
      <c r="H4331" s="675"/>
      <c r="I4331" s="675"/>
      <c r="J4331" s="675"/>
      <c r="K4331" s="675"/>
      <c r="L4331" s="675"/>
      <c r="M4331" s="675"/>
    </row>
    <row r="4332" spans="1:13" x14ac:dyDescent="0.25">
      <c r="A4332" s="675" t="s">
        <v>4223</v>
      </c>
      <c r="B4332" s="675" t="s">
        <v>512</v>
      </c>
      <c r="C4332" s="675" t="s">
        <v>4244</v>
      </c>
      <c r="D4332" s="675"/>
      <c r="E4332" s="702"/>
      <c r="F4332" s="702"/>
      <c r="G4332" s="675"/>
      <c r="H4332" s="675"/>
      <c r="I4332" s="675"/>
      <c r="J4332" s="675"/>
      <c r="K4332" s="675"/>
      <c r="L4332" s="675"/>
      <c r="M4332" s="675"/>
    </row>
    <row r="4333" spans="1:13" x14ac:dyDescent="0.25">
      <c r="A4333" s="675" t="s">
        <v>4223</v>
      </c>
      <c r="B4333" s="675" t="s">
        <v>512</v>
      </c>
      <c r="C4333" s="675" t="s">
        <v>4245</v>
      </c>
      <c r="D4333" s="675"/>
      <c r="E4333" s="702"/>
      <c r="F4333" s="702"/>
      <c r="G4333" s="675"/>
      <c r="H4333" s="675"/>
      <c r="I4333" s="675"/>
      <c r="J4333" s="675"/>
      <c r="K4333" s="675"/>
      <c r="L4333" s="675"/>
      <c r="M4333" s="675"/>
    </row>
    <row r="4334" spans="1:13" x14ac:dyDescent="0.25">
      <c r="A4334" s="675" t="s">
        <v>4223</v>
      </c>
      <c r="B4334" s="675" t="s">
        <v>512</v>
      </c>
      <c r="C4334" s="675" t="s">
        <v>4246</v>
      </c>
      <c r="D4334" s="675"/>
      <c r="E4334" s="702"/>
      <c r="F4334" s="702"/>
      <c r="G4334" s="675"/>
      <c r="H4334" s="675"/>
      <c r="I4334" s="675"/>
      <c r="J4334" s="675"/>
      <c r="K4334" s="675"/>
      <c r="L4334" s="675"/>
      <c r="M4334" s="675"/>
    </row>
    <row r="4335" spans="1:13" x14ac:dyDescent="0.25">
      <c r="A4335" s="675" t="s">
        <v>4223</v>
      </c>
      <c r="B4335" s="675" t="s">
        <v>512</v>
      </c>
      <c r="C4335" s="675" t="s">
        <v>4247</v>
      </c>
      <c r="D4335" s="675"/>
      <c r="E4335" s="702"/>
      <c r="F4335" s="702"/>
      <c r="G4335" s="675"/>
      <c r="H4335" s="675"/>
      <c r="I4335" s="675"/>
      <c r="J4335" s="675"/>
      <c r="K4335" s="675"/>
      <c r="L4335" s="675"/>
      <c r="M4335" s="675"/>
    </row>
    <row r="4336" spans="1:13" x14ac:dyDescent="0.25">
      <c r="A4336" s="675" t="s">
        <v>4223</v>
      </c>
      <c r="B4336" s="675" t="s">
        <v>512</v>
      </c>
      <c r="C4336" s="675" t="s">
        <v>4248</v>
      </c>
      <c r="D4336" s="675"/>
      <c r="E4336" s="702"/>
      <c r="F4336" s="702"/>
      <c r="G4336" s="675"/>
      <c r="H4336" s="675"/>
      <c r="I4336" s="675"/>
      <c r="J4336" s="675"/>
      <c r="K4336" s="675"/>
      <c r="L4336" s="675"/>
      <c r="M4336" s="675"/>
    </row>
    <row r="4337" spans="1:13" x14ac:dyDescent="0.25">
      <c r="A4337" s="675" t="s">
        <v>4223</v>
      </c>
      <c r="B4337" s="675" t="s">
        <v>512</v>
      </c>
      <c r="C4337" s="675" t="s">
        <v>4249</v>
      </c>
      <c r="D4337" s="675"/>
      <c r="E4337" s="702"/>
      <c r="F4337" s="702"/>
      <c r="G4337" s="675"/>
      <c r="H4337" s="675"/>
      <c r="I4337" s="675"/>
      <c r="J4337" s="675"/>
      <c r="K4337" s="675"/>
      <c r="L4337" s="675"/>
      <c r="M4337" s="675"/>
    </row>
    <row r="4338" spans="1:13" x14ac:dyDescent="0.25">
      <c r="A4338" s="675" t="s">
        <v>4223</v>
      </c>
      <c r="B4338" s="675" t="s">
        <v>512</v>
      </c>
      <c r="C4338" s="675" t="s">
        <v>4250</v>
      </c>
      <c r="D4338" s="675"/>
      <c r="E4338" s="702"/>
      <c r="F4338" s="702"/>
      <c r="G4338" s="675"/>
      <c r="H4338" s="675"/>
      <c r="I4338" s="675"/>
      <c r="J4338" s="675"/>
      <c r="K4338" s="675"/>
      <c r="L4338" s="675"/>
      <c r="M4338" s="675"/>
    </row>
    <row r="4339" spans="1:13" x14ac:dyDescent="0.25">
      <c r="A4339" s="675" t="s">
        <v>4223</v>
      </c>
      <c r="B4339" s="675" t="s">
        <v>512</v>
      </c>
      <c r="C4339" s="675" t="s">
        <v>4251</v>
      </c>
      <c r="D4339" s="675"/>
      <c r="E4339" s="702"/>
      <c r="F4339" s="702"/>
      <c r="G4339" s="675"/>
      <c r="H4339" s="675"/>
      <c r="I4339" s="675"/>
      <c r="J4339" s="675"/>
      <c r="K4339" s="675"/>
      <c r="L4339" s="675"/>
      <c r="M4339" s="675"/>
    </row>
    <row r="4340" spans="1:13" x14ac:dyDescent="0.25">
      <c r="A4340" s="675" t="s">
        <v>4223</v>
      </c>
      <c r="B4340" s="675" t="s">
        <v>512</v>
      </c>
      <c r="C4340" s="675" t="s">
        <v>4252</v>
      </c>
      <c r="D4340" s="675"/>
      <c r="E4340" s="702"/>
      <c r="F4340" s="702"/>
      <c r="G4340" s="675"/>
      <c r="H4340" s="675"/>
      <c r="I4340" s="675"/>
      <c r="J4340" s="675"/>
      <c r="K4340" s="675"/>
      <c r="L4340" s="675"/>
      <c r="M4340" s="675"/>
    </row>
    <row r="4341" spans="1:13" x14ac:dyDescent="0.25">
      <c r="A4341" s="675" t="s">
        <v>4253</v>
      </c>
      <c r="B4341" s="675" t="s">
        <v>545</v>
      </c>
      <c r="C4341" s="676" t="s">
        <v>4254</v>
      </c>
      <c r="D4341" s="675"/>
      <c r="E4341" s="702"/>
      <c r="F4341" s="702"/>
      <c r="G4341" s="675"/>
      <c r="H4341" s="675"/>
      <c r="I4341" s="675"/>
      <c r="J4341" s="675"/>
      <c r="K4341" s="675"/>
      <c r="L4341" s="675"/>
      <c r="M4341" s="675"/>
    </row>
    <row r="4342" spans="1:13" x14ac:dyDescent="0.25">
      <c r="A4342" s="675" t="s">
        <v>4253</v>
      </c>
      <c r="B4342" s="675" t="s">
        <v>545</v>
      </c>
      <c r="C4342" s="676" t="s">
        <v>4255</v>
      </c>
      <c r="D4342" s="675"/>
      <c r="E4342" s="702"/>
      <c r="F4342" s="702"/>
      <c r="G4342" s="675"/>
      <c r="H4342" s="675"/>
      <c r="I4342" s="675"/>
      <c r="J4342" s="675"/>
      <c r="K4342" s="675"/>
      <c r="L4342" s="675"/>
      <c r="M4342" s="675"/>
    </row>
    <row r="4343" spans="1:13" x14ac:dyDescent="0.25">
      <c r="A4343" s="675" t="s">
        <v>4253</v>
      </c>
      <c r="B4343" s="675" t="s">
        <v>545</v>
      </c>
      <c r="C4343" s="676" t="s">
        <v>4256</v>
      </c>
      <c r="D4343" s="675"/>
      <c r="E4343" s="702"/>
      <c r="F4343" s="702"/>
      <c r="G4343" s="675"/>
      <c r="H4343" s="675"/>
      <c r="I4343" s="675"/>
      <c r="J4343" s="675"/>
      <c r="K4343" s="675"/>
      <c r="L4343" s="675"/>
      <c r="M4343" s="675"/>
    </row>
    <row r="4344" spans="1:13" x14ac:dyDescent="0.25">
      <c r="A4344" s="675" t="s">
        <v>4253</v>
      </c>
      <c r="B4344" s="675" t="s">
        <v>545</v>
      </c>
      <c r="C4344" s="676" t="s">
        <v>4257</v>
      </c>
      <c r="D4344" s="675"/>
      <c r="E4344" s="702"/>
      <c r="F4344" s="702"/>
      <c r="G4344" s="675"/>
      <c r="H4344" s="675"/>
      <c r="I4344" s="675"/>
      <c r="J4344" s="675"/>
      <c r="K4344" s="675"/>
      <c r="L4344" s="675"/>
      <c r="M4344" s="675"/>
    </row>
    <row r="4345" spans="1:13" ht="30" x14ac:dyDescent="0.25">
      <c r="A4345" s="675" t="s">
        <v>4253</v>
      </c>
      <c r="B4345" s="675" t="s">
        <v>545</v>
      </c>
      <c r="C4345" s="676" t="s">
        <v>4258</v>
      </c>
      <c r="D4345" s="675"/>
      <c r="E4345" s="702"/>
      <c r="F4345" s="702"/>
      <c r="G4345" s="675"/>
      <c r="H4345" s="675"/>
      <c r="I4345" s="675"/>
      <c r="J4345" s="675"/>
      <c r="K4345" s="675"/>
      <c r="L4345" s="675"/>
      <c r="M4345" s="675"/>
    </row>
    <row r="4346" spans="1:13" x14ac:dyDescent="0.25">
      <c r="A4346" s="675" t="s">
        <v>4253</v>
      </c>
      <c r="B4346" s="675" t="s">
        <v>564</v>
      </c>
      <c r="C4346" s="676" t="s">
        <v>4259</v>
      </c>
      <c r="D4346" s="675"/>
      <c r="E4346" s="702"/>
      <c r="F4346" s="702"/>
      <c r="G4346" s="675"/>
      <c r="H4346" s="675"/>
      <c r="I4346" s="675"/>
      <c r="J4346" s="675"/>
      <c r="K4346" s="675"/>
      <c r="L4346" s="675"/>
      <c r="M4346" s="675"/>
    </row>
    <row r="4347" spans="1:13" ht="30" x14ac:dyDescent="0.25">
      <c r="A4347" s="675" t="s">
        <v>4253</v>
      </c>
      <c r="B4347" s="675" t="s">
        <v>564</v>
      </c>
      <c r="C4347" s="676" t="s">
        <v>4260</v>
      </c>
      <c r="D4347" s="675"/>
      <c r="E4347" s="702"/>
      <c r="F4347" s="702"/>
      <c r="G4347" s="675"/>
      <c r="H4347" s="675"/>
      <c r="I4347" s="675"/>
      <c r="J4347" s="675"/>
      <c r="K4347" s="675"/>
      <c r="L4347" s="675"/>
      <c r="M4347" s="675"/>
    </row>
    <row r="4348" spans="1:13" ht="30" x14ac:dyDescent="0.25">
      <c r="A4348" s="675" t="s">
        <v>4253</v>
      </c>
      <c r="B4348" s="675" t="s">
        <v>564</v>
      </c>
      <c r="C4348" s="676" t="s">
        <v>4261</v>
      </c>
      <c r="D4348" s="675"/>
      <c r="E4348" s="702"/>
      <c r="F4348" s="702"/>
      <c r="G4348" s="675"/>
      <c r="H4348" s="675"/>
      <c r="I4348" s="675"/>
      <c r="J4348" s="675"/>
      <c r="K4348" s="675"/>
      <c r="L4348" s="675"/>
      <c r="M4348" s="675"/>
    </row>
    <row r="4349" spans="1:13" ht="30" x14ac:dyDescent="0.25">
      <c r="A4349" s="675" t="s">
        <v>4253</v>
      </c>
      <c r="B4349" s="675" t="s">
        <v>564</v>
      </c>
      <c r="C4349" s="676" t="s">
        <v>4262</v>
      </c>
      <c r="D4349" s="675"/>
      <c r="E4349" s="702"/>
      <c r="F4349" s="702"/>
      <c r="G4349" s="675"/>
      <c r="H4349" s="675"/>
      <c r="I4349" s="675"/>
      <c r="J4349" s="675"/>
      <c r="K4349" s="675"/>
      <c r="L4349" s="675"/>
      <c r="M4349" s="675"/>
    </row>
    <row r="4350" spans="1:13" ht="30" x14ac:dyDescent="0.25">
      <c r="A4350" s="675" t="s">
        <v>4253</v>
      </c>
      <c r="B4350" s="675" t="s">
        <v>564</v>
      </c>
      <c r="C4350" s="676" t="s">
        <v>4263</v>
      </c>
      <c r="D4350" s="675"/>
      <c r="E4350" s="702"/>
      <c r="F4350" s="702"/>
      <c r="G4350" s="675"/>
      <c r="H4350" s="675"/>
      <c r="I4350" s="675"/>
      <c r="J4350" s="675"/>
      <c r="K4350" s="675"/>
      <c r="L4350" s="675"/>
      <c r="M4350" s="675"/>
    </row>
    <row r="4351" spans="1:13" x14ac:dyDescent="0.25">
      <c r="A4351" s="675" t="s">
        <v>4253</v>
      </c>
      <c r="B4351" s="675" t="s">
        <v>512</v>
      </c>
      <c r="C4351" s="676" t="s">
        <v>4264</v>
      </c>
      <c r="D4351" s="675"/>
      <c r="E4351" s="702"/>
      <c r="F4351" s="702"/>
      <c r="G4351" s="675"/>
      <c r="H4351" s="675"/>
      <c r="I4351" s="675"/>
      <c r="J4351" s="675"/>
      <c r="K4351" s="675"/>
      <c r="L4351" s="675"/>
      <c r="M4351" s="675"/>
    </row>
    <row r="4352" spans="1:13" ht="30" x14ac:dyDescent="0.25">
      <c r="A4352" s="675" t="s">
        <v>4253</v>
      </c>
      <c r="B4352" s="675" t="s">
        <v>512</v>
      </c>
      <c r="C4352" s="676" t="s">
        <v>4265</v>
      </c>
      <c r="D4352" s="675"/>
      <c r="E4352" s="702"/>
      <c r="F4352" s="702"/>
      <c r="G4352" s="675"/>
      <c r="H4352" s="675"/>
      <c r="I4352" s="675"/>
      <c r="J4352" s="675"/>
      <c r="K4352" s="675"/>
      <c r="L4352" s="675"/>
      <c r="M4352" s="675"/>
    </row>
    <row r="4353" spans="1:13" x14ac:dyDescent="0.25">
      <c r="A4353" s="675" t="s">
        <v>4253</v>
      </c>
      <c r="B4353" s="675" t="s">
        <v>512</v>
      </c>
      <c r="C4353" s="676" t="s">
        <v>4266</v>
      </c>
      <c r="D4353" s="675"/>
      <c r="E4353" s="702"/>
      <c r="F4353" s="702"/>
      <c r="G4353" s="675"/>
      <c r="H4353" s="675"/>
      <c r="I4353" s="675"/>
      <c r="J4353" s="675"/>
      <c r="K4353" s="675"/>
      <c r="L4353" s="675"/>
      <c r="M4353" s="675"/>
    </row>
    <row r="4354" spans="1:13" ht="30" x14ac:dyDescent="0.25">
      <c r="A4354" s="675" t="s">
        <v>4253</v>
      </c>
      <c r="B4354" s="675" t="s">
        <v>512</v>
      </c>
      <c r="C4354" s="676" t="s">
        <v>4267</v>
      </c>
      <c r="D4354" s="675"/>
      <c r="E4354" s="702"/>
      <c r="F4354" s="702"/>
      <c r="G4354" s="675"/>
      <c r="H4354" s="675"/>
      <c r="I4354" s="675"/>
      <c r="J4354" s="675"/>
      <c r="K4354" s="675"/>
      <c r="L4354" s="675"/>
      <c r="M4354" s="675"/>
    </row>
    <row r="4355" spans="1:13" ht="30" x14ac:dyDescent="0.25">
      <c r="A4355" s="675" t="s">
        <v>4253</v>
      </c>
      <c r="B4355" s="675" t="s">
        <v>512</v>
      </c>
      <c r="C4355" s="676" t="s">
        <v>4268</v>
      </c>
      <c r="D4355" s="675"/>
      <c r="E4355" s="702"/>
      <c r="F4355" s="702"/>
      <c r="G4355" s="675"/>
      <c r="H4355" s="675"/>
      <c r="I4355" s="675"/>
      <c r="J4355" s="675"/>
      <c r="K4355" s="675"/>
      <c r="L4355" s="675"/>
      <c r="M4355" s="675"/>
    </row>
    <row r="4356" spans="1:13" ht="30" x14ac:dyDescent="0.25">
      <c r="A4356" s="675" t="s">
        <v>4253</v>
      </c>
      <c r="B4356" s="675" t="s">
        <v>545</v>
      </c>
      <c r="C4356" s="676" t="s">
        <v>4269</v>
      </c>
      <c r="D4356" s="675"/>
      <c r="E4356" s="702"/>
      <c r="F4356" s="702"/>
      <c r="G4356" s="675"/>
      <c r="H4356" s="675"/>
      <c r="I4356" s="675"/>
      <c r="J4356" s="675"/>
      <c r="K4356" s="675"/>
      <c r="L4356" s="675"/>
      <c r="M4356" s="675"/>
    </row>
    <row r="4357" spans="1:13" x14ac:dyDescent="0.25">
      <c r="A4357" s="675" t="s">
        <v>4253</v>
      </c>
      <c r="B4357" s="675" t="s">
        <v>545</v>
      </c>
      <c r="C4357" s="676" t="s">
        <v>4270</v>
      </c>
      <c r="D4357" s="675"/>
      <c r="E4357" s="702"/>
      <c r="F4357" s="702"/>
      <c r="G4357" s="675"/>
      <c r="H4357" s="675"/>
      <c r="I4357" s="675"/>
      <c r="J4357" s="675"/>
      <c r="K4357" s="675"/>
      <c r="L4357" s="675"/>
      <c r="M4357" s="675"/>
    </row>
    <row r="4358" spans="1:13" x14ac:dyDescent="0.25">
      <c r="A4358" s="675" t="s">
        <v>4253</v>
      </c>
      <c r="B4358" s="675" t="s">
        <v>545</v>
      </c>
      <c r="C4358" s="676" t="s">
        <v>4271</v>
      </c>
      <c r="D4358" s="675"/>
      <c r="E4358" s="702"/>
      <c r="F4358" s="702"/>
      <c r="G4358" s="675"/>
      <c r="H4358" s="675"/>
      <c r="I4358" s="675"/>
      <c r="J4358" s="675"/>
      <c r="K4358" s="675"/>
      <c r="L4358" s="675"/>
      <c r="M4358" s="675"/>
    </row>
    <row r="4359" spans="1:13" x14ac:dyDescent="0.25">
      <c r="A4359" s="675" t="s">
        <v>4253</v>
      </c>
      <c r="B4359" s="675" t="s">
        <v>545</v>
      </c>
      <c r="C4359" s="676" t="s">
        <v>4272</v>
      </c>
      <c r="D4359" s="675"/>
      <c r="E4359" s="702"/>
      <c r="F4359" s="702"/>
      <c r="G4359" s="675"/>
      <c r="H4359" s="675"/>
      <c r="I4359" s="675"/>
      <c r="J4359" s="675"/>
      <c r="K4359" s="675"/>
      <c r="L4359" s="675"/>
      <c r="M4359" s="675"/>
    </row>
    <row r="4360" spans="1:13" x14ac:dyDescent="0.25">
      <c r="A4360" s="675" t="s">
        <v>4253</v>
      </c>
      <c r="B4360" s="675" t="s">
        <v>545</v>
      </c>
      <c r="C4360" s="676" t="s">
        <v>4273</v>
      </c>
      <c r="D4360" s="675"/>
      <c r="E4360" s="702"/>
      <c r="F4360" s="702"/>
      <c r="G4360" s="675"/>
      <c r="H4360" s="675"/>
      <c r="I4360" s="675"/>
      <c r="J4360" s="675"/>
      <c r="K4360" s="675"/>
      <c r="L4360" s="675"/>
      <c r="M4360" s="675"/>
    </row>
    <row r="4361" spans="1:13" ht="30" x14ac:dyDescent="0.25">
      <c r="A4361" s="675" t="s">
        <v>4253</v>
      </c>
      <c r="B4361" s="675" t="s">
        <v>564</v>
      </c>
      <c r="C4361" s="676" t="s">
        <v>4274</v>
      </c>
      <c r="D4361" s="675"/>
      <c r="E4361" s="702"/>
      <c r="F4361" s="702"/>
      <c r="G4361" s="675"/>
      <c r="H4361" s="675"/>
      <c r="I4361" s="675"/>
      <c r="J4361" s="675"/>
      <c r="K4361" s="675"/>
      <c r="L4361" s="675"/>
      <c r="M4361" s="675"/>
    </row>
    <row r="4362" spans="1:13" x14ac:dyDescent="0.25">
      <c r="A4362" s="675" t="s">
        <v>4253</v>
      </c>
      <c r="B4362" s="675" t="s">
        <v>564</v>
      </c>
      <c r="C4362" s="676" t="s">
        <v>4275</v>
      </c>
      <c r="D4362" s="675"/>
      <c r="E4362" s="702"/>
      <c r="F4362" s="702"/>
      <c r="G4362" s="675"/>
      <c r="H4362" s="675"/>
      <c r="I4362" s="675"/>
      <c r="J4362" s="675"/>
      <c r="K4362" s="675"/>
      <c r="L4362" s="675"/>
      <c r="M4362" s="675"/>
    </row>
    <row r="4363" spans="1:13" ht="30" x14ac:dyDescent="0.25">
      <c r="A4363" s="675" t="s">
        <v>4253</v>
      </c>
      <c r="B4363" s="675" t="s">
        <v>564</v>
      </c>
      <c r="C4363" s="676" t="s">
        <v>4276</v>
      </c>
      <c r="D4363" s="675"/>
      <c r="E4363" s="702"/>
      <c r="F4363" s="702"/>
      <c r="G4363" s="675"/>
      <c r="H4363" s="675"/>
      <c r="I4363" s="675"/>
      <c r="J4363" s="675"/>
      <c r="K4363" s="675"/>
      <c r="L4363" s="675"/>
      <c r="M4363" s="675"/>
    </row>
    <row r="4364" spans="1:13" ht="30" x14ac:dyDescent="0.25">
      <c r="A4364" s="675" t="s">
        <v>4253</v>
      </c>
      <c r="B4364" s="675" t="s">
        <v>564</v>
      </c>
      <c r="C4364" s="676" t="s">
        <v>4277</v>
      </c>
      <c r="D4364" s="675"/>
      <c r="E4364" s="702"/>
      <c r="F4364" s="702"/>
      <c r="G4364" s="675"/>
      <c r="H4364" s="675"/>
      <c r="I4364" s="675"/>
      <c r="J4364" s="675"/>
      <c r="K4364" s="675"/>
      <c r="L4364" s="675"/>
      <c r="M4364" s="675"/>
    </row>
    <row r="4365" spans="1:13" ht="30" x14ac:dyDescent="0.25">
      <c r="A4365" s="675" t="s">
        <v>4253</v>
      </c>
      <c r="B4365" s="675" t="s">
        <v>564</v>
      </c>
      <c r="C4365" s="676" t="s">
        <v>4278</v>
      </c>
      <c r="D4365" s="675"/>
      <c r="E4365" s="702"/>
      <c r="F4365" s="702"/>
      <c r="G4365" s="675"/>
      <c r="H4365" s="675"/>
      <c r="I4365" s="675"/>
      <c r="J4365" s="675"/>
      <c r="K4365" s="675"/>
      <c r="L4365" s="675"/>
      <c r="M4365" s="675"/>
    </row>
    <row r="4366" spans="1:13" ht="30" x14ac:dyDescent="0.25">
      <c r="A4366" s="675" t="s">
        <v>4253</v>
      </c>
      <c r="B4366" s="675" t="s">
        <v>512</v>
      </c>
      <c r="C4366" s="676" t="s">
        <v>4279</v>
      </c>
      <c r="D4366" s="675"/>
      <c r="E4366" s="702"/>
      <c r="F4366" s="702"/>
      <c r="G4366" s="675"/>
      <c r="H4366" s="675"/>
      <c r="I4366" s="675"/>
      <c r="J4366" s="675"/>
      <c r="K4366" s="675"/>
      <c r="L4366" s="675"/>
      <c r="M4366" s="675"/>
    </row>
    <row r="4367" spans="1:13" ht="30" x14ac:dyDescent="0.25">
      <c r="A4367" s="675" t="s">
        <v>4253</v>
      </c>
      <c r="B4367" s="675" t="s">
        <v>512</v>
      </c>
      <c r="C4367" s="676" t="s">
        <v>4280</v>
      </c>
      <c r="D4367" s="675"/>
      <c r="E4367" s="702"/>
      <c r="F4367" s="702"/>
      <c r="G4367" s="675"/>
      <c r="H4367" s="675"/>
      <c r="I4367" s="675"/>
      <c r="J4367" s="675"/>
      <c r="K4367" s="675"/>
      <c r="L4367" s="675"/>
      <c r="M4367" s="675"/>
    </row>
    <row r="4368" spans="1:13" ht="30" x14ac:dyDescent="0.25">
      <c r="A4368" s="675" t="s">
        <v>4253</v>
      </c>
      <c r="B4368" s="675" t="s">
        <v>512</v>
      </c>
      <c r="C4368" s="676" t="s">
        <v>4281</v>
      </c>
      <c r="D4368" s="675"/>
      <c r="E4368" s="702"/>
      <c r="F4368" s="702"/>
      <c r="G4368" s="675"/>
      <c r="H4368" s="675"/>
      <c r="I4368" s="675"/>
      <c r="J4368" s="675"/>
      <c r="K4368" s="675"/>
      <c r="L4368" s="675"/>
      <c r="M4368" s="675"/>
    </row>
    <row r="4369" spans="1:13" ht="30" x14ac:dyDescent="0.25">
      <c r="A4369" s="675" t="s">
        <v>4253</v>
      </c>
      <c r="B4369" s="675" t="s">
        <v>512</v>
      </c>
      <c r="C4369" s="676" t="s">
        <v>4282</v>
      </c>
      <c r="D4369" s="675"/>
      <c r="E4369" s="702"/>
      <c r="F4369" s="702"/>
      <c r="G4369" s="675"/>
      <c r="H4369" s="675"/>
      <c r="I4369" s="675"/>
      <c r="J4369" s="675"/>
      <c r="K4369" s="675"/>
      <c r="L4369" s="675"/>
      <c r="M4369" s="675"/>
    </row>
    <row r="4370" spans="1:13" ht="30" x14ac:dyDescent="0.25">
      <c r="A4370" s="675" t="s">
        <v>4253</v>
      </c>
      <c r="B4370" s="675" t="s">
        <v>512</v>
      </c>
      <c r="C4370" s="676" t="s">
        <v>4283</v>
      </c>
      <c r="D4370" s="675"/>
      <c r="E4370" s="702"/>
      <c r="F4370" s="702"/>
      <c r="G4370" s="675"/>
      <c r="H4370" s="675"/>
      <c r="I4370" s="675"/>
      <c r="J4370" s="675"/>
      <c r="K4370" s="675"/>
      <c r="L4370" s="675"/>
      <c r="M4370" s="675"/>
    </row>
    <row r="4371" spans="1:13" x14ac:dyDescent="0.25">
      <c r="A4371" s="675" t="s">
        <v>1654</v>
      </c>
      <c r="B4371" s="675" t="s">
        <v>545</v>
      </c>
      <c r="C4371" s="675" t="s">
        <v>4284</v>
      </c>
      <c r="D4371" s="675"/>
      <c r="E4371" s="702"/>
      <c r="F4371" s="702"/>
      <c r="G4371" s="675"/>
      <c r="H4371" s="675"/>
      <c r="I4371" s="675"/>
      <c r="J4371" s="675"/>
      <c r="K4371" s="675"/>
      <c r="L4371" s="675"/>
      <c r="M4371" s="675"/>
    </row>
    <row r="4372" spans="1:13" x14ac:dyDescent="0.25">
      <c r="A4372" s="675" t="s">
        <v>1654</v>
      </c>
      <c r="B4372" s="675" t="s">
        <v>545</v>
      </c>
      <c r="C4372" s="675" t="s">
        <v>4285</v>
      </c>
      <c r="D4372" s="675"/>
      <c r="E4372" s="702"/>
      <c r="F4372" s="702"/>
      <c r="G4372" s="675"/>
      <c r="H4372" s="675"/>
      <c r="I4372" s="675"/>
      <c r="J4372" s="675"/>
      <c r="K4372" s="675"/>
      <c r="L4372" s="675"/>
      <c r="M4372" s="675"/>
    </row>
    <row r="4373" spans="1:13" x14ac:dyDescent="0.25">
      <c r="A4373" s="675" t="s">
        <v>1654</v>
      </c>
      <c r="B4373" s="675" t="s">
        <v>545</v>
      </c>
      <c r="C4373" s="675" t="s">
        <v>4286</v>
      </c>
      <c r="D4373" s="675"/>
      <c r="E4373" s="702"/>
      <c r="F4373" s="702"/>
      <c r="G4373" s="675"/>
      <c r="H4373" s="675"/>
      <c r="I4373" s="675"/>
      <c r="J4373" s="675"/>
      <c r="K4373" s="675"/>
      <c r="L4373" s="675"/>
      <c r="M4373" s="675"/>
    </row>
    <row r="4374" spans="1:13" x14ac:dyDescent="0.25">
      <c r="A4374" s="675" t="s">
        <v>1654</v>
      </c>
      <c r="B4374" s="675" t="s">
        <v>545</v>
      </c>
      <c r="C4374" s="675" t="s">
        <v>4287</v>
      </c>
      <c r="D4374" s="675"/>
      <c r="E4374" s="702"/>
      <c r="F4374" s="702"/>
      <c r="G4374" s="675"/>
      <c r="H4374" s="675"/>
      <c r="I4374" s="675"/>
      <c r="J4374" s="675"/>
      <c r="K4374" s="675"/>
      <c r="L4374" s="675"/>
      <c r="M4374" s="675"/>
    </row>
    <row r="4375" spans="1:13" x14ac:dyDescent="0.25">
      <c r="A4375" s="675" t="s">
        <v>1654</v>
      </c>
      <c r="B4375" s="675" t="s">
        <v>545</v>
      </c>
      <c r="C4375" s="675" t="s">
        <v>4288</v>
      </c>
      <c r="D4375" s="675"/>
      <c r="E4375" s="702"/>
      <c r="F4375" s="702"/>
      <c r="G4375" s="675"/>
      <c r="H4375" s="675"/>
      <c r="I4375" s="675"/>
      <c r="J4375" s="675"/>
      <c r="K4375" s="675"/>
      <c r="L4375" s="675"/>
      <c r="M4375" s="675"/>
    </row>
    <row r="4376" spans="1:13" x14ac:dyDescent="0.25">
      <c r="A4376" s="675" t="s">
        <v>1654</v>
      </c>
      <c r="B4376" s="675" t="s">
        <v>545</v>
      </c>
      <c r="C4376" s="675" t="s">
        <v>4289</v>
      </c>
      <c r="D4376" s="675"/>
      <c r="E4376" s="702"/>
      <c r="F4376" s="702"/>
      <c r="G4376" s="675"/>
      <c r="H4376" s="675"/>
      <c r="I4376" s="675"/>
      <c r="J4376" s="675"/>
      <c r="K4376" s="675"/>
      <c r="L4376" s="675"/>
      <c r="M4376" s="675"/>
    </row>
    <row r="4377" spans="1:13" x14ac:dyDescent="0.25">
      <c r="A4377" s="675" t="s">
        <v>1654</v>
      </c>
      <c r="B4377" s="675" t="s">
        <v>545</v>
      </c>
      <c r="C4377" s="675" t="s">
        <v>4290</v>
      </c>
      <c r="D4377" s="675"/>
      <c r="E4377" s="702"/>
      <c r="F4377" s="702"/>
      <c r="G4377" s="675"/>
      <c r="H4377" s="675"/>
      <c r="I4377" s="675"/>
      <c r="J4377" s="675"/>
      <c r="K4377" s="675"/>
      <c r="L4377" s="675"/>
      <c r="M4377" s="675"/>
    </row>
    <row r="4378" spans="1:13" x14ac:dyDescent="0.25">
      <c r="A4378" s="675" t="s">
        <v>1654</v>
      </c>
      <c r="B4378" s="675" t="s">
        <v>545</v>
      </c>
      <c r="C4378" s="675" t="s">
        <v>4291</v>
      </c>
      <c r="D4378" s="675"/>
      <c r="E4378" s="702"/>
      <c r="F4378" s="702"/>
      <c r="G4378" s="675"/>
      <c r="H4378" s="675"/>
      <c r="I4378" s="675"/>
      <c r="J4378" s="675"/>
      <c r="K4378" s="675"/>
      <c r="L4378" s="675"/>
      <c r="M4378" s="675"/>
    </row>
    <row r="4379" spans="1:13" x14ac:dyDescent="0.25">
      <c r="A4379" s="675" t="s">
        <v>1654</v>
      </c>
      <c r="B4379" s="675" t="s">
        <v>545</v>
      </c>
      <c r="C4379" s="675" t="s">
        <v>4292</v>
      </c>
      <c r="D4379" s="675"/>
      <c r="E4379" s="702"/>
      <c r="F4379" s="702"/>
      <c r="G4379" s="675"/>
      <c r="H4379" s="675"/>
      <c r="I4379" s="675"/>
      <c r="J4379" s="675"/>
      <c r="K4379" s="675"/>
      <c r="L4379" s="675"/>
      <c r="M4379" s="675"/>
    </row>
    <row r="4380" spans="1:13" x14ac:dyDescent="0.25">
      <c r="A4380" s="675" t="s">
        <v>1654</v>
      </c>
      <c r="B4380" s="675" t="s">
        <v>545</v>
      </c>
      <c r="C4380" s="675" t="s">
        <v>4293</v>
      </c>
      <c r="D4380" s="675"/>
      <c r="E4380" s="702"/>
      <c r="F4380" s="702"/>
      <c r="G4380" s="675"/>
      <c r="H4380" s="675"/>
      <c r="I4380" s="675"/>
      <c r="J4380" s="675"/>
      <c r="K4380" s="675"/>
      <c r="L4380" s="675"/>
      <c r="M4380" s="675"/>
    </row>
    <row r="4381" spans="1:13" x14ac:dyDescent="0.25">
      <c r="A4381" s="675" t="s">
        <v>1654</v>
      </c>
      <c r="B4381" s="675" t="s">
        <v>564</v>
      </c>
      <c r="C4381" s="675" t="s">
        <v>4294</v>
      </c>
      <c r="D4381" s="675"/>
      <c r="E4381" s="702"/>
      <c r="F4381" s="702"/>
      <c r="G4381" s="675"/>
      <c r="H4381" s="675"/>
      <c r="I4381" s="675"/>
      <c r="J4381" s="675"/>
      <c r="K4381" s="675"/>
      <c r="L4381" s="675"/>
      <c r="M4381" s="675"/>
    </row>
    <row r="4382" spans="1:13" x14ac:dyDescent="0.25">
      <c r="A4382" s="675" t="s">
        <v>1654</v>
      </c>
      <c r="B4382" s="675" t="s">
        <v>564</v>
      </c>
      <c r="C4382" s="675" t="s">
        <v>4295</v>
      </c>
      <c r="D4382" s="675"/>
      <c r="E4382" s="702"/>
      <c r="F4382" s="702"/>
      <c r="G4382" s="675"/>
      <c r="H4382" s="675"/>
      <c r="I4382" s="675"/>
      <c r="J4382" s="675"/>
      <c r="K4382" s="675"/>
      <c r="L4382" s="675"/>
      <c r="M4382" s="675"/>
    </row>
    <row r="4383" spans="1:13" x14ac:dyDescent="0.25">
      <c r="A4383" s="675" t="s">
        <v>1654</v>
      </c>
      <c r="B4383" s="675" t="s">
        <v>564</v>
      </c>
      <c r="C4383" s="675" t="s">
        <v>4296</v>
      </c>
      <c r="D4383" s="675"/>
      <c r="E4383" s="702"/>
      <c r="F4383" s="702"/>
      <c r="G4383" s="675"/>
      <c r="H4383" s="675"/>
      <c r="I4383" s="675"/>
      <c r="J4383" s="675"/>
      <c r="K4383" s="675"/>
      <c r="L4383" s="675"/>
      <c r="M4383" s="675"/>
    </row>
    <row r="4384" spans="1:13" x14ac:dyDescent="0.25">
      <c r="A4384" s="675" t="s">
        <v>1654</v>
      </c>
      <c r="B4384" s="675" t="s">
        <v>564</v>
      </c>
      <c r="C4384" s="675" t="s">
        <v>4297</v>
      </c>
      <c r="D4384" s="675"/>
      <c r="E4384" s="702"/>
      <c r="F4384" s="702"/>
      <c r="G4384" s="675"/>
      <c r="H4384" s="675"/>
      <c r="I4384" s="675"/>
      <c r="J4384" s="675"/>
      <c r="K4384" s="675"/>
      <c r="L4384" s="675"/>
      <c r="M4384" s="675"/>
    </row>
    <row r="4385" spans="1:13" x14ac:dyDescent="0.25">
      <c r="A4385" s="675" t="s">
        <v>1654</v>
      </c>
      <c r="B4385" s="675" t="s">
        <v>564</v>
      </c>
      <c r="C4385" s="675" t="s">
        <v>4298</v>
      </c>
      <c r="D4385" s="675"/>
      <c r="E4385" s="702"/>
      <c r="F4385" s="702"/>
      <c r="G4385" s="675"/>
      <c r="H4385" s="675"/>
      <c r="I4385" s="675"/>
      <c r="J4385" s="675"/>
      <c r="K4385" s="675"/>
      <c r="L4385" s="675"/>
      <c r="M4385" s="675"/>
    </row>
    <row r="4386" spans="1:13" x14ac:dyDescent="0.25">
      <c r="A4386" s="675" t="s">
        <v>1654</v>
      </c>
      <c r="B4386" s="675" t="s">
        <v>564</v>
      </c>
      <c r="C4386" s="675" t="s">
        <v>4299</v>
      </c>
      <c r="D4386" s="675"/>
      <c r="E4386" s="702"/>
      <c r="F4386" s="702"/>
      <c r="G4386" s="675"/>
      <c r="H4386" s="675"/>
      <c r="I4386" s="675"/>
      <c r="J4386" s="675"/>
      <c r="K4386" s="675"/>
      <c r="L4386" s="675"/>
      <c r="M4386" s="675"/>
    </row>
    <row r="4387" spans="1:13" x14ac:dyDescent="0.25">
      <c r="A4387" s="675" t="s">
        <v>1654</v>
      </c>
      <c r="B4387" s="675" t="s">
        <v>564</v>
      </c>
      <c r="C4387" s="675" t="s">
        <v>4300</v>
      </c>
      <c r="D4387" s="675"/>
      <c r="E4387" s="702"/>
      <c r="F4387" s="702"/>
      <c r="G4387" s="675"/>
      <c r="H4387" s="675"/>
      <c r="I4387" s="675"/>
      <c r="J4387" s="675"/>
      <c r="K4387" s="675"/>
      <c r="L4387" s="675"/>
      <c r="M4387" s="675"/>
    </row>
    <row r="4388" spans="1:13" x14ac:dyDescent="0.25">
      <c r="A4388" s="675" t="s">
        <v>1654</v>
      </c>
      <c r="B4388" s="675" t="s">
        <v>564</v>
      </c>
      <c r="C4388" s="675" t="s">
        <v>4301</v>
      </c>
      <c r="D4388" s="675"/>
      <c r="E4388" s="702"/>
      <c r="F4388" s="702"/>
      <c r="G4388" s="675"/>
      <c r="H4388" s="675"/>
      <c r="I4388" s="675"/>
      <c r="J4388" s="675"/>
      <c r="K4388" s="675"/>
      <c r="L4388" s="675"/>
      <c r="M4388" s="675"/>
    </row>
    <row r="4389" spans="1:13" x14ac:dyDescent="0.25">
      <c r="A4389" s="675" t="s">
        <v>1654</v>
      </c>
      <c r="B4389" s="675" t="s">
        <v>564</v>
      </c>
      <c r="C4389" s="675" t="s">
        <v>4302</v>
      </c>
      <c r="D4389" s="675"/>
      <c r="E4389" s="702"/>
      <c r="F4389" s="702"/>
      <c r="G4389" s="675"/>
      <c r="H4389" s="675"/>
      <c r="I4389" s="675"/>
      <c r="J4389" s="675"/>
      <c r="K4389" s="675"/>
      <c r="L4389" s="675"/>
      <c r="M4389" s="675"/>
    </row>
    <row r="4390" spans="1:13" x14ac:dyDescent="0.25">
      <c r="A4390" s="675" t="s">
        <v>1654</v>
      </c>
      <c r="B4390" s="675" t="s">
        <v>564</v>
      </c>
      <c r="C4390" s="675" t="s">
        <v>4303</v>
      </c>
      <c r="D4390" s="675"/>
      <c r="E4390" s="702"/>
      <c r="F4390" s="702"/>
      <c r="G4390" s="675"/>
      <c r="H4390" s="675"/>
      <c r="I4390" s="675"/>
      <c r="J4390" s="675"/>
      <c r="K4390" s="675"/>
      <c r="L4390" s="675"/>
      <c r="M4390" s="675"/>
    </row>
    <row r="4391" spans="1:13" x14ac:dyDescent="0.25">
      <c r="A4391" s="675" t="s">
        <v>1654</v>
      </c>
      <c r="B4391" s="675" t="s">
        <v>512</v>
      </c>
      <c r="C4391" s="675" t="s">
        <v>4304</v>
      </c>
      <c r="D4391" s="675"/>
      <c r="E4391" s="702"/>
      <c r="F4391" s="702"/>
      <c r="G4391" s="675"/>
      <c r="H4391" s="675"/>
      <c r="I4391" s="675"/>
      <c r="J4391" s="675"/>
      <c r="K4391" s="675"/>
      <c r="L4391" s="675"/>
      <c r="M4391" s="675"/>
    </row>
    <row r="4392" spans="1:13" x14ac:dyDescent="0.25">
      <c r="A4392" s="675" t="s">
        <v>1654</v>
      </c>
      <c r="B4392" s="675" t="s">
        <v>512</v>
      </c>
      <c r="C4392" s="675" t="s">
        <v>4305</v>
      </c>
      <c r="D4392" s="675"/>
      <c r="E4392" s="702"/>
      <c r="F4392" s="702"/>
      <c r="G4392" s="675"/>
      <c r="H4392" s="675"/>
      <c r="I4392" s="675"/>
      <c r="J4392" s="675"/>
      <c r="K4392" s="675"/>
      <c r="L4392" s="675"/>
      <c r="M4392" s="675"/>
    </row>
    <row r="4393" spans="1:13" x14ac:dyDescent="0.25">
      <c r="A4393" s="675" t="s">
        <v>1654</v>
      </c>
      <c r="B4393" s="675" t="s">
        <v>512</v>
      </c>
      <c r="C4393" s="675" t="s">
        <v>4306</v>
      </c>
      <c r="D4393" s="675"/>
      <c r="E4393" s="702"/>
      <c r="F4393" s="702"/>
      <c r="G4393" s="675"/>
      <c r="H4393" s="675"/>
      <c r="I4393" s="675"/>
      <c r="J4393" s="675"/>
      <c r="K4393" s="675"/>
      <c r="L4393" s="675"/>
      <c r="M4393" s="675"/>
    </row>
    <row r="4394" spans="1:13" x14ac:dyDescent="0.25">
      <c r="A4394" s="675" t="s">
        <v>1654</v>
      </c>
      <c r="B4394" s="675" t="s">
        <v>512</v>
      </c>
      <c r="C4394" s="675" t="s">
        <v>4307</v>
      </c>
      <c r="D4394" s="675"/>
      <c r="E4394" s="702"/>
      <c r="F4394" s="702"/>
      <c r="G4394" s="675"/>
      <c r="H4394" s="675"/>
      <c r="I4394" s="675"/>
      <c r="J4394" s="675"/>
      <c r="K4394" s="675"/>
      <c r="L4394" s="675"/>
      <c r="M4394" s="675"/>
    </row>
    <row r="4395" spans="1:13" x14ac:dyDescent="0.25">
      <c r="A4395" s="675" t="s">
        <v>1654</v>
      </c>
      <c r="B4395" s="675" t="s">
        <v>512</v>
      </c>
      <c r="C4395" s="675" t="s">
        <v>4308</v>
      </c>
      <c r="D4395" s="675"/>
      <c r="E4395" s="702"/>
      <c r="F4395" s="702"/>
      <c r="G4395" s="675"/>
      <c r="H4395" s="675"/>
      <c r="I4395" s="675"/>
      <c r="J4395" s="675"/>
      <c r="K4395" s="675"/>
      <c r="L4395" s="675"/>
      <c r="M4395" s="675"/>
    </row>
    <row r="4396" spans="1:13" x14ac:dyDescent="0.25">
      <c r="A4396" s="675" t="s">
        <v>1654</v>
      </c>
      <c r="B4396" s="675" t="s">
        <v>512</v>
      </c>
      <c r="C4396" s="675" t="s">
        <v>4309</v>
      </c>
      <c r="D4396" s="675"/>
      <c r="E4396" s="702"/>
      <c r="F4396" s="702"/>
      <c r="G4396" s="675"/>
      <c r="H4396" s="675"/>
      <c r="I4396" s="675"/>
      <c r="J4396" s="675"/>
      <c r="K4396" s="675"/>
      <c r="L4396" s="675"/>
      <c r="M4396" s="675"/>
    </row>
    <row r="4397" spans="1:13" x14ac:dyDescent="0.25">
      <c r="A4397" s="675" t="s">
        <v>1654</v>
      </c>
      <c r="B4397" s="675" t="s">
        <v>512</v>
      </c>
      <c r="C4397" s="675" t="s">
        <v>4310</v>
      </c>
      <c r="D4397" s="675"/>
      <c r="E4397" s="702"/>
      <c r="F4397" s="702"/>
      <c r="G4397" s="675"/>
      <c r="H4397" s="675"/>
      <c r="I4397" s="675"/>
      <c r="J4397" s="675"/>
      <c r="K4397" s="675"/>
      <c r="L4397" s="675"/>
      <c r="M4397" s="675"/>
    </row>
    <row r="4398" spans="1:13" x14ac:dyDescent="0.25">
      <c r="A4398" s="675" t="s">
        <v>1654</v>
      </c>
      <c r="B4398" s="675" t="s">
        <v>512</v>
      </c>
      <c r="C4398" s="675" t="s">
        <v>4311</v>
      </c>
      <c r="D4398" s="675"/>
      <c r="E4398" s="702"/>
      <c r="F4398" s="702"/>
      <c r="G4398" s="675"/>
      <c r="H4398" s="675"/>
      <c r="I4398" s="675"/>
      <c r="J4398" s="675"/>
      <c r="K4398" s="675"/>
      <c r="L4398" s="675"/>
      <c r="M4398" s="675"/>
    </row>
    <row r="4399" spans="1:13" x14ac:dyDescent="0.25">
      <c r="A4399" s="675" t="s">
        <v>1654</v>
      </c>
      <c r="B4399" s="675" t="s">
        <v>512</v>
      </c>
      <c r="C4399" s="675" t="s">
        <v>4312</v>
      </c>
      <c r="D4399" s="675"/>
      <c r="E4399" s="702"/>
      <c r="F4399" s="702"/>
      <c r="G4399" s="675"/>
      <c r="H4399" s="675"/>
      <c r="I4399" s="675"/>
      <c r="J4399" s="675"/>
      <c r="K4399" s="675"/>
      <c r="L4399" s="675"/>
      <c r="M4399" s="675"/>
    </row>
    <row r="4400" spans="1:13" x14ac:dyDescent="0.25">
      <c r="A4400" s="675" t="s">
        <v>1654</v>
      </c>
      <c r="B4400" s="675" t="s">
        <v>512</v>
      </c>
      <c r="C4400" s="675" t="s">
        <v>4313</v>
      </c>
      <c r="D4400" s="675"/>
      <c r="E4400" s="702"/>
      <c r="F4400" s="702"/>
      <c r="G4400" s="675"/>
      <c r="H4400" s="675"/>
      <c r="I4400" s="675"/>
      <c r="J4400" s="675"/>
      <c r="K4400" s="675"/>
      <c r="L4400" s="675"/>
      <c r="M4400" s="675"/>
    </row>
    <row r="4401" spans="1:13" x14ac:dyDescent="0.25">
      <c r="A4401" s="675" t="s">
        <v>4314</v>
      </c>
      <c r="B4401" s="675" t="s">
        <v>545</v>
      </c>
      <c r="C4401" s="675" t="s">
        <v>4315</v>
      </c>
      <c r="D4401" s="675"/>
      <c r="E4401" s="702"/>
      <c r="F4401" s="702"/>
      <c r="G4401" s="675"/>
      <c r="H4401" s="675"/>
      <c r="I4401" s="675"/>
      <c r="J4401" s="675"/>
      <c r="K4401" s="675"/>
      <c r="L4401" s="675"/>
      <c r="M4401" s="675"/>
    </row>
    <row r="4402" spans="1:13" x14ac:dyDescent="0.25">
      <c r="A4402" s="675" t="s">
        <v>4314</v>
      </c>
      <c r="B4402" s="675" t="s">
        <v>545</v>
      </c>
      <c r="C4402" s="675" t="s">
        <v>4316</v>
      </c>
      <c r="D4402" s="675"/>
      <c r="E4402" s="702"/>
      <c r="F4402" s="702"/>
      <c r="G4402" s="675"/>
      <c r="H4402" s="675"/>
      <c r="I4402" s="675"/>
      <c r="J4402" s="675"/>
      <c r="K4402" s="675"/>
      <c r="L4402" s="675"/>
      <c r="M4402" s="675"/>
    </row>
    <row r="4403" spans="1:13" x14ac:dyDescent="0.25">
      <c r="A4403" s="675" t="s">
        <v>4314</v>
      </c>
      <c r="B4403" s="675" t="s">
        <v>545</v>
      </c>
      <c r="C4403" s="675" t="s">
        <v>4317</v>
      </c>
      <c r="D4403" s="675"/>
      <c r="E4403" s="702"/>
      <c r="F4403" s="702"/>
      <c r="G4403" s="675"/>
      <c r="H4403" s="675"/>
      <c r="I4403" s="675"/>
      <c r="J4403" s="675"/>
      <c r="K4403" s="675"/>
      <c r="L4403" s="675"/>
      <c r="M4403" s="675"/>
    </row>
    <row r="4404" spans="1:13" x14ac:dyDescent="0.25">
      <c r="A4404" s="675" t="s">
        <v>4314</v>
      </c>
      <c r="B4404" s="675" t="s">
        <v>545</v>
      </c>
      <c r="C4404" s="675" t="s">
        <v>4318</v>
      </c>
      <c r="D4404" s="675"/>
      <c r="E4404" s="702"/>
      <c r="F4404" s="702"/>
      <c r="G4404" s="675"/>
      <c r="H4404" s="675"/>
      <c r="I4404" s="675"/>
      <c r="J4404" s="675"/>
      <c r="K4404" s="675"/>
      <c r="L4404" s="675"/>
      <c r="M4404" s="675"/>
    </row>
    <row r="4405" spans="1:13" x14ac:dyDescent="0.25">
      <c r="A4405" s="675" t="s">
        <v>4314</v>
      </c>
      <c r="B4405" s="675" t="s">
        <v>545</v>
      </c>
      <c r="C4405" s="675" t="s">
        <v>4319</v>
      </c>
      <c r="D4405" s="675"/>
      <c r="E4405" s="702"/>
      <c r="F4405" s="702"/>
      <c r="G4405" s="675"/>
      <c r="H4405" s="675"/>
      <c r="I4405" s="675"/>
      <c r="J4405" s="675"/>
      <c r="K4405" s="675"/>
      <c r="L4405" s="675"/>
      <c r="M4405" s="675"/>
    </row>
    <row r="4406" spans="1:13" x14ac:dyDescent="0.25">
      <c r="A4406" s="675" t="s">
        <v>4314</v>
      </c>
      <c r="B4406" s="675" t="s">
        <v>545</v>
      </c>
      <c r="C4406" s="675" t="s">
        <v>4320</v>
      </c>
      <c r="D4406" s="675"/>
      <c r="E4406" s="702"/>
      <c r="F4406" s="702"/>
      <c r="G4406" s="675"/>
      <c r="H4406" s="675"/>
      <c r="I4406" s="675"/>
      <c r="J4406" s="675"/>
      <c r="K4406" s="675"/>
      <c r="L4406" s="675"/>
      <c r="M4406" s="675"/>
    </row>
    <row r="4407" spans="1:13" x14ac:dyDescent="0.25">
      <c r="A4407" s="675" t="s">
        <v>4314</v>
      </c>
      <c r="B4407" s="675" t="s">
        <v>545</v>
      </c>
      <c r="C4407" s="675" t="s">
        <v>4321</v>
      </c>
      <c r="D4407" s="675"/>
      <c r="E4407" s="702"/>
      <c r="F4407" s="702"/>
      <c r="G4407" s="675"/>
      <c r="H4407" s="675"/>
      <c r="I4407" s="675"/>
      <c r="J4407" s="675"/>
      <c r="K4407" s="675"/>
      <c r="L4407" s="675"/>
      <c r="M4407" s="675"/>
    </row>
    <row r="4408" spans="1:13" x14ac:dyDescent="0.25">
      <c r="A4408" s="675" t="s">
        <v>4314</v>
      </c>
      <c r="B4408" s="675" t="s">
        <v>545</v>
      </c>
      <c r="C4408" s="675" t="s">
        <v>4322</v>
      </c>
      <c r="D4408" s="675"/>
      <c r="E4408" s="702"/>
      <c r="F4408" s="702"/>
      <c r="G4408" s="675"/>
      <c r="H4408" s="675"/>
      <c r="I4408" s="675"/>
      <c r="J4408" s="675"/>
      <c r="K4408" s="675"/>
      <c r="L4408" s="675"/>
      <c r="M4408" s="675"/>
    </row>
    <row r="4409" spans="1:13" x14ac:dyDescent="0.25">
      <c r="A4409" s="675" t="s">
        <v>4314</v>
      </c>
      <c r="B4409" s="675" t="s">
        <v>545</v>
      </c>
      <c r="C4409" s="675" t="s">
        <v>4323</v>
      </c>
      <c r="D4409" s="675"/>
      <c r="E4409" s="702"/>
      <c r="F4409" s="702"/>
      <c r="G4409" s="675"/>
      <c r="H4409" s="675"/>
      <c r="I4409" s="675"/>
      <c r="J4409" s="675"/>
      <c r="K4409" s="675"/>
      <c r="L4409" s="675"/>
      <c r="M4409" s="675"/>
    </row>
    <row r="4410" spans="1:13" x14ac:dyDescent="0.25">
      <c r="A4410" s="675" t="s">
        <v>4314</v>
      </c>
      <c r="B4410" s="675" t="s">
        <v>545</v>
      </c>
      <c r="C4410" s="675" t="s">
        <v>4324</v>
      </c>
      <c r="D4410" s="675"/>
      <c r="E4410" s="702"/>
      <c r="F4410" s="702"/>
      <c r="G4410" s="675"/>
      <c r="H4410" s="675"/>
      <c r="I4410" s="675"/>
      <c r="J4410" s="675"/>
      <c r="K4410" s="675"/>
      <c r="L4410" s="675"/>
      <c r="M4410" s="675"/>
    </row>
    <row r="4411" spans="1:13" x14ac:dyDescent="0.25">
      <c r="A4411" s="675" t="s">
        <v>4314</v>
      </c>
      <c r="B4411" s="675" t="s">
        <v>564</v>
      </c>
      <c r="C4411" s="675" t="s">
        <v>4325</v>
      </c>
      <c r="D4411" s="675"/>
      <c r="E4411" s="702"/>
      <c r="F4411" s="702"/>
      <c r="G4411" s="675"/>
      <c r="H4411" s="675"/>
      <c r="I4411" s="675"/>
      <c r="J4411" s="675"/>
      <c r="K4411" s="675"/>
      <c r="L4411" s="675"/>
      <c r="M4411" s="675"/>
    </row>
    <row r="4412" spans="1:13" x14ac:dyDescent="0.25">
      <c r="A4412" s="675" t="s">
        <v>4314</v>
      </c>
      <c r="B4412" s="675" t="s">
        <v>564</v>
      </c>
      <c r="C4412" s="675" t="s">
        <v>4326</v>
      </c>
      <c r="D4412" s="675"/>
      <c r="E4412" s="702"/>
      <c r="F4412" s="702"/>
      <c r="G4412" s="675"/>
      <c r="H4412" s="675"/>
      <c r="I4412" s="675"/>
      <c r="J4412" s="675"/>
      <c r="K4412" s="675"/>
      <c r="L4412" s="675"/>
      <c r="M4412" s="675"/>
    </row>
    <row r="4413" spans="1:13" x14ac:dyDescent="0.25">
      <c r="A4413" s="675" t="s">
        <v>4314</v>
      </c>
      <c r="B4413" s="675" t="s">
        <v>564</v>
      </c>
      <c r="C4413" s="675" t="s">
        <v>4327</v>
      </c>
      <c r="D4413" s="675"/>
      <c r="E4413" s="702"/>
      <c r="F4413" s="702"/>
      <c r="G4413" s="675"/>
      <c r="H4413" s="675"/>
      <c r="I4413" s="675"/>
      <c r="J4413" s="675"/>
      <c r="K4413" s="675"/>
      <c r="L4413" s="675"/>
      <c r="M4413" s="675"/>
    </row>
    <row r="4414" spans="1:13" x14ac:dyDescent="0.25">
      <c r="A4414" s="675" t="s">
        <v>4314</v>
      </c>
      <c r="B4414" s="675" t="s">
        <v>564</v>
      </c>
      <c r="C4414" s="675" t="s">
        <v>4328</v>
      </c>
      <c r="D4414" s="675"/>
      <c r="E4414" s="702"/>
      <c r="F4414" s="702"/>
      <c r="G4414" s="675"/>
      <c r="H4414" s="675"/>
      <c r="I4414" s="675"/>
      <c r="J4414" s="675"/>
      <c r="K4414" s="675"/>
      <c r="L4414" s="675"/>
      <c r="M4414" s="675"/>
    </row>
    <row r="4415" spans="1:13" x14ac:dyDescent="0.25">
      <c r="A4415" s="675" t="s">
        <v>4314</v>
      </c>
      <c r="B4415" s="675" t="s">
        <v>564</v>
      </c>
      <c r="C4415" s="675" t="s">
        <v>4329</v>
      </c>
      <c r="D4415" s="675"/>
      <c r="E4415" s="702"/>
      <c r="F4415" s="702"/>
      <c r="G4415" s="675"/>
      <c r="H4415" s="675"/>
      <c r="I4415" s="675"/>
      <c r="J4415" s="675"/>
      <c r="K4415" s="675"/>
      <c r="L4415" s="675"/>
      <c r="M4415" s="675"/>
    </row>
    <row r="4416" spans="1:13" x14ac:dyDescent="0.25">
      <c r="A4416" s="675" t="s">
        <v>4314</v>
      </c>
      <c r="B4416" s="675" t="s">
        <v>564</v>
      </c>
      <c r="C4416" s="675" t="s">
        <v>4330</v>
      </c>
      <c r="D4416" s="675"/>
      <c r="E4416" s="702"/>
      <c r="F4416" s="702"/>
      <c r="G4416" s="675"/>
      <c r="H4416" s="675"/>
      <c r="I4416" s="675"/>
      <c r="J4416" s="675"/>
      <c r="K4416" s="675"/>
      <c r="L4416" s="675"/>
      <c r="M4416" s="675"/>
    </row>
    <row r="4417" spans="1:13" x14ac:dyDescent="0.25">
      <c r="A4417" s="675" t="s">
        <v>4314</v>
      </c>
      <c r="B4417" s="675" t="s">
        <v>564</v>
      </c>
      <c r="C4417" s="675" t="s">
        <v>4331</v>
      </c>
      <c r="D4417" s="675"/>
      <c r="E4417" s="702"/>
      <c r="F4417" s="702"/>
      <c r="G4417" s="675"/>
      <c r="H4417" s="675"/>
      <c r="I4417" s="675"/>
      <c r="J4417" s="675"/>
      <c r="K4417" s="675"/>
      <c r="L4417" s="675"/>
      <c r="M4417" s="675"/>
    </row>
    <row r="4418" spans="1:13" x14ac:dyDescent="0.25">
      <c r="A4418" s="675" t="s">
        <v>4314</v>
      </c>
      <c r="B4418" s="675" t="s">
        <v>564</v>
      </c>
      <c r="C4418" s="675" t="s">
        <v>4332</v>
      </c>
      <c r="D4418" s="675"/>
      <c r="E4418" s="702"/>
      <c r="F4418" s="702"/>
      <c r="G4418" s="675"/>
      <c r="H4418" s="675"/>
      <c r="I4418" s="675"/>
      <c r="J4418" s="675"/>
      <c r="K4418" s="675"/>
      <c r="L4418" s="675"/>
      <c r="M4418" s="675"/>
    </row>
    <row r="4419" spans="1:13" x14ac:dyDescent="0.25">
      <c r="A4419" s="675" t="s">
        <v>4314</v>
      </c>
      <c r="B4419" s="675" t="s">
        <v>564</v>
      </c>
      <c r="C4419" s="675" t="s">
        <v>4333</v>
      </c>
      <c r="D4419" s="675"/>
      <c r="E4419" s="702"/>
      <c r="F4419" s="702"/>
      <c r="G4419" s="675"/>
      <c r="H4419" s="675"/>
      <c r="I4419" s="675"/>
      <c r="J4419" s="675"/>
      <c r="K4419" s="675"/>
      <c r="L4419" s="675"/>
      <c r="M4419" s="675"/>
    </row>
    <row r="4420" spans="1:13" x14ac:dyDescent="0.25">
      <c r="A4420" s="675" t="s">
        <v>4314</v>
      </c>
      <c r="B4420" s="675" t="s">
        <v>564</v>
      </c>
      <c r="C4420" s="675" t="s">
        <v>4334</v>
      </c>
      <c r="D4420" s="675"/>
      <c r="E4420" s="702"/>
      <c r="F4420" s="702"/>
      <c r="G4420" s="675"/>
      <c r="H4420" s="675"/>
      <c r="I4420" s="675"/>
      <c r="J4420" s="675"/>
      <c r="K4420" s="675"/>
      <c r="L4420" s="675"/>
      <c r="M4420" s="675"/>
    </row>
    <row r="4421" spans="1:13" x14ac:dyDescent="0.25">
      <c r="A4421" s="675" t="s">
        <v>4314</v>
      </c>
      <c r="B4421" s="675" t="s">
        <v>512</v>
      </c>
      <c r="C4421" s="675" t="s">
        <v>4335</v>
      </c>
      <c r="D4421" s="675"/>
      <c r="E4421" s="702"/>
      <c r="F4421" s="702"/>
      <c r="G4421" s="675"/>
      <c r="H4421" s="675"/>
      <c r="I4421" s="675"/>
      <c r="J4421" s="675"/>
      <c r="K4421" s="675"/>
      <c r="L4421" s="675"/>
      <c r="M4421" s="675"/>
    </row>
    <row r="4422" spans="1:13" x14ac:dyDescent="0.25">
      <c r="A4422" s="675" t="s">
        <v>4314</v>
      </c>
      <c r="B4422" s="675" t="s">
        <v>512</v>
      </c>
      <c r="C4422" s="675" t="s">
        <v>4336</v>
      </c>
      <c r="D4422" s="675"/>
      <c r="E4422" s="702"/>
      <c r="F4422" s="702"/>
      <c r="G4422" s="675"/>
      <c r="H4422" s="675"/>
      <c r="I4422" s="675"/>
      <c r="J4422" s="675"/>
      <c r="K4422" s="675"/>
      <c r="L4422" s="675"/>
      <c r="M4422" s="675"/>
    </row>
    <row r="4423" spans="1:13" x14ac:dyDescent="0.25">
      <c r="A4423" s="675" t="s">
        <v>4314</v>
      </c>
      <c r="B4423" s="675" t="s">
        <v>512</v>
      </c>
      <c r="C4423" s="675" t="s">
        <v>4337</v>
      </c>
      <c r="D4423" s="675"/>
      <c r="E4423" s="702"/>
      <c r="F4423" s="702"/>
      <c r="G4423" s="675"/>
      <c r="H4423" s="675"/>
      <c r="I4423" s="675"/>
      <c r="J4423" s="675"/>
      <c r="K4423" s="675"/>
      <c r="L4423" s="675"/>
      <c r="M4423" s="675"/>
    </row>
    <row r="4424" spans="1:13" x14ac:dyDescent="0.25">
      <c r="A4424" s="675" t="s">
        <v>4314</v>
      </c>
      <c r="B4424" s="675" t="s">
        <v>512</v>
      </c>
      <c r="C4424" s="675" t="s">
        <v>4338</v>
      </c>
      <c r="D4424" s="675"/>
      <c r="E4424" s="702"/>
      <c r="F4424" s="702"/>
      <c r="G4424" s="675"/>
      <c r="H4424" s="675"/>
      <c r="I4424" s="675"/>
      <c r="J4424" s="675"/>
      <c r="K4424" s="675"/>
      <c r="L4424" s="675"/>
      <c r="M4424" s="675"/>
    </row>
    <row r="4425" spans="1:13" x14ac:dyDescent="0.25">
      <c r="A4425" s="675" t="s">
        <v>4314</v>
      </c>
      <c r="B4425" s="675" t="s">
        <v>512</v>
      </c>
      <c r="C4425" s="675" t="s">
        <v>4339</v>
      </c>
      <c r="D4425" s="675"/>
      <c r="E4425" s="702"/>
      <c r="F4425" s="702"/>
      <c r="G4425" s="675"/>
      <c r="H4425" s="675"/>
      <c r="I4425" s="675"/>
      <c r="J4425" s="675"/>
      <c r="K4425" s="675"/>
      <c r="L4425" s="675"/>
      <c r="M4425" s="675"/>
    </row>
    <row r="4426" spans="1:13" x14ac:dyDescent="0.25">
      <c r="A4426" s="675" t="s">
        <v>4314</v>
      </c>
      <c r="B4426" s="675" t="s">
        <v>512</v>
      </c>
      <c r="C4426" s="675" t="s">
        <v>4340</v>
      </c>
      <c r="D4426" s="675"/>
      <c r="E4426" s="702"/>
      <c r="F4426" s="702"/>
      <c r="G4426" s="675"/>
      <c r="H4426" s="675"/>
      <c r="I4426" s="675"/>
      <c r="J4426" s="675"/>
      <c r="K4426" s="675"/>
      <c r="L4426" s="675"/>
      <c r="M4426" s="675"/>
    </row>
    <row r="4427" spans="1:13" x14ac:dyDescent="0.25">
      <c r="A4427" s="675" t="s">
        <v>4314</v>
      </c>
      <c r="B4427" s="675" t="s">
        <v>512</v>
      </c>
      <c r="C4427" s="675" t="s">
        <v>4341</v>
      </c>
      <c r="D4427" s="675"/>
      <c r="E4427" s="702"/>
      <c r="F4427" s="702"/>
      <c r="G4427" s="675"/>
      <c r="H4427" s="675"/>
      <c r="I4427" s="675"/>
      <c r="J4427" s="675"/>
      <c r="K4427" s="675"/>
      <c r="L4427" s="675"/>
      <c r="M4427" s="675"/>
    </row>
    <row r="4428" spans="1:13" x14ac:dyDescent="0.25">
      <c r="A4428" s="675" t="s">
        <v>4314</v>
      </c>
      <c r="B4428" s="675" t="s">
        <v>512</v>
      </c>
      <c r="C4428" s="675" t="s">
        <v>4342</v>
      </c>
      <c r="D4428" s="675"/>
      <c r="E4428" s="702"/>
      <c r="F4428" s="702"/>
      <c r="G4428" s="675"/>
      <c r="H4428" s="675"/>
      <c r="I4428" s="675"/>
      <c r="J4428" s="675"/>
      <c r="K4428" s="675"/>
      <c r="L4428" s="675"/>
      <c r="M4428" s="675"/>
    </row>
    <row r="4429" spans="1:13" x14ac:dyDescent="0.25">
      <c r="A4429" s="675" t="s">
        <v>4314</v>
      </c>
      <c r="B4429" s="675" t="s">
        <v>512</v>
      </c>
      <c r="C4429" s="675" t="s">
        <v>4343</v>
      </c>
      <c r="D4429" s="675"/>
      <c r="E4429" s="702"/>
      <c r="F4429" s="702"/>
      <c r="G4429" s="675"/>
      <c r="H4429" s="675"/>
      <c r="I4429" s="675"/>
      <c r="J4429" s="675"/>
      <c r="K4429" s="675"/>
      <c r="L4429" s="675"/>
      <c r="M4429" s="675"/>
    </row>
    <row r="4430" spans="1:13" x14ac:dyDescent="0.25">
      <c r="A4430" s="675" t="s">
        <v>4314</v>
      </c>
      <c r="B4430" s="675" t="s">
        <v>512</v>
      </c>
      <c r="C4430" s="675" t="s">
        <v>4344</v>
      </c>
      <c r="D4430" s="675"/>
      <c r="E4430" s="702"/>
      <c r="F4430" s="702"/>
      <c r="G4430" s="675"/>
      <c r="H4430" s="675"/>
      <c r="I4430" s="675"/>
      <c r="J4430" s="675"/>
      <c r="K4430" s="675"/>
      <c r="L4430" s="675"/>
      <c r="M4430" s="675"/>
    </row>
    <row r="4431" spans="1:13" ht="30" x14ac:dyDescent="0.25">
      <c r="A4431" s="675" t="s">
        <v>3606</v>
      </c>
      <c r="B4431" s="675" t="s">
        <v>545</v>
      </c>
      <c r="C4431" s="676" t="s">
        <v>4345</v>
      </c>
      <c r="D4431" s="675"/>
      <c r="E4431" s="702"/>
      <c r="F4431" s="702"/>
      <c r="G4431" s="675"/>
      <c r="H4431" s="675"/>
      <c r="I4431" s="675"/>
      <c r="J4431" s="675"/>
      <c r="K4431" s="675"/>
      <c r="L4431" s="675"/>
      <c r="M4431" s="675"/>
    </row>
    <row r="4432" spans="1:13" ht="30" x14ac:dyDescent="0.25">
      <c r="A4432" s="675" t="s">
        <v>3606</v>
      </c>
      <c r="B4432" s="675" t="s">
        <v>545</v>
      </c>
      <c r="C4432" s="676" t="s">
        <v>4346</v>
      </c>
      <c r="D4432" s="675"/>
      <c r="E4432" s="702"/>
      <c r="F4432" s="702"/>
      <c r="G4432" s="675"/>
      <c r="H4432" s="675"/>
      <c r="I4432" s="675"/>
      <c r="J4432" s="675"/>
      <c r="K4432" s="675"/>
      <c r="L4432" s="675"/>
      <c r="M4432" s="675"/>
    </row>
    <row r="4433" spans="1:13" ht="30" x14ac:dyDescent="0.25">
      <c r="A4433" s="675" t="s">
        <v>3606</v>
      </c>
      <c r="B4433" s="675" t="s">
        <v>545</v>
      </c>
      <c r="C4433" s="676" t="s">
        <v>4347</v>
      </c>
      <c r="D4433" s="675"/>
      <c r="E4433" s="702"/>
      <c r="F4433" s="702"/>
      <c r="G4433" s="675"/>
      <c r="H4433" s="675"/>
      <c r="I4433" s="675"/>
      <c r="J4433" s="675"/>
      <c r="K4433" s="675"/>
      <c r="L4433" s="675"/>
      <c r="M4433" s="675"/>
    </row>
    <row r="4434" spans="1:13" ht="30" x14ac:dyDescent="0.25">
      <c r="A4434" s="675" t="s">
        <v>3606</v>
      </c>
      <c r="B4434" s="675" t="s">
        <v>545</v>
      </c>
      <c r="C4434" s="676" t="s">
        <v>4348</v>
      </c>
      <c r="D4434" s="675"/>
      <c r="E4434" s="702"/>
      <c r="F4434" s="702"/>
      <c r="G4434" s="675"/>
      <c r="H4434" s="675"/>
      <c r="I4434" s="675"/>
      <c r="J4434" s="675"/>
      <c r="K4434" s="675"/>
      <c r="L4434" s="675"/>
      <c r="M4434" s="675"/>
    </row>
    <row r="4435" spans="1:13" ht="30" x14ac:dyDescent="0.25">
      <c r="A4435" s="675" t="s">
        <v>3606</v>
      </c>
      <c r="B4435" s="675" t="s">
        <v>545</v>
      </c>
      <c r="C4435" s="676" t="s">
        <v>4349</v>
      </c>
      <c r="D4435" s="675"/>
      <c r="E4435" s="702"/>
      <c r="F4435" s="702"/>
      <c r="G4435" s="675"/>
      <c r="H4435" s="675"/>
      <c r="I4435" s="675"/>
      <c r="J4435" s="675"/>
      <c r="K4435" s="675"/>
      <c r="L4435" s="675"/>
      <c r="M4435" s="675"/>
    </row>
    <row r="4436" spans="1:13" x14ac:dyDescent="0.25">
      <c r="A4436" s="675" t="s">
        <v>3606</v>
      </c>
      <c r="B4436" s="675" t="s">
        <v>564</v>
      </c>
      <c r="C4436" s="676" t="s">
        <v>4350</v>
      </c>
      <c r="D4436" s="675"/>
      <c r="E4436" s="702"/>
      <c r="F4436" s="702"/>
      <c r="G4436" s="675"/>
      <c r="H4436" s="675"/>
      <c r="I4436" s="675"/>
      <c r="J4436" s="675"/>
      <c r="K4436" s="675"/>
      <c r="L4436" s="675"/>
      <c r="M4436" s="675"/>
    </row>
    <row r="4437" spans="1:13" x14ac:dyDescent="0.25">
      <c r="A4437" s="675" t="s">
        <v>3606</v>
      </c>
      <c r="B4437" s="675" t="s">
        <v>564</v>
      </c>
      <c r="C4437" s="676" t="s">
        <v>4351</v>
      </c>
      <c r="D4437" s="675"/>
      <c r="E4437" s="702"/>
      <c r="F4437" s="702"/>
      <c r="G4437" s="675"/>
      <c r="H4437" s="675"/>
      <c r="I4437" s="675"/>
      <c r="J4437" s="675"/>
      <c r="K4437" s="675"/>
      <c r="L4437" s="675"/>
      <c r="M4437" s="675"/>
    </row>
    <row r="4438" spans="1:13" ht="30" x14ac:dyDescent="0.25">
      <c r="A4438" s="675" t="s">
        <v>3606</v>
      </c>
      <c r="B4438" s="675" t="s">
        <v>564</v>
      </c>
      <c r="C4438" s="676" t="s">
        <v>4352</v>
      </c>
      <c r="D4438" s="675"/>
      <c r="E4438" s="702"/>
      <c r="F4438" s="702"/>
      <c r="G4438" s="675"/>
      <c r="H4438" s="675"/>
      <c r="I4438" s="675"/>
      <c r="J4438" s="675"/>
      <c r="K4438" s="675"/>
      <c r="L4438" s="675"/>
      <c r="M4438" s="675"/>
    </row>
    <row r="4439" spans="1:13" ht="30" x14ac:dyDescent="0.25">
      <c r="A4439" s="675" t="s">
        <v>3606</v>
      </c>
      <c r="B4439" s="675" t="s">
        <v>564</v>
      </c>
      <c r="C4439" s="676" t="s">
        <v>4353</v>
      </c>
      <c r="D4439" s="675"/>
      <c r="E4439" s="702"/>
      <c r="F4439" s="702"/>
      <c r="G4439" s="675"/>
      <c r="H4439" s="675"/>
      <c r="I4439" s="675"/>
      <c r="J4439" s="675"/>
      <c r="K4439" s="675"/>
      <c r="L4439" s="675"/>
      <c r="M4439" s="675"/>
    </row>
    <row r="4440" spans="1:13" ht="30" x14ac:dyDescent="0.25">
      <c r="A4440" s="675" t="s">
        <v>3606</v>
      </c>
      <c r="B4440" s="675" t="s">
        <v>564</v>
      </c>
      <c r="C4440" s="676" t="s">
        <v>4354</v>
      </c>
      <c r="D4440" s="675"/>
      <c r="E4440" s="702"/>
      <c r="F4440" s="702"/>
      <c r="G4440" s="675"/>
      <c r="H4440" s="675"/>
      <c r="I4440" s="675"/>
      <c r="J4440" s="675"/>
      <c r="K4440" s="675"/>
      <c r="L4440" s="675"/>
      <c r="M4440" s="675"/>
    </row>
    <row r="4441" spans="1:13" x14ac:dyDescent="0.25">
      <c r="A4441" s="675" t="s">
        <v>3606</v>
      </c>
      <c r="B4441" s="675" t="s">
        <v>512</v>
      </c>
      <c r="C4441" s="676" t="s">
        <v>4355</v>
      </c>
      <c r="D4441" s="675"/>
      <c r="E4441" s="702"/>
      <c r="F4441" s="702"/>
      <c r="G4441" s="675"/>
      <c r="H4441" s="675"/>
      <c r="I4441" s="675"/>
      <c r="J4441" s="675"/>
      <c r="K4441" s="675"/>
      <c r="L4441" s="675"/>
      <c r="M4441" s="675"/>
    </row>
    <row r="4442" spans="1:13" ht="30" x14ac:dyDescent="0.25">
      <c r="A4442" s="675" t="s">
        <v>3606</v>
      </c>
      <c r="B4442" s="675" t="s">
        <v>512</v>
      </c>
      <c r="C4442" s="676" t="s">
        <v>4356</v>
      </c>
      <c r="D4442" s="675"/>
      <c r="E4442" s="702"/>
      <c r="F4442" s="702"/>
      <c r="G4442" s="675"/>
      <c r="H4442" s="675"/>
      <c r="I4442" s="675"/>
      <c r="J4442" s="675"/>
      <c r="K4442" s="675"/>
      <c r="L4442" s="675"/>
      <c r="M4442" s="675"/>
    </row>
    <row r="4443" spans="1:13" ht="30" x14ac:dyDescent="0.25">
      <c r="A4443" s="675" t="s">
        <v>3606</v>
      </c>
      <c r="B4443" s="675" t="s">
        <v>512</v>
      </c>
      <c r="C4443" s="676" t="s">
        <v>4357</v>
      </c>
      <c r="D4443" s="675"/>
      <c r="E4443" s="702"/>
      <c r="F4443" s="702"/>
      <c r="G4443" s="675"/>
      <c r="H4443" s="675"/>
      <c r="I4443" s="675"/>
      <c r="J4443" s="675"/>
      <c r="K4443" s="675"/>
      <c r="L4443" s="675"/>
      <c r="M4443" s="675"/>
    </row>
    <row r="4444" spans="1:13" ht="30" x14ac:dyDescent="0.25">
      <c r="A4444" s="675" t="s">
        <v>3606</v>
      </c>
      <c r="B4444" s="675" t="s">
        <v>512</v>
      </c>
      <c r="C4444" s="676" t="s">
        <v>4358</v>
      </c>
      <c r="D4444" s="675"/>
      <c r="E4444" s="702"/>
      <c r="F4444" s="702"/>
      <c r="G4444" s="675"/>
      <c r="H4444" s="675"/>
      <c r="I4444" s="675"/>
      <c r="J4444" s="675"/>
      <c r="K4444" s="675"/>
      <c r="L4444" s="675"/>
      <c r="M4444" s="675"/>
    </row>
    <row r="4445" spans="1:13" ht="30" x14ac:dyDescent="0.25">
      <c r="A4445" s="675" t="s">
        <v>3606</v>
      </c>
      <c r="B4445" s="675" t="s">
        <v>512</v>
      </c>
      <c r="C4445" s="676" t="s">
        <v>4359</v>
      </c>
      <c r="D4445" s="675"/>
      <c r="E4445" s="702"/>
      <c r="F4445" s="702"/>
      <c r="G4445" s="675"/>
      <c r="H4445" s="675"/>
      <c r="I4445" s="675"/>
      <c r="J4445" s="675"/>
      <c r="K4445" s="675"/>
      <c r="L4445" s="675"/>
      <c r="M4445" s="675"/>
    </row>
    <row r="4446" spans="1:13" ht="30" x14ac:dyDescent="0.25">
      <c r="A4446" s="675" t="s">
        <v>3606</v>
      </c>
      <c r="B4446" s="675" t="s">
        <v>545</v>
      </c>
      <c r="C4446" s="676" t="s">
        <v>4360</v>
      </c>
      <c r="D4446" s="675"/>
      <c r="E4446" s="702"/>
      <c r="F4446" s="702"/>
      <c r="G4446" s="675"/>
      <c r="H4446" s="675"/>
      <c r="I4446" s="675"/>
      <c r="J4446" s="675"/>
      <c r="K4446" s="675"/>
      <c r="L4446" s="675"/>
      <c r="M4446" s="675"/>
    </row>
    <row r="4447" spans="1:13" ht="30" x14ac:dyDescent="0.25">
      <c r="A4447" s="675" t="s">
        <v>3606</v>
      </c>
      <c r="B4447" s="675" t="s">
        <v>545</v>
      </c>
      <c r="C4447" s="676" t="s">
        <v>4361</v>
      </c>
      <c r="D4447" s="675"/>
      <c r="E4447" s="702"/>
      <c r="F4447" s="702"/>
      <c r="G4447" s="675"/>
      <c r="H4447" s="675"/>
      <c r="I4447" s="675"/>
      <c r="J4447" s="675"/>
      <c r="K4447" s="675"/>
      <c r="L4447" s="675"/>
      <c r="M4447" s="675"/>
    </row>
    <row r="4448" spans="1:13" ht="30" x14ac:dyDescent="0.25">
      <c r="A4448" s="675" t="s">
        <v>3606</v>
      </c>
      <c r="B4448" s="675" t="s">
        <v>545</v>
      </c>
      <c r="C4448" s="676" t="s">
        <v>4362</v>
      </c>
      <c r="D4448" s="675"/>
      <c r="E4448" s="702"/>
      <c r="F4448" s="702"/>
      <c r="G4448" s="675"/>
      <c r="H4448" s="675"/>
      <c r="I4448" s="675"/>
      <c r="J4448" s="675"/>
      <c r="K4448" s="675"/>
      <c r="L4448" s="675"/>
      <c r="M4448" s="675"/>
    </row>
    <row r="4449" spans="1:13" x14ac:dyDescent="0.25">
      <c r="A4449" s="675" t="s">
        <v>3606</v>
      </c>
      <c r="B4449" s="675" t="s">
        <v>545</v>
      </c>
      <c r="C4449" s="676" t="s">
        <v>4363</v>
      </c>
      <c r="D4449" s="675"/>
      <c r="E4449" s="702"/>
      <c r="F4449" s="702"/>
      <c r="G4449" s="675"/>
      <c r="H4449" s="675"/>
      <c r="I4449" s="675"/>
      <c r="J4449" s="675"/>
      <c r="K4449" s="675"/>
      <c r="L4449" s="675"/>
      <c r="M4449" s="675"/>
    </row>
    <row r="4450" spans="1:13" ht="30" x14ac:dyDescent="0.25">
      <c r="A4450" s="675" t="s">
        <v>3606</v>
      </c>
      <c r="B4450" s="675" t="s">
        <v>545</v>
      </c>
      <c r="C4450" s="676" t="s">
        <v>4364</v>
      </c>
      <c r="D4450" s="675"/>
      <c r="E4450" s="702"/>
      <c r="F4450" s="702"/>
      <c r="G4450" s="675"/>
      <c r="H4450" s="675"/>
      <c r="I4450" s="675"/>
      <c r="J4450" s="675"/>
      <c r="K4450" s="675"/>
      <c r="L4450" s="675"/>
      <c r="M4450" s="675"/>
    </row>
    <row r="4451" spans="1:13" x14ac:dyDescent="0.25">
      <c r="A4451" s="675" t="s">
        <v>3606</v>
      </c>
      <c r="B4451" s="675" t="s">
        <v>564</v>
      </c>
      <c r="C4451" s="676" t="s">
        <v>4365</v>
      </c>
      <c r="D4451" s="675"/>
      <c r="E4451" s="702"/>
      <c r="F4451" s="702"/>
      <c r="G4451" s="675"/>
      <c r="H4451" s="675"/>
      <c r="I4451" s="675"/>
      <c r="J4451" s="675"/>
      <c r="K4451" s="675"/>
      <c r="L4451" s="675"/>
      <c r="M4451" s="675"/>
    </row>
    <row r="4452" spans="1:13" ht="30" x14ac:dyDescent="0.25">
      <c r="A4452" s="675" t="s">
        <v>3606</v>
      </c>
      <c r="B4452" s="675" t="s">
        <v>564</v>
      </c>
      <c r="C4452" s="676" t="s">
        <v>4366</v>
      </c>
      <c r="D4452" s="675"/>
      <c r="E4452" s="702"/>
      <c r="F4452" s="702"/>
      <c r="G4452" s="675"/>
      <c r="H4452" s="675"/>
      <c r="I4452" s="675"/>
      <c r="J4452" s="675"/>
      <c r="K4452" s="675"/>
      <c r="L4452" s="675"/>
      <c r="M4452" s="675"/>
    </row>
    <row r="4453" spans="1:13" ht="30" x14ac:dyDescent="0.25">
      <c r="A4453" s="675" t="s">
        <v>3606</v>
      </c>
      <c r="B4453" s="675" t="s">
        <v>564</v>
      </c>
      <c r="C4453" s="676" t="s">
        <v>4367</v>
      </c>
      <c r="D4453" s="675"/>
      <c r="E4453" s="702"/>
      <c r="F4453" s="702"/>
      <c r="G4453" s="675"/>
      <c r="H4453" s="675"/>
      <c r="I4453" s="675"/>
      <c r="J4453" s="675"/>
      <c r="K4453" s="675"/>
      <c r="L4453" s="675"/>
      <c r="M4453" s="675"/>
    </row>
    <row r="4454" spans="1:13" ht="30" x14ac:dyDescent="0.25">
      <c r="A4454" s="675" t="s">
        <v>3606</v>
      </c>
      <c r="B4454" s="675" t="s">
        <v>564</v>
      </c>
      <c r="C4454" s="676" t="s">
        <v>4368</v>
      </c>
      <c r="D4454" s="675"/>
      <c r="E4454" s="702"/>
      <c r="F4454" s="702"/>
      <c r="G4454" s="675"/>
      <c r="H4454" s="675"/>
      <c r="I4454" s="675"/>
      <c r="J4454" s="675"/>
      <c r="K4454" s="675"/>
      <c r="L4454" s="675"/>
      <c r="M4454" s="675"/>
    </row>
    <row r="4455" spans="1:13" ht="30" x14ac:dyDescent="0.25">
      <c r="A4455" s="675" t="s">
        <v>3606</v>
      </c>
      <c r="B4455" s="675" t="s">
        <v>564</v>
      </c>
      <c r="C4455" s="676" t="s">
        <v>4369</v>
      </c>
      <c r="D4455" s="675"/>
      <c r="E4455" s="702"/>
      <c r="F4455" s="702"/>
      <c r="G4455" s="675"/>
      <c r="H4455" s="675"/>
      <c r="I4455" s="675"/>
      <c r="J4455" s="675"/>
      <c r="K4455" s="675"/>
      <c r="L4455" s="675"/>
      <c r="M4455" s="675"/>
    </row>
    <row r="4456" spans="1:13" ht="30" x14ac:dyDescent="0.25">
      <c r="A4456" s="675" t="s">
        <v>3606</v>
      </c>
      <c r="B4456" s="675" t="s">
        <v>512</v>
      </c>
      <c r="C4456" s="676" t="s">
        <v>4370</v>
      </c>
      <c r="D4456" s="675"/>
      <c r="E4456" s="702"/>
      <c r="F4456" s="702"/>
      <c r="G4456" s="675"/>
      <c r="H4456" s="675"/>
      <c r="I4456" s="675"/>
      <c r="J4456" s="675"/>
      <c r="K4456" s="675"/>
      <c r="L4456" s="675"/>
      <c r="M4456" s="675"/>
    </row>
    <row r="4457" spans="1:13" ht="30" x14ac:dyDescent="0.25">
      <c r="A4457" s="675" t="s">
        <v>3606</v>
      </c>
      <c r="B4457" s="675" t="s">
        <v>512</v>
      </c>
      <c r="C4457" s="676" t="s">
        <v>4371</v>
      </c>
      <c r="D4457" s="675"/>
      <c r="E4457" s="702"/>
      <c r="F4457" s="702"/>
      <c r="G4457" s="675"/>
      <c r="H4457" s="675"/>
      <c r="I4457" s="675"/>
      <c r="J4457" s="675"/>
      <c r="K4457" s="675"/>
      <c r="L4457" s="675"/>
      <c r="M4457" s="675"/>
    </row>
    <row r="4458" spans="1:13" ht="30" x14ac:dyDescent="0.25">
      <c r="A4458" s="675" t="s">
        <v>3606</v>
      </c>
      <c r="B4458" s="675" t="s">
        <v>512</v>
      </c>
      <c r="C4458" s="676" t="s">
        <v>4372</v>
      </c>
      <c r="D4458" s="675"/>
      <c r="E4458" s="702"/>
      <c r="F4458" s="702"/>
      <c r="G4458" s="675"/>
      <c r="H4458" s="675"/>
      <c r="I4458" s="675"/>
      <c r="J4458" s="675"/>
      <c r="K4458" s="675"/>
      <c r="L4458" s="675"/>
      <c r="M4458" s="675"/>
    </row>
    <row r="4459" spans="1:13" ht="30" x14ac:dyDescent="0.25">
      <c r="A4459" s="675" t="s">
        <v>3606</v>
      </c>
      <c r="B4459" s="675" t="s">
        <v>512</v>
      </c>
      <c r="C4459" s="676" t="s">
        <v>4373</v>
      </c>
      <c r="D4459" s="675"/>
      <c r="E4459" s="702"/>
      <c r="F4459" s="702"/>
      <c r="G4459" s="675"/>
      <c r="H4459" s="675"/>
      <c r="I4459" s="675"/>
      <c r="J4459" s="675"/>
      <c r="K4459" s="675"/>
      <c r="L4459" s="675"/>
      <c r="M4459" s="675"/>
    </row>
    <row r="4460" spans="1:13" ht="30" x14ac:dyDescent="0.25">
      <c r="A4460" s="675" t="s">
        <v>3606</v>
      </c>
      <c r="B4460" s="675" t="s">
        <v>512</v>
      </c>
      <c r="C4460" s="676" t="s">
        <v>4374</v>
      </c>
      <c r="D4460" s="675"/>
      <c r="E4460" s="702"/>
      <c r="F4460" s="702"/>
      <c r="G4460" s="675"/>
      <c r="H4460" s="675"/>
      <c r="I4460" s="675"/>
      <c r="J4460" s="675"/>
      <c r="K4460" s="675"/>
      <c r="L4460" s="675"/>
      <c r="M4460" s="675"/>
    </row>
    <row r="4461" spans="1:13" ht="30" x14ac:dyDescent="0.25">
      <c r="A4461" s="675" t="s">
        <v>2788</v>
      </c>
      <c r="B4461" s="675" t="s">
        <v>545</v>
      </c>
      <c r="C4461" s="676" t="s">
        <v>4375</v>
      </c>
      <c r="D4461" s="675"/>
      <c r="E4461" s="702"/>
      <c r="F4461" s="702"/>
      <c r="G4461" s="675"/>
      <c r="H4461" s="675"/>
      <c r="I4461" s="675"/>
      <c r="J4461" s="675"/>
      <c r="K4461" s="675"/>
      <c r="L4461" s="675"/>
      <c r="M4461" s="675"/>
    </row>
    <row r="4462" spans="1:13" ht="30" x14ac:dyDescent="0.25">
      <c r="A4462" s="675" t="s">
        <v>2788</v>
      </c>
      <c r="B4462" s="675" t="s">
        <v>545</v>
      </c>
      <c r="C4462" s="676" t="s">
        <v>4376</v>
      </c>
      <c r="D4462" s="675"/>
      <c r="E4462" s="702"/>
      <c r="F4462" s="702"/>
      <c r="G4462" s="675"/>
      <c r="H4462" s="675"/>
      <c r="I4462" s="675"/>
      <c r="J4462" s="675"/>
      <c r="K4462" s="675"/>
      <c r="L4462" s="675"/>
      <c r="M4462" s="675"/>
    </row>
    <row r="4463" spans="1:13" ht="30" x14ac:dyDescent="0.25">
      <c r="A4463" s="675" t="s">
        <v>2788</v>
      </c>
      <c r="B4463" s="675" t="s">
        <v>545</v>
      </c>
      <c r="C4463" s="676" t="s">
        <v>4377</v>
      </c>
      <c r="D4463" s="675"/>
      <c r="E4463" s="702"/>
      <c r="F4463" s="702"/>
      <c r="G4463" s="675"/>
      <c r="H4463" s="675"/>
      <c r="I4463" s="675"/>
      <c r="J4463" s="675"/>
      <c r="K4463" s="675"/>
      <c r="L4463" s="675"/>
      <c r="M4463" s="675"/>
    </row>
    <row r="4464" spans="1:13" ht="30" x14ac:dyDescent="0.25">
      <c r="A4464" s="675" t="s">
        <v>2788</v>
      </c>
      <c r="B4464" s="675" t="s">
        <v>545</v>
      </c>
      <c r="C4464" s="676" t="s">
        <v>4378</v>
      </c>
      <c r="D4464" s="675"/>
      <c r="E4464" s="702"/>
      <c r="F4464" s="702"/>
      <c r="G4464" s="675"/>
      <c r="H4464" s="675"/>
      <c r="I4464" s="675"/>
      <c r="J4464" s="675"/>
      <c r="K4464" s="675"/>
      <c r="L4464" s="675"/>
      <c r="M4464" s="675"/>
    </row>
    <row r="4465" spans="1:13" ht="30" x14ac:dyDescent="0.25">
      <c r="A4465" s="675" t="s">
        <v>2788</v>
      </c>
      <c r="B4465" s="675" t="s">
        <v>545</v>
      </c>
      <c r="C4465" s="676" t="s">
        <v>4379</v>
      </c>
      <c r="D4465" s="675"/>
      <c r="E4465" s="702"/>
      <c r="F4465" s="702"/>
      <c r="G4465" s="675"/>
      <c r="H4465" s="675"/>
      <c r="I4465" s="675"/>
      <c r="J4465" s="675"/>
      <c r="K4465" s="675"/>
      <c r="L4465" s="675"/>
      <c r="M4465" s="675"/>
    </row>
    <row r="4466" spans="1:13" ht="30" x14ac:dyDescent="0.25">
      <c r="A4466" s="675" t="s">
        <v>2788</v>
      </c>
      <c r="B4466" s="675" t="s">
        <v>564</v>
      </c>
      <c r="C4466" s="676" t="s">
        <v>4380</v>
      </c>
      <c r="D4466" s="675"/>
      <c r="E4466" s="702"/>
      <c r="F4466" s="702"/>
      <c r="G4466" s="675"/>
      <c r="H4466" s="675"/>
      <c r="I4466" s="675"/>
      <c r="J4466" s="675"/>
      <c r="K4466" s="675"/>
      <c r="L4466" s="675"/>
      <c r="M4466" s="675"/>
    </row>
    <row r="4467" spans="1:13" ht="30" x14ac:dyDescent="0.25">
      <c r="A4467" s="675" t="s">
        <v>2788</v>
      </c>
      <c r="B4467" s="675" t="s">
        <v>564</v>
      </c>
      <c r="C4467" s="676" t="s">
        <v>4381</v>
      </c>
      <c r="D4467" s="675"/>
      <c r="E4467" s="702"/>
      <c r="F4467" s="702"/>
      <c r="G4467" s="675"/>
      <c r="H4467" s="675"/>
      <c r="I4467" s="675"/>
      <c r="J4467" s="675"/>
      <c r="K4467" s="675"/>
      <c r="L4467" s="675"/>
      <c r="M4467" s="675"/>
    </row>
    <row r="4468" spans="1:13" x14ac:dyDescent="0.25">
      <c r="A4468" s="675" t="s">
        <v>2788</v>
      </c>
      <c r="B4468" s="675" t="s">
        <v>564</v>
      </c>
      <c r="C4468" s="676" t="s">
        <v>4382</v>
      </c>
      <c r="D4468" s="675"/>
      <c r="E4468" s="702"/>
      <c r="F4468" s="702"/>
      <c r="G4468" s="675"/>
      <c r="H4468" s="675"/>
      <c r="I4468" s="675"/>
      <c r="J4468" s="675"/>
      <c r="K4468" s="675"/>
      <c r="L4468" s="675"/>
      <c r="M4468" s="675"/>
    </row>
    <row r="4469" spans="1:13" ht="30" x14ac:dyDescent="0.25">
      <c r="A4469" s="675" t="s">
        <v>2788</v>
      </c>
      <c r="B4469" s="675" t="s">
        <v>564</v>
      </c>
      <c r="C4469" s="676" t="s">
        <v>4383</v>
      </c>
      <c r="D4469" s="675"/>
      <c r="E4469" s="702"/>
      <c r="F4469" s="702"/>
      <c r="G4469" s="675"/>
      <c r="H4469" s="675"/>
      <c r="I4469" s="675"/>
      <c r="J4469" s="675"/>
      <c r="K4469" s="675"/>
      <c r="L4469" s="675"/>
      <c r="M4469" s="675"/>
    </row>
    <row r="4470" spans="1:13" x14ac:dyDescent="0.25">
      <c r="A4470" s="675" t="s">
        <v>2788</v>
      </c>
      <c r="B4470" s="675" t="s">
        <v>564</v>
      </c>
      <c r="C4470" s="676" t="s">
        <v>4384</v>
      </c>
      <c r="D4470" s="675"/>
      <c r="E4470" s="702"/>
      <c r="F4470" s="702"/>
      <c r="G4470" s="675"/>
      <c r="H4470" s="675"/>
      <c r="I4470" s="675"/>
      <c r="J4470" s="675"/>
      <c r="K4470" s="675"/>
      <c r="L4470" s="675"/>
      <c r="M4470" s="675"/>
    </row>
    <row r="4471" spans="1:13" ht="30" x14ac:dyDescent="0.25">
      <c r="A4471" s="675" t="s">
        <v>2788</v>
      </c>
      <c r="B4471" s="675" t="s">
        <v>512</v>
      </c>
      <c r="C4471" s="676" t="s">
        <v>4385</v>
      </c>
      <c r="D4471" s="675"/>
      <c r="E4471" s="702"/>
      <c r="F4471" s="702"/>
      <c r="G4471" s="675"/>
      <c r="H4471" s="675"/>
      <c r="I4471" s="675"/>
      <c r="J4471" s="675"/>
      <c r="K4471" s="675"/>
      <c r="L4471" s="675"/>
      <c r="M4471" s="675"/>
    </row>
    <row r="4472" spans="1:13" x14ac:dyDescent="0.25">
      <c r="A4472" s="675" t="s">
        <v>2788</v>
      </c>
      <c r="B4472" s="675" t="s">
        <v>512</v>
      </c>
      <c r="C4472" s="676" t="s">
        <v>4386</v>
      </c>
      <c r="D4472" s="675"/>
      <c r="E4472" s="702"/>
      <c r="F4472" s="702"/>
      <c r="G4472" s="675"/>
      <c r="H4472" s="675"/>
      <c r="I4472" s="675"/>
      <c r="J4472" s="675"/>
      <c r="K4472" s="675"/>
      <c r="L4472" s="675"/>
      <c r="M4472" s="675"/>
    </row>
    <row r="4473" spans="1:13" x14ac:dyDescent="0.25">
      <c r="A4473" s="675" t="s">
        <v>2788</v>
      </c>
      <c r="B4473" s="675" t="s">
        <v>512</v>
      </c>
      <c r="C4473" s="676" t="s">
        <v>4387</v>
      </c>
      <c r="D4473" s="675"/>
      <c r="E4473" s="702"/>
      <c r="F4473" s="702"/>
      <c r="G4473" s="675"/>
      <c r="H4473" s="675"/>
      <c r="I4473" s="675"/>
      <c r="J4473" s="675"/>
      <c r="K4473" s="675"/>
      <c r="L4473" s="675"/>
      <c r="M4473" s="675"/>
    </row>
    <row r="4474" spans="1:13" ht="30" x14ac:dyDescent="0.25">
      <c r="A4474" s="675" t="s">
        <v>2788</v>
      </c>
      <c r="B4474" s="675" t="s">
        <v>512</v>
      </c>
      <c r="C4474" s="676" t="s">
        <v>4388</v>
      </c>
      <c r="D4474" s="675"/>
      <c r="E4474" s="702"/>
      <c r="F4474" s="702"/>
      <c r="G4474" s="675"/>
      <c r="H4474" s="675"/>
      <c r="I4474" s="675"/>
      <c r="J4474" s="675"/>
      <c r="K4474" s="675"/>
      <c r="L4474" s="675"/>
      <c r="M4474" s="675"/>
    </row>
    <row r="4475" spans="1:13" ht="30" x14ac:dyDescent="0.25">
      <c r="A4475" s="675" t="s">
        <v>2788</v>
      </c>
      <c r="B4475" s="675" t="s">
        <v>512</v>
      </c>
      <c r="C4475" s="676" t="s">
        <v>4389</v>
      </c>
      <c r="D4475" s="675"/>
      <c r="E4475" s="702"/>
      <c r="F4475" s="702"/>
      <c r="G4475" s="675"/>
      <c r="H4475" s="675"/>
      <c r="I4475" s="675"/>
      <c r="J4475" s="675"/>
      <c r="K4475" s="675"/>
      <c r="L4475" s="675"/>
      <c r="M4475" s="675"/>
    </row>
    <row r="4476" spans="1:13" ht="30" x14ac:dyDescent="0.25">
      <c r="A4476" s="675" t="s">
        <v>3667</v>
      </c>
      <c r="B4476" s="675" t="s">
        <v>545</v>
      </c>
      <c r="C4476" s="676" t="s">
        <v>4390</v>
      </c>
      <c r="D4476" s="675"/>
      <c r="E4476" s="702"/>
      <c r="F4476" s="702"/>
      <c r="G4476" s="675"/>
      <c r="H4476" s="675"/>
      <c r="I4476" s="675"/>
      <c r="J4476" s="675"/>
      <c r="K4476" s="675"/>
      <c r="L4476" s="675"/>
      <c r="M4476" s="675"/>
    </row>
    <row r="4477" spans="1:13" x14ac:dyDescent="0.25">
      <c r="A4477" s="675" t="s">
        <v>3667</v>
      </c>
      <c r="B4477" s="675" t="s">
        <v>545</v>
      </c>
      <c r="C4477" s="676" t="s">
        <v>4391</v>
      </c>
      <c r="D4477" s="675"/>
      <c r="E4477" s="702"/>
      <c r="F4477" s="702"/>
      <c r="G4477" s="675"/>
      <c r="H4477" s="675"/>
      <c r="I4477" s="675"/>
      <c r="J4477" s="675"/>
      <c r="K4477" s="675"/>
      <c r="L4477" s="675"/>
      <c r="M4477" s="675"/>
    </row>
    <row r="4478" spans="1:13" ht="30" x14ac:dyDescent="0.25">
      <c r="A4478" s="675" t="s">
        <v>3667</v>
      </c>
      <c r="B4478" s="675" t="s">
        <v>545</v>
      </c>
      <c r="C4478" s="676" t="s">
        <v>4392</v>
      </c>
      <c r="D4478" s="675"/>
      <c r="E4478" s="702"/>
      <c r="F4478" s="702"/>
      <c r="G4478" s="675"/>
      <c r="H4478" s="675"/>
      <c r="I4478" s="675"/>
      <c r="J4478" s="675"/>
      <c r="K4478" s="675"/>
      <c r="L4478" s="675"/>
      <c r="M4478" s="675"/>
    </row>
    <row r="4479" spans="1:13" x14ac:dyDescent="0.25">
      <c r="A4479" s="675" t="s">
        <v>3667</v>
      </c>
      <c r="B4479" s="675" t="s">
        <v>545</v>
      </c>
      <c r="C4479" s="676" t="s">
        <v>4393</v>
      </c>
      <c r="D4479" s="675"/>
      <c r="E4479" s="702"/>
      <c r="F4479" s="702"/>
      <c r="G4479" s="675"/>
      <c r="H4479" s="675"/>
      <c r="I4479" s="675"/>
      <c r="J4479" s="675"/>
      <c r="K4479" s="675"/>
      <c r="L4479" s="675"/>
      <c r="M4479" s="675"/>
    </row>
    <row r="4480" spans="1:13" x14ac:dyDescent="0.25">
      <c r="A4480" s="675" t="s">
        <v>3667</v>
      </c>
      <c r="B4480" s="675" t="s">
        <v>545</v>
      </c>
      <c r="C4480" s="676" t="s">
        <v>4394</v>
      </c>
      <c r="D4480" s="675"/>
      <c r="E4480" s="702"/>
      <c r="F4480" s="702"/>
      <c r="G4480" s="675"/>
      <c r="H4480" s="675"/>
      <c r="I4480" s="675"/>
      <c r="J4480" s="675"/>
      <c r="K4480" s="675"/>
      <c r="L4480" s="675"/>
      <c r="M4480" s="675"/>
    </row>
    <row r="4481" spans="1:13" x14ac:dyDescent="0.25">
      <c r="A4481" s="675" t="s">
        <v>3667</v>
      </c>
      <c r="B4481" s="675" t="s">
        <v>564</v>
      </c>
      <c r="C4481" s="676" t="s">
        <v>4395</v>
      </c>
      <c r="D4481" s="675"/>
      <c r="E4481" s="702"/>
      <c r="F4481" s="702"/>
      <c r="G4481" s="675"/>
      <c r="H4481" s="675"/>
      <c r="I4481" s="675"/>
      <c r="J4481" s="675"/>
      <c r="K4481" s="675"/>
      <c r="L4481" s="675"/>
      <c r="M4481" s="675"/>
    </row>
    <row r="4482" spans="1:13" ht="30" x14ac:dyDescent="0.25">
      <c r="A4482" s="675" t="s">
        <v>3667</v>
      </c>
      <c r="B4482" s="675" t="s">
        <v>564</v>
      </c>
      <c r="C4482" s="676" t="s">
        <v>4396</v>
      </c>
      <c r="D4482" s="675"/>
      <c r="E4482" s="702"/>
      <c r="F4482" s="702"/>
      <c r="G4482" s="675"/>
      <c r="H4482" s="675"/>
      <c r="I4482" s="675"/>
      <c r="J4482" s="675"/>
      <c r="K4482" s="675"/>
      <c r="L4482" s="675"/>
      <c r="M4482" s="675"/>
    </row>
    <row r="4483" spans="1:13" x14ac:dyDescent="0.25">
      <c r="A4483" s="675" t="s">
        <v>3667</v>
      </c>
      <c r="B4483" s="675" t="s">
        <v>564</v>
      </c>
      <c r="C4483" s="676" t="s">
        <v>4397</v>
      </c>
      <c r="D4483" s="675"/>
      <c r="E4483" s="702"/>
      <c r="F4483" s="702"/>
      <c r="G4483" s="675"/>
      <c r="H4483" s="675"/>
      <c r="I4483" s="675"/>
      <c r="J4483" s="675"/>
      <c r="K4483" s="675"/>
      <c r="L4483" s="675"/>
      <c r="M4483" s="675"/>
    </row>
    <row r="4484" spans="1:13" ht="30" x14ac:dyDescent="0.25">
      <c r="A4484" s="675" t="s">
        <v>3667</v>
      </c>
      <c r="B4484" s="675" t="s">
        <v>564</v>
      </c>
      <c r="C4484" s="676" t="s">
        <v>4398</v>
      </c>
      <c r="D4484" s="675"/>
      <c r="E4484" s="702"/>
      <c r="F4484" s="702"/>
      <c r="G4484" s="675"/>
      <c r="H4484" s="675"/>
      <c r="I4484" s="675"/>
      <c r="J4484" s="675"/>
      <c r="K4484" s="675"/>
      <c r="L4484" s="675"/>
      <c r="M4484" s="675"/>
    </row>
    <row r="4485" spans="1:13" ht="30" x14ac:dyDescent="0.25">
      <c r="A4485" s="675" t="s">
        <v>3667</v>
      </c>
      <c r="B4485" s="675" t="s">
        <v>564</v>
      </c>
      <c r="C4485" s="676" t="s">
        <v>4399</v>
      </c>
      <c r="D4485" s="675"/>
      <c r="E4485" s="702"/>
      <c r="F4485" s="702"/>
      <c r="G4485" s="675"/>
      <c r="H4485" s="675"/>
      <c r="I4485" s="675"/>
      <c r="J4485" s="675"/>
      <c r="K4485" s="675"/>
      <c r="L4485" s="675"/>
      <c r="M4485" s="675"/>
    </row>
    <row r="4486" spans="1:13" x14ac:dyDescent="0.25">
      <c r="A4486" s="675" t="s">
        <v>3667</v>
      </c>
      <c r="B4486" s="675" t="s">
        <v>512</v>
      </c>
      <c r="C4486" s="676" t="s">
        <v>4400</v>
      </c>
      <c r="D4486" s="675"/>
      <c r="E4486" s="702"/>
      <c r="F4486" s="702"/>
      <c r="G4486" s="675"/>
      <c r="H4486" s="675"/>
      <c r="I4486" s="675"/>
      <c r="J4486" s="675"/>
      <c r="K4486" s="675"/>
      <c r="L4486" s="675"/>
      <c r="M4486" s="675"/>
    </row>
    <row r="4487" spans="1:13" ht="30" x14ac:dyDescent="0.25">
      <c r="A4487" s="675" t="s">
        <v>3667</v>
      </c>
      <c r="B4487" s="675" t="s">
        <v>512</v>
      </c>
      <c r="C4487" s="676" t="s">
        <v>4401</v>
      </c>
      <c r="D4487" s="675"/>
      <c r="E4487" s="702"/>
      <c r="F4487" s="702"/>
      <c r="G4487" s="675"/>
      <c r="H4487" s="675"/>
      <c r="I4487" s="675"/>
      <c r="J4487" s="675"/>
      <c r="K4487" s="675"/>
      <c r="L4487" s="675"/>
      <c r="M4487" s="675"/>
    </row>
    <row r="4488" spans="1:13" x14ac:dyDescent="0.25">
      <c r="A4488" s="675" t="s">
        <v>3667</v>
      </c>
      <c r="B4488" s="675" t="s">
        <v>512</v>
      </c>
      <c r="C4488" s="676" t="s">
        <v>4402</v>
      </c>
      <c r="D4488" s="675"/>
      <c r="E4488" s="702"/>
      <c r="F4488" s="702"/>
      <c r="G4488" s="675"/>
      <c r="H4488" s="675"/>
      <c r="I4488" s="675"/>
      <c r="J4488" s="675"/>
      <c r="K4488" s="675"/>
      <c r="L4488" s="675"/>
      <c r="M4488" s="675"/>
    </row>
    <row r="4489" spans="1:13" x14ac:dyDescent="0.25">
      <c r="A4489" s="675" t="s">
        <v>3667</v>
      </c>
      <c r="B4489" s="675" t="s">
        <v>512</v>
      </c>
      <c r="C4489" s="676" t="s">
        <v>4403</v>
      </c>
      <c r="D4489" s="675"/>
      <c r="E4489" s="702"/>
      <c r="F4489" s="702"/>
      <c r="G4489" s="675"/>
      <c r="H4489" s="675"/>
      <c r="I4489" s="675"/>
      <c r="J4489" s="675"/>
      <c r="K4489" s="675"/>
      <c r="L4489" s="675"/>
      <c r="M4489" s="675"/>
    </row>
    <row r="4490" spans="1:13" ht="30" x14ac:dyDescent="0.25">
      <c r="A4490" s="675" t="s">
        <v>3667</v>
      </c>
      <c r="B4490" s="675" t="s">
        <v>512</v>
      </c>
      <c r="C4490" s="676" t="s">
        <v>4404</v>
      </c>
      <c r="D4490" s="675"/>
      <c r="E4490" s="702"/>
      <c r="F4490" s="702"/>
      <c r="G4490" s="675"/>
      <c r="H4490" s="675"/>
      <c r="I4490" s="675"/>
      <c r="J4490" s="675"/>
      <c r="K4490" s="675"/>
      <c r="L4490" s="675"/>
      <c r="M4490" s="675"/>
    </row>
    <row r="4491" spans="1:13" ht="30" x14ac:dyDescent="0.25">
      <c r="A4491" s="675" t="s">
        <v>3667</v>
      </c>
      <c r="B4491" s="675" t="s">
        <v>545</v>
      </c>
      <c r="C4491" s="676" t="s">
        <v>4405</v>
      </c>
      <c r="D4491" s="675"/>
      <c r="E4491" s="702"/>
      <c r="F4491" s="702"/>
      <c r="G4491" s="675"/>
      <c r="H4491" s="675"/>
      <c r="I4491" s="675"/>
      <c r="J4491" s="675"/>
      <c r="K4491" s="675"/>
      <c r="L4491" s="675"/>
      <c r="M4491" s="675"/>
    </row>
    <row r="4492" spans="1:13" x14ac:dyDescent="0.25">
      <c r="A4492" s="675" t="s">
        <v>3667</v>
      </c>
      <c r="B4492" s="675" t="s">
        <v>545</v>
      </c>
      <c r="C4492" s="676" t="s">
        <v>4406</v>
      </c>
      <c r="D4492" s="675"/>
      <c r="E4492" s="702"/>
      <c r="F4492" s="702"/>
      <c r="G4492" s="675"/>
      <c r="H4492" s="675"/>
      <c r="I4492" s="675"/>
      <c r="J4492" s="675"/>
      <c r="K4492" s="675"/>
      <c r="L4492" s="675"/>
      <c r="M4492" s="675"/>
    </row>
    <row r="4493" spans="1:13" x14ac:dyDescent="0.25">
      <c r="A4493" s="675" t="s">
        <v>3667</v>
      </c>
      <c r="B4493" s="675" t="s">
        <v>545</v>
      </c>
      <c r="C4493" s="676" t="s">
        <v>4407</v>
      </c>
      <c r="D4493" s="675"/>
      <c r="E4493" s="702"/>
      <c r="F4493" s="702"/>
      <c r="G4493" s="675"/>
      <c r="H4493" s="675"/>
      <c r="I4493" s="675"/>
      <c r="J4493" s="675"/>
      <c r="K4493" s="675"/>
      <c r="L4493" s="675"/>
      <c r="M4493" s="675"/>
    </row>
    <row r="4494" spans="1:13" x14ac:dyDescent="0.25">
      <c r="A4494" s="675" t="s">
        <v>3667</v>
      </c>
      <c r="B4494" s="675" t="s">
        <v>545</v>
      </c>
      <c r="C4494" s="676" t="s">
        <v>4408</v>
      </c>
      <c r="D4494" s="675"/>
      <c r="E4494" s="702"/>
      <c r="F4494" s="702"/>
      <c r="G4494" s="675"/>
      <c r="H4494" s="675"/>
      <c r="I4494" s="675"/>
      <c r="J4494" s="675"/>
      <c r="K4494" s="675"/>
      <c r="L4494" s="675"/>
      <c r="M4494" s="675"/>
    </row>
    <row r="4495" spans="1:13" ht="30" x14ac:dyDescent="0.25">
      <c r="A4495" s="675" t="s">
        <v>3667</v>
      </c>
      <c r="B4495" s="675" t="s">
        <v>545</v>
      </c>
      <c r="C4495" s="676" t="s">
        <v>4409</v>
      </c>
      <c r="D4495" s="675"/>
      <c r="E4495" s="702"/>
      <c r="F4495" s="702"/>
      <c r="G4495" s="675"/>
      <c r="H4495" s="675"/>
      <c r="I4495" s="675"/>
      <c r="J4495" s="675"/>
      <c r="K4495" s="675"/>
      <c r="L4495" s="675"/>
      <c r="M4495" s="675"/>
    </row>
    <row r="4496" spans="1:13" x14ac:dyDescent="0.25">
      <c r="A4496" s="675" t="s">
        <v>3667</v>
      </c>
      <c r="B4496" s="675" t="s">
        <v>564</v>
      </c>
      <c r="C4496" s="676" t="s">
        <v>4410</v>
      </c>
      <c r="D4496" s="675"/>
      <c r="E4496" s="702"/>
      <c r="F4496" s="702"/>
      <c r="G4496" s="675"/>
      <c r="H4496" s="675"/>
      <c r="I4496" s="675"/>
      <c r="J4496" s="675"/>
      <c r="K4496" s="675"/>
      <c r="L4496" s="675"/>
      <c r="M4496" s="675"/>
    </row>
    <row r="4497" spans="1:13" ht="30" x14ac:dyDescent="0.25">
      <c r="A4497" s="675" t="s">
        <v>3667</v>
      </c>
      <c r="B4497" s="675" t="s">
        <v>564</v>
      </c>
      <c r="C4497" s="676" t="s">
        <v>4411</v>
      </c>
      <c r="D4497" s="675"/>
      <c r="E4497" s="702"/>
      <c r="F4497" s="702"/>
      <c r="G4497" s="675"/>
      <c r="H4497" s="675"/>
      <c r="I4497" s="675"/>
      <c r="J4497" s="675"/>
      <c r="K4497" s="675"/>
      <c r="L4497" s="675"/>
      <c r="M4497" s="675"/>
    </row>
    <row r="4498" spans="1:13" ht="30" x14ac:dyDescent="0.25">
      <c r="A4498" s="675" t="s">
        <v>3667</v>
      </c>
      <c r="B4498" s="675" t="s">
        <v>564</v>
      </c>
      <c r="C4498" s="676" t="s">
        <v>4412</v>
      </c>
      <c r="D4498" s="675"/>
      <c r="E4498" s="702"/>
      <c r="F4498" s="702"/>
      <c r="G4498" s="675"/>
      <c r="H4498" s="675"/>
      <c r="I4498" s="675"/>
      <c r="J4498" s="675"/>
      <c r="K4498" s="675"/>
      <c r="L4498" s="675"/>
      <c r="M4498" s="675"/>
    </row>
    <row r="4499" spans="1:13" ht="30" x14ac:dyDescent="0.25">
      <c r="A4499" s="675" t="s">
        <v>3667</v>
      </c>
      <c r="B4499" s="675" t="s">
        <v>564</v>
      </c>
      <c r="C4499" s="676" t="s">
        <v>4413</v>
      </c>
      <c r="D4499" s="675"/>
      <c r="E4499" s="702"/>
      <c r="F4499" s="702"/>
      <c r="G4499" s="675"/>
      <c r="H4499" s="675"/>
      <c r="I4499" s="675"/>
      <c r="J4499" s="675"/>
      <c r="K4499" s="675"/>
      <c r="L4499" s="675"/>
      <c r="M4499" s="675"/>
    </row>
    <row r="4500" spans="1:13" x14ac:dyDescent="0.25">
      <c r="A4500" s="675" t="s">
        <v>3667</v>
      </c>
      <c r="B4500" s="675" t="s">
        <v>564</v>
      </c>
      <c r="C4500" s="676" t="s">
        <v>4414</v>
      </c>
      <c r="D4500" s="675"/>
      <c r="E4500" s="702"/>
      <c r="F4500" s="702"/>
      <c r="G4500" s="675"/>
      <c r="H4500" s="675"/>
      <c r="I4500" s="675"/>
      <c r="J4500" s="675"/>
      <c r="K4500" s="675"/>
      <c r="L4500" s="675"/>
      <c r="M4500" s="675"/>
    </row>
    <row r="4501" spans="1:13" ht="30" x14ac:dyDescent="0.25">
      <c r="A4501" s="675" t="s">
        <v>3667</v>
      </c>
      <c r="B4501" s="675" t="s">
        <v>512</v>
      </c>
      <c r="C4501" s="676" t="s">
        <v>4415</v>
      </c>
      <c r="D4501" s="675"/>
      <c r="E4501" s="702"/>
      <c r="F4501" s="702"/>
      <c r="G4501" s="675"/>
      <c r="H4501" s="675"/>
      <c r="I4501" s="675"/>
      <c r="J4501" s="675"/>
      <c r="K4501" s="675"/>
      <c r="L4501" s="675"/>
      <c r="M4501" s="675"/>
    </row>
    <row r="4502" spans="1:13" x14ac:dyDescent="0.25">
      <c r="A4502" s="675" t="s">
        <v>3667</v>
      </c>
      <c r="B4502" s="675" t="s">
        <v>512</v>
      </c>
      <c r="C4502" s="676" t="s">
        <v>4416</v>
      </c>
      <c r="D4502" s="675"/>
      <c r="E4502" s="702"/>
      <c r="F4502" s="702"/>
      <c r="G4502" s="675"/>
      <c r="H4502" s="675"/>
      <c r="I4502" s="675"/>
      <c r="J4502" s="675"/>
      <c r="K4502" s="675"/>
      <c r="L4502" s="675"/>
      <c r="M4502" s="675"/>
    </row>
    <row r="4503" spans="1:13" ht="30" x14ac:dyDescent="0.25">
      <c r="A4503" s="675" t="s">
        <v>3667</v>
      </c>
      <c r="B4503" s="675" t="s">
        <v>512</v>
      </c>
      <c r="C4503" s="676" t="s">
        <v>4417</v>
      </c>
      <c r="D4503" s="675"/>
      <c r="E4503" s="702"/>
      <c r="F4503" s="702"/>
      <c r="G4503" s="675"/>
      <c r="H4503" s="675"/>
      <c r="I4503" s="675"/>
      <c r="J4503" s="675"/>
      <c r="K4503" s="675"/>
      <c r="L4503" s="675"/>
      <c r="M4503" s="675"/>
    </row>
    <row r="4504" spans="1:13" ht="30" x14ac:dyDescent="0.25">
      <c r="A4504" s="675" t="s">
        <v>3667</v>
      </c>
      <c r="B4504" s="675" t="s">
        <v>512</v>
      </c>
      <c r="C4504" s="676" t="s">
        <v>4418</v>
      </c>
      <c r="D4504" s="675"/>
      <c r="E4504" s="702"/>
      <c r="F4504" s="702"/>
      <c r="G4504" s="675"/>
      <c r="H4504" s="675"/>
      <c r="I4504" s="675"/>
      <c r="J4504" s="675"/>
      <c r="K4504" s="675"/>
      <c r="L4504" s="675"/>
      <c r="M4504" s="675"/>
    </row>
    <row r="4505" spans="1:13" ht="30" x14ac:dyDescent="0.25">
      <c r="A4505" s="675" t="s">
        <v>3667</v>
      </c>
      <c r="B4505" s="675" t="s">
        <v>512</v>
      </c>
      <c r="C4505" s="676" t="s">
        <v>4419</v>
      </c>
      <c r="D4505" s="675"/>
      <c r="E4505" s="702"/>
      <c r="F4505" s="702"/>
      <c r="G4505" s="675"/>
      <c r="H4505" s="675"/>
      <c r="I4505" s="675"/>
      <c r="J4505" s="675"/>
      <c r="K4505" s="675"/>
      <c r="L4505" s="675"/>
      <c r="M4505" s="675"/>
    </row>
    <row r="4506" spans="1:13" ht="30" x14ac:dyDescent="0.25">
      <c r="A4506" s="675" t="s">
        <v>3698</v>
      </c>
      <c r="B4506" s="675" t="s">
        <v>545</v>
      </c>
      <c r="C4506" s="676" t="s">
        <v>4420</v>
      </c>
      <c r="D4506" s="675"/>
      <c r="E4506" s="702"/>
      <c r="F4506" s="702"/>
      <c r="G4506" s="675"/>
      <c r="H4506" s="675"/>
      <c r="I4506" s="675"/>
      <c r="J4506" s="675"/>
      <c r="K4506" s="675"/>
      <c r="L4506" s="675"/>
      <c r="M4506" s="675"/>
    </row>
    <row r="4507" spans="1:13" ht="30" x14ac:dyDescent="0.25">
      <c r="A4507" s="675" t="s">
        <v>3698</v>
      </c>
      <c r="B4507" s="675" t="s">
        <v>545</v>
      </c>
      <c r="C4507" s="676" t="s">
        <v>4421</v>
      </c>
      <c r="D4507" s="675"/>
      <c r="E4507" s="702"/>
      <c r="F4507" s="702"/>
      <c r="G4507" s="675"/>
      <c r="H4507" s="675"/>
      <c r="I4507" s="675"/>
      <c r="J4507" s="675"/>
      <c r="K4507" s="675"/>
      <c r="L4507" s="675"/>
      <c r="M4507" s="675"/>
    </row>
    <row r="4508" spans="1:13" x14ac:dyDescent="0.25">
      <c r="A4508" s="675" t="s">
        <v>3698</v>
      </c>
      <c r="B4508" s="675" t="s">
        <v>545</v>
      </c>
      <c r="C4508" s="676" t="s">
        <v>4422</v>
      </c>
      <c r="D4508" s="675"/>
      <c r="E4508" s="702"/>
      <c r="F4508" s="702"/>
      <c r="G4508" s="675"/>
      <c r="H4508" s="675"/>
      <c r="I4508" s="675"/>
      <c r="J4508" s="675"/>
      <c r="K4508" s="675"/>
      <c r="L4508" s="675"/>
      <c r="M4508" s="675"/>
    </row>
    <row r="4509" spans="1:13" ht="30" x14ac:dyDescent="0.25">
      <c r="A4509" s="675" t="s">
        <v>3698</v>
      </c>
      <c r="B4509" s="675" t="s">
        <v>545</v>
      </c>
      <c r="C4509" s="676" t="s">
        <v>4423</v>
      </c>
      <c r="D4509" s="675"/>
      <c r="E4509" s="702"/>
      <c r="F4509" s="702"/>
      <c r="G4509" s="675"/>
      <c r="H4509" s="675"/>
      <c r="I4509" s="675"/>
      <c r="J4509" s="675"/>
      <c r="K4509" s="675"/>
      <c r="L4509" s="675"/>
      <c r="M4509" s="675"/>
    </row>
    <row r="4510" spans="1:13" ht="30" x14ac:dyDescent="0.25">
      <c r="A4510" s="675" t="s">
        <v>3698</v>
      </c>
      <c r="B4510" s="675" t="s">
        <v>545</v>
      </c>
      <c r="C4510" s="676" t="s">
        <v>4424</v>
      </c>
      <c r="D4510" s="675"/>
      <c r="E4510" s="702"/>
      <c r="F4510" s="702"/>
      <c r="G4510" s="675"/>
      <c r="H4510" s="675"/>
      <c r="I4510" s="675"/>
      <c r="J4510" s="675"/>
      <c r="K4510" s="675"/>
      <c r="L4510" s="675"/>
      <c r="M4510" s="675"/>
    </row>
    <row r="4511" spans="1:13" ht="30" x14ac:dyDescent="0.25">
      <c r="A4511" s="675" t="s">
        <v>3698</v>
      </c>
      <c r="B4511" s="675" t="s">
        <v>564</v>
      </c>
      <c r="C4511" s="676" t="s">
        <v>4425</v>
      </c>
      <c r="D4511" s="675"/>
      <c r="E4511" s="702"/>
      <c r="F4511" s="702"/>
      <c r="G4511" s="675"/>
      <c r="H4511" s="675"/>
      <c r="I4511" s="675"/>
      <c r="J4511" s="675"/>
      <c r="K4511" s="675"/>
      <c r="L4511" s="675"/>
      <c r="M4511" s="675"/>
    </row>
    <row r="4512" spans="1:13" ht="30" x14ac:dyDescent="0.25">
      <c r="A4512" s="675" t="s">
        <v>3698</v>
      </c>
      <c r="B4512" s="675" t="s">
        <v>564</v>
      </c>
      <c r="C4512" s="676" t="s">
        <v>4426</v>
      </c>
      <c r="D4512" s="675"/>
      <c r="E4512" s="702"/>
      <c r="F4512" s="702"/>
      <c r="G4512" s="675"/>
      <c r="H4512" s="675"/>
      <c r="I4512" s="675"/>
      <c r="J4512" s="675"/>
      <c r="K4512" s="675"/>
      <c r="L4512" s="675"/>
      <c r="M4512" s="675"/>
    </row>
    <row r="4513" spans="1:13" ht="30" x14ac:dyDescent="0.25">
      <c r="A4513" s="675" t="s">
        <v>3698</v>
      </c>
      <c r="B4513" s="675" t="s">
        <v>564</v>
      </c>
      <c r="C4513" s="676" t="s">
        <v>4427</v>
      </c>
      <c r="D4513" s="675"/>
      <c r="E4513" s="702"/>
      <c r="F4513" s="702"/>
      <c r="G4513" s="675"/>
      <c r="H4513" s="675"/>
      <c r="I4513" s="675"/>
      <c r="J4513" s="675"/>
      <c r="K4513" s="675"/>
      <c r="L4513" s="675"/>
      <c r="M4513" s="675"/>
    </row>
    <row r="4514" spans="1:13" ht="30" x14ac:dyDescent="0.25">
      <c r="A4514" s="675" t="s">
        <v>3698</v>
      </c>
      <c r="B4514" s="675" t="s">
        <v>564</v>
      </c>
      <c r="C4514" s="676" t="s">
        <v>4428</v>
      </c>
      <c r="D4514" s="675"/>
      <c r="E4514" s="702"/>
      <c r="F4514" s="702"/>
      <c r="G4514" s="675"/>
      <c r="H4514" s="675"/>
      <c r="I4514" s="675"/>
      <c r="J4514" s="675"/>
      <c r="K4514" s="675"/>
      <c r="L4514" s="675"/>
      <c r="M4514" s="675"/>
    </row>
    <row r="4515" spans="1:13" ht="30" x14ac:dyDescent="0.25">
      <c r="A4515" s="675" t="s">
        <v>3698</v>
      </c>
      <c r="B4515" s="675" t="s">
        <v>564</v>
      </c>
      <c r="C4515" s="676" t="s">
        <v>4429</v>
      </c>
      <c r="D4515" s="675"/>
      <c r="E4515" s="702"/>
      <c r="F4515" s="702"/>
      <c r="G4515" s="675"/>
      <c r="H4515" s="675"/>
      <c r="I4515" s="675"/>
      <c r="J4515" s="675"/>
      <c r="K4515" s="675"/>
      <c r="L4515" s="675"/>
      <c r="M4515" s="675"/>
    </row>
    <row r="4516" spans="1:13" ht="30" x14ac:dyDescent="0.25">
      <c r="A4516" s="675" t="s">
        <v>3698</v>
      </c>
      <c r="B4516" s="675" t="s">
        <v>512</v>
      </c>
      <c r="C4516" s="676" t="s">
        <v>4430</v>
      </c>
      <c r="D4516" s="675"/>
      <c r="E4516" s="702"/>
      <c r="F4516" s="702"/>
      <c r="G4516" s="675"/>
      <c r="H4516" s="675"/>
      <c r="I4516" s="675"/>
      <c r="J4516" s="675"/>
      <c r="K4516" s="675"/>
      <c r="L4516" s="675"/>
      <c r="M4516" s="675"/>
    </row>
    <row r="4517" spans="1:13" ht="30" x14ac:dyDescent="0.25">
      <c r="A4517" s="675" t="s">
        <v>3698</v>
      </c>
      <c r="B4517" s="675" t="s">
        <v>512</v>
      </c>
      <c r="C4517" s="676" t="s">
        <v>4431</v>
      </c>
      <c r="D4517" s="675"/>
      <c r="E4517" s="702"/>
      <c r="F4517" s="702"/>
      <c r="G4517" s="675"/>
      <c r="H4517" s="675"/>
      <c r="I4517" s="675"/>
      <c r="J4517" s="675"/>
      <c r="K4517" s="675"/>
      <c r="L4517" s="675"/>
      <c r="M4517" s="675"/>
    </row>
    <row r="4518" spans="1:13" ht="30" x14ac:dyDescent="0.25">
      <c r="A4518" s="675" t="s">
        <v>3698</v>
      </c>
      <c r="B4518" s="675" t="s">
        <v>512</v>
      </c>
      <c r="C4518" s="676" t="s">
        <v>4432</v>
      </c>
      <c r="D4518" s="675"/>
      <c r="E4518" s="702"/>
      <c r="F4518" s="702"/>
      <c r="G4518" s="675"/>
      <c r="H4518" s="675"/>
      <c r="I4518" s="675"/>
      <c r="J4518" s="675"/>
      <c r="K4518" s="675"/>
      <c r="L4518" s="675"/>
      <c r="M4518" s="675"/>
    </row>
    <row r="4519" spans="1:13" ht="30" x14ac:dyDescent="0.25">
      <c r="A4519" s="675" t="s">
        <v>3698</v>
      </c>
      <c r="B4519" s="675" t="s">
        <v>512</v>
      </c>
      <c r="C4519" s="676" t="s">
        <v>4433</v>
      </c>
      <c r="D4519" s="675"/>
      <c r="E4519" s="702"/>
      <c r="F4519" s="702"/>
      <c r="G4519" s="675"/>
      <c r="H4519" s="675"/>
      <c r="I4519" s="675"/>
      <c r="J4519" s="675"/>
      <c r="K4519" s="675"/>
      <c r="L4519" s="675"/>
      <c r="M4519" s="675"/>
    </row>
    <row r="4520" spans="1:13" x14ac:dyDescent="0.25">
      <c r="A4520" s="675" t="s">
        <v>3698</v>
      </c>
      <c r="B4520" s="675" t="s">
        <v>512</v>
      </c>
      <c r="C4520" s="676" t="s">
        <v>4434</v>
      </c>
      <c r="D4520" s="675"/>
      <c r="E4520" s="702"/>
      <c r="F4520" s="702"/>
      <c r="G4520" s="675"/>
      <c r="H4520" s="675"/>
      <c r="I4520" s="675"/>
      <c r="J4520" s="675"/>
      <c r="K4520" s="675"/>
      <c r="L4520" s="675"/>
      <c r="M4520" s="675"/>
    </row>
    <row r="4521" spans="1:13" ht="30" x14ac:dyDescent="0.25">
      <c r="A4521" s="675" t="s">
        <v>3698</v>
      </c>
      <c r="B4521" s="675" t="s">
        <v>545</v>
      </c>
      <c r="C4521" s="676" t="s">
        <v>4435</v>
      </c>
      <c r="D4521" s="675"/>
      <c r="E4521" s="702"/>
      <c r="F4521" s="702"/>
      <c r="G4521" s="675"/>
      <c r="H4521" s="675"/>
      <c r="I4521" s="675"/>
      <c r="J4521" s="675"/>
      <c r="K4521" s="675"/>
      <c r="L4521" s="675"/>
      <c r="M4521" s="675"/>
    </row>
    <row r="4522" spans="1:13" ht="30" x14ac:dyDescent="0.25">
      <c r="A4522" s="675" t="s">
        <v>3698</v>
      </c>
      <c r="B4522" s="675" t="s">
        <v>545</v>
      </c>
      <c r="C4522" s="676" t="s">
        <v>4436</v>
      </c>
      <c r="D4522" s="675"/>
      <c r="E4522" s="702"/>
      <c r="F4522" s="702"/>
      <c r="G4522" s="675"/>
      <c r="H4522" s="675"/>
      <c r="I4522" s="675"/>
      <c r="J4522" s="675"/>
      <c r="K4522" s="675"/>
      <c r="L4522" s="675"/>
      <c r="M4522" s="675"/>
    </row>
    <row r="4523" spans="1:13" ht="30" x14ac:dyDescent="0.25">
      <c r="A4523" s="675" t="s">
        <v>3698</v>
      </c>
      <c r="B4523" s="675" t="s">
        <v>545</v>
      </c>
      <c r="C4523" s="676" t="s">
        <v>4437</v>
      </c>
      <c r="D4523" s="675"/>
      <c r="E4523" s="702"/>
      <c r="F4523" s="702"/>
      <c r="G4523" s="675"/>
      <c r="H4523" s="675"/>
      <c r="I4523" s="675"/>
      <c r="J4523" s="675"/>
      <c r="K4523" s="675"/>
      <c r="L4523" s="675"/>
      <c r="M4523" s="675"/>
    </row>
    <row r="4524" spans="1:13" x14ac:dyDescent="0.25">
      <c r="A4524" s="675" t="s">
        <v>3698</v>
      </c>
      <c r="B4524" s="675" t="s">
        <v>545</v>
      </c>
      <c r="C4524" s="676" t="s">
        <v>4438</v>
      </c>
      <c r="D4524" s="675"/>
      <c r="E4524" s="702"/>
      <c r="F4524" s="702"/>
      <c r="G4524" s="675"/>
      <c r="H4524" s="675"/>
      <c r="I4524" s="675"/>
      <c r="J4524" s="675"/>
      <c r="K4524" s="675"/>
      <c r="L4524" s="675"/>
      <c r="M4524" s="675"/>
    </row>
    <row r="4525" spans="1:13" x14ac:dyDescent="0.25">
      <c r="A4525" s="675" t="s">
        <v>3698</v>
      </c>
      <c r="B4525" s="675" t="s">
        <v>545</v>
      </c>
      <c r="C4525" s="676" t="s">
        <v>4439</v>
      </c>
      <c r="D4525" s="675"/>
      <c r="E4525" s="702"/>
      <c r="F4525" s="702"/>
      <c r="G4525" s="675"/>
      <c r="H4525" s="675"/>
      <c r="I4525" s="675"/>
      <c r="J4525" s="675"/>
      <c r="K4525" s="675"/>
      <c r="L4525" s="675"/>
      <c r="M4525" s="675"/>
    </row>
    <row r="4526" spans="1:13" ht="30" x14ac:dyDescent="0.25">
      <c r="A4526" s="675" t="s">
        <v>3698</v>
      </c>
      <c r="B4526" s="675" t="s">
        <v>564</v>
      </c>
      <c r="C4526" s="676" t="s">
        <v>4440</v>
      </c>
      <c r="D4526" s="675"/>
      <c r="E4526" s="702"/>
      <c r="F4526" s="702"/>
      <c r="G4526" s="675"/>
      <c r="H4526" s="675"/>
      <c r="I4526" s="675"/>
      <c r="J4526" s="675"/>
      <c r="K4526" s="675"/>
      <c r="L4526" s="675"/>
      <c r="M4526" s="675"/>
    </row>
    <row r="4527" spans="1:13" ht="30" x14ac:dyDescent="0.25">
      <c r="A4527" s="675" t="s">
        <v>3698</v>
      </c>
      <c r="B4527" s="675" t="s">
        <v>564</v>
      </c>
      <c r="C4527" s="676" t="s">
        <v>4441</v>
      </c>
      <c r="D4527" s="675"/>
      <c r="E4527" s="702"/>
      <c r="F4527" s="702"/>
      <c r="G4527" s="675"/>
      <c r="H4527" s="675"/>
      <c r="I4527" s="675"/>
      <c r="J4527" s="675"/>
      <c r="K4527" s="675"/>
      <c r="L4527" s="675"/>
      <c r="M4527" s="675"/>
    </row>
    <row r="4528" spans="1:13" x14ac:dyDescent="0.25">
      <c r="A4528" s="675" t="s">
        <v>3698</v>
      </c>
      <c r="B4528" s="675" t="s">
        <v>564</v>
      </c>
      <c r="C4528" s="676" t="s">
        <v>4442</v>
      </c>
      <c r="D4528" s="675"/>
      <c r="E4528" s="702"/>
      <c r="F4528" s="702"/>
      <c r="G4528" s="675"/>
      <c r="H4528" s="675"/>
      <c r="I4528" s="675"/>
      <c r="J4528" s="675"/>
      <c r="K4528" s="675"/>
      <c r="L4528" s="675"/>
      <c r="M4528" s="675"/>
    </row>
    <row r="4529" spans="1:13" ht="30" x14ac:dyDescent="0.25">
      <c r="A4529" s="675" t="s">
        <v>3698</v>
      </c>
      <c r="B4529" s="675" t="s">
        <v>564</v>
      </c>
      <c r="C4529" s="676" t="s">
        <v>4443</v>
      </c>
      <c r="D4529" s="675"/>
      <c r="E4529" s="702"/>
      <c r="F4529" s="702"/>
      <c r="G4529" s="675"/>
      <c r="H4529" s="675"/>
      <c r="I4529" s="675"/>
      <c r="J4529" s="675"/>
      <c r="K4529" s="675"/>
      <c r="L4529" s="675"/>
      <c r="M4529" s="675"/>
    </row>
    <row r="4530" spans="1:13" x14ac:dyDescent="0.25">
      <c r="A4530" s="675" t="s">
        <v>3698</v>
      </c>
      <c r="B4530" s="675" t="s">
        <v>564</v>
      </c>
      <c r="C4530" s="676" t="s">
        <v>4444</v>
      </c>
      <c r="D4530" s="675"/>
      <c r="E4530" s="702"/>
      <c r="F4530" s="702"/>
      <c r="G4530" s="675"/>
      <c r="H4530" s="675"/>
      <c r="I4530" s="675"/>
      <c r="J4530" s="675"/>
      <c r="K4530" s="675"/>
      <c r="L4530" s="675"/>
      <c r="M4530" s="675"/>
    </row>
    <row r="4531" spans="1:13" x14ac:dyDescent="0.25">
      <c r="A4531" s="675" t="s">
        <v>3698</v>
      </c>
      <c r="B4531" s="675" t="s">
        <v>512</v>
      </c>
      <c r="C4531" s="676" t="s">
        <v>4445</v>
      </c>
      <c r="D4531" s="675"/>
      <c r="E4531" s="702"/>
      <c r="F4531" s="702"/>
      <c r="G4531" s="675"/>
      <c r="H4531" s="675"/>
      <c r="I4531" s="675"/>
      <c r="J4531" s="675"/>
      <c r="K4531" s="675"/>
      <c r="L4531" s="675"/>
      <c r="M4531" s="675"/>
    </row>
    <row r="4532" spans="1:13" x14ac:dyDescent="0.25">
      <c r="A4532" s="675" t="s">
        <v>3698</v>
      </c>
      <c r="B4532" s="675" t="s">
        <v>512</v>
      </c>
      <c r="C4532" s="676" t="s">
        <v>4446</v>
      </c>
      <c r="D4532" s="675"/>
      <c r="E4532" s="702"/>
      <c r="F4532" s="702"/>
      <c r="G4532" s="675"/>
      <c r="H4532" s="675"/>
      <c r="I4532" s="675"/>
      <c r="J4532" s="675"/>
      <c r="K4532" s="675"/>
      <c r="L4532" s="675"/>
      <c r="M4532" s="675"/>
    </row>
    <row r="4533" spans="1:13" x14ac:dyDescent="0.25">
      <c r="A4533" s="675" t="s">
        <v>3698</v>
      </c>
      <c r="B4533" s="675" t="s">
        <v>512</v>
      </c>
      <c r="C4533" s="676" t="s">
        <v>4447</v>
      </c>
      <c r="D4533" s="675"/>
      <c r="E4533" s="702"/>
      <c r="F4533" s="702"/>
      <c r="G4533" s="675"/>
      <c r="H4533" s="675"/>
      <c r="I4533" s="675"/>
      <c r="J4533" s="675"/>
      <c r="K4533" s="675"/>
      <c r="L4533" s="675"/>
      <c r="M4533" s="675"/>
    </row>
    <row r="4534" spans="1:13" ht="30" x14ac:dyDescent="0.25">
      <c r="A4534" s="675" t="s">
        <v>3698</v>
      </c>
      <c r="B4534" s="675" t="s">
        <v>512</v>
      </c>
      <c r="C4534" s="676" t="s">
        <v>4448</v>
      </c>
      <c r="D4534" s="675"/>
      <c r="E4534" s="702"/>
      <c r="F4534" s="702"/>
      <c r="G4534" s="675"/>
      <c r="H4534" s="675"/>
      <c r="I4534" s="675"/>
      <c r="J4534" s="675"/>
      <c r="K4534" s="675"/>
      <c r="L4534" s="675"/>
      <c r="M4534" s="675"/>
    </row>
    <row r="4535" spans="1:13" ht="30" x14ac:dyDescent="0.25">
      <c r="A4535" s="675" t="s">
        <v>3698</v>
      </c>
      <c r="B4535" s="675" t="s">
        <v>512</v>
      </c>
      <c r="C4535" s="676" t="s">
        <v>4449</v>
      </c>
      <c r="D4535" s="675"/>
      <c r="E4535" s="702"/>
      <c r="F4535" s="702"/>
      <c r="G4535" s="675"/>
      <c r="H4535" s="675"/>
      <c r="I4535" s="675"/>
      <c r="J4535" s="675"/>
      <c r="K4535" s="675"/>
      <c r="L4535" s="675"/>
      <c r="M4535" s="675"/>
    </row>
    <row r="4536" spans="1:13" ht="30" x14ac:dyDescent="0.25">
      <c r="A4536" s="675" t="s">
        <v>3729</v>
      </c>
      <c r="B4536" s="675" t="s">
        <v>545</v>
      </c>
      <c r="C4536" s="676" t="s">
        <v>4450</v>
      </c>
      <c r="D4536" s="675"/>
      <c r="E4536" s="702"/>
      <c r="F4536" s="702"/>
      <c r="G4536" s="675"/>
      <c r="H4536" s="675"/>
      <c r="I4536" s="675"/>
      <c r="J4536" s="675"/>
      <c r="K4536" s="675"/>
      <c r="L4536" s="675"/>
      <c r="M4536" s="675"/>
    </row>
    <row r="4537" spans="1:13" ht="30" x14ac:dyDescent="0.25">
      <c r="A4537" s="675" t="s">
        <v>3729</v>
      </c>
      <c r="B4537" s="675" t="s">
        <v>545</v>
      </c>
      <c r="C4537" s="676" t="s">
        <v>4451</v>
      </c>
      <c r="D4537" s="675"/>
      <c r="E4537" s="702"/>
      <c r="F4537" s="702"/>
      <c r="G4537" s="675"/>
      <c r="H4537" s="675"/>
      <c r="I4537" s="675"/>
      <c r="J4537" s="675"/>
      <c r="K4537" s="675"/>
      <c r="L4537" s="675"/>
      <c r="M4537" s="675"/>
    </row>
    <row r="4538" spans="1:13" ht="30" x14ac:dyDescent="0.25">
      <c r="A4538" s="675" t="s">
        <v>3729</v>
      </c>
      <c r="B4538" s="675" t="s">
        <v>545</v>
      </c>
      <c r="C4538" s="676" t="s">
        <v>4452</v>
      </c>
      <c r="D4538" s="675"/>
      <c r="E4538" s="702"/>
      <c r="F4538" s="702"/>
      <c r="G4538" s="675"/>
      <c r="H4538" s="675"/>
      <c r="I4538" s="675"/>
      <c r="J4538" s="675"/>
      <c r="K4538" s="675"/>
      <c r="L4538" s="675"/>
      <c r="M4538" s="675"/>
    </row>
    <row r="4539" spans="1:13" ht="30" x14ac:dyDescent="0.25">
      <c r="A4539" s="675" t="s">
        <v>3729</v>
      </c>
      <c r="B4539" s="675" t="s">
        <v>545</v>
      </c>
      <c r="C4539" s="676" t="s">
        <v>4453</v>
      </c>
      <c r="D4539" s="675"/>
      <c r="E4539" s="702"/>
      <c r="F4539" s="702"/>
      <c r="G4539" s="675"/>
      <c r="H4539" s="675"/>
      <c r="I4539" s="675"/>
      <c r="J4539" s="675"/>
      <c r="K4539" s="675"/>
      <c r="L4539" s="675"/>
      <c r="M4539" s="675"/>
    </row>
    <row r="4540" spans="1:13" ht="30" x14ac:dyDescent="0.25">
      <c r="A4540" s="675" t="s">
        <v>3729</v>
      </c>
      <c r="B4540" s="675" t="s">
        <v>545</v>
      </c>
      <c r="C4540" s="676" t="s">
        <v>4454</v>
      </c>
      <c r="D4540" s="675"/>
      <c r="E4540" s="702"/>
      <c r="F4540" s="702"/>
      <c r="G4540" s="675"/>
      <c r="H4540" s="675"/>
      <c r="I4540" s="675"/>
      <c r="J4540" s="675"/>
      <c r="K4540" s="675"/>
      <c r="L4540" s="675"/>
      <c r="M4540" s="675"/>
    </row>
    <row r="4541" spans="1:13" ht="30" x14ac:dyDescent="0.25">
      <c r="A4541" s="675" t="s">
        <v>3729</v>
      </c>
      <c r="B4541" s="675" t="s">
        <v>564</v>
      </c>
      <c r="C4541" s="676" t="s">
        <v>4455</v>
      </c>
      <c r="D4541" s="675"/>
      <c r="E4541" s="702"/>
      <c r="F4541" s="702"/>
      <c r="G4541" s="675"/>
      <c r="H4541" s="675"/>
      <c r="I4541" s="675"/>
      <c r="J4541" s="675"/>
      <c r="K4541" s="675"/>
      <c r="L4541" s="675"/>
      <c r="M4541" s="675"/>
    </row>
    <row r="4542" spans="1:13" ht="30" x14ac:dyDescent="0.25">
      <c r="A4542" s="675" t="s">
        <v>3729</v>
      </c>
      <c r="B4542" s="675" t="s">
        <v>564</v>
      </c>
      <c r="C4542" s="676" t="s">
        <v>4456</v>
      </c>
      <c r="D4542" s="675"/>
      <c r="E4542" s="702"/>
      <c r="F4542" s="702"/>
      <c r="G4542" s="675"/>
      <c r="H4542" s="675"/>
      <c r="I4542" s="675"/>
      <c r="J4542" s="675"/>
      <c r="K4542" s="675"/>
      <c r="L4542" s="675"/>
      <c r="M4542" s="675"/>
    </row>
    <row r="4543" spans="1:13" ht="30" x14ac:dyDescent="0.25">
      <c r="A4543" s="675" t="s">
        <v>3729</v>
      </c>
      <c r="B4543" s="675" t="s">
        <v>564</v>
      </c>
      <c r="C4543" s="676" t="s">
        <v>4457</v>
      </c>
      <c r="D4543" s="675"/>
      <c r="E4543" s="702"/>
      <c r="F4543" s="702"/>
      <c r="G4543" s="675"/>
      <c r="H4543" s="675"/>
      <c r="I4543" s="675"/>
      <c r="J4543" s="675"/>
      <c r="K4543" s="675"/>
      <c r="L4543" s="675"/>
      <c r="M4543" s="675"/>
    </row>
    <row r="4544" spans="1:13" ht="30" x14ac:dyDescent="0.25">
      <c r="A4544" s="675" t="s">
        <v>3729</v>
      </c>
      <c r="B4544" s="675" t="s">
        <v>564</v>
      </c>
      <c r="C4544" s="676" t="s">
        <v>4458</v>
      </c>
      <c r="D4544" s="675"/>
      <c r="E4544" s="702"/>
      <c r="F4544" s="702"/>
      <c r="G4544" s="675"/>
      <c r="H4544" s="675"/>
      <c r="I4544" s="675"/>
      <c r="J4544" s="675"/>
      <c r="K4544" s="675"/>
      <c r="L4544" s="675"/>
      <c r="M4544" s="675"/>
    </row>
    <row r="4545" spans="1:13" x14ac:dyDescent="0.25">
      <c r="A4545" s="675" t="s">
        <v>3729</v>
      </c>
      <c r="B4545" s="675" t="s">
        <v>564</v>
      </c>
      <c r="C4545" s="676" t="s">
        <v>4459</v>
      </c>
      <c r="D4545" s="675"/>
      <c r="E4545" s="702"/>
      <c r="F4545" s="702"/>
      <c r="G4545" s="675"/>
      <c r="H4545" s="675"/>
      <c r="I4545" s="675"/>
      <c r="J4545" s="675"/>
      <c r="K4545" s="675"/>
      <c r="L4545" s="675"/>
      <c r="M4545" s="675"/>
    </row>
    <row r="4546" spans="1:13" ht="30" x14ac:dyDescent="0.25">
      <c r="A4546" s="675" t="s">
        <v>3729</v>
      </c>
      <c r="B4546" s="675" t="s">
        <v>512</v>
      </c>
      <c r="C4546" s="676" t="s">
        <v>4460</v>
      </c>
      <c r="D4546" s="675"/>
      <c r="E4546" s="702"/>
      <c r="F4546" s="702"/>
      <c r="G4546" s="675"/>
      <c r="H4546" s="675"/>
      <c r="I4546" s="675"/>
      <c r="J4546" s="675"/>
      <c r="K4546" s="675"/>
      <c r="L4546" s="675"/>
      <c r="M4546" s="675"/>
    </row>
    <row r="4547" spans="1:13" x14ac:dyDescent="0.25">
      <c r="A4547" s="675" t="s">
        <v>3729</v>
      </c>
      <c r="B4547" s="675" t="s">
        <v>512</v>
      </c>
      <c r="C4547" s="676" t="s">
        <v>4461</v>
      </c>
      <c r="D4547" s="675"/>
      <c r="E4547" s="702"/>
      <c r="F4547" s="702"/>
      <c r="G4547" s="675"/>
      <c r="H4547" s="675"/>
      <c r="I4547" s="675"/>
      <c r="J4547" s="675"/>
      <c r="K4547" s="675"/>
      <c r="L4547" s="675"/>
      <c r="M4547" s="675"/>
    </row>
    <row r="4548" spans="1:13" x14ac:dyDescent="0.25">
      <c r="A4548" s="675" t="s">
        <v>3729</v>
      </c>
      <c r="B4548" s="675" t="s">
        <v>512</v>
      </c>
      <c r="C4548" s="676" t="s">
        <v>4462</v>
      </c>
      <c r="D4548" s="675"/>
      <c r="E4548" s="702"/>
      <c r="F4548" s="702"/>
      <c r="G4548" s="675"/>
      <c r="H4548" s="675"/>
      <c r="I4548" s="675"/>
      <c r="J4548" s="675"/>
      <c r="K4548" s="675"/>
      <c r="L4548" s="675"/>
      <c r="M4548" s="675"/>
    </row>
    <row r="4549" spans="1:13" ht="30" x14ac:dyDescent="0.25">
      <c r="A4549" s="675" t="s">
        <v>3729</v>
      </c>
      <c r="B4549" s="675" t="s">
        <v>512</v>
      </c>
      <c r="C4549" s="676" t="s">
        <v>4463</v>
      </c>
      <c r="D4549" s="675"/>
      <c r="E4549" s="702"/>
      <c r="F4549" s="702"/>
      <c r="G4549" s="675"/>
      <c r="H4549" s="675"/>
      <c r="I4549" s="675"/>
      <c r="J4549" s="675"/>
      <c r="K4549" s="675"/>
      <c r="L4549" s="675"/>
      <c r="M4549" s="675"/>
    </row>
    <row r="4550" spans="1:13" ht="30" x14ac:dyDescent="0.25">
      <c r="A4550" s="675" t="s">
        <v>3729</v>
      </c>
      <c r="B4550" s="675" t="s">
        <v>512</v>
      </c>
      <c r="C4550" s="676" t="s">
        <v>4464</v>
      </c>
      <c r="D4550" s="675"/>
      <c r="E4550" s="702"/>
      <c r="F4550" s="702"/>
      <c r="G4550" s="675"/>
      <c r="H4550" s="675"/>
      <c r="I4550" s="675"/>
      <c r="J4550" s="675"/>
      <c r="K4550" s="675"/>
      <c r="L4550" s="675"/>
      <c r="M4550" s="675"/>
    </row>
    <row r="4551" spans="1:13" ht="30" x14ac:dyDescent="0.25">
      <c r="A4551" s="675" t="s">
        <v>3760</v>
      </c>
      <c r="B4551" s="675" t="s">
        <v>545</v>
      </c>
      <c r="C4551" s="676" t="s">
        <v>4465</v>
      </c>
      <c r="D4551" s="675"/>
      <c r="E4551" s="702"/>
      <c r="F4551" s="702"/>
      <c r="G4551" s="675"/>
      <c r="H4551" s="675"/>
      <c r="I4551" s="675"/>
      <c r="J4551" s="675"/>
      <c r="K4551" s="675"/>
      <c r="L4551" s="675"/>
      <c r="M4551" s="675"/>
    </row>
    <row r="4552" spans="1:13" ht="30" x14ac:dyDescent="0.25">
      <c r="A4552" s="675" t="s">
        <v>3760</v>
      </c>
      <c r="B4552" s="675" t="s">
        <v>545</v>
      </c>
      <c r="C4552" s="676" t="s">
        <v>4466</v>
      </c>
      <c r="D4552" s="675"/>
      <c r="E4552" s="702"/>
      <c r="F4552" s="702"/>
      <c r="G4552" s="675"/>
      <c r="H4552" s="675"/>
      <c r="I4552" s="675"/>
      <c r="J4552" s="675"/>
      <c r="K4552" s="675"/>
      <c r="L4552" s="675"/>
      <c r="M4552" s="675"/>
    </row>
    <row r="4553" spans="1:13" ht="30" x14ac:dyDescent="0.25">
      <c r="A4553" s="675" t="s">
        <v>3760</v>
      </c>
      <c r="B4553" s="675" t="s">
        <v>545</v>
      </c>
      <c r="C4553" s="676" t="s">
        <v>4467</v>
      </c>
      <c r="D4553" s="675"/>
      <c r="E4553" s="702"/>
      <c r="F4553" s="702"/>
      <c r="G4553" s="675"/>
      <c r="H4553" s="675"/>
      <c r="I4553" s="675"/>
      <c r="J4553" s="675"/>
      <c r="K4553" s="675"/>
      <c r="L4553" s="675"/>
      <c r="M4553" s="675"/>
    </row>
    <row r="4554" spans="1:13" ht="30" x14ac:dyDescent="0.25">
      <c r="A4554" s="675" t="s">
        <v>3760</v>
      </c>
      <c r="B4554" s="675" t="s">
        <v>545</v>
      </c>
      <c r="C4554" s="676" t="s">
        <v>4468</v>
      </c>
      <c r="D4554" s="675"/>
      <c r="E4554" s="702"/>
      <c r="F4554" s="702"/>
      <c r="G4554" s="675"/>
      <c r="H4554" s="675"/>
      <c r="I4554" s="675"/>
      <c r="J4554" s="675"/>
      <c r="K4554" s="675"/>
      <c r="L4554" s="675"/>
      <c r="M4554" s="675"/>
    </row>
    <row r="4555" spans="1:13" ht="30" x14ac:dyDescent="0.25">
      <c r="A4555" s="675" t="s">
        <v>3760</v>
      </c>
      <c r="B4555" s="675" t="s">
        <v>545</v>
      </c>
      <c r="C4555" s="676" t="s">
        <v>4469</v>
      </c>
      <c r="D4555" s="675"/>
      <c r="E4555" s="702"/>
      <c r="F4555" s="702"/>
      <c r="G4555" s="675"/>
      <c r="H4555" s="675"/>
      <c r="I4555" s="675"/>
      <c r="J4555" s="675"/>
      <c r="K4555" s="675"/>
      <c r="L4555" s="675"/>
      <c r="M4555" s="675"/>
    </row>
    <row r="4556" spans="1:13" x14ac:dyDescent="0.25">
      <c r="A4556" s="675" t="s">
        <v>3760</v>
      </c>
      <c r="B4556" s="675" t="s">
        <v>564</v>
      </c>
      <c r="C4556" s="676" t="s">
        <v>4470</v>
      </c>
      <c r="D4556" s="675"/>
      <c r="E4556" s="702"/>
      <c r="F4556" s="702"/>
      <c r="G4556" s="675"/>
      <c r="H4556" s="675"/>
      <c r="I4556" s="675"/>
      <c r="J4556" s="675"/>
      <c r="K4556" s="675"/>
      <c r="L4556" s="675"/>
      <c r="M4556" s="675"/>
    </row>
    <row r="4557" spans="1:13" ht="30" x14ac:dyDescent="0.25">
      <c r="A4557" s="675" t="s">
        <v>3760</v>
      </c>
      <c r="B4557" s="675" t="s">
        <v>564</v>
      </c>
      <c r="C4557" s="676" t="s">
        <v>4471</v>
      </c>
      <c r="D4557" s="675"/>
      <c r="E4557" s="702"/>
      <c r="F4557" s="702"/>
      <c r="G4557" s="675"/>
      <c r="H4557" s="675"/>
      <c r="I4557" s="675"/>
      <c r="J4557" s="675"/>
      <c r="K4557" s="675"/>
      <c r="L4557" s="675"/>
      <c r="M4557" s="675"/>
    </row>
    <row r="4558" spans="1:13" ht="30" x14ac:dyDescent="0.25">
      <c r="A4558" s="675" t="s">
        <v>3760</v>
      </c>
      <c r="B4558" s="675" t="s">
        <v>564</v>
      </c>
      <c r="C4558" s="676" t="s">
        <v>4472</v>
      </c>
      <c r="D4558" s="675"/>
      <c r="E4558" s="702"/>
      <c r="F4558" s="702"/>
      <c r="G4558" s="675"/>
      <c r="H4558" s="675"/>
      <c r="I4558" s="675"/>
      <c r="J4558" s="675"/>
      <c r="K4558" s="675"/>
      <c r="L4558" s="675"/>
      <c r="M4558" s="675"/>
    </row>
    <row r="4559" spans="1:13" ht="30" x14ac:dyDescent="0.25">
      <c r="A4559" s="675" t="s">
        <v>3760</v>
      </c>
      <c r="B4559" s="675" t="s">
        <v>564</v>
      </c>
      <c r="C4559" s="676" t="s">
        <v>4473</v>
      </c>
      <c r="D4559" s="675"/>
      <c r="E4559" s="702"/>
      <c r="F4559" s="702"/>
      <c r="G4559" s="675"/>
      <c r="H4559" s="675"/>
      <c r="I4559" s="675"/>
      <c r="J4559" s="675"/>
      <c r="K4559" s="675"/>
      <c r="L4559" s="675"/>
      <c r="M4559" s="675"/>
    </row>
    <row r="4560" spans="1:13" x14ac:dyDescent="0.25">
      <c r="A4560" s="675" t="s">
        <v>3760</v>
      </c>
      <c r="B4560" s="675" t="s">
        <v>564</v>
      </c>
      <c r="C4560" s="676" t="s">
        <v>4474</v>
      </c>
      <c r="D4560" s="675"/>
      <c r="E4560" s="702"/>
      <c r="F4560" s="702"/>
      <c r="G4560" s="675"/>
      <c r="H4560" s="675"/>
      <c r="I4560" s="675"/>
      <c r="J4560" s="675"/>
      <c r="K4560" s="675"/>
      <c r="L4560" s="675"/>
      <c r="M4560" s="675"/>
    </row>
    <row r="4561" spans="1:13" ht="30" x14ac:dyDescent="0.25">
      <c r="A4561" s="675" t="s">
        <v>3760</v>
      </c>
      <c r="B4561" s="675" t="s">
        <v>512</v>
      </c>
      <c r="C4561" s="676" t="s">
        <v>4475</v>
      </c>
      <c r="D4561" s="675"/>
      <c r="E4561" s="702"/>
      <c r="F4561" s="702"/>
      <c r="G4561" s="675"/>
      <c r="H4561" s="675"/>
      <c r="I4561" s="675"/>
      <c r="J4561" s="675"/>
      <c r="K4561" s="675"/>
      <c r="L4561" s="675"/>
      <c r="M4561" s="675"/>
    </row>
    <row r="4562" spans="1:13" ht="30" x14ac:dyDescent="0.25">
      <c r="A4562" s="675" t="s">
        <v>3760</v>
      </c>
      <c r="B4562" s="675" t="s">
        <v>512</v>
      </c>
      <c r="C4562" s="676" t="s">
        <v>4476</v>
      </c>
      <c r="D4562" s="675"/>
      <c r="E4562" s="702"/>
      <c r="F4562" s="702"/>
      <c r="G4562" s="675"/>
      <c r="H4562" s="675"/>
      <c r="I4562" s="675"/>
      <c r="J4562" s="675"/>
      <c r="K4562" s="675"/>
      <c r="L4562" s="675"/>
      <c r="M4562" s="675"/>
    </row>
    <row r="4563" spans="1:13" ht="30" x14ac:dyDescent="0.25">
      <c r="A4563" s="675" t="s">
        <v>3760</v>
      </c>
      <c r="B4563" s="675" t="s">
        <v>512</v>
      </c>
      <c r="C4563" s="676" t="s">
        <v>4477</v>
      </c>
      <c r="D4563" s="675"/>
      <c r="E4563" s="702"/>
      <c r="F4563" s="702"/>
      <c r="G4563" s="675"/>
      <c r="H4563" s="675"/>
      <c r="I4563" s="675"/>
      <c r="J4563" s="675"/>
      <c r="K4563" s="675"/>
      <c r="L4563" s="675"/>
      <c r="M4563" s="675"/>
    </row>
    <row r="4564" spans="1:13" x14ac:dyDescent="0.25">
      <c r="A4564" s="675" t="s">
        <v>3760</v>
      </c>
      <c r="B4564" s="675" t="s">
        <v>512</v>
      </c>
      <c r="C4564" s="676" t="s">
        <v>4478</v>
      </c>
      <c r="D4564" s="675"/>
      <c r="E4564" s="702"/>
      <c r="F4564" s="702"/>
      <c r="G4564" s="675"/>
      <c r="H4564" s="675"/>
      <c r="I4564" s="675"/>
      <c r="J4564" s="675"/>
      <c r="K4564" s="675"/>
      <c r="L4564" s="675"/>
      <c r="M4564" s="675"/>
    </row>
    <row r="4565" spans="1:13" x14ac:dyDescent="0.25">
      <c r="A4565" s="675" t="s">
        <v>3760</v>
      </c>
      <c r="B4565" s="675" t="s">
        <v>512</v>
      </c>
      <c r="C4565" s="676" t="s">
        <v>4479</v>
      </c>
      <c r="D4565" s="675"/>
      <c r="E4565" s="702"/>
      <c r="F4565" s="702"/>
      <c r="G4565" s="675"/>
      <c r="H4565" s="675"/>
      <c r="I4565" s="675"/>
      <c r="J4565" s="675"/>
      <c r="K4565" s="675"/>
      <c r="L4565" s="675"/>
      <c r="M4565" s="675"/>
    </row>
    <row r="4566" spans="1:13" ht="30" x14ac:dyDescent="0.25">
      <c r="A4566" s="675" t="s">
        <v>2692</v>
      </c>
      <c r="B4566" s="675" t="s">
        <v>545</v>
      </c>
      <c r="C4566" s="676" t="s">
        <v>4480</v>
      </c>
      <c r="D4566" s="675"/>
      <c r="E4566" s="702"/>
      <c r="F4566" s="702"/>
      <c r="G4566" s="675"/>
      <c r="H4566" s="675"/>
      <c r="I4566" s="675"/>
      <c r="J4566" s="675"/>
      <c r="K4566" s="675"/>
      <c r="L4566" s="675"/>
      <c r="M4566" s="675"/>
    </row>
    <row r="4567" spans="1:13" ht="30" x14ac:dyDescent="0.25">
      <c r="A4567" s="675" t="s">
        <v>2692</v>
      </c>
      <c r="B4567" s="675" t="s">
        <v>545</v>
      </c>
      <c r="C4567" s="676" t="s">
        <v>4481</v>
      </c>
      <c r="D4567" s="675"/>
      <c r="E4567" s="702"/>
      <c r="F4567" s="702"/>
      <c r="G4567" s="675"/>
      <c r="H4567" s="675"/>
      <c r="I4567" s="675"/>
      <c r="J4567" s="675"/>
      <c r="K4567" s="675"/>
      <c r="L4567" s="675"/>
      <c r="M4567" s="675"/>
    </row>
    <row r="4568" spans="1:13" x14ac:dyDescent="0.25">
      <c r="A4568" s="675" t="s">
        <v>2692</v>
      </c>
      <c r="B4568" s="675" t="s">
        <v>545</v>
      </c>
      <c r="C4568" s="676" t="s">
        <v>4482</v>
      </c>
      <c r="D4568" s="675"/>
      <c r="E4568" s="702"/>
      <c r="F4568" s="702"/>
      <c r="G4568" s="675"/>
      <c r="H4568" s="675"/>
      <c r="I4568" s="675"/>
      <c r="J4568" s="675"/>
      <c r="K4568" s="675"/>
      <c r="L4568" s="675"/>
      <c r="M4568" s="675"/>
    </row>
    <row r="4569" spans="1:13" x14ac:dyDescent="0.25">
      <c r="A4569" s="675" t="s">
        <v>2692</v>
      </c>
      <c r="B4569" s="675" t="s">
        <v>545</v>
      </c>
      <c r="C4569" s="676" t="s">
        <v>4483</v>
      </c>
      <c r="D4569" s="675"/>
      <c r="E4569" s="702"/>
      <c r="F4569" s="702"/>
      <c r="G4569" s="675"/>
      <c r="H4569" s="675"/>
      <c r="I4569" s="675"/>
      <c r="J4569" s="675"/>
      <c r="K4569" s="675"/>
      <c r="L4569" s="675"/>
      <c r="M4569" s="675"/>
    </row>
    <row r="4570" spans="1:13" ht="30" x14ac:dyDescent="0.25">
      <c r="A4570" s="675" t="s">
        <v>2692</v>
      </c>
      <c r="B4570" s="675" t="s">
        <v>545</v>
      </c>
      <c r="C4570" s="676" t="s">
        <v>4484</v>
      </c>
      <c r="D4570" s="675"/>
      <c r="E4570" s="702"/>
      <c r="F4570" s="702"/>
      <c r="G4570" s="675"/>
      <c r="H4570" s="675"/>
      <c r="I4570" s="675"/>
      <c r="J4570" s="675"/>
      <c r="K4570" s="675"/>
      <c r="L4570" s="675"/>
      <c r="M4570" s="675"/>
    </row>
    <row r="4571" spans="1:13" ht="30" x14ac:dyDescent="0.25">
      <c r="A4571" s="675" t="s">
        <v>2692</v>
      </c>
      <c r="B4571" s="675" t="s">
        <v>564</v>
      </c>
      <c r="C4571" s="676" t="s">
        <v>4485</v>
      </c>
      <c r="D4571" s="675"/>
      <c r="E4571" s="702"/>
      <c r="F4571" s="702"/>
      <c r="G4571" s="675"/>
      <c r="H4571" s="675"/>
      <c r="I4571" s="675"/>
      <c r="J4571" s="675"/>
      <c r="K4571" s="675"/>
      <c r="L4571" s="675"/>
      <c r="M4571" s="675"/>
    </row>
    <row r="4572" spans="1:13" ht="30" x14ac:dyDescent="0.25">
      <c r="A4572" s="675" t="s">
        <v>2692</v>
      </c>
      <c r="B4572" s="675" t="s">
        <v>564</v>
      </c>
      <c r="C4572" s="676" t="s">
        <v>4486</v>
      </c>
      <c r="D4572" s="675"/>
      <c r="E4572" s="702"/>
      <c r="F4572" s="702"/>
      <c r="G4572" s="675"/>
      <c r="H4572" s="675"/>
      <c r="I4572" s="675"/>
      <c r="J4572" s="675"/>
      <c r="K4572" s="675"/>
      <c r="L4572" s="675"/>
      <c r="M4572" s="675"/>
    </row>
    <row r="4573" spans="1:13" ht="30" x14ac:dyDescent="0.25">
      <c r="A4573" s="675" t="s">
        <v>2692</v>
      </c>
      <c r="B4573" s="675" t="s">
        <v>564</v>
      </c>
      <c r="C4573" s="676" t="s">
        <v>4487</v>
      </c>
      <c r="D4573" s="675"/>
      <c r="E4573" s="702"/>
      <c r="F4573" s="702"/>
      <c r="G4573" s="675"/>
      <c r="H4573" s="675"/>
      <c r="I4573" s="675"/>
      <c r="J4573" s="675"/>
      <c r="K4573" s="675"/>
      <c r="L4573" s="675"/>
      <c r="M4573" s="675"/>
    </row>
    <row r="4574" spans="1:13" ht="30" x14ac:dyDescent="0.25">
      <c r="A4574" s="675" t="s">
        <v>2692</v>
      </c>
      <c r="B4574" s="675" t="s">
        <v>564</v>
      </c>
      <c r="C4574" s="676" t="s">
        <v>4488</v>
      </c>
      <c r="D4574" s="675"/>
      <c r="E4574" s="702"/>
      <c r="F4574" s="702"/>
      <c r="G4574" s="675"/>
      <c r="H4574" s="675"/>
      <c r="I4574" s="675"/>
      <c r="J4574" s="675"/>
      <c r="K4574" s="675"/>
      <c r="L4574" s="675"/>
      <c r="M4574" s="675"/>
    </row>
    <row r="4575" spans="1:13" ht="30" x14ac:dyDescent="0.25">
      <c r="A4575" s="675" t="s">
        <v>2692</v>
      </c>
      <c r="B4575" s="675" t="s">
        <v>564</v>
      </c>
      <c r="C4575" s="676" t="s">
        <v>4489</v>
      </c>
      <c r="D4575" s="675"/>
      <c r="E4575" s="702"/>
      <c r="F4575" s="702"/>
      <c r="G4575" s="675"/>
      <c r="H4575" s="675"/>
      <c r="I4575" s="675"/>
      <c r="J4575" s="675"/>
      <c r="K4575" s="675"/>
      <c r="L4575" s="675"/>
      <c r="M4575" s="675"/>
    </row>
    <row r="4576" spans="1:13" x14ac:dyDescent="0.25">
      <c r="A4576" s="675" t="s">
        <v>2692</v>
      </c>
      <c r="B4576" s="675" t="s">
        <v>512</v>
      </c>
      <c r="C4576" s="676" t="s">
        <v>4490</v>
      </c>
      <c r="D4576" s="675"/>
      <c r="E4576" s="702"/>
      <c r="F4576" s="702"/>
      <c r="G4576" s="675"/>
      <c r="H4576" s="675"/>
      <c r="I4576" s="675"/>
      <c r="J4576" s="675"/>
      <c r="K4576" s="675"/>
      <c r="L4576" s="675"/>
      <c r="M4576" s="675"/>
    </row>
    <row r="4577" spans="1:13" ht="30" x14ac:dyDescent="0.25">
      <c r="A4577" s="675" t="s">
        <v>2692</v>
      </c>
      <c r="B4577" s="675" t="s">
        <v>512</v>
      </c>
      <c r="C4577" s="676" t="s">
        <v>4491</v>
      </c>
      <c r="D4577" s="675"/>
      <c r="E4577" s="702"/>
      <c r="F4577" s="702"/>
      <c r="G4577" s="675"/>
      <c r="H4577" s="675"/>
      <c r="I4577" s="675"/>
      <c r="J4577" s="675"/>
      <c r="K4577" s="675"/>
      <c r="L4577" s="675"/>
      <c r="M4577" s="675"/>
    </row>
    <row r="4578" spans="1:13" ht="30" x14ac:dyDescent="0.25">
      <c r="A4578" s="675" t="s">
        <v>2692</v>
      </c>
      <c r="B4578" s="675" t="s">
        <v>512</v>
      </c>
      <c r="C4578" s="676" t="s">
        <v>4492</v>
      </c>
      <c r="D4578" s="675"/>
      <c r="E4578" s="702"/>
      <c r="F4578" s="702"/>
      <c r="G4578" s="675"/>
      <c r="H4578" s="675"/>
      <c r="I4578" s="675"/>
      <c r="J4578" s="675"/>
      <c r="K4578" s="675"/>
      <c r="L4578" s="675"/>
      <c r="M4578" s="675"/>
    </row>
    <row r="4579" spans="1:13" x14ac:dyDescent="0.25">
      <c r="A4579" s="675" t="s">
        <v>2692</v>
      </c>
      <c r="B4579" s="675" t="s">
        <v>512</v>
      </c>
      <c r="C4579" s="676" t="s">
        <v>4493</v>
      </c>
      <c r="D4579" s="675"/>
      <c r="E4579" s="702"/>
      <c r="F4579" s="702"/>
      <c r="G4579" s="675"/>
      <c r="H4579" s="675"/>
      <c r="I4579" s="675"/>
      <c r="J4579" s="675"/>
      <c r="K4579" s="675"/>
      <c r="L4579" s="675"/>
      <c r="M4579" s="675"/>
    </row>
    <row r="4580" spans="1:13" ht="30" x14ac:dyDescent="0.25">
      <c r="A4580" s="675" t="s">
        <v>2692</v>
      </c>
      <c r="B4580" s="675" t="s">
        <v>512</v>
      </c>
      <c r="C4580" s="676" t="s">
        <v>4494</v>
      </c>
      <c r="D4580" s="675"/>
      <c r="E4580" s="702"/>
      <c r="F4580" s="702"/>
      <c r="G4580" s="675"/>
      <c r="H4580" s="675"/>
      <c r="I4580" s="675"/>
      <c r="J4580" s="675"/>
      <c r="K4580" s="675"/>
      <c r="L4580" s="675"/>
      <c r="M4580" s="675"/>
    </row>
    <row r="4581" spans="1:13" ht="30" x14ac:dyDescent="0.25">
      <c r="A4581" s="675" t="s">
        <v>2692</v>
      </c>
      <c r="B4581" s="675" t="s">
        <v>545</v>
      </c>
      <c r="C4581" s="676" t="s">
        <v>4495</v>
      </c>
      <c r="D4581" s="675"/>
      <c r="E4581" s="702"/>
      <c r="F4581" s="702"/>
      <c r="G4581" s="675"/>
      <c r="H4581" s="675"/>
      <c r="I4581" s="675"/>
      <c r="J4581" s="675"/>
      <c r="K4581" s="675"/>
      <c r="L4581" s="675"/>
      <c r="M4581" s="675"/>
    </row>
    <row r="4582" spans="1:13" ht="30" x14ac:dyDescent="0.25">
      <c r="A4582" s="675" t="s">
        <v>2692</v>
      </c>
      <c r="B4582" s="675" t="s">
        <v>545</v>
      </c>
      <c r="C4582" s="676" t="s">
        <v>4496</v>
      </c>
      <c r="D4582" s="675"/>
      <c r="E4582" s="702"/>
      <c r="F4582" s="702"/>
      <c r="G4582" s="675"/>
      <c r="H4582" s="675"/>
      <c r="I4582" s="675"/>
      <c r="J4582" s="675"/>
      <c r="K4582" s="675"/>
      <c r="L4582" s="675"/>
      <c r="M4582" s="675"/>
    </row>
    <row r="4583" spans="1:13" x14ac:dyDescent="0.25">
      <c r="A4583" s="675" t="s">
        <v>2692</v>
      </c>
      <c r="B4583" s="675" t="s">
        <v>545</v>
      </c>
      <c r="C4583" s="676" t="s">
        <v>4497</v>
      </c>
      <c r="D4583" s="675"/>
      <c r="E4583" s="702"/>
      <c r="F4583" s="702"/>
      <c r="G4583" s="675"/>
      <c r="H4583" s="675"/>
      <c r="I4583" s="675"/>
      <c r="J4583" s="675"/>
      <c r="K4583" s="675"/>
      <c r="L4583" s="675"/>
      <c r="M4583" s="675"/>
    </row>
    <row r="4584" spans="1:13" x14ac:dyDescent="0.25">
      <c r="A4584" s="675" t="s">
        <v>2692</v>
      </c>
      <c r="B4584" s="675" t="s">
        <v>545</v>
      </c>
      <c r="C4584" s="676" t="s">
        <v>4498</v>
      </c>
      <c r="D4584" s="675"/>
      <c r="E4584" s="702"/>
      <c r="F4584" s="702"/>
      <c r="G4584" s="675"/>
      <c r="H4584" s="675"/>
      <c r="I4584" s="675"/>
      <c r="J4584" s="675"/>
      <c r="K4584" s="675"/>
      <c r="L4584" s="675"/>
      <c r="M4584" s="675"/>
    </row>
    <row r="4585" spans="1:13" ht="30" x14ac:dyDescent="0.25">
      <c r="A4585" s="675" t="s">
        <v>2692</v>
      </c>
      <c r="B4585" s="675" t="s">
        <v>545</v>
      </c>
      <c r="C4585" s="676" t="s">
        <v>4499</v>
      </c>
      <c r="D4585" s="675"/>
      <c r="E4585" s="702"/>
      <c r="F4585" s="702"/>
      <c r="G4585" s="675"/>
      <c r="H4585" s="675"/>
      <c r="I4585" s="675"/>
      <c r="J4585" s="675"/>
      <c r="K4585" s="675"/>
      <c r="L4585" s="675"/>
      <c r="M4585" s="675"/>
    </row>
    <row r="4586" spans="1:13" ht="30" x14ac:dyDescent="0.25">
      <c r="A4586" s="675" t="s">
        <v>2692</v>
      </c>
      <c r="B4586" s="675" t="s">
        <v>564</v>
      </c>
      <c r="C4586" s="676" t="s">
        <v>4500</v>
      </c>
      <c r="D4586" s="675"/>
      <c r="E4586" s="702"/>
      <c r="F4586" s="702"/>
      <c r="G4586" s="675"/>
      <c r="H4586" s="675"/>
      <c r="I4586" s="675"/>
      <c r="J4586" s="675"/>
      <c r="K4586" s="675"/>
      <c r="L4586" s="675"/>
      <c r="M4586" s="675"/>
    </row>
    <row r="4587" spans="1:13" ht="30" x14ac:dyDescent="0.25">
      <c r="A4587" s="675" t="s">
        <v>2692</v>
      </c>
      <c r="B4587" s="675" t="s">
        <v>564</v>
      </c>
      <c r="C4587" s="676" t="s">
        <v>4501</v>
      </c>
      <c r="D4587" s="675"/>
      <c r="E4587" s="702"/>
      <c r="F4587" s="702"/>
      <c r="G4587" s="675"/>
      <c r="H4587" s="675"/>
      <c r="I4587" s="675"/>
      <c r="J4587" s="675"/>
      <c r="K4587" s="675"/>
      <c r="L4587" s="675"/>
      <c r="M4587" s="675"/>
    </row>
    <row r="4588" spans="1:13" ht="30" x14ac:dyDescent="0.25">
      <c r="A4588" s="675" t="s">
        <v>2692</v>
      </c>
      <c r="B4588" s="675" t="s">
        <v>564</v>
      </c>
      <c r="C4588" s="676" t="s">
        <v>4502</v>
      </c>
      <c r="D4588" s="675"/>
      <c r="E4588" s="702"/>
      <c r="F4588" s="702"/>
      <c r="G4588" s="675"/>
      <c r="H4588" s="675"/>
      <c r="I4588" s="675"/>
      <c r="J4588" s="675"/>
      <c r="K4588" s="675"/>
      <c r="L4588" s="675"/>
      <c r="M4588" s="675"/>
    </row>
    <row r="4589" spans="1:13" ht="30" x14ac:dyDescent="0.25">
      <c r="A4589" s="675" t="s">
        <v>2692</v>
      </c>
      <c r="B4589" s="675" t="s">
        <v>564</v>
      </c>
      <c r="C4589" s="676" t="s">
        <v>4503</v>
      </c>
      <c r="D4589" s="675"/>
      <c r="E4589" s="702"/>
      <c r="F4589" s="702"/>
      <c r="G4589" s="675"/>
      <c r="H4589" s="675"/>
      <c r="I4589" s="675"/>
      <c r="J4589" s="675"/>
      <c r="K4589" s="675"/>
      <c r="L4589" s="675"/>
      <c r="M4589" s="675"/>
    </row>
    <row r="4590" spans="1:13" ht="30" x14ac:dyDescent="0.25">
      <c r="A4590" s="675" t="s">
        <v>2692</v>
      </c>
      <c r="B4590" s="675" t="s">
        <v>564</v>
      </c>
      <c r="C4590" s="676" t="s">
        <v>4504</v>
      </c>
      <c r="D4590" s="675"/>
      <c r="E4590" s="702"/>
      <c r="F4590" s="702"/>
      <c r="G4590" s="675"/>
      <c r="H4590" s="675"/>
      <c r="I4590" s="675"/>
      <c r="J4590" s="675"/>
      <c r="K4590" s="675"/>
      <c r="L4590" s="675"/>
      <c r="M4590" s="675"/>
    </row>
    <row r="4591" spans="1:13" ht="30" x14ac:dyDescent="0.25">
      <c r="A4591" s="675" t="s">
        <v>2692</v>
      </c>
      <c r="B4591" s="675" t="s">
        <v>512</v>
      </c>
      <c r="C4591" s="676" t="s">
        <v>4505</v>
      </c>
      <c r="D4591" s="675"/>
      <c r="E4591" s="702"/>
      <c r="F4591" s="702"/>
      <c r="G4591" s="675"/>
      <c r="H4591" s="675"/>
      <c r="I4591" s="675"/>
      <c r="J4591" s="675"/>
      <c r="K4591" s="675"/>
      <c r="L4591" s="675"/>
      <c r="M4591" s="675"/>
    </row>
    <row r="4592" spans="1:13" ht="30" x14ac:dyDescent="0.25">
      <c r="A4592" s="675" t="s">
        <v>2692</v>
      </c>
      <c r="B4592" s="675" t="s">
        <v>512</v>
      </c>
      <c r="C4592" s="676" t="s">
        <v>4506</v>
      </c>
      <c r="D4592" s="675"/>
      <c r="E4592" s="702"/>
      <c r="F4592" s="702"/>
      <c r="G4592" s="675"/>
      <c r="H4592" s="675"/>
      <c r="I4592" s="675"/>
      <c r="J4592" s="675"/>
      <c r="K4592" s="675"/>
      <c r="L4592" s="675"/>
      <c r="M4592" s="675"/>
    </row>
    <row r="4593" spans="1:13" ht="30" x14ac:dyDescent="0.25">
      <c r="A4593" s="675" t="s">
        <v>2692</v>
      </c>
      <c r="B4593" s="675" t="s">
        <v>512</v>
      </c>
      <c r="C4593" s="676" t="s">
        <v>4507</v>
      </c>
      <c r="D4593" s="675"/>
      <c r="E4593" s="702"/>
      <c r="F4593" s="702"/>
      <c r="G4593" s="675"/>
      <c r="H4593" s="675"/>
      <c r="I4593" s="675"/>
      <c r="J4593" s="675"/>
      <c r="K4593" s="675"/>
      <c r="L4593" s="675"/>
      <c r="M4593" s="675"/>
    </row>
    <row r="4594" spans="1:13" ht="30" x14ac:dyDescent="0.25">
      <c r="A4594" s="675" t="s">
        <v>2692</v>
      </c>
      <c r="B4594" s="675" t="s">
        <v>512</v>
      </c>
      <c r="C4594" s="676" t="s">
        <v>4508</v>
      </c>
      <c r="D4594" s="675"/>
      <c r="E4594" s="702"/>
      <c r="F4594" s="702"/>
      <c r="G4594" s="675"/>
      <c r="H4594" s="675"/>
      <c r="I4594" s="675"/>
      <c r="J4594" s="675"/>
      <c r="K4594" s="675"/>
      <c r="L4594" s="675"/>
      <c r="M4594" s="675"/>
    </row>
    <row r="4595" spans="1:13" ht="30" x14ac:dyDescent="0.25">
      <c r="A4595" s="675" t="s">
        <v>2692</v>
      </c>
      <c r="B4595" s="675" t="s">
        <v>512</v>
      </c>
      <c r="C4595" s="676" t="s">
        <v>4509</v>
      </c>
      <c r="D4595" s="675"/>
      <c r="E4595" s="702"/>
      <c r="F4595" s="702"/>
      <c r="G4595" s="675"/>
      <c r="H4595" s="675"/>
      <c r="I4595" s="675"/>
      <c r="J4595" s="675"/>
      <c r="K4595" s="675"/>
      <c r="L4595" s="675"/>
      <c r="M4595" s="675"/>
    </row>
    <row r="4596" spans="1:13" x14ac:dyDescent="0.25">
      <c r="A4596" s="675" t="s">
        <v>3820</v>
      </c>
      <c r="B4596" s="675" t="s">
        <v>545</v>
      </c>
      <c r="C4596" s="676" t="s">
        <v>4510</v>
      </c>
      <c r="D4596" s="675"/>
      <c r="E4596" s="702"/>
      <c r="F4596" s="702"/>
      <c r="G4596" s="675"/>
      <c r="H4596" s="675"/>
      <c r="I4596" s="675"/>
      <c r="J4596" s="675"/>
      <c r="K4596" s="675"/>
      <c r="L4596" s="675"/>
      <c r="M4596" s="675"/>
    </row>
    <row r="4597" spans="1:13" ht="30" x14ac:dyDescent="0.25">
      <c r="A4597" s="675" t="s">
        <v>3820</v>
      </c>
      <c r="B4597" s="675" t="s">
        <v>545</v>
      </c>
      <c r="C4597" s="676" t="s">
        <v>4511</v>
      </c>
      <c r="D4597" s="675"/>
      <c r="E4597" s="702"/>
      <c r="F4597" s="702"/>
      <c r="G4597" s="675"/>
      <c r="H4597" s="675"/>
      <c r="I4597" s="675"/>
      <c r="J4597" s="675"/>
      <c r="K4597" s="675"/>
      <c r="L4597" s="675"/>
      <c r="M4597" s="675"/>
    </row>
    <row r="4598" spans="1:13" x14ac:dyDescent="0.25">
      <c r="A4598" s="675" t="s">
        <v>3820</v>
      </c>
      <c r="B4598" s="675" t="s">
        <v>545</v>
      </c>
      <c r="C4598" s="676" t="s">
        <v>4512</v>
      </c>
      <c r="D4598" s="675"/>
      <c r="E4598" s="702"/>
      <c r="F4598" s="702"/>
      <c r="G4598" s="675"/>
      <c r="H4598" s="675"/>
      <c r="I4598" s="675"/>
      <c r="J4598" s="675"/>
      <c r="K4598" s="675"/>
      <c r="L4598" s="675"/>
      <c r="M4598" s="675"/>
    </row>
    <row r="4599" spans="1:13" x14ac:dyDescent="0.25">
      <c r="A4599" s="675" t="s">
        <v>3820</v>
      </c>
      <c r="B4599" s="675" t="s">
        <v>545</v>
      </c>
      <c r="C4599" s="676" t="s">
        <v>4513</v>
      </c>
      <c r="D4599" s="675"/>
      <c r="E4599" s="702"/>
      <c r="F4599" s="702"/>
      <c r="G4599" s="675"/>
      <c r="H4599" s="675"/>
      <c r="I4599" s="675"/>
      <c r="J4599" s="675"/>
      <c r="K4599" s="675"/>
      <c r="L4599" s="675"/>
      <c r="M4599" s="675"/>
    </row>
    <row r="4600" spans="1:13" ht="30" x14ac:dyDescent="0.25">
      <c r="A4600" s="675" t="s">
        <v>3820</v>
      </c>
      <c r="B4600" s="675" t="s">
        <v>545</v>
      </c>
      <c r="C4600" s="676" t="s">
        <v>4514</v>
      </c>
      <c r="D4600" s="675"/>
      <c r="E4600" s="702"/>
      <c r="F4600" s="702"/>
      <c r="G4600" s="675"/>
      <c r="H4600" s="675"/>
      <c r="I4600" s="675"/>
      <c r="J4600" s="675"/>
      <c r="K4600" s="675"/>
      <c r="L4600" s="675"/>
      <c r="M4600" s="675"/>
    </row>
    <row r="4601" spans="1:13" ht="30" x14ac:dyDescent="0.25">
      <c r="A4601" s="675" t="s">
        <v>3820</v>
      </c>
      <c r="B4601" s="675" t="s">
        <v>564</v>
      </c>
      <c r="C4601" s="676" t="s">
        <v>4515</v>
      </c>
      <c r="D4601" s="675"/>
      <c r="E4601" s="702"/>
      <c r="F4601" s="702"/>
      <c r="G4601" s="675"/>
      <c r="H4601" s="675"/>
      <c r="I4601" s="675"/>
      <c r="J4601" s="675"/>
      <c r="K4601" s="675"/>
      <c r="L4601" s="675"/>
      <c r="M4601" s="675"/>
    </row>
    <row r="4602" spans="1:13" ht="30" x14ac:dyDescent="0.25">
      <c r="A4602" s="675" t="s">
        <v>3820</v>
      </c>
      <c r="B4602" s="675" t="s">
        <v>564</v>
      </c>
      <c r="C4602" s="676" t="s">
        <v>4516</v>
      </c>
      <c r="D4602" s="675"/>
      <c r="E4602" s="702"/>
      <c r="F4602" s="702"/>
      <c r="G4602" s="675"/>
      <c r="H4602" s="675"/>
      <c r="I4602" s="675"/>
      <c r="J4602" s="675"/>
      <c r="K4602" s="675"/>
      <c r="L4602" s="675"/>
      <c r="M4602" s="675"/>
    </row>
    <row r="4603" spans="1:13" ht="30" x14ac:dyDescent="0.25">
      <c r="A4603" s="675" t="s">
        <v>3820</v>
      </c>
      <c r="B4603" s="675" t="s">
        <v>564</v>
      </c>
      <c r="C4603" s="676" t="s">
        <v>4517</v>
      </c>
      <c r="D4603" s="675"/>
      <c r="E4603" s="702"/>
      <c r="F4603" s="702"/>
      <c r="G4603" s="675"/>
      <c r="H4603" s="675"/>
      <c r="I4603" s="675"/>
      <c r="J4603" s="675"/>
      <c r="K4603" s="675"/>
      <c r="L4603" s="675"/>
      <c r="M4603" s="675"/>
    </row>
    <row r="4604" spans="1:13" x14ac:dyDescent="0.25">
      <c r="A4604" s="675" t="s">
        <v>3820</v>
      </c>
      <c r="B4604" s="675" t="s">
        <v>564</v>
      </c>
      <c r="C4604" s="676" t="s">
        <v>4518</v>
      </c>
      <c r="D4604" s="675"/>
      <c r="E4604" s="702"/>
      <c r="F4604" s="702"/>
      <c r="G4604" s="675"/>
      <c r="H4604" s="675"/>
      <c r="I4604" s="675"/>
      <c r="J4604" s="675"/>
      <c r="K4604" s="675"/>
      <c r="L4604" s="675"/>
      <c r="M4604" s="675"/>
    </row>
    <row r="4605" spans="1:13" ht="30" x14ac:dyDescent="0.25">
      <c r="A4605" s="675" t="s">
        <v>3820</v>
      </c>
      <c r="B4605" s="675" t="s">
        <v>564</v>
      </c>
      <c r="C4605" s="676" t="s">
        <v>4519</v>
      </c>
      <c r="D4605" s="675"/>
      <c r="E4605" s="702"/>
      <c r="F4605" s="702"/>
      <c r="G4605" s="675"/>
      <c r="H4605" s="675"/>
      <c r="I4605" s="675"/>
      <c r="J4605" s="675"/>
      <c r="K4605" s="675"/>
      <c r="L4605" s="675"/>
      <c r="M4605" s="675"/>
    </row>
    <row r="4606" spans="1:13" ht="30" x14ac:dyDescent="0.25">
      <c r="A4606" s="675" t="s">
        <v>3820</v>
      </c>
      <c r="B4606" s="675" t="s">
        <v>512</v>
      </c>
      <c r="C4606" s="676" t="s">
        <v>4520</v>
      </c>
      <c r="D4606" s="675"/>
      <c r="E4606" s="702"/>
      <c r="F4606" s="702"/>
      <c r="G4606" s="675"/>
      <c r="H4606" s="675"/>
      <c r="I4606" s="675"/>
      <c r="J4606" s="675"/>
      <c r="K4606" s="675"/>
      <c r="L4606" s="675"/>
      <c r="M4606" s="675"/>
    </row>
    <row r="4607" spans="1:13" ht="30" x14ac:dyDescent="0.25">
      <c r="A4607" s="675" t="s">
        <v>3820</v>
      </c>
      <c r="B4607" s="675" t="s">
        <v>512</v>
      </c>
      <c r="C4607" s="676" t="s">
        <v>4521</v>
      </c>
      <c r="D4607" s="675"/>
      <c r="E4607" s="702"/>
      <c r="F4607" s="702"/>
      <c r="G4607" s="675"/>
      <c r="H4607" s="675"/>
      <c r="I4607" s="675"/>
      <c r="J4607" s="675"/>
      <c r="K4607" s="675"/>
      <c r="L4607" s="675"/>
      <c r="M4607" s="675"/>
    </row>
    <row r="4608" spans="1:13" ht="30" x14ac:dyDescent="0.25">
      <c r="A4608" s="675" t="s">
        <v>3820</v>
      </c>
      <c r="B4608" s="675" t="s">
        <v>512</v>
      </c>
      <c r="C4608" s="676" t="s">
        <v>4522</v>
      </c>
      <c r="D4608" s="675"/>
      <c r="E4608" s="702"/>
      <c r="F4608" s="702"/>
      <c r="G4608" s="675"/>
      <c r="H4608" s="675"/>
      <c r="I4608" s="675"/>
      <c r="J4608" s="675"/>
      <c r="K4608" s="675"/>
      <c r="L4608" s="675"/>
      <c r="M4608" s="675"/>
    </row>
    <row r="4609" spans="1:13" x14ac:dyDescent="0.25">
      <c r="A4609" s="675" t="s">
        <v>3820</v>
      </c>
      <c r="B4609" s="675" t="s">
        <v>512</v>
      </c>
      <c r="C4609" s="676" t="s">
        <v>4523</v>
      </c>
      <c r="D4609" s="675"/>
      <c r="E4609" s="702"/>
      <c r="F4609" s="702"/>
      <c r="G4609" s="675"/>
      <c r="H4609" s="675"/>
      <c r="I4609" s="675"/>
      <c r="J4609" s="675"/>
      <c r="K4609" s="675"/>
      <c r="L4609" s="675"/>
      <c r="M4609" s="675"/>
    </row>
    <row r="4610" spans="1:13" x14ac:dyDescent="0.25">
      <c r="A4610" s="675" t="s">
        <v>3820</v>
      </c>
      <c r="B4610" s="675" t="s">
        <v>512</v>
      </c>
      <c r="C4610" s="676" t="s">
        <v>4524</v>
      </c>
      <c r="D4610" s="675"/>
      <c r="E4610" s="702"/>
      <c r="F4610" s="702"/>
      <c r="G4610" s="675"/>
      <c r="H4610" s="675"/>
      <c r="I4610" s="675"/>
      <c r="J4610" s="675"/>
      <c r="K4610" s="675"/>
      <c r="L4610" s="675"/>
      <c r="M4610" s="675"/>
    </row>
    <row r="4611" spans="1:13" ht="30" x14ac:dyDescent="0.25">
      <c r="A4611" s="675" t="s">
        <v>3820</v>
      </c>
      <c r="B4611" s="675" t="s">
        <v>545</v>
      </c>
      <c r="C4611" s="676" t="s">
        <v>4525</v>
      </c>
      <c r="D4611" s="675"/>
      <c r="E4611" s="702"/>
      <c r="F4611" s="702"/>
      <c r="G4611" s="675"/>
      <c r="H4611" s="675"/>
      <c r="I4611" s="675"/>
      <c r="J4611" s="675"/>
      <c r="K4611" s="675"/>
      <c r="L4611" s="675"/>
      <c r="M4611" s="675"/>
    </row>
    <row r="4612" spans="1:13" ht="30" x14ac:dyDescent="0.25">
      <c r="A4612" s="675" t="s">
        <v>3820</v>
      </c>
      <c r="B4612" s="675" t="s">
        <v>545</v>
      </c>
      <c r="C4612" s="676" t="s">
        <v>4526</v>
      </c>
      <c r="D4612" s="675"/>
      <c r="E4612" s="702"/>
      <c r="F4612" s="702"/>
      <c r="G4612" s="675"/>
      <c r="H4612" s="675"/>
      <c r="I4612" s="675"/>
      <c r="J4612" s="675"/>
      <c r="K4612" s="675"/>
      <c r="L4612" s="675"/>
      <c r="M4612" s="675"/>
    </row>
    <row r="4613" spans="1:13" ht="30" x14ac:dyDescent="0.25">
      <c r="A4613" s="675" t="s">
        <v>3820</v>
      </c>
      <c r="B4613" s="675" t="s">
        <v>545</v>
      </c>
      <c r="C4613" s="676" t="s">
        <v>4527</v>
      </c>
      <c r="D4613" s="675"/>
      <c r="E4613" s="702"/>
      <c r="F4613" s="702"/>
      <c r="G4613" s="675"/>
      <c r="H4613" s="675"/>
      <c r="I4613" s="675"/>
      <c r="J4613" s="675"/>
      <c r="K4613" s="675"/>
      <c r="L4613" s="675"/>
      <c r="M4613" s="675"/>
    </row>
    <row r="4614" spans="1:13" ht="30" x14ac:dyDescent="0.25">
      <c r="A4614" s="675" t="s">
        <v>3820</v>
      </c>
      <c r="B4614" s="675" t="s">
        <v>545</v>
      </c>
      <c r="C4614" s="676" t="s">
        <v>4528</v>
      </c>
      <c r="D4614" s="675"/>
      <c r="E4614" s="702"/>
      <c r="F4614" s="702"/>
      <c r="G4614" s="675"/>
      <c r="H4614" s="675"/>
      <c r="I4614" s="675"/>
      <c r="J4614" s="675"/>
      <c r="K4614" s="675"/>
      <c r="L4614" s="675"/>
      <c r="M4614" s="675"/>
    </row>
    <row r="4615" spans="1:13" ht="30" x14ac:dyDescent="0.25">
      <c r="A4615" s="675" t="s">
        <v>3820</v>
      </c>
      <c r="B4615" s="675" t="s">
        <v>545</v>
      </c>
      <c r="C4615" s="676" t="s">
        <v>4529</v>
      </c>
      <c r="D4615" s="675"/>
      <c r="E4615" s="702"/>
      <c r="F4615" s="702"/>
      <c r="G4615" s="675"/>
      <c r="H4615" s="675"/>
      <c r="I4615" s="675"/>
      <c r="J4615" s="675"/>
      <c r="K4615" s="675"/>
      <c r="L4615" s="675"/>
      <c r="M4615" s="675"/>
    </row>
    <row r="4616" spans="1:13" ht="30" x14ac:dyDescent="0.25">
      <c r="A4616" s="675" t="s">
        <v>3820</v>
      </c>
      <c r="B4616" s="675" t="s">
        <v>564</v>
      </c>
      <c r="C4616" s="676" t="s">
        <v>4530</v>
      </c>
      <c r="D4616" s="675"/>
      <c r="E4616" s="702"/>
      <c r="F4616" s="702"/>
      <c r="G4616" s="675"/>
      <c r="H4616" s="675"/>
      <c r="I4616" s="675"/>
      <c r="J4616" s="675"/>
      <c r="K4616" s="675"/>
      <c r="L4616" s="675"/>
      <c r="M4616" s="675"/>
    </row>
    <row r="4617" spans="1:13" ht="30" x14ac:dyDescent="0.25">
      <c r="A4617" s="675" t="s">
        <v>3820</v>
      </c>
      <c r="B4617" s="675" t="s">
        <v>564</v>
      </c>
      <c r="C4617" s="676" t="s">
        <v>4531</v>
      </c>
      <c r="D4617" s="675"/>
      <c r="E4617" s="702"/>
      <c r="F4617" s="702"/>
      <c r="G4617" s="675"/>
      <c r="H4617" s="675"/>
      <c r="I4617" s="675"/>
      <c r="J4617" s="675"/>
      <c r="K4617" s="675"/>
      <c r="L4617" s="675"/>
      <c r="M4617" s="675"/>
    </row>
    <row r="4618" spans="1:13" ht="30" x14ac:dyDescent="0.25">
      <c r="A4618" s="675" t="s">
        <v>3820</v>
      </c>
      <c r="B4618" s="675" t="s">
        <v>564</v>
      </c>
      <c r="C4618" s="676" t="s">
        <v>4532</v>
      </c>
      <c r="D4618" s="675"/>
      <c r="E4618" s="702"/>
      <c r="F4618" s="702"/>
      <c r="G4618" s="675"/>
      <c r="H4618" s="675"/>
      <c r="I4618" s="675"/>
      <c r="J4618" s="675"/>
      <c r="K4618" s="675"/>
      <c r="L4618" s="675"/>
      <c r="M4618" s="675"/>
    </row>
    <row r="4619" spans="1:13" ht="30" x14ac:dyDescent="0.25">
      <c r="A4619" s="675" t="s">
        <v>3820</v>
      </c>
      <c r="B4619" s="675" t="s">
        <v>564</v>
      </c>
      <c r="C4619" s="676" t="s">
        <v>4533</v>
      </c>
      <c r="D4619" s="675"/>
      <c r="E4619" s="702"/>
      <c r="F4619" s="702"/>
      <c r="G4619" s="675"/>
      <c r="H4619" s="675"/>
      <c r="I4619" s="675"/>
      <c r="J4619" s="675"/>
      <c r="K4619" s="675"/>
      <c r="L4619" s="675"/>
      <c r="M4619" s="675"/>
    </row>
    <row r="4620" spans="1:13" ht="30" x14ac:dyDescent="0.25">
      <c r="A4620" s="675" t="s">
        <v>3820</v>
      </c>
      <c r="B4620" s="675" t="s">
        <v>564</v>
      </c>
      <c r="C4620" s="676" t="s">
        <v>4534</v>
      </c>
      <c r="D4620" s="675"/>
      <c r="E4620" s="702"/>
      <c r="F4620" s="702"/>
      <c r="G4620" s="675"/>
      <c r="H4620" s="675"/>
      <c r="I4620" s="675"/>
      <c r="J4620" s="675"/>
      <c r="K4620" s="675"/>
      <c r="L4620" s="675"/>
      <c r="M4620" s="675"/>
    </row>
    <row r="4621" spans="1:13" ht="30" x14ac:dyDescent="0.25">
      <c r="A4621" s="675" t="s">
        <v>3820</v>
      </c>
      <c r="B4621" s="675" t="s">
        <v>512</v>
      </c>
      <c r="C4621" s="676" t="s">
        <v>4535</v>
      </c>
      <c r="D4621" s="675"/>
      <c r="E4621" s="702"/>
      <c r="F4621" s="702"/>
      <c r="G4621" s="675"/>
      <c r="H4621" s="675"/>
      <c r="I4621" s="675"/>
      <c r="J4621" s="675"/>
      <c r="K4621" s="675"/>
      <c r="L4621" s="675"/>
      <c r="M4621" s="675"/>
    </row>
    <row r="4622" spans="1:13" ht="30" x14ac:dyDescent="0.25">
      <c r="A4622" s="675" t="s">
        <v>3820</v>
      </c>
      <c r="B4622" s="675" t="s">
        <v>512</v>
      </c>
      <c r="C4622" s="676" t="s">
        <v>4536</v>
      </c>
      <c r="D4622" s="675"/>
      <c r="E4622" s="702"/>
      <c r="F4622" s="702"/>
      <c r="G4622" s="675"/>
      <c r="H4622" s="675"/>
      <c r="I4622" s="675"/>
      <c r="J4622" s="675"/>
      <c r="K4622" s="675"/>
      <c r="L4622" s="675"/>
      <c r="M4622" s="675"/>
    </row>
    <row r="4623" spans="1:13" ht="30" x14ac:dyDescent="0.25">
      <c r="A4623" s="675" t="s">
        <v>3820</v>
      </c>
      <c r="B4623" s="675" t="s">
        <v>512</v>
      </c>
      <c r="C4623" s="676" t="s">
        <v>4537</v>
      </c>
      <c r="D4623" s="675"/>
      <c r="E4623" s="702"/>
      <c r="F4623" s="702"/>
      <c r="G4623" s="675"/>
      <c r="H4623" s="675"/>
      <c r="I4623" s="675"/>
      <c r="J4623" s="675"/>
      <c r="K4623" s="675"/>
      <c r="L4623" s="675"/>
      <c r="M4623" s="675"/>
    </row>
    <row r="4624" spans="1:13" ht="30" x14ac:dyDescent="0.25">
      <c r="A4624" s="675" t="s">
        <v>3820</v>
      </c>
      <c r="B4624" s="675" t="s">
        <v>512</v>
      </c>
      <c r="C4624" s="676" t="s">
        <v>4538</v>
      </c>
      <c r="D4624" s="675"/>
      <c r="E4624" s="702"/>
      <c r="F4624" s="702"/>
      <c r="G4624" s="675"/>
      <c r="H4624" s="675"/>
      <c r="I4624" s="675"/>
      <c r="J4624" s="675"/>
      <c r="K4624" s="675"/>
      <c r="L4624" s="675"/>
      <c r="M4624" s="675"/>
    </row>
    <row r="4625" spans="1:13" ht="30" x14ac:dyDescent="0.25">
      <c r="A4625" s="675" t="s">
        <v>3820</v>
      </c>
      <c r="B4625" s="675" t="s">
        <v>512</v>
      </c>
      <c r="C4625" s="676" t="s">
        <v>4539</v>
      </c>
      <c r="D4625" s="675"/>
      <c r="E4625" s="702"/>
      <c r="F4625" s="702"/>
      <c r="G4625" s="675"/>
      <c r="H4625" s="675"/>
      <c r="I4625" s="675"/>
      <c r="J4625" s="675"/>
      <c r="K4625" s="675"/>
      <c r="L4625" s="675"/>
      <c r="M4625" s="675"/>
    </row>
    <row r="4626" spans="1:13" x14ac:dyDescent="0.25">
      <c r="A4626" s="675" t="s">
        <v>4540</v>
      </c>
      <c r="B4626" s="675" t="s">
        <v>545</v>
      </c>
      <c r="C4626" s="675" t="s">
        <v>4541</v>
      </c>
      <c r="D4626" s="675"/>
      <c r="E4626" s="702"/>
      <c r="F4626" s="702"/>
      <c r="G4626" s="675"/>
      <c r="H4626" s="675"/>
      <c r="I4626" s="675"/>
      <c r="J4626" s="675"/>
      <c r="K4626" s="675"/>
      <c r="L4626" s="675"/>
      <c r="M4626" s="675"/>
    </row>
    <row r="4627" spans="1:13" x14ac:dyDescent="0.25">
      <c r="A4627" s="675" t="s">
        <v>4540</v>
      </c>
      <c r="B4627" s="675" t="s">
        <v>545</v>
      </c>
      <c r="C4627" s="675" t="s">
        <v>4542</v>
      </c>
      <c r="D4627" s="675"/>
      <c r="E4627" s="702"/>
      <c r="F4627" s="702"/>
      <c r="G4627" s="675"/>
      <c r="H4627" s="675"/>
      <c r="I4627" s="675"/>
      <c r="J4627" s="675"/>
      <c r="K4627" s="675"/>
      <c r="L4627" s="675"/>
      <c r="M4627" s="675"/>
    </row>
    <row r="4628" spans="1:13" x14ac:dyDescent="0.25">
      <c r="A4628" s="675" t="s">
        <v>4540</v>
      </c>
      <c r="B4628" s="675" t="s">
        <v>545</v>
      </c>
      <c r="C4628" s="675" t="s">
        <v>4543</v>
      </c>
      <c r="D4628" s="675"/>
      <c r="E4628" s="702"/>
      <c r="F4628" s="702"/>
      <c r="G4628" s="675"/>
      <c r="H4628" s="675"/>
      <c r="I4628" s="675"/>
      <c r="J4628" s="675"/>
      <c r="K4628" s="675"/>
      <c r="L4628" s="675"/>
      <c r="M4628" s="675"/>
    </row>
    <row r="4629" spans="1:13" x14ac:dyDescent="0.25">
      <c r="A4629" s="675" t="s">
        <v>4540</v>
      </c>
      <c r="B4629" s="675" t="s">
        <v>545</v>
      </c>
      <c r="C4629" s="675" t="s">
        <v>4544</v>
      </c>
      <c r="D4629" s="675"/>
      <c r="E4629" s="702"/>
      <c r="F4629" s="702"/>
      <c r="G4629" s="675"/>
      <c r="H4629" s="675"/>
      <c r="I4629" s="675"/>
      <c r="J4629" s="675"/>
      <c r="K4629" s="675"/>
      <c r="L4629" s="675"/>
      <c r="M4629" s="675"/>
    </row>
    <row r="4630" spans="1:13" x14ac:dyDescent="0.25">
      <c r="A4630" s="675" t="s">
        <v>4540</v>
      </c>
      <c r="B4630" s="675" t="s">
        <v>545</v>
      </c>
      <c r="C4630" s="675" t="s">
        <v>4545</v>
      </c>
      <c r="D4630" s="675"/>
      <c r="E4630" s="702"/>
      <c r="F4630" s="702"/>
      <c r="G4630" s="675"/>
      <c r="H4630" s="675"/>
      <c r="I4630" s="675"/>
      <c r="J4630" s="675"/>
      <c r="K4630" s="675"/>
      <c r="L4630" s="675"/>
      <c r="M4630" s="675"/>
    </row>
    <row r="4631" spans="1:13" x14ac:dyDescent="0.25">
      <c r="A4631" s="675" t="s">
        <v>4540</v>
      </c>
      <c r="B4631" s="675" t="s">
        <v>564</v>
      </c>
      <c r="C4631" s="675" t="s">
        <v>4546</v>
      </c>
      <c r="D4631" s="675"/>
      <c r="E4631" s="702"/>
      <c r="F4631" s="702"/>
      <c r="G4631" s="675"/>
      <c r="H4631" s="675"/>
      <c r="I4631" s="675"/>
      <c r="J4631" s="675"/>
      <c r="K4631" s="675"/>
      <c r="L4631" s="675"/>
      <c r="M4631" s="675"/>
    </row>
    <row r="4632" spans="1:13" x14ac:dyDescent="0.25">
      <c r="A4632" s="675" t="s">
        <v>4540</v>
      </c>
      <c r="B4632" s="675" t="s">
        <v>564</v>
      </c>
      <c r="C4632" s="675" t="s">
        <v>4547</v>
      </c>
      <c r="D4632" s="675"/>
      <c r="E4632" s="702"/>
      <c r="F4632" s="702"/>
      <c r="G4632" s="675"/>
      <c r="H4632" s="675"/>
      <c r="I4632" s="675"/>
      <c r="J4632" s="675"/>
      <c r="K4632" s="675"/>
      <c r="L4632" s="675"/>
      <c r="M4632" s="675"/>
    </row>
    <row r="4633" spans="1:13" x14ac:dyDescent="0.25">
      <c r="A4633" s="675" t="s">
        <v>4540</v>
      </c>
      <c r="B4633" s="675" t="s">
        <v>564</v>
      </c>
      <c r="C4633" s="675" t="s">
        <v>4548</v>
      </c>
      <c r="D4633" s="675"/>
      <c r="E4633" s="702"/>
      <c r="F4633" s="702"/>
      <c r="G4633" s="675"/>
      <c r="H4633" s="675"/>
      <c r="I4633" s="675"/>
      <c r="J4633" s="675"/>
      <c r="K4633" s="675"/>
      <c r="L4633" s="675"/>
      <c r="M4633" s="675"/>
    </row>
    <row r="4634" spans="1:13" x14ac:dyDescent="0.25">
      <c r="A4634" s="675" t="s">
        <v>4540</v>
      </c>
      <c r="B4634" s="675" t="s">
        <v>564</v>
      </c>
      <c r="C4634" s="675" t="s">
        <v>4549</v>
      </c>
      <c r="D4634" s="675"/>
      <c r="E4634" s="702"/>
      <c r="F4634" s="702"/>
      <c r="G4634" s="675"/>
      <c r="H4634" s="675"/>
      <c r="I4634" s="675"/>
      <c r="J4634" s="675"/>
      <c r="K4634" s="675"/>
      <c r="L4634" s="675"/>
      <c r="M4634" s="675"/>
    </row>
    <row r="4635" spans="1:13" x14ac:dyDescent="0.25">
      <c r="A4635" s="675" t="s">
        <v>4540</v>
      </c>
      <c r="B4635" s="675" t="s">
        <v>564</v>
      </c>
      <c r="C4635" s="675" t="s">
        <v>4550</v>
      </c>
      <c r="D4635" s="675"/>
      <c r="E4635" s="702"/>
      <c r="F4635" s="702"/>
      <c r="G4635" s="675"/>
      <c r="H4635" s="675"/>
      <c r="I4635" s="675"/>
      <c r="J4635" s="675"/>
      <c r="K4635" s="675"/>
      <c r="L4635" s="675"/>
      <c r="M4635" s="675"/>
    </row>
    <row r="4636" spans="1:13" x14ac:dyDescent="0.25">
      <c r="A4636" s="675" t="s">
        <v>4540</v>
      </c>
      <c r="B4636" s="675" t="s">
        <v>512</v>
      </c>
      <c r="C4636" s="675" t="s">
        <v>4551</v>
      </c>
      <c r="D4636" s="675"/>
      <c r="E4636" s="702"/>
      <c r="F4636" s="702"/>
      <c r="G4636" s="675"/>
      <c r="H4636" s="675"/>
      <c r="I4636" s="675"/>
      <c r="J4636" s="675"/>
      <c r="K4636" s="675"/>
      <c r="L4636" s="675"/>
      <c r="M4636" s="675"/>
    </row>
    <row r="4637" spans="1:13" x14ac:dyDescent="0.25">
      <c r="A4637" s="675" t="s">
        <v>4540</v>
      </c>
      <c r="B4637" s="675" t="s">
        <v>512</v>
      </c>
      <c r="C4637" s="675" t="s">
        <v>4552</v>
      </c>
      <c r="D4637" s="675"/>
      <c r="E4637" s="702"/>
      <c r="F4637" s="702"/>
      <c r="G4637" s="675"/>
      <c r="H4637" s="675"/>
      <c r="I4637" s="675"/>
      <c r="J4637" s="675"/>
      <c r="K4637" s="675"/>
      <c r="L4637" s="675"/>
      <c r="M4637" s="675"/>
    </row>
    <row r="4638" spans="1:13" x14ac:dyDescent="0.25">
      <c r="A4638" s="675" t="s">
        <v>4540</v>
      </c>
      <c r="B4638" s="675" t="s">
        <v>512</v>
      </c>
      <c r="C4638" s="675" t="s">
        <v>4553</v>
      </c>
      <c r="D4638" s="675"/>
      <c r="E4638" s="702"/>
      <c r="F4638" s="702"/>
      <c r="G4638" s="675"/>
      <c r="H4638" s="675"/>
      <c r="I4638" s="675"/>
      <c r="J4638" s="675"/>
      <c r="K4638" s="675"/>
      <c r="L4638" s="675"/>
      <c r="M4638" s="675"/>
    </row>
    <row r="4639" spans="1:13" x14ac:dyDescent="0.25">
      <c r="A4639" s="675" t="s">
        <v>4540</v>
      </c>
      <c r="B4639" s="675" t="s">
        <v>512</v>
      </c>
      <c r="C4639" s="675" t="s">
        <v>4554</v>
      </c>
      <c r="D4639" s="675"/>
      <c r="E4639" s="702"/>
      <c r="F4639" s="702"/>
      <c r="G4639" s="675"/>
      <c r="H4639" s="675"/>
      <c r="I4639" s="675"/>
      <c r="J4639" s="675"/>
      <c r="K4639" s="675"/>
      <c r="L4639" s="675"/>
      <c r="M4639" s="675"/>
    </row>
    <row r="4640" spans="1:13" x14ac:dyDescent="0.25">
      <c r="A4640" s="675" t="s">
        <v>4540</v>
      </c>
      <c r="B4640" s="675" t="s">
        <v>512</v>
      </c>
      <c r="C4640" s="675" t="s">
        <v>4555</v>
      </c>
      <c r="D4640" s="675"/>
      <c r="E4640" s="702"/>
      <c r="F4640" s="702"/>
      <c r="G4640" s="675"/>
      <c r="H4640" s="675"/>
      <c r="I4640" s="675"/>
      <c r="J4640" s="675"/>
      <c r="K4640" s="675"/>
      <c r="L4640" s="675"/>
      <c r="M4640" s="675"/>
    </row>
    <row r="4641" spans="1:13" x14ac:dyDescent="0.25">
      <c r="A4641" s="675" t="s">
        <v>2836</v>
      </c>
      <c r="B4641" s="675" t="s">
        <v>545</v>
      </c>
      <c r="C4641" s="675" t="s">
        <v>4556</v>
      </c>
      <c r="D4641" s="675"/>
      <c r="E4641" s="702"/>
      <c r="F4641" s="702"/>
      <c r="G4641" s="675"/>
      <c r="H4641" s="675"/>
      <c r="I4641" s="675"/>
      <c r="J4641" s="675"/>
      <c r="K4641" s="675"/>
      <c r="L4641" s="675"/>
      <c r="M4641" s="675"/>
    </row>
    <row r="4642" spans="1:13" x14ac:dyDescent="0.25">
      <c r="A4642" s="675" t="s">
        <v>2836</v>
      </c>
      <c r="B4642" s="675" t="s">
        <v>545</v>
      </c>
      <c r="C4642" s="675" t="s">
        <v>4557</v>
      </c>
      <c r="D4642" s="675"/>
      <c r="E4642" s="702"/>
      <c r="F4642" s="702"/>
      <c r="G4642" s="675"/>
      <c r="H4642" s="675"/>
      <c r="I4642" s="675"/>
      <c r="J4642" s="675"/>
      <c r="K4642" s="675"/>
      <c r="L4642" s="675"/>
      <c r="M4642" s="675"/>
    </row>
    <row r="4643" spans="1:13" x14ac:dyDescent="0.25">
      <c r="A4643" s="675" t="s">
        <v>2836</v>
      </c>
      <c r="B4643" s="675" t="s">
        <v>545</v>
      </c>
      <c r="C4643" s="675" t="s">
        <v>4558</v>
      </c>
      <c r="D4643" s="675"/>
      <c r="E4643" s="702"/>
      <c r="F4643" s="702"/>
      <c r="G4643" s="675"/>
      <c r="H4643" s="675"/>
      <c r="I4643" s="675"/>
      <c r="J4643" s="675"/>
      <c r="K4643" s="675"/>
      <c r="L4643" s="675"/>
      <c r="M4643" s="675"/>
    </row>
    <row r="4644" spans="1:13" x14ac:dyDescent="0.25">
      <c r="A4644" s="675" t="s">
        <v>2836</v>
      </c>
      <c r="B4644" s="675" t="s">
        <v>545</v>
      </c>
      <c r="C4644" s="675" t="s">
        <v>4559</v>
      </c>
      <c r="D4644" s="675"/>
      <c r="E4644" s="702"/>
      <c r="F4644" s="702"/>
      <c r="G4644" s="675"/>
      <c r="H4644" s="675"/>
      <c r="I4644" s="675"/>
      <c r="J4644" s="675"/>
      <c r="K4644" s="675"/>
      <c r="L4644" s="675"/>
      <c r="M4644" s="675"/>
    </row>
    <row r="4645" spans="1:13" x14ac:dyDescent="0.25">
      <c r="A4645" s="675" t="s">
        <v>2836</v>
      </c>
      <c r="B4645" s="675" t="s">
        <v>545</v>
      </c>
      <c r="C4645" s="675" t="s">
        <v>4560</v>
      </c>
      <c r="D4645" s="675"/>
      <c r="E4645" s="702"/>
      <c r="F4645" s="702"/>
      <c r="G4645" s="675"/>
      <c r="H4645" s="675"/>
      <c r="I4645" s="675"/>
      <c r="J4645" s="675"/>
      <c r="K4645" s="675"/>
      <c r="L4645" s="675"/>
      <c r="M4645" s="675"/>
    </row>
    <row r="4646" spans="1:13" x14ac:dyDescent="0.25">
      <c r="A4646" s="675" t="s">
        <v>2836</v>
      </c>
      <c r="B4646" s="675" t="s">
        <v>564</v>
      </c>
      <c r="C4646" s="675" t="s">
        <v>4561</v>
      </c>
      <c r="D4646" s="675"/>
      <c r="E4646" s="702"/>
      <c r="F4646" s="702"/>
      <c r="G4646" s="675"/>
      <c r="H4646" s="675"/>
      <c r="I4646" s="675"/>
      <c r="J4646" s="675"/>
      <c r="K4646" s="675"/>
      <c r="L4646" s="675"/>
      <c r="M4646" s="675"/>
    </row>
    <row r="4647" spans="1:13" x14ac:dyDescent="0.25">
      <c r="A4647" s="675" t="s">
        <v>2836</v>
      </c>
      <c r="B4647" s="675" t="s">
        <v>564</v>
      </c>
      <c r="C4647" s="675" t="s">
        <v>4562</v>
      </c>
      <c r="D4647" s="675"/>
      <c r="E4647" s="702"/>
      <c r="F4647" s="702"/>
      <c r="G4647" s="675"/>
      <c r="H4647" s="675"/>
      <c r="I4647" s="675"/>
      <c r="J4647" s="675"/>
      <c r="K4647" s="675"/>
      <c r="L4647" s="675"/>
      <c r="M4647" s="675"/>
    </row>
    <row r="4648" spans="1:13" x14ac:dyDescent="0.25">
      <c r="A4648" s="675" t="s">
        <v>2836</v>
      </c>
      <c r="B4648" s="675" t="s">
        <v>564</v>
      </c>
      <c r="C4648" s="675" t="s">
        <v>4563</v>
      </c>
      <c r="D4648" s="675"/>
      <c r="E4648" s="702"/>
      <c r="F4648" s="702"/>
      <c r="G4648" s="675"/>
      <c r="H4648" s="675"/>
      <c r="I4648" s="675"/>
      <c r="J4648" s="675"/>
      <c r="K4648" s="675"/>
      <c r="L4648" s="675"/>
      <c r="M4648" s="675"/>
    </row>
    <row r="4649" spans="1:13" x14ac:dyDescent="0.25">
      <c r="A4649" s="675" t="s">
        <v>2836</v>
      </c>
      <c r="B4649" s="675" t="s">
        <v>564</v>
      </c>
      <c r="C4649" s="675" t="s">
        <v>4564</v>
      </c>
      <c r="D4649" s="675"/>
      <c r="E4649" s="702"/>
      <c r="F4649" s="702"/>
      <c r="G4649" s="675"/>
      <c r="H4649" s="675"/>
      <c r="I4649" s="675"/>
      <c r="J4649" s="675"/>
      <c r="K4649" s="675"/>
      <c r="L4649" s="675"/>
      <c r="M4649" s="675"/>
    </row>
    <row r="4650" spans="1:13" x14ac:dyDescent="0.25">
      <c r="A4650" s="675" t="s">
        <v>2836</v>
      </c>
      <c r="B4650" s="675" t="s">
        <v>564</v>
      </c>
      <c r="C4650" s="675" t="s">
        <v>4565</v>
      </c>
      <c r="D4650" s="675"/>
      <c r="E4650" s="702"/>
      <c r="F4650" s="702"/>
      <c r="G4650" s="675"/>
      <c r="H4650" s="675"/>
      <c r="I4650" s="675"/>
      <c r="J4650" s="675"/>
      <c r="K4650" s="675"/>
      <c r="L4650" s="675"/>
      <c r="M4650" s="675"/>
    </row>
    <row r="4651" spans="1:13" x14ac:dyDescent="0.25">
      <c r="A4651" s="675" t="s">
        <v>2836</v>
      </c>
      <c r="B4651" s="675" t="s">
        <v>512</v>
      </c>
      <c r="C4651" s="675" t="s">
        <v>4566</v>
      </c>
      <c r="D4651" s="675"/>
      <c r="E4651" s="702"/>
      <c r="F4651" s="702"/>
      <c r="G4651" s="675"/>
      <c r="H4651" s="675"/>
      <c r="I4651" s="675"/>
      <c r="J4651" s="675"/>
      <c r="K4651" s="675"/>
      <c r="L4651" s="675"/>
      <c r="M4651" s="675"/>
    </row>
    <row r="4652" spans="1:13" x14ac:dyDescent="0.25">
      <c r="A4652" s="675" t="s">
        <v>2836</v>
      </c>
      <c r="B4652" s="675" t="s">
        <v>512</v>
      </c>
      <c r="C4652" s="675" t="s">
        <v>4567</v>
      </c>
      <c r="D4652" s="675"/>
      <c r="E4652" s="702"/>
      <c r="F4652" s="702"/>
      <c r="G4652" s="675"/>
      <c r="H4652" s="675"/>
      <c r="I4652" s="675"/>
      <c r="J4652" s="675"/>
      <c r="K4652" s="675"/>
      <c r="L4652" s="675"/>
      <c r="M4652" s="675"/>
    </row>
    <row r="4653" spans="1:13" x14ac:dyDescent="0.25">
      <c r="A4653" s="675" t="s">
        <v>2836</v>
      </c>
      <c r="B4653" s="675" t="s">
        <v>512</v>
      </c>
      <c r="C4653" s="675" t="s">
        <v>4568</v>
      </c>
      <c r="D4653" s="675"/>
      <c r="E4653" s="702"/>
      <c r="F4653" s="702"/>
      <c r="G4653" s="675"/>
      <c r="H4653" s="675"/>
      <c r="I4653" s="675"/>
      <c r="J4653" s="675"/>
      <c r="K4653" s="675"/>
      <c r="L4653" s="675"/>
      <c r="M4653" s="675"/>
    </row>
    <row r="4654" spans="1:13" x14ac:dyDescent="0.25">
      <c r="A4654" s="675" t="s">
        <v>2836</v>
      </c>
      <c r="B4654" s="675" t="s">
        <v>512</v>
      </c>
      <c r="C4654" s="675" t="s">
        <v>4569</v>
      </c>
      <c r="D4654" s="675"/>
      <c r="E4654" s="702"/>
      <c r="F4654" s="702"/>
      <c r="G4654" s="675"/>
      <c r="H4654" s="675"/>
      <c r="I4654" s="675"/>
      <c r="J4654" s="675"/>
      <c r="K4654" s="675"/>
      <c r="L4654" s="675"/>
      <c r="M4654" s="675"/>
    </row>
    <row r="4655" spans="1:13" x14ac:dyDescent="0.25">
      <c r="A4655" s="675" t="s">
        <v>2836</v>
      </c>
      <c r="B4655" s="675" t="s">
        <v>512</v>
      </c>
      <c r="C4655" s="675" t="s">
        <v>4570</v>
      </c>
      <c r="D4655" s="675"/>
      <c r="E4655" s="702"/>
      <c r="F4655" s="702"/>
      <c r="G4655" s="675"/>
      <c r="H4655" s="675"/>
      <c r="I4655" s="675"/>
      <c r="J4655" s="675"/>
      <c r="K4655" s="675"/>
      <c r="L4655" s="675"/>
      <c r="M4655" s="675"/>
    </row>
    <row r="4656" spans="1:13" x14ac:dyDescent="0.25">
      <c r="A4656" s="675" t="s">
        <v>4571</v>
      </c>
      <c r="B4656" s="675" t="s">
        <v>545</v>
      </c>
      <c r="C4656" s="675" t="s">
        <v>4572</v>
      </c>
      <c r="D4656" s="675"/>
      <c r="E4656" s="702"/>
      <c r="F4656" s="702"/>
      <c r="G4656" s="675"/>
      <c r="H4656" s="675"/>
      <c r="I4656" s="675"/>
      <c r="J4656" s="675"/>
      <c r="K4656" s="675"/>
      <c r="L4656" s="675"/>
      <c r="M4656" s="675"/>
    </row>
    <row r="4657" spans="1:13" x14ac:dyDescent="0.25">
      <c r="A4657" s="675" t="s">
        <v>4571</v>
      </c>
      <c r="B4657" s="675" t="s">
        <v>545</v>
      </c>
      <c r="C4657" s="675" t="s">
        <v>4573</v>
      </c>
      <c r="D4657" s="675"/>
      <c r="E4657" s="702"/>
      <c r="F4657" s="702"/>
      <c r="G4657" s="675"/>
      <c r="H4657" s="675"/>
      <c r="I4657" s="675"/>
      <c r="J4657" s="675"/>
      <c r="K4657" s="675"/>
      <c r="L4657" s="675"/>
      <c r="M4657" s="675"/>
    </row>
    <row r="4658" spans="1:13" x14ac:dyDescent="0.25">
      <c r="A4658" s="675" t="s">
        <v>4571</v>
      </c>
      <c r="B4658" s="675" t="s">
        <v>545</v>
      </c>
      <c r="C4658" s="675" t="s">
        <v>4574</v>
      </c>
      <c r="D4658" s="675"/>
      <c r="E4658" s="702"/>
      <c r="F4658" s="702"/>
      <c r="G4658" s="675"/>
      <c r="H4658" s="675"/>
      <c r="I4658" s="675"/>
      <c r="J4658" s="675"/>
      <c r="K4658" s="675"/>
      <c r="L4658" s="675"/>
      <c r="M4658" s="675"/>
    </row>
    <row r="4659" spans="1:13" x14ac:dyDescent="0.25">
      <c r="A4659" s="675" t="s">
        <v>4571</v>
      </c>
      <c r="B4659" s="675" t="s">
        <v>545</v>
      </c>
      <c r="C4659" s="675" t="s">
        <v>4575</v>
      </c>
      <c r="D4659" s="675"/>
      <c r="E4659" s="702"/>
      <c r="F4659" s="702"/>
      <c r="G4659" s="675"/>
      <c r="H4659" s="675"/>
      <c r="I4659" s="675"/>
      <c r="J4659" s="675"/>
      <c r="K4659" s="675"/>
      <c r="L4659" s="675"/>
      <c r="M4659" s="675"/>
    </row>
    <row r="4660" spans="1:13" x14ac:dyDescent="0.25">
      <c r="A4660" s="675" t="s">
        <v>4571</v>
      </c>
      <c r="B4660" s="675" t="s">
        <v>545</v>
      </c>
      <c r="C4660" s="675" t="s">
        <v>4576</v>
      </c>
      <c r="D4660" s="675"/>
      <c r="E4660" s="702"/>
      <c r="F4660" s="702"/>
      <c r="G4660" s="675"/>
      <c r="H4660" s="675"/>
      <c r="I4660" s="675"/>
      <c r="J4660" s="675"/>
      <c r="K4660" s="675"/>
      <c r="L4660" s="675"/>
      <c r="M4660" s="675"/>
    </row>
    <row r="4661" spans="1:13" x14ac:dyDescent="0.25">
      <c r="A4661" s="675" t="s">
        <v>4571</v>
      </c>
      <c r="B4661" s="675" t="s">
        <v>545</v>
      </c>
      <c r="C4661" s="675" t="s">
        <v>4577</v>
      </c>
      <c r="D4661" s="675"/>
      <c r="E4661" s="702"/>
      <c r="F4661" s="702"/>
      <c r="G4661" s="675"/>
      <c r="H4661" s="675"/>
      <c r="I4661" s="675"/>
      <c r="J4661" s="675"/>
      <c r="K4661" s="675"/>
      <c r="L4661" s="675"/>
      <c r="M4661" s="675"/>
    </row>
    <row r="4662" spans="1:13" x14ac:dyDescent="0.25">
      <c r="A4662" s="675" t="s">
        <v>4571</v>
      </c>
      <c r="B4662" s="675" t="s">
        <v>545</v>
      </c>
      <c r="C4662" s="675" t="s">
        <v>4578</v>
      </c>
      <c r="D4662" s="675"/>
      <c r="E4662" s="702"/>
      <c r="F4662" s="702"/>
      <c r="G4662" s="675"/>
      <c r="H4662" s="675"/>
      <c r="I4662" s="675"/>
      <c r="J4662" s="675"/>
      <c r="K4662" s="675"/>
      <c r="L4662" s="675"/>
      <c r="M4662" s="675"/>
    </row>
    <row r="4663" spans="1:13" x14ac:dyDescent="0.25">
      <c r="A4663" s="675" t="s">
        <v>4571</v>
      </c>
      <c r="B4663" s="675" t="s">
        <v>545</v>
      </c>
      <c r="C4663" s="675" t="s">
        <v>4579</v>
      </c>
      <c r="D4663" s="675"/>
      <c r="E4663" s="702"/>
      <c r="F4663" s="702"/>
      <c r="G4663" s="675"/>
      <c r="H4663" s="675"/>
      <c r="I4663" s="675"/>
      <c r="J4663" s="675"/>
      <c r="K4663" s="675"/>
      <c r="L4663" s="675"/>
      <c r="M4663" s="675"/>
    </row>
    <row r="4664" spans="1:13" x14ac:dyDescent="0.25">
      <c r="A4664" s="675" t="s">
        <v>4571</v>
      </c>
      <c r="B4664" s="675" t="s">
        <v>545</v>
      </c>
      <c r="C4664" s="675" t="s">
        <v>4580</v>
      </c>
      <c r="D4664" s="675"/>
      <c r="E4664" s="702"/>
      <c r="F4664" s="702"/>
      <c r="G4664" s="675"/>
      <c r="H4664" s="675"/>
      <c r="I4664" s="675"/>
      <c r="J4664" s="675"/>
      <c r="K4664" s="675"/>
      <c r="L4664" s="675"/>
      <c r="M4664" s="675"/>
    </row>
    <row r="4665" spans="1:13" x14ac:dyDescent="0.25">
      <c r="A4665" s="675" t="s">
        <v>4571</v>
      </c>
      <c r="B4665" s="675" t="s">
        <v>545</v>
      </c>
      <c r="C4665" s="675" t="s">
        <v>4581</v>
      </c>
      <c r="D4665" s="675"/>
      <c r="E4665" s="702"/>
      <c r="F4665" s="702"/>
      <c r="G4665" s="675"/>
      <c r="H4665" s="675"/>
      <c r="I4665" s="675"/>
      <c r="J4665" s="675"/>
      <c r="K4665" s="675"/>
      <c r="L4665" s="675"/>
      <c r="M4665" s="675"/>
    </row>
    <row r="4666" spans="1:13" x14ac:dyDescent="0.25">
      <c r="A4666" s="675" t="s">
        <v>4571</v>
      </c>
      <c r="B4666" s="675" t="s">
        <v>564</v>
      </c>
      <c r="C4666" s="675" t="s">
        <v>4582</v>
      </c>
      <c r="D4666" s="675"/>
      <c r="E4666" s="702"/>
      <c r="F4666" s="702"/>
      <c r="G4666" s="675"/>
      <c r="H4666" s="675"/>
      <c r="I4666" s="675"/>
      <c r="J4666" s="675"/>
      <c r="K4666" s="675"/>
      <c r="L4666" s="675"/>
      <c r="M4666" s="675"/>
    </row>
    <row r="4667" spans="1:13" x14ac:dyDescent="0.25">
      <c r="A4667" s="675" t="s">
        <v>4571</v>
      </c>
      <c r="B4667" s="675" t="s">
        <v>564</v>
      </c>
      <c r="C4667" s="675" t="s">
        <v>4583</v>
      </c>
      <c r="D4667" s="675"/>
      <c r="E4667" s="702"/>
      <c r="F4667" s="702"/>
      <c r="G4667" s="675"/>
      <c r="H4667" s="675"/>
      <c r="I4667" s="675"/>
      <c r="J4667" s="675"/>
      <c r="K4667" s="675"/>
      <c r="L4667" s="675"/>
      <c r="M4667" s="675"/>
    </row>
    <row r="4668" spans="1:13" x14ac:dyDescent="0.25">
      <c r="A4668" s="675" t="s">
        <v>4571</v>
      </c>
      <c r="B4668" s="675" t="s">
        <v>564</v>
      </c>
      <c r="C4668" s="675" t="s">
        <v>4584</v>
      </c>
      <c r="D4668" s="675"/>
      <c r="E4668" s="702"/>
      <c r="F4668" s="702"/>
      <c r="G4668" s="675"/>
      <c r="H4668" s="675"/>
      <c r="I4668" s="675"/>
      <c r="J4668" s="675"/>
      <c r="K4668" s="675"/>
      <c r="L4668" s="675"/>
      <c r="M4668" s="675"/>
    </row>
    <row r="4669" spans="1:13" x14ac:dyDescent="0.25">
      <c r="A4669" s="675" t="s">
        <v>4571</v>
      </c>
      <c r="B4669" s="675" t="s">
        <v>564</v>
      </c>
      <c r="C4669" s="675" t="s">
        <v>4585</v>
      </c>
      <c r="D4669" s="675"/>
      <c r="E4669" s="702"/>
      <c r="F4669" s="702"/>
      <c r="G4669" s="675"/>
      <c r="H4669" s="675"/>
      <c r="I4669" s="675"/>
      <c r="J4669" s="675"/>
      <c r="K4669" s="675"/>
      <c r="L4669" s="675"/>
      <c r="M4669" s="675"/>
    </row>
    <row r="4670" spans="1:13" x14ac:dyDescent="0.25">
      <c r="A4670" s="675" t="s">
        <v>4571</v>
      </c>
      <c r="B4670" s="675" t="s">
        <v>564</v>
      </c>
      <c r="C4670" s="675" t="s">
        <v>4586</v>
      </c>
      <c r="D4670" s="675"/>
      <c r="E4670" s="702"/>
      <c r="F4670" s="702"/>
      <c r="G4670" s="675"/>
      <c r="H4670" s="675"/>
      <c r="I4670" s="675"/>
      <c r="J4670" s="675"/>
      <c r="K4670" s="675"/>
      <c r="L4670" s="675"/>
      <c r="M4670" s="675"/>
    </row>
    <row r="4671" spans="1:13" x14ac:dyDescent="0.25">
      <c r="A4671" s="675" t="s">
        <v>4571</v>
      </c>
      <c r="B4671" s="675" t="s">
        <v>564</v>
      </c>
      <c r="C4671" s="675" t="s">
        <v>4587</v>
      </c>
      <c r="D4671" s="675"/>
      <c r="E4671" s="702"/>
      <c r="F4671" s="702"/>
      <c r="G4671" s="675"/>
      <c r="H4671" s="675"/>
      <c r="I4671" s="675"/>
      <c r="J4671" s="675"/>
      <c r="K4671" s="675"/>
      <c r="L4671" s="675"/>
      <c r="M4671" s="675"/>
    </row>
    <row r="4672" spans="1:13" x14ac:dyDescent="0.25">
      <c r="A4672" s="675" t="s">
        <v>4571</v>
      </c>
      <c r="B4672" s="675" t="s">
        <v>564</v>
      </c>
      <c r="C4672" s="675" t="s">
        <v>4588</v>
      </c>
      <c r="D4672" s="675"/>
      <c r="E4672" s="702"/>
      <c r="F4672" s="702"/>
      <c r="G4672" s="675"/>
      <c r="H4672" s="675"/>
      <c r="I4672" s="675"/>
      <c r="J4672" s="675"/>
      <c r="K4672" s="675"/>
      <c r="L4672" s="675"/>
      <c r="M4672" s="675"/>
    </row>
    <row r="4673" spans="1:13" x14ac:dyDescent="0.25">
      <c r="A4673" s="675" t="s">
        <v>4571</v>
      </c>
      <c r="B4673" s="675" t="s">
        <v>564</v>
      </c>
      <c r="C4673" s="675" t="s">
        <v>4589</v>
      </c>
      <c r="D4673" s="675"/>
      <c r="E4673" s="702"/>
      <c r="F4673" s="702"/>
      <c r="G4673" s="675"/>
      <c r="H4673" s="675"/>
      <c r="I4673" s="675"/>
      <c r="J4673" s="675"/>
      <c r="K4673" s="675"/>
      <c r="L4673" s="675"/>
      <c r="M4673" s="675"/>
    </row>
    <row r="4674" spans="1:13" x14ac:dyDescent="0.25">
      <c r="A4674" s="675" t="s">
        <v>4571</v>
      </c>
      <c r="B4674" s="675" t="s">
        <v>564</v>
      </c>
      <c r="C4674" s="675" t="s">
        <v>4590</v>
      </c>
      <c r="D4674" s="675"/>
      <c r="E4674" s="702"/>
      <c r="F4674" s="702"/>
      <c r="G4674" s="675"/>
      <c r="H4674" s="675"/>
      <c r="I4674" s="675"/>
      <c r="J4674" s="675"/>
      <c r="K4674" s="675"/>
      <c r="L4674" s="675"/>
      <c r="M4674" s="675"/>
    </row>
    <row r="4675" spans="1:13" x14ac:dyDescent="0.25">
      <c r="A4675" s="675" t="s">
        <v>4571</v>
      </c>
      <c r="B4675" s="675" t="s">
        <v>564</v>
      </c>
      <c r="C4675" s="675" t="s">
        <v>4591</v>
      </c>
      <c r="D4675" s="675"/>
      <c r="E4675" s="702"/>
      <c r="F4675" s="702"/>
      <c r="G4675" s="675"/>
      <c r="H4675" s="675"/>
      <c r="I4675" s="675"/>
      <c r="J4675" s="675"/>
      <c r="K4675" s="675"/>
      <c r="L4675" s="675"/>
      <c r="M4675" s="675"/>
    </row>
    <row r="4676" spans="1:13" x14ac:dyDescent="0.25">
      <c r="A4676" s="675" t="s">
        <v>4571</v>
      </c>
      <c r="B4676" s="675" t="s">
        <v>512</v>
      </c>
      <c r="C4676" s="675" t="s">
        <v>4592</v>
      </c>
      <c r="D4676" s="675"/>
      <c r="E4676" s="702"/>
      <c r="F4676" s="702"/>
      <c r="G4676" s="675"/>
      <c r="H4676" s="675"/>
      <c r="I4676" s="675"/>
      <c r="J4676" s="675"/>
      <c r="K4676" s="675"/>
      <c r="L4676" s="675"/>
      <c r="M4676" s="675"/>
    </row>
    <row r="4677" spans="1:13" x14ac:dyDescent="0.25">
      <c r="A4677" s="675" t="s">
        <v>4571</v>
      </c>
      <c r="B4677" s="675" t="s">
        <v>512</v>
      </c>
      <c r="C4677" s="675" t="s">
        <v>4593</v>
      </c>
      <c r="D4677" s="675"/>
      <c r="E4677" s="702"/>
      <c r="F4677" s="702"/>
      <c r="G4677" s="675"/>
      <c r="H4677" s="675"/>
      <c r="I4677" s="675"/>
      <c r="J4677" s="675"/>
      <c r="K4677" s="675"/>
      <c r="L4677" s="675"/>
      <c r="M4677" s="675"/>
    </row>
    <row r="4678" spans="1:13" x14ac:dyDescent="0.25">
      <c r="A4678" s="675" t="s">
        <v>4571</v>
      </c>
      <c r="B4678" s="675" t="s">
        <v>512</v>
      </c>
      <c r="C4678" s="675" t="s">
        <v>4594</v>
      </c>
      <c r="D4678" s="675"/>
      <c r="E4678" s="702"/>
      <c r="F4678" s="702"/>
      <c r="G4678" s="675"/>
      <c r="H4678" s="675"/>
      <c r="I4678" s="675"/>
      <c r="J4678" s="675"/>
      <c r="K4678" s="675"/>
      <c r="L4678" s="675"/>
      <c r="M4678" s="675"/>
    </row>
    <row r="4679" spans="1:13" x14ac:dyDescent="0.25">
      <c r="A4679" s="675" t="s">
        <v>4571</v>
      </c>
      <c r="B4679" s="675" t="s">
        <v>512</v>
      </c>
      <c r="C4679" s="675" t="s">
        <v>4595</v>
      </c>
      <c r="D4679" s="675"/>
      <c r="E4679" s="702"/>
      <c r="F4679" s="702"/>
      <c r="G4679" s="675"/>
      <c r="H4679" s="675"/>
      <c r="I4679" s="675"/>
      <c r="J4679" s="675"/>
      <c r="K4679" s="675"/>
      <c r="L4679" s="675"/>
      <c r="M4679" s="675"/>
    </row>
    <row r="4680" spans="1:13" x14ac:dyDescent="0.25">
      <c r="A4680" s="675" t="s">
        <v>4571</v>
      </c>
      <c r="B4680" s="675" t="s">
        <v>512</v>
      </c>
      <c r="C4680" s="675" t="s">
        <v>4596</v>
      </c>
      <c r="D4680" s="675"/>
      <c r="E4680" s="702"/>
      <c r="F4680" s="702"/>
      <c r="G4680" s="675"/>
      <c r="H4680" s="675"/>
      <c r="I4680" s="675"/>
      <c r="J4680" s="675"/>
      <c r="K4680" s="675"/>
      <c r="L4680" s="675"/>
      <c r="M4680" s="675"/>
    </row>
    <row r="4681" spans="1:13" x14ac:dyDescent="0.25">
      <c r="A4681" s="675" t="s">
        <v>4571</v>
      </c>
      <c r="B4681" s="675" t="s">
        <v>512</v>
      </c>
      <c r="C4681" s="675" t="s">
        <v>4597</v>
      </c>
      <c r="D4681" s="675"/>
      <c r="E4681" s="702"/>
      <c r="F4681" s="702"/>
      <c r="G4681" s="675"/>
      <c r="H4681" s="675"/>
      <c r="I4681" s="675"/>
      <c r="J4681" s="675"/>
      <c r="K4681" s="675"/>
      <c r="L4681" s="675"/>
      <c r="M4681" s="675"/>
    </row>
    <row r="4682" spans="1:13" x14ac:dyDescent="0.25">
      <c r="A4682" s="675" t="s">
        <v>4571</v>
      </c>
      <c r="B4682" s="675" t="s">
        <v>512</v>
      </c>
      <c r="C4682" s="675" t="s">
        <v>4598</v>
      </c>
      <c r="D4682" s="675"/>
      <c r="E4682" s="702"/>
      <c r="F4682" s="702"/>
      <c r="G4682" s="675"/>
      <c r="H4682" s="675"/>
      <c r="I4682" s="675"/>
      <c r="J4682" s="675"/>
      <c r="K4682" s="675"/>
      <c r="L4682" s="675"/>
      <c r="M4682" s="675"/>
    </row>
    <row r="4683" spans="1:13" x14ac:dyDescent="0.25">
      <c r="A4683" s="675" t="s">
        <v>4571</v>
      </c>
      <c r="B4683" s="675" t="s">
        <v>512</v>
      </c>
      <c r="C4683" s="675" t="s">
        <v>4599</v>
      </c>
      <c r="D4683" s="675"/>
      <c r="E4683" s="702"/>
      <c r="F4683" s="702"/>
      <c r="G4683" s="675"/>
      <c r="H4683" s="675"/>
      <c r="I4683" s="675"/>
      <c r="J4683" s="675"/>
      <c r="K4683" s="675"/>
      <c r="L4683" s="675"/>
      <c r="M4683" s="675"/>
    </row>
    <row r="4684" spans="1:13" x14ac:dyDescent="0.25">
      <c r="A4684" s="675" t="s">
        <v>4571</v>
      </c>
      <c r="B4684" s="675" t="s">
        <v>512</v>
      </c>
      <c r="C4684" s="675" t="s">
        <v>4600</v>
      </c>
      <c r="D4684" s="675"/>
      <c r="E4684" s="702"/>
      <c r="F4684" s="702"/>
      <c r="G4684" s="675"/>
      <c r="H4684" s="675"/>
      <c r="I4684" s="675"/>
      <c r="J4684" s="675"/>
      <c r="K4684" s="675"/>
      <c r="L4684" s="675"/>
      <c r="M4684" s="675"/>
    </row>
    <row r="4685" spans="1:13" x14ac:dyDescent="0.25">
      <c r="A4685" s="675" t="s">
        <v>4571</v>
      </c>
      <c r="B4685" s="675" t="s">
        <v>512</v>
      </c>
      <c r="C4685" s="675" t="s">
        <v>4601</v>
      </c>
      <c r="D4685" s="675"/>
      <c r="E4685" s="702"/>
      <c r="F4685" s="702"/>
      <c r="G4685" s="675"/>
      <c r="H4685" s="675"/>
      <c r="I4685" s="675"/>
      <c r="J4685" s="675"/>
      <c r="K4685" s="675"/>
      <c r="L4685" s="675"/>
      <c r="M4685" s="675"/>
    </row>
    <row r="4686" spans="1:13" x14ac:dyDescent="0.25">
      <c r="A4686" s="675" t="s">
        <v>4602</v>
      </c>
      <c r="B4686" s="675" t="s">
        <v>545</v>
      </c>
      <c r="C4686" s="676" t="s">
        <v>4603</v>
      </c>
      <c r="D4686" s="675"/>
      <c r="E4686" s="702"/>
      <c r="F4686" s="702"/>
      <c r="G4686" s="675"/>
      <c r="H4686" s="675"/>
      <c r="I4686" s="675"/>
      <c r="J4686" s="675"/>
      <c r="K4686" s="675"/>
      <c r="L4686" s="675"/>
      <c r="M4686" s="675"/>
    </row>
    <row r="4687" spans="1:13" x14ac:dyDescent="0.25">
      <c r="A4687" s="675" t="s">
        <v>4602</v>
      </c>
      <c r="B4687" s="675" t="s">
        <v>545</v>
      </c>
      <c r="C4687" s="676" t="s">
        <v>4604</v>
      </c>
      <c r="D4687" s="675"/>
      <c r="E4687" s="702"/>
      <c r="F4687" s="702"/>
      <c r="G4687" s="675"/>
      <c r="H4687" s="675"/>
      <c r="I4687" s="675"/>
      <c r="J4687" s="675"/>
      <c r="K4687" s="675"/>
      <c r="L4687" s="675"/>
      <c r="M4687" s="675"/>
    </row>
    <row r="4688" spans="1:13" x14ac:dyDescent="0.25">
      <c r="A4688" s="675" t="s">
        <v>4602</v>
      </c>
      <c r="B4688" s="675" t="s">
        <v>545</v>
      </c>
      <c r="C4688" s="676" t="s">
        <v>4605</v>
      </c>
      <c r="D4688" s="675"/>
      <c r="E4688" s="702"/>
      <c r="F4688" s="702"/>
      <c r="G4688" s="675"/>
      <c r="H4688" s="675"/>
      <c r="I4688" s="675"/>
      <c r="J4688" s="675"/>
      <c r="K4688" s="675"/>
      <c r="L4688" s="675"/>
      <c r="M4688" s="675"/>
    </row>
    <row r="4689" spans="1:13" x14ac:dyDescent="0.25">
      <c r="A4689" s="675" t="s">
        <v>4602</v>
      </c>
      <c r="B4689" s="675" t="s">
        <v>545</v>
      </c>
      <c r="C4689" s="676" t="s">
        <v>4606</v>
      </c>
      <c r="D4689" s="675"/>
      <c r="E4689" s="702"/>
      <c r="F4689" s="702"/>
      <c r="G4689" s="675"/>
      <c r="H4689" s="675"/>
      <c r="I4689" s="675"/>
      <c r="J4689" s="675"/>
      <c r="K4689" s="675"/>
      <c r="L4689" s="675"/>
      <c r="M4689" s="675"/>
    </row>
    <row r="4690" spans="1:13" x14ac:dyDescent="0.25">
      <c r="A4690" s="675" t="s">
        <v>4602</v>
      </c>
      <c r="B4690" s="675" t="s">
        <v>545</v>
      </c>
      <c r="C4690" s="676" t="s">
        <v>4607</v>
      </c>
      <c r="D4690" s="675"/>
      <c r="E4690" s="702"/>
      <c r="F4690" s="702"/>
      <c r="G4690" s="675"/>
      <c r="H4690" s="675"/>
      <c r="I4690" s="675"/>
      <c r="J4690" s="675"/>
      <c r="K4690" s="675"/>
      <c r="L4690" s="675"/>
      <c r="M4690" s="675"/>
    </row>
    <row r="4691" spans="1:13" x14ac:dyDescent="0.25">
      <c r="A4691" s="675" t="s">
        <v>4602</v>
      </c>
      <c r="B4691" s="675" t="s">
        <v>564</v>
      </c>
      <c r="C4691" s="675" t="s">
        <v>4608</v>
      </c>
      <c r="D4691" s="675"/>
      <c r="E4691" s="702"/>
      <c r="F4691" s="702"/>
      <c r="G4691" s="675"/>
      <c r="H4691" s="675"/>
      <c r="I4691" s="675"/>
      <c r="J4691" s="675"/>
      <c r="K4691" s="675"/>
      <c r="L4691" s="675"/>
      <c r="M4691" s="675"/>
    </row>
    <row r="4692" spans="1:13" x14ac:dyDescent="0.25">
      <c r="A4692" s="675" t="s">
        <v>4602</v>
      </c>
      <c r="B4692" s="675" t="s">
        <v>564</v>
      </c>
      <c r="C4692" s="675" t="s">
        <v>4609</v>
      </c>
      <c r="D4692" s="675"/>
      <c r="E4692" s="702"/>
      <c r="F4692" s="702"/>
      <c r="G4692" s="675"/>
      <c r="H4692" s="675"/>
      <c r="I4692" s="675"/>
      <c r="J4692" s="675"/>
      <c r="K4692" s="675"/>
      <c r="L4692" s="675"/>
      <c r="M4692" s="675"/>
    </row>
    <row r="4693" spans="1:13" x14ac:dyDescent="0.25">
      <c r="A4693" s="675" t="s">
        <v>4602</v>
      </c>
      <c r="B4693" s="675" t="s">
        <v>564</v>
      </c>
      <c r="C4693" s="675" t="s">
        <v>4610</v>
      </c>
      <c r="D4693" s="675"/>
      <c r="E4693" s="702"/>
      <c r="F4693" s="702"/>
      <c r="G4693" s="675"/>
      <c r="H4693" s="675"/>
      <c r="I4693" s="675"/>
      <c r="J4693" s="675"/>
      <c r="K4693" s="675"/>
      <c r="L4693" s="675"/>
      <c r="M4693" s="675"/>
    </row>
    <row r="4694" spans="1:13" x14ac:dyDescent="0.25">
      <c r="A4694" s="675" t="s">
        <v>4602</v>
      </c>
      <c r="B4694" s="675" t="s">
        <v>564</v>
      </c>
      <c r="C4694" s="675" t="s">
        <v>4611</v>
      </c>
      <c r="D4694" s="675"/>
      <c r="E4694" s="702"/>
      <c r="F4694" s="702"/>
      <c r="G4694" s="675"/>
      <c r="H4694" s="675"/>
      <c r="I4694" s="675"/>
      <c r="J4694" s="675"/>
      <c r="K4694" s="675"/>
      <c r="L4694" s="675"/>
      <c r="M4694" s="675"/>
    </row>
    <row r="4695" spans="1:13" x14ac:dyDescent="0.25">
      <c r="A4695" s="675" t="s">
        <v>4602</v>
      </c>
      <c r="B4695" s="675" t="s">
        <v>564</v>
      </c>
      <c r="C4695" s="675" t="s">
        <v>4612</v>
      </c>
      <c r="D4695" s="675"/>
      <c r="E4695" s="702"/>
      <c r="F4695" s="702"/>
      <c r="G4695" s="675"/>
      <c r="H4695" s="675"/>
      <c r="I4695" s="675"/>
      <c r="J4695" s="675"/>
      <c r="K4695" s="675"/>
      <c r="L4695" s="675"/>
      <c r="M4695" s="675"/>
    </row>
    <row r="4696" spans="1:13" x14ac:dyDescent="0.25">
      <c r="A4696" s="675" t="s">
        <v>4602</v>
      </c>
      <c r="B4696" s="675" t="s">
        <v>512</v>
      </c>
      <c r="C4696" s="675" t="s">
        <v>4613</v>
      </c>
      <c r="D4696" s="675"/>
      <c r="E4696" s="702"/>
      <c r="F4696" s="702"/>
      <c r="G4696" s="675"/>
      <c r="H4696" s="675"/>
      <c r="I4696" s="675"/>
      <c r="J4696" s="675"/>
      <c r="K4696" s="675"/>
      <c r="L4696" s="675"/>
      <c r="M4696" s="675"/>
    </row>
    <row r="4697" spans="1:13" x14ac:dyDescent="0.25">
      <c r="A4697" s="675" t="s">
        <v>4602</v>
      </c>
      <c r="B4697" s="675" t="s">
        <v>512</v>
      </c>
      <c r="C4697" s="675" t="s">
        <v>4614</v>
      </c>
      <c r="D4697" s="675"/>
      <c r="E4697" s="702"/>
      <c r="F4697" s="702"/>
      <c r="G4697" s="675"/>
      <c r="H4697" s="675"/>
      <c r="I4697" s="675"/>
      <c r="J4697" s="675"/>
      <c r="K4697" s="675"/>
      <c r="L4697" s="675"/>
      <c r="M4697" s="675"/>
    </row>
    <row r="4698" spans="1:13" x14ac:dyDescent="0.25">
      <c r="A4698" s="675" t="s">
        <v>4602</v>
      </c>
      <c r="B4698" s="675" t="s">
        <v>512</v>
      </c>
      <c r="C4698" s="675" t="s">
        <v>4615</v>
      </c>
      <c r="D4698" s="675"/>
      <c r="E4698" s="702"/>
      <c r="F4698" s="702"/>
      <c r="G4698" s="675"/>
      <c r="H4698" s="675"/>
      <c r="I4698" s="675"/>
      <c r="J4698" s="675"/>
      <c r="K4698" s="675"/>
      <c r="L4698" s="675"/>
      <c r="M4698" s="675"/>
    </row>
    <row r="4699" spans="1:13" x14ac:dyDescent="0.25">
      <c r="A4699" s="675" t="s">
        <v>4602</v>
      </c>
      <c r="B4699" s="675" t="s">
        <v>512</v>
      </c>
      <c r="C4699" s="675" t="s">
        <v>4616</v>
      </c>
      <c r="D4699" s="675"/>
      <c r="E4699" s="702"/>
      <c r="F4699" s="702"/>
      <c r="G4699" s="675"/>
      <c r="H4699" s="675"/>
      <c r="I4699" s="675"/>
      <c r="J4699" s="675"/>
      <c r="K4699" s="675"/>
      <c r="L4699" s="675"/>
      <c r="M4699" s="675"/>
    </row>
    <row r="4700" spans="1:13" x14ac:dyDescent="0.25">
      <c r="A4700" s="675" t="s">
        <v>4602</v>
      </c>
      <c r="B4700" s="675" t="s">
        <v>512</v>
      </c>
      <c r="C4700" s="675" t="s">
        <v>4617</v>
      </c>
      <c r="D4700" s="675"/>
      <c r="E4700" s="702"/>
      <c r="F4700" s="702"/>
      <c r="G4700" s="675"/>
      <c r="H4700" s="675"/>
      <c r="I4700" s="675"/>
      <c r="J4700" s="675"/>
      <c r="K4700" s="675"/>
      <c r="L4700" s="675"/>
      <c r="M4700" s="675"/>
    </row>
    <row r="4701" spans="1:13" x14ac:dyDescent="0.25">
      <c r="A4701" s="675" t="s">
        <v>805</v>
      </c>
      <c r="B4701" s="675" t="s">
        <v>545</v>
      </c>
      <c r="C4701" s="675" t="s">
        <v>4618</v>
      </c>
      <c r="D4701" s="675"/>
      <c r="E4701" s="702"/>
      <c r="F4701" s="702"/>
      <c r="G4701" s="675"/>
      <c r="H4701" s="675"/>
      <c r="I4701" s="675"/>
      <c r="J4701" s="675"/>
      <c r="K4701" s="675"/>
      <c r="L4701" s="675"/>
      <c r="M4701" s="675"/>
    </row>
    <row r="4702" spans="1:13" x14ac:dyDescent="0.25">
      <c r="A4702" s="675" t="s">
        <v>805</v>
      </c>
      <c r="B4702" s="675" t="s">
        <v>545</v>
      </c>
      <c r="C4702" s="675" t="s">
        <v>4619</v>
      </c>
      <c r="D4702" s="675"/>
      <c r="E4702" s="702"/>
      <c r="F4702" s="702"/>
      <c r="G4702" s="675"/>
      <c r="H4702" s="675"/>
      <c r="I4702" s="675"/>
      <c r="J4702" s="675"/>
      <c r="K4702" s="675"/>
      <c r="L4702" s="675"/>
      <c r="M4702" s="675"/>
    </row>
    <row r="4703" spans="1:13" x14ac:dyDescent="0.25">
      <c r="A4703" s="675" t="s">
        <v>805</v>
      </c>
      <c r="B4703" s="675" t="s">
        <v>545</v>
      </c>
      <c r="C4703" s="675" t="s">
        <v>4620</v>
      </c>
      <c r="D4703" s="675"/>
      <c r="E4703" s="702"/>
      <c r="F4703" s="702"/>
      <c r="G4703" s="675"/>
      <c r="H4703" s="675"/>
      <c r="I4703" s="675"/>
      <c r="J4703" s="675"/>
      <c r="K4703" s="675"/>
      <c r="L4703" s="675"/>
      <c r="M4703" s="675"/>
    </row>
    <row r="4704" spans="1:13" x14ac:dyDescent="0.25">
      <c r="A4704" s="675" t="s">
        <v>805</v>
      </c>
      <c r="B4704" s="675" t="s">
        <v>545</v>
      </c>
      <c r="C4704" s="675" t="s">
        <v>4621</v>
      </c>
      <c r="D4704" s="675"/>
      <c r="E4704" s="702"/>
      <c r="F4704" s="702"/>
      <c r="G4704" s="675"/>
      <c r="H4704" s="675"/>
      <c r="I4704" s="675"/>
      <c r="J4704" s="675"/>
      <c r="K4704" s="675"/>
      <c r="L4704" s="675"/>
      <c r="M4704" s="675"/>
    </row>
    <row r="4705" spans="1:13" x14ac:dyDescent="0.25">
      <c r="A4705" s="675" t="s">
        <v>805</v>
      </c>
      <c r="B4705" s="675" t="s">
        <v>545</v>
      </c>
      <c r="C4705" s="675" t="s">
        <v>4622</v>
      </c>
      <c r="D4705" s="675"/>
      <c r="E4705" s="702"/>
      <c r="F4705" s="702"/>
      <c r="G4705" s="675"/>
      <c r="H4705" s="675"/>
      <c r="I4705" s="675"/>
      <c r="J4705" s="675"/>
      <c r="K4705" s="675"/>
      <c r="L4705" s="675"/>
      <c r="M4705" s="675"/>
    </row>
    <row r="4706" spans="1:13" ht="30" x14ac:dyDescent="0.25">
      <c r="A4706" s="675" t="s">
        <v>805</v>
      </c>
      <c r="B4706" s="675" t="s">
        <v>564</v>
      </c>
      <c r="C4706" s="676" t="s">
        <v>4623</v>
      </c>
      <c r="D4706" s="675"/>
      <c r="E4706" s="702"/>
      <c r="F4706" s="702"/>
      <c r="G4706" s="675"/>
      <c r="H4706" s="675"/>
      <c r="I4706" s="675"/>
      <c r="J4706" s="675"/>
      <c r="K4706" s="675"/>
      <c r="L4706" s="675"/>
      <c r="M4706" s="675"/>
    </row>
    <row r="4707" spans="1:13" ht="30" x14ac:dyDescent="0.25">
      <c r="A4707" s="675" t="s">
        <v>805</v>
      </c>
      <c r="B4707" s="675" t="s">
        <v>564</v>
      </c>
      <c r="C4707" s="676" t="s">
        <v>4624</v>
      </c>
      <c r="D4707" s="675"/>
      <c r="E4707" s="702"/>
      <c r="F4707" s="702"/>
      <c r="G4707" s="675"/>
      <c r="H4707" s="675"/>
      <c r="I4707" s="675"/>
      <c r="J4707" s="675"/>
      <c r="K4707" s="675"/>
      <c r="L4707" s="675"/>
      <c r="M4707" s="675"/>
    </row>
    <row r="4708" spans="1:13" ht="30" x14ac:dyDescent="0.25">
      <c r="A4708" s="675" t="s">
        <v>805</v>
      </c>
      <c r="B4708" s="675" t="s">
        <v>564</v>
      </c>
      <c r="C4708" s="676" t="s">
        <v>4625</v>
      </c>
      <c r="D4708" s="675"/>
      <c r="E4708" s="702"/>
      <c r="F4708" s="702"/>
      <c r="G4708" s="675"/>
      <c r="H4708" s="675"/>
      <c r="I4708" s="675"/>
      <c r="J4708" s="675"/>
      <c r="K4708" s="675"/>
      <c r="L4708" s="675"/>
      <c r="M4708" s="675"/>
    </row>
    <row r="4709" spans="1:13" ht="30" x14ac:dyDescent="0.25">
      <c r="A4709" s="675" t="s">
        <v>805</v>
      </c>
      <c r="B4709" s="675" t="s">
        <v>564</v>
      </c>
      <c r="C4709" s="676" t="s">
        <v>4626</v>
      </c>
      <c r="D4709" s="675"/>
      <c r="E4709" s="702"/>
      <c r="F4709" s="702"/>
      <c r="G4709" s="675"/>
      <c r="H4709" s="675"/>
      <c r="I4709" s="675"/>
      <c r="J4709" s="675"/>
      <c r="K4709" s="675"/>
      <c r="L4709" s="675"/>
      <c r="M4709" s="675"/>
    </row>
    <row r="4710" spans="1:13" ht="30" x14ac:dyDescent="0.25">
      <c r="A4710" s="675" t="s">
        <v>805</v>
      </c>
      <c r="B4710" s="675" t="s">
        <v>564</v>
      </c>
      <c r="C4710" s="676" t="s">
        <v>4627</v>
      </c>
      <c r="D4710" s="675"/>
      <c r="E4710" s="702"/>
      <c r="F4710" s="702"/>
      <c r="G4710" s="675"/>
      <c r="H4710" s="675"/>
      <c r="I4710" s="675"/>
      <c r="J4710" s="675"/>
      <c r="K4710" s="675"/>
      <c r="L4710" s="675"/>
      <c r="M4710" s="675"/>
    </row>
    <row r="4711" spans="1:13" x14ac:dyDescent="0.25">
      <c r="A4711" s="675" t="s">
        <v>805</v>
      </c>
      <c r="B4711" s="675" t="s">
        <v>512</v>
      </c>
      <c r="C4711" s="675" t="s">
        <v>4628</v>
      </c>
      <c r="D4711" s="675"/>
      <c r="E4711" s="702"/>
      <c r="F4711" s="702"/>
      <c r="G4711" s="675"/>
      <c r="H4711" s="675"/>
      <c r="I4711" s="675"/>
      <c r="J4711" s="675"/>
      <c r="K4711" s="675"/>
      <c r="L4711" s="675"/>
      <c r="M4711" s="675"/>
    </row>
    <row r="4712" spans="1:13" x14ac:dyDescent="0.25">
      <c r="A4712" s="675" t="s">
        <v>805</v>
      </c>
      <c r="B4712" s="675" t="s">
        <v>512</v>
      </c>
      <c r="C4712" s="675" t="s">
        <v>4629</v>
      </c>
      <c r="D4712" s="675"/>
      <c r="E4712" s="702"/>
      <c r="F4712" s="702"/>
      <c r="G4712" s="675"/>
      <c r="H4712" s="675"/>
      <c r="I4712" s="675"/>
      <c r="J4712" s="675"/>
      <c r="K4712" s="675"/>
      <c r="L4712" s="675"/>
      <c r="M4712" s="675"/>
    </row>
    <row r="4713" spans="1:13" x14ac:dyDescent="0.25">
      <c r="A4713" s="675" t="s">
        <v>805</v>
      </c>
      <c r="B4713" s="675" t="s">
        <v>512</v>
      </c>
      <c r="C4713" s="675" t="s">
        <v>4630</v>
      </c>
      <c r="D4713" s="675"/>
      <c r="E4713" s="702"/>
      <c r="F4713" s="702"/>
      <c r="G4713" s="675"/>
      <c r="H4713" s="675"/>
      <c r="I4713" s="675"/>
      <c r="J4713" s="675"/>
      <c r="K4713" s="675"/>
      <c r="L4713" s="675"/>
      <c r="M4713" s="675"/>
    </row>
    <row r="4714" spans="1:13" x14ac:dyDescent="0.25">
      <c r="A4714" s="675" t="s">
        <v>805</v>
      </c>
      <c r="B4714" s="675" t="s">
        <v>512</v>
      </c>
      <c r="C4714" s="675" t="s">
        <v>4631</v>
      </c>
      <c r="D4714" s="675"/>
      <c r="E4714" s="702"/>
      <c r="F4714" s="702"/>
      <c r="G4714" s="675"/>
      <c r="H4714" s="675"/>
      <c r="I4714" s="675"/>
      <c r="J4714" s="675"/>
      <c r="K4714" s="675"/>
      <c r="L4714" s="675"/>
      <c r="M4714" s="675"/>
    </row>
    <row r="4715" spans="1:13" x14ac:dyDescent="0.25">
      <c r="A4715" s="675" t="s">
        <v>805</v>
      </c>
      <c r="B4715" s="675" t="s">
        <v>512</v>
      </c>
      <c r="C4715" s="675" t="s">
        <v>4632</v>
      </c>
      <c r="D4715" s="675"/>
      <c r="E4715" s="702"/>
      <c r="F4715" s="702"/>
      <c r="G4715" s="675"/>
      <c r="H4715" s="675"/>
      <c r="I4715" s="675"/>
      <c r="J4715" s="675"/>
      <c r="K4715" s="675"/>
      <c r="L4715" s="675"/>
      <c r="M4715" s="675"/>
    </row>
    <row r="4716" spans="1:13" x14ac:dyDescent="0.25">
      <c r="A4716" s="675" t="s">
        <v>2503</v>
      </c>
      <c r="B4716" s="675" t="s">
        <v>545</v>
      </c>
      <c r="C4716" s="676" t="s">
        <v>4633</v>
      </c>
      <c r="D4716" s="675"/>
      <c r="E4716" s="702"/>
      <c r="F4716" s="702"/>
      <c r="G4716" s="675"/>
      <c r="H4716" s="675"/>
      <c r="I4716" s="675"/>
      <c r="J4716" s="675"/>
      <c r="K4716" s="675"/>
      <c r="L4716" s="675"/>
      <c r="M4716" s="675"/>
    </row>
    <row r="4717" spans="1:13" x14ac:dyDescent="0.25">
      <c r="A4717" s="675" t="s">
        <v>2503</v>
      </c>
      <c r="B4717" s="675" t="s">
        <v>545</v>
      </c>
      <c r="C4717" s="676" t="s">
        <v>4634</v>
      </c>
      <c r="D4717" s="675"/>
      <c r="E4717" s="702"/>
      <c r="F4717" s="702"/>
      <c r="G4717" s="675"/>
      <c r="H4717" s="675"/>
      <c r="I4717" s="675"/>
      <c r="J4717" s="675"/>
      <c r="K4717" s="675"/>
      <c r="L4717" s="675"/>
      <c r="M4717" s="675"/>
    </row>
    <row r="4718" spans="1:13" x14ac:dyDescent="0.25">
      <c r="A4718" s="675" t="s">
        <v>2503</v>
      </c>
      <c r="B4718" s="675" t="s">
        <v>545</v>
      </c>
      <c r="C4718" s="676" t="s">
        <v>4635</v>
      </c>
      <c r="D4718" s="675"/>
      <c r="E4718" s="702"/>
      <c r="F4718" s="702"/>
      <c r="G4718" s="675"/>
      <c r="H4718" s="675"/>
      <c r="I4718" s="675"/>
      <c r="J4718" s="675"/>
      <c r="K4718" s="675"/>
      <c r="L4718" s="675"/>
      <c r="M4718" s="675"/>
    </row>
    <row r="4719" spans="1:13" x14ac:dyDescent="0.25">
      <c r="A4719" s="675" t="s">
        <v>2503</v>
      </c>
      <c r="B4719" s="675" t="s">
        <v>545</v>
      </c>
      <c r="C4719" s="676" t="s">
        <v>4636</v>
      </c>
      <c r="D4719" s="675"/>
      <c r="E4719" s="702"/>
      <c r="F4719" s="702"/>
      <c r="G4719" s="675"/>
      <c r="H4719" s="675"/>
      <c r="I4719" s="675"/>
      <c r="J4719" s="675"/>
      <c r="K4719" s="675"/>
      <c r="L4719" s="675"/>
      <c r="M4719" s="675"/>
    </row>
    <row r="4720" spans="1:13" x14ac:dyDescent="0.25">
      <c r="A4720" s="675" t="s">
        <v>2503</v>
      </c>
      <c r="B4720" s="675" t="s">
        <v>545</v>
      </c>
      <c r="C4720" s="676" t="s">
        <v>4637</v>
      </c>
      <c r="D4720" s="675"/>
      <c r="E4720" s="702"/>
      <c r="F4720" s="702"/>
      <c r="G4720" s="675"/>
      <c r="H4720" s="675"/>
      <c r="I4720" s="675"/>
      <c r="J4720" s="675"/>
      <c r="K4720" s="675"/>
      <c r="L4720" s="675"/>
      <c r="M4720" s="675"/>
    </row>
    <row r="4721" spans="1:13" x14ac:dyDescent="0.25">
      <c r="A4721" s="675" t="s">
        <v>2503</v>
      </c>
      <c r="B4721" s="675" t="s">
        <v>545</v>
      </c>
      <c r="C4721" s="676" t="s">
        <v>4638</v>
      </c>
      <c r="D4721" s="675"/>
      <c r="E4721" s="702"/>
      <c r="F4721" s="702"/>
      <c r="G4721" s="675"/>
      <c r="H4721" s="675"/>
      <c r="I4721" s="675"/>
      <c r="J4721" s="675"/>
      <c r="K4721" s="675"/>
      <c r="L4721" s="675"/>
      <c r="M4721" s="675"/>
    </row>
    <row r="4722" spans="1:13" ht="30" x14ac:dyDescent="0.25">
      <c r="A4722" s="675" t="s">
        <v>2503</v>
      </c>
      <c r="B4722" s="675" t="s">
        <v>545</v>
      </c>
      <c r="C4722" s="676" t="s">
        <v>4639</v>
      </c>
      <c r="D4722" s="675"/>
      <c r="E4722" s="702"/>
      <c r="F4722" s="702"/>
      <c r="G4722" s="675"/>
      <c r="H4722" s="675"/>
      <c r="I4722" s="675"/>
      <c r="J4722" s="675"/>
      <c r="K4722" s="675"/>
      <c r="L4722" s="675"/>
      <c r="M4722" s="675"/>
    </row>
    <row r="4723" spans="1:13" x14ac:dyDescent="0.25">
      <c r="A4723" s="675" t="s">
        <v>2503</v>
      </c>
      <c r="B4723" s="675" t="s">
        <v>545</v>
      </c>
      <c r="C4723" s="676" t="s">
        <v>4640</v>
      </c>
      <c r="D4723" s="675"/>
      <c r="E4723" s="702"/>
      <c r="F4723" s="702"/>
      <c r="G4723" s="675"/>
      <c r="H4723" s="675"/>
      <c r="I4723" s="675"/>
      <c r="J4723" s="675"/>
      <c r="K4723" s="675"/>
      <c r="L4723" s="675"/>
      <c r="M4723" s="675"/>
    </row>
    <row r="4724" spans="1:13" x14ac:dyDescent="0.25">
      <c r="A4724" s="675" t="s">
        <v>2503</v>
      </c>
      <c r="B4724" s="675" t="s">
        <v>545</v>
      </c>
      <c r="C4724" s="676" t="s">
        <v>4641</v>
      </c>
      <c r="D4724" s="675"/>
      <c r="E4724" s="702"/>
      <c r="F4724" s="702"/>
      <c r="G4724" s="675"/>
      <c r="H4724" s="675"/>
      <c r="I4724" s="675"/>
      <c r="J4724" s="675"/>
      <c r="K4724" s="675"/>
      <c r="L4724" s="675"/>
      <c r="M4724" s="675"/>
    </row>
    <row r="4725" spans="1:13" x14ac:dyDescent="0.25">
      <c r="A4725" s="675" t="s">
        <v>2503</v>
      </c>
      <c r="B4725" s="675" t="s">
        <v>545</v>
      </c>
      <c r="C4725" s="676" t="s">
        <v>4642</v>
      </c>
      <c r="D4725" s="675"/>
      <c r="E4725" s="702"/>
      <c r="F4725" s="702"/>
      <c r="G4725" s="675"/>
      <c r="H4725" s="675"/>
      <c r="I4725" s="675"/>
      <c r="J4725" s="675"/>
      <c r="K4725" s="675"/>
      <c r="L4725" s="675"/>
      <c r="M4725" s="675"/>
    </row>
    <row r="4726" spans="1:13" ht="30" x14ac:dyDescent="0.25">
      <c r="A4726" s="675" t="s">
        <v>2503</v>
      </c>
      <c r="B4726" s="675" t="s">
        <v>545</v>
      </c>
      <c r="C4726" s="676" t="s">
        <v>4643</v>
      </c>
      <c r="D4726" s="675"/>
      <c r="E4726" s="702"/>
      <c r="F4726" s="702"/>
      <c r="G4726" s="675"/>
      <c r="H4726" s="675"/>
      <c r="I4726" s="675"/>
      <c r="J4726" s="675"/>
      <c r="K4726" s="675"/>
      <c r="L4726" s="675"/>
      <c r="M4726" s="675"/>
    </row>
    <row r="4727" spans="1:13" ht="30" x14ac:dyDescent="0.25">
      <c r="A4727" s="675" t="s">
        <v>2503</v>
      </c>
      <c r="B4727" s="675" t="s">
        <v>545</v>
      </c>
      <c r="C4727" s="676" t="s">
        <v>4644</v>
      </c>
      <c r="D4727" s="675"/>
      <c r="E4727" s="702"/>
      <c r="F4727" s="702"/>
      <c r="G4727" s="675"/>
      <c r="H4727" s="675"/>
      <c r="I4727" s="675"/>
      <c r="J4727" s="675"/>
      <c r="K4727" s="675"/>
      <c r="L4727" s="675"/>
      <c r="M4727" s="675"/>
    </row>
    <row r="4728" spans="1:13" x14ac:dyDescent="0.25">
      <c r="A4728" s="675" t="s">
        <v>2503</v>
      </c>
      <c r="B4728" s="675" t="s">
        <v>545</v>
      </c>
      <c r="C4728" s="676" t="s">
        <v>4645</v>
      </c>
      <c r="D4728" s="675"/>
      <c r="E4728" s="702"/>
      <c r="F4728" s="702"/>
      <c r="G4728" s="675"/>
      <c r="H4728" s="675"/>
      <c r="I4728" s="675"/>
      <c r="J4728" s="675"/>
      <c r="K4728" s="675"/>
      <c r="L4728" s="675"/>
      <c r="M4728" s="675"/>
    </row>
    <row r="4729" spans="1:13" x14ac:dyDescent="0.25">
      <c r="A4729" s="675" t="s">
        <v>2503</v>
      </c>
      <c r="B4729" s="675" t="s">
        <v>545</v>
      </c>
      <c r="C4729" s="676" t="s">
        <v>4646</v>
      </c>
      <c r="D4729" s="675"/>
      <c r="E4729" s="702"/>
      <c r="F4729" s="702"/>
      <c r="G4729" s="675"/>
      <c r="H4729" s="675"/>
      <c r="I4729" s="675"/>
      <c r="J4729" s="675"/>
      <c r="K4729" s="675"/>
      <c r="L4729" s="675"/>
      <c r="M4729" s="675"/>
    </row>
    <row r="4730" spans="1:13" x14ac:dyDescent="0.25">
      <c r="A4730" s="675" t="s">
        <v>2503</v>
      </c>
      <c r="B4730" s="675" t="s">
        <v>545</v>
      </c>
      <c r="C4730" s="676" t="s">
        <v>4647</v>
      </c>
      <c r="D4730" s="675"/>
      <c r="E4730" s="702"/>
      <c r="F4730" s="702"/>
      <c r="G4730" s="675"/>
      <c r="H4730" s="675"/>
      <c r="I4730" s="675"/>
      <c r="J4730" s="675"/>
      <c r="K4730" s="675"/>
      <c r="L4730" s="675"/>
      <c r="M4730" s="675"/>
    </row>
    <row r="4731" spans="1:13" x14ac:dyDescent="0.25">
      <c r="A4731" s="675" t="s">
        <v>2503</v>
      </c>
      <c r="B4731" s="675" t="s">
        <v>564</v>
      </c>
      <c r="C4731" s="675" t="s">
        <v>4648</v>
      </c>
      <c r="D4731" s="675"/>
      <c r="E4731" s="702"/>
      <c r="F4731" s="702"/>
      <c r="G4731" s="675"/>
      <c r="H4731" s="675"/>
      <c r="I4731" s="675"/>
      <c r="J4731" s="675"/>
      <c r="K4731" s="675"/>
      <c r="L4731" s="675"/>
      <c r="M4731" s="675"/>
    </row>
    <row r="4732" spans="1:13" x14ac:dyDescent="0.25">
      <c r="A4732" s="675" t="s">
        <v>2503</v>
      </c>
      <c r="B4732" s="675" t="s">
        <v>564</v>
      </c>
      <c r="C4732" s="675" t="s">
        <v>4649</v>
      </c>
      <c r="D4732" s="675"/>
      <c r="E4732" s="702"/>
      <c r="F4732" s="702"/>
      <c r="G4732" s="675"/>
      <c r="H4732" s="675"/>
      <c r="I4732" s="675"/>
      <c r="J4732" s="675"/>
      <c r="K4732" s="675"/>
      <c r="L4732" s="675"/>
      <c r="M4732" s="675"/>
    </row>
    <row r="4733" spans="1:13" x14ac:dyDescent="0.25">
      <c r="A4733" s="675" t="s">
        <v>2503</v>
      </c>
      <c r="B4733" s="675" t="s">
        <v>564</v>
      </c>
      <c r="C4733" s="675" t="s">
        <v>4650</v>
      </c>
      <c r="D4733" s="675"/>
      <c r="E4733" s="702"/>
      <c r="F4733" s="702"/>
      <c r="G4733" s="675"/>
      <c r="H4733" s="675"/>
      <c r="I4733" s="675"/>
      <c r="J4733" s="675"/>
      <c r="K4733" s="675"/>
      <c r="L4733" s="675"/>
      <c r="M4733" s="675"/>
    </row>
    <row r="4734" spans="1:13" x14ac:dyDescent="0.25">
      <c r="A4734" s="675" t="s">
        <v>2503</v>
      </c>
      <c r="B4734" s="675" t="s">
        <v>564</v>
      </c>
      <c r="C4734" s="675" t="s">
        <v>4651</v>
      </c>
      <c r="D4734" s="675"/>
      <c r="E4734" s="702"/>
      <c r="F4734" s="702"/>
      <c r="G4734" s="675"/>
      <c r="H4734" s="675"/>
      <c r="I4734" s="675"/>
      <c r="J4734" s="675"/>
      <c r="K4734" s="675"/>
      <c r="L4734" s="675"/>
      <c r="M4734" s="675"/>
    </row>
    <row r="4735" spans="1:13" x14ac:dyDescent="0.25">
      <c r="A4735" s="675" t="s">
        <v>2503</v>
      </c>
      <c r="B4735" s="675" t="s">
        <v>564</v>
      </c>
      <c r="C4735" s="675" t="s">
        <v>4652</v>
      </c>
      <c r="D4735" s="675"/>
      <c r="E4735" s="702"/>
      <c r="F4735" s="702"/>
      <c r="G4735" s="675"/>
      <c r="H4735" s="675"/>
      <c r="I4735" s="675"/>
      <c r="J4735" s="675"/>
      <c r="K4735" s="675"/>
      <c r="L4735" s="675"/>
      <c r="M4735" s="675"/>
    </row>
    <row r="4736" spans="1:13" x14ac:dyDescent="0.25">
      <c r="A4736" s="675" t="s">
        <v>2503</v>
      </c>
      <c r="B4736" s="675" t="s">
        <v>564</v>
      </c>
      <c r="C4736" s="675" t="s">
        <v>4653</v>
      </c>
      <c r="D4736" s="675"/>
      <c r="E4736" s="702"/>
      <c r="F4736" s="702"/>
      <c r="G4736" s="675"/>
      <c r="H4736" s="675"/>
      <c r="I4736" s="675"/>
      <c r="J4736" s="675"/>
      <c r="K4736" s="675"/>
      <c r="L4736" s="675"/>
      <c r="M4736" s="675"/>
    </row>
    <row r="4737" spans="1:13" x14ac:dyDescent="0.25">
      <c r="A4737" s="675" t="s">
        <v>2503</v>
      </c>
      <c r="B4737" s="675" t="s">
        <v>564</v>
      </c>
      <c r="C4737" s="675" t="s">
        <v>4654</v>
      </c>
      <c r="D4737" s="675"/>
      <c r="E4737" s="702"/>
      <c r="F4737" s="702"/>
      <c r="G4737" s="675"/>
      <c r="H4737" s="675"/>
      <c r="I4737" s="675"/>
      <c r="J4737" s="675"/>
      <c r="K4737" s="675"/>
      <c r="L4737" s="675"/>
      <c r="M4737" s="675"/>
    </row>
    <row r="4738" spans="1:13" x14ac:dyDescent="0.25">
      <c r="A4738" s="675" t="s">
        <v>2503</v>
      </c>
      <c r="B4738" s="675" t="s">
        <v>564</v>
      </c>
      <c r="C4738" s="675" t="s">
        <v>4655</v>
      </c>
      <c r="D4738" s="675"/>
      <c r="E4738" s="702"/>
      <c r="F4738" s="702"/>
      <c r="G4738" s="675"/>
      <c r="H4738" s="675"/>
      <c r="I4738" s="675"/>
      <c r="J4738" s="675"/>
      <c r="K4738" s="675"/>
      <c r="L4738" s="675"/>
      <c r="M4738" s="675"/>
    </row>
    <row r="4739" spans="1:13" x14ac:dyDescent="0.25">
      <c r="A4739" s="675" t="s">
        <v>2503</v>
      </c>
      <c r="B4739" s="675" t="s">
        <v>564</v>
      </c>
      <c r="C4739" s="675" t="s">
        <v>4656</v>
      </c>
      <c r="D4739" s="675"/>
      <c r="E4739" s="702"/>
      <c r="F4739" s="702"/>
      <c r="G4739" s="675"/>
      <c r="H4739" s="675"/>
      <c r="I4739" s="675"/>
      <c r="J4739" s="675"/>
      <c r="K4739" s="675"/>
      <c r="L4739" s="675"/>
      <c r="M4739" s="675"/>
    </row>
    <row r="4740" spans="1:13" x14ac:dyDescent="0.25">
      <c r="A4740" s="675" t="s">
        <v>2503</v>
      </c>
      <c r="B4740" s="675" t="s">
        <v>564</v>
      </c>
      <c r="C4740" s="675" t="s">
        <v>4657</v>
      </c>
      <c r="D4740" s="675"/>
      <c r="E4740" s="702"/>
      <c r="F4740" s="702"/>
      <c r="G4740" s="675"/>
      <c r="H4740" s="675"/>
      <c r="I4740" s="675"/>
      <c r="J4740" s="675"/>
      <c r="K4740" s="675"/>
      <c r="L4740" s="675"/>
      <c r="M4740" s="675"/>
    </row>
    <row r="4741" spans="1:13" x14ac:dyDescent="0.25">
      <c r="A4741" s="675" t="s">
        <v>2503</v>
      </c>
      <c r="B4741" s="675" t="s">
        <v>564</v>
      </c>
      <c r="C4741" s="675" t="s">
        <v>4658</v>
      </c>
      <c r="D4741" s="675"/>
      <c r="E4741" s="702"/>
      <c r="F4741" s="702"/>
      <c r="G4741" s="675"/>
      <c r="H4741" s="675"/>
      <c r="I4741" s="675"/>
      <c r="J4741" s="675"/>
      <c r="K4741" s="675"/>
      <c r="L4741" s="675"/>
      <c r="M4741" s="675"/>
    </row>
    <row r="4742" spans="1:13" x14ac:dyDescent="0.25">
      <c r="A4742" s="675" t="s">
        <v>2503</v>
      </c>
      <c r="B4742" s="675" t="s">
        <v>564</v>
      </c>
      <c r="C4742" s="675" t="s">
        <v>4659</v>
      </c>
      <c r="D4742" s="675"/>
      <c r="E4742" s="702"/>
      <c r="F4742" s="702"/>
      <c r="G4742" s="675"/>
      <c r="H4742" s="675"/>
      <c r="I4742" s="675"/>
      <c r="J4742" s="675"/>
      <c r="K4742" s="675"/>
      <c r="L4742" s="675"/>
      <c r="M4742" s="675"/>
    </row>
    <row r="4743" spans="1:13" x14ac:dyDescent="0.25">
      <c r="A4743" s="675" t="s">
        <v>2503</v>
      </c>
      <c r="B4743" s="675" t="s">
        <v>564</v>
      </c>
      <c r="C4743" s="675" t="s">
        <v>4660</v>
      </c>
      <c r="D4743" s="675"/>
      <c r="E4743" s="702"/>
      <c r="F4743" s="702"/>
      <c r="G4743" s="675"/>
      <c r="H4743" s="675"/>
      <c r="I4743" s="675"/>
      <c r="J4743" s="675"/>
      <c r="K4743" s="675"/>
      <c r="L4743" s="675"/>
      <c r="M4743" s="675"/>
    </row>
    <row r="4744" spans="1:13" x14ac:dyDescent="0.25">
      <c r="A4744" s="675" t="s">
        <v>2503</v>
      </c>
      <c r="B4744" s="675" t="s">
        <v>564</v>
      </c>
      <c r="C4744" s="675" t="s">
        <v>4661</v>
      </c>
      <c r="D4744" s="675"/>
      <c r="E4744" s="702"/>
      <c r="F4744" s="702"/>
      <c r="G4744" s="675"/>
      <c r="H4744" s="675"/>
      <c r="I4744" s="675"/>
      <c r="J4744" s="675"/>
      <c r="K4744" s="675"/>
      <c r="L4744" s="675"/>
      <c r="M4744" s="675"/>
    </row>
    <row r="4745" spans="1:13" x14ac:dyDescent="0.25">
      <c r="A4745" s="675" t="s">
        <v>2503</v>
      </c>
      <c r="B4745" s="675" t="s">
        <v>564</v>
      </c>
      <c r="C4745" s="675" t="s">
        <v>4662</v>
      </c>
      <c r="D4745" s="675"/>
      <c r="E4745" s="702"/>
      <c r="F4745" s="702"/>
      <c r="G4745" s="675"/>
      <c r="H4745" s="675"/>
      <c r="I4745" s="675"/>
      <c r="J4745" s="675"/>
      <c r="K4745" s="675"/>
      <c r="L4745" s="675"/>
      <c r="M4745" s="675"/>
    </row>
    <row r="4746" spans="1:13" x14ac:dyDescent="0.25">
      <c r="A4746" s="675" t="s">
        <v>2503</v>
      </c>
      <c r="B4746" s="675" t="s">
        <v>512</v>
      </c>
      <c r="C4746" s="675" t="s">
        <v>4663</v>
      </c>
      <c r="D4746" s="675"/>
      <c r="E4746" s="702"/>
      <c r="F4746" s="702"/>
      <c r="G4746" s="675"/>
      <c r="H4746" s="675"/>
      <c r="I4746" s="675"/>
      <c r="J4746" s="675"/>
      <c r="K4746" s="675"/>
      <c r="L4746" s="675"/>
      <c r="M4746" s="675"/>
    </row>
    <row r="4747" spans="1:13" x14ac:dyDescent="0.25">
      <c r="A4747" s="675" t="s">
        <v>2503</v>
      </c>
      <c r="B4747" s="675" t="s">
        <v>512</v>
      </c>
      <c r="C4747" s="675" t="s">
        <v>4664</v>
      </c>
      <c r="D4747" s="675"/>
      <c r="E4747" s="702"/>
      <c r="F4747" s="702"/>
      <c r="G4747" s="675"/>
      <c r="H4747" s="675"/>
      <c r="I4747" s="675"/>
      <c r="J4747" s="675"/>
      <c r="K4747" s="675"/>
      <c r="L4747" s="675"/>
      <c r="M4747" s="675"/>
    </row>
    <row r="4748" spans="1:13" x14ac:dyDescent="0.25">
      <c r="A4748" s="675" t="s">
        <v>2503</v>
      </c>
      <c r="B4748" s="675" t="s">
        <v>512</v>
      </c>
      <c r="C4748" s="675" t="s">
        <v>4665</v>
      </c>
      <c r="D4748" s="675"/>
      <c r="E4748" s="702"/>
      <c r="F4748" s="702"/>
      <c r="G4748" s="675"/>
      <c r="H4748" s="675"/>
      <c r="I4748" s="675"/>
      <c r="J4748" s="675"/>
      <c r="K4748" s="675"/>
      <c r="L4748" s="675"/>
      <c r="M4748" s="675"/>
    </row>
    <row r="4749" spans="1:13" x14ac:dyDescent="0.25">
      <c r="A4749" s="675" t="s">
        <v>2503</v>
      </c>
      <c r="B4749" s="675" t="s">
        <v>512</v>
      </c>
      <c r="C4749" s="675" t="s">
        <v>4666</v>
      </c>
      <c r="D4749" s="675"/>
      <c r="E4749" s="702"/>
      <c r="F4749" s="702"/>
      <c r="G4749" s="675"/>
      <c r="H4749" s="675"/>
      <c r="I4749" s="675"/>
      <c r="J4749" s="675"/>
      <c r="K4749" s="675"/>
      <c r="L4749" s="675"/>
      <c r="M4749" s="675"/>
    </row>
    <row r="4750" spans="1:13" x14ac:dyDescent="0.25">
      <c r="A4750" s="675" t="s">
        <v>2503</v>
      </c>
      <c r="B4750" s="675" t="s">
        <v>512</v>
      </c>
      <c r="C4750" s="675" t="s">
        <v>4667</v>
      </c>
      <c r="D4750" s="675"/>
      <c r="E4750" s="702"/>
      <c r="F4750" s="702"/>
      <c r="G4750" s="675"/>
      <c r="H4750" s="675"/>
      <c r="I4750" s="675"/>
      <c r="J4750" s="675"/>
      <c r="K4750" s="675"/>
      <c r="L4750" s="675"/>
      <c r="M4750" s="675"/>
    </row>
    <row r="4751" spans="1:13" x14ac:dyDescent="0.25">
      <c r="A4751" s="675" t="s">
        <v>2503</v>
      </c>
      <c r="B4751" s="675" t="s">
        <v>512</v>
      </c>
      <c r="C4751" s="675" t="s">
        <v>4668</v>
      </c>
      <c r="D4751" s="675"/>
      <c r="E4751" s="702"/>
      <c r="F4751" s="702"/>
      <c r="G4751" s="675"/>
      <c r="H4751" s="675"/>
      <c r="I4751" s="675"/>
      <c r="J4751" s="675"/>
      <c r="K4751" s="675"/>
      <c r="L4751" s="675"/>
      <c r="M4751" s="675"/>
    </row>
    <row r="4752" spans="1:13" x14ac:dyDescent="0.25">
      <c r="A4752" s="675" t="s">
        <v>2503</v>
      </c>
      <c r="B4752" s="675" t="s">
        <v>512</v>
      </c>
      <c r="C4752" s="675" t="s">
        <v>4669</v>
      </c>
      <c r="D4752" s="675"/>
      <c r="E4752" s="702"/>
      <c r="F4752" s="702"/>
      <c r="G4752" s="675"/>
      <c r="H4752" s="675"/>
      <c r="I4752" s="675"/>
      <c r="J4752" s="675"/>
      <c r="K4752" s="675"/>
      <c r="L4752" s="675"/>
      <c r="M4752" s="675"/>
    </row>
    <row r="4753" spans="1:13" x14ac:dyDescent="0.25">
      <c r="A4753" s="675" t="s">
        <v>2503</v>
      </c>
      <c r="B4753" s="675" t="s">
        <v>512</v>
      </c>
      <c r="C4753" s="675" t="s">
        <v>4670</v>
      </c>
      <c r="D4753" s="675"/>
      <c r="E4753" s="702"/>
      <c r="F4753" s="702"/>
      <c r="G4753" s="675"/>
      <c r="H4753" s="675"/>
      <c r="I4753" s="675"/>
      <c r="J4753" s="675"/>
      <c r="K4753" s="675"/>
      <c r="L4753" s="675"/>
      <c r="M4753" s="675"/>
    </row>
    <row r="4754" spans="1:13" x14ac:dyDescent="0.25">
      <c r="A4754" s="675" t="s">
        <v>2503</v>
      </c>
      <c r="B4754" s="675" t="s">
        <v>512</v>
      </c>
      <c r="C4754" s="675" t="s">
        <v>4671</v>
      </c>
      <c r="D4754" s="675"/>
      <c r="E4754" s="702"/>
      <c r="F4754" s="702"/>
      <c r="G4754" s="675"/>
      <c r="H4754" s="675"/>
      <c r="I4754" s="675"/>
      <c r="J4754" s="675"/>
      <c r="K4754" s="675"/>
      <c r="L4754" s="675"/>
      <c r="M4754" s="675"/>
    </row>
    <row r="4755" spans="1:13" x14ac:dyDescent="0.25">
      <c r="A4755" s="675" t="s">
        <v>2503</v>
      </c>
      <c r="B4755" s="675" t="s">
        <v>512</v>
      </c>
      <c r="C4755" s="675" t="s">
        <v>4672</v>
      </c>
      <c r="D4755" s="675"/>
      <c r="E4755" s="702"/>
      <c r="F4755" s="702"/>
      <c r="G4755" s="675"/>
      <c r="H4755" s="675"/>
      <c r="I4755" s="675"/>
      <c r="J4755" s="675"/>
      <c r="K4755" s="675"/>
      <c r="L4755" s="675"/>
      <c r="M4755" s="675"/>
    </row>
    <row r="4756" spans="1:13" x14ac:dyDescent="0.25">
      <c r="A4756" s="675" t="s">
        <v>2503</v>
      </c>
      <c r="B4756" s="675" t="s">
        <v>512</v>
      </c>
      <c r="C4756" s="675" t="s">
        <v>4673</v>
      </c>
      <c r="D4756" s="675"/>
      <c r="E4756" s="702"/>
      <c r="F4756" s="702"/>
      <c r="G4756" s="675"/>
      <c r="H4756" s="675"/>
      <c r="I4756" s="675"/>
      <c r="J4756" s="675"/>
      <c r="K4756" s="675"/>
      <c r="L4756" s="675"/>
      <c r="M4756" s="675"/>
    </row>
    <row r="4757" spans="1:13" x14ac:dyDescent="0.25">
      <c r="A4757" s="675" t="s">
        <v>2503</v>
      </c>
      <c r="B4757" s="675" t="s">
        <v>512</v>
      </c>
      <c r="C4757" s="675" t="s">
        <v>4674</v>
      </c>
      <c r="D4757" s="675"/>
      <c r="E4757" s="702"/>
      <c r="F4757" s="702"/>
      <c r="G4757" s="675"/>
      <c r="H4757" s="675"/>
      <c r="I4757" s="675"/>
      <c r="J4757" s="675"/>
      <c r="K4757" s="675"/>
      <c r="L4757" s="675"/>
      <c r="M4757" s="675"/>
    </row>
    <row r="4758" spans="1:13" x14ac:dyDescent="0.25">
      <c r="A4758" s="675" t="s">
        <v>2503</v>
      </c>
      <c r="B4758" s="675" t="s">
        <v>512</v>
      </c>
      <c r="C4758" s="675" t="s">
        <v>4675</v>
      </c>
      <c r="D4758" s="675"/>
      <c r="E4758" s="702"/>
      <c r="F4758" s="702"/>
      <c r="G4758" s="675"/>
      <c r="H4758" s="675"/>
      <c r="I4758" s="675"/>
      <c r="J4758" s="675"/>
      <c r="K4758" s="675"/>
      <c r="L4758" s="675"/>
      <c r="M4758" s="675"/>
    </row>
    <row r="4759" spans="1:13" x14ac:dyDescent="0.25">
      <c r="A4759" s="675" t="s">
        <v>2503</v>
      </c>
      <c r="B4759" s="675" t="s">
        <v>512</v>
      </c>
      <c r="C4759" s="675" t="s">
        <v>4676</v>
      </c>
      <c r="D4759" s="675"/>
      <c r="E4759" s="702"/>
      <c r="F4759" s="702"/>
      <c r="G4759" s="675"/>
      <c r="H4759" s="675"/>
      <c r="I4759" s="675"/>
      <c r="J4759" s="675"/>
      <c r="K4759" s="675"/>
      <c r="L4759" s="675"/>
      <c r="M4759" s="675"/>
    </row>
    <row r="4760" spans="1:13" x14ac:dyDescent="0.25">
      <c r="A4760" s="675" t="s">
        <v>2503</v>
      </c>
      <c r="B4760" s="675" t="s">
        <v>512</v>
      </c>
      <c r="C4760" s="675" t="s">
        <v>4677</v>
      </c>
      <c r="D4760" s="675"/>
      <c r="E4760" s="702"/>
      <c r="F4760" s="702"/>
      <c r="G4760" s="675"/>
      <c r="H4760" s="675"/>
      <c r="I4760" s="675"/>
      <c r="J4760" s="675"/>
      <c r="K4760" s="675"/>
      <c r="L4760" s="675"/>
      <c r="M4760" s="675"/>
    </row>
    <row r="4761" spans="1:13" x14ac:dyDescent="0.25">
      <c r="A4761" s="675" t="s">
        <v>1795</v>
      </c>
      <c r="B4761" s="675" t="s">
        <v>545</v>
      </c>
      <c r="C4761" s="675" t="s">
        <v>4678</v>
      </c>
      <c r="D4761" s="675"/>
      <c r="E4761" s="702"/>
      <c r="F4761" s="702"/>
      <c r="G4761" s="675"/>
      <c r="H4761" s="675"/>
      <c r="I4761" s="675"/>
      <c r="J4761" s="675"/>
      <c r="K4761" s="675"/>
      <c r="L4761" s="675"/>
      <c r="M4761" s="675"/>
    </row>
    <row r="4762" spans="1:13" x14ac:dyDescent="0.25">
      <c r="A4762" s="675" t="s">
        <v>1795</v>
      </c>
      <c r="B4762" s="675" t="s">
        <v>545</v>
      </c>
      <c r="C4762" s="675" t="s">
        <v>4679</v>
      </c>
      <c r="D4762" s="675"/>
      <c r="E4762" s="702"/>
      <c r="F4762" s="702"/>
      <c r="G4762" s="675"/>
      <c r="H4762" s="675"/>
      <c r="I4762" s="675"/>
      <c r="J4762" s="675"/>
      <c r="K4762" s="675"/>
      <c r="L4762" s="675"/>
      <c r="M4762" s="675"/>
    </row>
    <row r="4763" spans="1:13" x14ac:dyDescent="0.25">
      <c r="A4763" s="675" t="s">
        <v>1795</v>
      </c>
      <c r="B4763" s="675" t="s">
        <v>545</v>
      </c>
      <c r="C4763" s="675" t="s">
        <v>4680</v>
      </c>
      <c r="D4763" s="675"/>
      <c r="E4763" s="702"/>
      <c r="F4763" s="702"/>
      <c r="G4763" s="675"/>
      <c r="H4763" s="675"/>
      <c r="I4763" s="675"/>
      <c r="J4763" s="675"/>
      <c r="K4763" s="675"/>
      <c r="L4763" s="675"/>
      <c r="M4763" s="675"/>
    </row>
    <row r="4764" spans="1:13" x14ac:dyDescent="0.25">
      <c r="A4764" s="675" t="s">
        <v>1795</v>
      </c>
      <c r="B4764" s="675" t="s">
        <v>545</v>
      </c>
      <c r="C4764" s="675" t="s">
        <v>4681</v>
      </c>
      <c r="D4764" s="675"/>
      <c r="E4764" s="702"/>
      <c r="F4764" s="702"/>
      <c r="G4764" s="675"/>
      <c r="H4764" s="675"/>
      <c r="I4764" s="675"/>
      <c r="J4764" s="675"/>
      <c r="K4764" s="675"/>
      <c r="L4764" s="675"/>
      <c r="M4764" s="675"/>
    </row>
    <row r="4765" spans="1:13" x14ac:dyDescent="0.25">
      <c r="A4765" s="675" t="s">
        <v>1795</v>
      </c>
      <c r="B4765" s="675" t="s">
        <v>545</v>
      </c>
      <c r="C4765" s="675" t="s">
        <v>4682</v>
      </c>
      <c r="D4765" s="675"/>
      <c r="E4765" s="702"/>
      <c r="F4765" s="702"/>
      <c r="G4765" s="675"/>
      <c r="H4765" s="675"/>
      <c r="I4765" s="675"/>
      <c r="J4765" s="675"/>
      <c r="K4765" s="675"/>
      <c r="L4765" s="675"/>
      <c r="M4765" s="675"/>
    </row>
    <row r="4766" spans="1:13" x14ac:dyDescent="0.25">
      <c r="A4766" s="675" t="s">
        <v>1795</v>
      </c>
      <c r="B4766" s="675" t="s">
        <v>545</v>
      </c>
      <c r="C4766" s="675" t="s">
        <v>4683</v>
      </c>
      <c r="D4766" s="675"/>
      <c r="E4766" s="702"/>
      <c r="F4766" s="702"/>
      <c r="G4766" s="675"/>
      <c r="H4766" s="675"/>
      <c r="I4766" s="675"/>
      <c r="J4766" s="675"/>
      <c r="K4766" s="675"/>
      <c r="L4766" s="675"/>
      <c r="M4766" s="675"/>
    </row>
    <row r="4767" spans="1:13" x14ac:dyDescent="0.25">
      <c r="A4767" s="675" t="s">
        <v>1795</v>
      </c>
      <c r="B4767" s="675" t="s">
        <v>545</v>
      </c>
      <c r="C4767" s="675" t="s">
        <v>4684</v>
      </c>
      <c r="D4767" s="675"/>
      <c r="E4767" s="702"/>
      <c r="F4767" s="702"/>
      <c r="G4767" s="675"/>
      <c r="H4767" s="675"/>
      <c r="I4767" s="675"/>
      <c r="J4767" s="675"/>
      <c r="K4767" s="675"/>
      <c r="L4767" s="675"/>
      <c r="M4767" s="675"/>
    </row>
    <row r="4768" spans="1:13" x14ac:dyDescent="0.25">
      <c r="A4768" s="675" t="s">
        <v>1795</v>
      </c>
      <c r="B4768" s="675" t="s">
        <v>545</v>
      </c>
      <c r="C4768" s="675" t="s">
        <v>4685</v>
      </c>
      <c r="D4768" s="675"/>
      <c r="E4768" s="702"/>
      <c r="F4768" s="702"/>
      <c r="G4768" s="675"/>
      <c r="H4768" s="675"/>
      <c r="I4768" s="675"/>
      <c r="J4768" s="675"/>
      <c r="K4768" s="675"/>
      <c r="L4768" s="675"/>
      <c r="M4768" s="675"/>
    </row>
    <row r="4769" spans="1:13" x14ac:dyDescent="0.25">
      <c r="A4769" s="675" t="s">
        <v>1795</v>
      </c>
      <c r="B4769" s="675" t="s">
        <v>545</v>
      </c>
      <c r="C4769" s="675" t="s">
        <v>4686</v>
      </c>
      <c r="D4769" s="675"/>
      <c r="E4769" s="702"/>
      <c r="F4769" s="702"/>
      <c r="G4769" s="675"/>
      <c r="H4769" s="675"/>
      <c r="I4769" s="675"/>
      <c r="J4769" s="675"/>
      <c r="K4769" s="675"/>
      <c r="L4769" s="675"/>
      <c r="M4769" s="675"/>
    </row>
    <row r="4770" spans="1:13" x14ac:dyDescent="0.25">
      <c r="A4770" s="675" t="s">
        <v>1795</v>
      </c>
      <c r="B4770" s="675" t="s">
        <v>545</v>
      </c>
      <c r="C4770" s="675" t="s">
        <v>4687</v>
      </c>
      <c r="D4770" s="675"/>
      <c r="E4770" s="702"/>
      <c r="F4770" s="702"/>
      <c r="G4770" s="675"/>
      <c r="H4770" s="675"/>
      <c r="I4770" s="675"/>
      <c r="J4770" s="675"/>
      <c r="K4770" s="675"/>
      <c r="L4770" s="675"/>
      <c r="M4770" s="675"/>
    </row>
    <row r="4771" spans="1:13" x14ac:dyDescent="0.25">
      <c r="A4771" s="675" t="s">
        <v>1795</v>
      </c>
      <c r="B4771" s="675" t="s">
        <v>545</v>
      </c>
      <c r="C4771" s="675" t="s">
        <v>4688</v>
      </c>
      <c r="D4771" s="675"/>
      <c r="E4771" s="702"/>
      <c r="F4771" s="702"/>
      <c r="G4771" s="675"/>
      <c r="H4771" s="675"/>
      <c r="I4771" s="675"/>
      <c r="J4771" s="675"/>
      <c r="K4771" s="675"/>
      <c r="L4771" s="675"/>
      <c r="M4771" s="675"/>
    </row>
    <row r="4772" spans="1:13" x14ac:dyDescent="0.25">
      <c r="A4772" s="675" t="s">
        <v>1795</v>
      </c>
      <c r="B4772" s="675" t="s">
        <v>545</v>
      </c>
      <c r="C4772" s="675" t="s">
        <v>4689</v>
      </c>
      <c r="D4772" s="675"/>
      <c r="E4772" s="702"/>
      <c r="F4772" s="702"/>
      <c r="G4772" s="675"/>
      <c r="H4772" s="675"/>
      <c r="I4772" s="675"/>
      <c r="J4772" s="675"/>
      <c r="K4772" s="675"/>
      <c r="L4772" s="675"/>
      <c r="M4772" s="675"/>
    </row>
    <row r="4773" spans="1:13" x14ac:dyDescent="0.25">
      <c r="A4773" s="675" t="s">
        <v>1795</v>
      </c>
      <c r="B4773" s="675" t="s">
        <v>545</v>
      </c>
      <c r="C4773" s="675" t="s">
        <v>4690</v>
      </c>
      <c r="D4773" s="675"/>
      <c r="E4773" s="702"/>
      <c r="F4773" s="702"/>
      <c r="G4773" s="675"/>
      <c r="H4773" s="675"/>
      <c r="I4773" s="675"/>
      <c r="J4773" s="675"/>
      <c r="K4773" s="675"/>
      <c r="L4773" s="675"/>
      <c r="M4773" s="675"/>
    </row>
    <row r="4774" spans="1:13" x14ac:dyDescent="0.25">
      <c r="A4774" s="675" t="s">
        <v>1795</v>
      </c>
      <c r="B4774" s="675" t="s">
        <v>545</v>
      </c>
      <c r="C4774" s="675" t="s">
        <v>4691</v>
      </c>
      <c r="D4774" s="675"/>
      <c r="E4774" s="702"/>
      <c r="F4774" s="702"/>
      <c r="G4774" s="675"/>
      <c r="H4774" s="675"/>
      <c r="I4774" s="675"/>
      <c r="J4774" s="675"/>
      <c r="K4774" s="675"/>
      <c r="L4774" s="675"/>
      <c r="M4774" s="675"/>
    </row>
    <row r="4775" spans="1:13" x14ac:dyDescent="0.25">
      <c r="A4775" s="675" t="s">
        <v>1795</v>
      </c>
      <c r="B4775" s="675" t="s">
        <v>545</v>
      </c>
      <c r="C4775" s="675" t="s">
        <v>4692</v>
      </c>
      <c r="D4775" s="675"/>
      <c r="E4775" s="702"/>
      <c r="F4775" s="702"/>
      <c r="G4775" s="675"/>
      <c r="H4775" s="675"/>
      <c r="I4775" s="675"/>
      <c r="J4775" s="675"/>
      <c r="K4775" s="675"/>
      <c r="L4775" s="675"/>
      <c r="M4775" s="675"/>
    </row>
    <row r="4776" spans="1:13" x14ac:dyDescent="0.25">
      <c r="A4776" s="675" t="s">
        <v>1795</v>
      </c>
      <c r="B4776" s="675" t="s">
        <v>564</v>
      </c>
      <c r="C4776" s="675" t="s">
        <v>4693</v>
      </c>
      <c r="D4776" s="675"/>
      <c r="E4776" s="702"/>
      <c r="F4776" s="702"/>
      <c r="G4776" s="675"/>
      <c r="H4776" s="675"/>
      <c r="I4776" s="675"/>
      <c r="J4776" s="675"/>
      <c r="K4776" s="675"/>
      <c r="L4776" s="675"/>
      <c r="M4776" s="675"/>
    </row>
    <row r="4777" spans="1:13" x14ac:dyDescent="0.25">
      <c r="A4777" s="675" t="s">
        <v>1795</v>
      </c>
      <c r="B4777" s="675" t="s">
        <v>564</v>
      </c>
      <c r="C4777" s="675" t="s">
        <v>4694</v>
      </c>
      <c r="D4777" s="675"/>
      <c r="E4777" s="702"/>
      <c r="F4777" s="702"/>
      <c r="G4777" s="675"/>
      <c r="H4777" s="675"/>
      <c r="I4777" s="675"/>
      <c r="J4777" s="675"/>
      <c r="K4777" s="675"/>
      <c r="L4777" s="675"/>
      <c r="M4777" s="675"/>
    </row>
    <row r="4778" spans="1:13" x14ac:dyDescent="0.25">
      <c r="A4778" s="675" t="s">
        <v>1795</v>
      </c>
      <c r="B4778" s="675" t="s">
        <v>564</v>
      </c>
      <c r="C4778" s="675" t="s">
        <v>4695</v>
      </c>
      <c r="D4778" s="675"/>
      <c r="E4778" s="702"/>
      <c r="F4778" s="702"/>
      <c r="G4778" s="675"/>
      <c r="H4778" s="675"/>
      <c r="I4778" s="675"/>
      <c r="J4778" s="675"/>
      <c r="K4778" s="675"/>
      <c r="L4778" s="675"/>
      <c r="M4778" s="675"/>
    </row>
    <row r="4779" spans="1:13" x14ac:dyDescent="0.25">
      <c r="A4779" s="675" t="s">
        <v>1795</v>
      </c>
      <c r="B4779" s="675" t="s">
        <v>564</v>
      </c>
      <c r="C4779" s="675" t="s">
        <v>4696</v>
      </c>
      <c r="D4779" s="675"/>
      <c r="E4779" s="702"/>
      <c r="F4779" s="702"/>
      <c r="G4779" s="675"/>
      <c r="H4779" s="675"/>
      <c r="I4779" s="675"/>
      <c r="J4779" s="675"/>
      <c r="K4779" s="675"/>
      <c r="L4779" s="675"/>
      <c r="M4779" s="675"/>
    </row>
    <row r="4780" spans="1:13" x14ac:dyDescent="0.25">
      <c r="A4780" s="675" t="s">
        <v>1795</v>
      </c>
      <c r="B4780" s="675" t="s">
        <v>564</v>
      </c>
      <c r="C4780" s="675" t="s">
        <v>4697</v>
      </c>
      <c r="D4780" s="675"/>
      <c r="E4780" s="702"/>
      <c r="F4780" s="702"/>
      <c r="G4780" s="675"/>
      <c r="H4780" s="675"/>
      <c r="I4780" s="675"/>
      <c r="J4780" s="675"/>
      <c r="K4780" s="675"/>
      <c r="L4780" s="675"/>
      <c r="M4780" s="675"/>
    </row>
    <row r="4781" spans="1:13" x14ac:dyDescent="0.25">
      <c r="A4781" s="675" t="s">
        <v>1795</v>
      </c>
      <c r="B4781" s="675" t="s">
        <v>564</v>
      </c>
      <c r="C4781" s="675" t="s">
        <v>4698</v>
      </c>
      <c r="D4781" s="675"/>
      <c r="E4781" s="702"/>
      <c r="F4781" s="702"/>
      <c r="G4781" s="675"/>
      <c r="H4781" s="675"/>
      <c r="I4781" s="675"/>
      <c r="J4781" s="675"/>
      <c r="K4781" s="675"/>
      <c r="L4781" s="675"/>
      <c r="M4781" s="675"/>
    </row>
    <row r="4782" spans="1:13" x14ac:dyDescent="0.25">
      <c r="A4782" s="675" t="s">
        <v>1795</v>
      </c>
      <c r="B4782" s="675" t="s">
        <v>564</v>
      </c>
      <c r="C4782" s="675" t="s">
        <v>4699</v>
      </c>
      <c r="D4782" s="675"/>
      <c r="E4782" s="702"/>
      <c r="F4782" s="702"/>
      <c r="G4782" s="675"/>
      <c r="H4782" s="675"/>
      <c r="I4782" s="675"/>
      <c r="J4782" s="675"/>
      <c r="K4782" s="675"/>
      <c r="L4782" s="675"/>
      <c r="M4782" s="675"/>
    </row>
    <row r="4783" spans="1:13" x14ac:dyDescent="0.25">
      <c r="A4783" s="675" t="s">
        <v>1795</v>
      </c>
      <c r="B4783" s="675" t="s">
        <v>564</v>
      </c>
      <c r="C4783" s="675" t="s">
        <v>4700</v>
      </c>
      <c r="D4783" s="675"/>
      <c r="E4783" s="702"/>
      <c r="F4783" s="702"/>
      <c r="G4783" s="675"/>
      <c r="H4783" s="675"/>
      <c r="I4783" s="675"/>
      <c r="J4783" s="675"/>
      <c r="K4783" s="675"/>
      <c r="L4783" s="675"/>
      <c r="M4783" s="675"/>
    </row>
    <row r="4784" spans="1:13" x14ac:dyDescent="0.25">
      <c r="A4784" s="675" t="s">
        <v>1795</v>
      </c>
      <c r="B4784" s="675" t="s">
        <v>564</v>
      </c>
      <c r="C4784" s="675" t="s">
        <v>4701</v>
      </c>
      <c r="D4784" s="675"/>
      <c r="E4784" s="702"/>
      <c r="F4784" s="702"/>
      <c r="G4784" s="675"/>
      <c r="H4784" s="675"/>
      <c r="I4784" s="675"/>
      <c r="J4784" s="675"/>
      <c r="K4784" s="675"/>
      <c r="L4784" s="675"/>
      <c r="M4784" s="675"/>
    </row>
    <row r="4785" spans="1:13" x14ac:dyDescent="0.25">
      <c r="A4785" s="675" t="s">
        <v>1795</v>
      </c>
      <c r="B4785" s="675" t="s">
        <v>564</v>
      </c>
      <c r="C4785" s="675" t="s">
        <v>4702</v>
      </c>
      <c r="D4785" s="675"/>
      <c r="E4785" s="702"/>
      <c r="F4785" s="702"/>
      <c r="G4785" s="675"/>
      <c r="H4785" s="675"/>
      <c r="I4785" s="675"/>
      <c r="J4785" s="675"/>
      <c r="K4785" s="675"/>
      <c r="L4785" s="675"/>
      <c r="M4785" s="675"/>
    </row>
    <row r="4786" spans="1:13" x14ac:dyDescent="0.25">
      <c r="A4786" s="675" t="s">
        <v>1795</v>
      </c>
      <c r="B4786" s="675" t="s">
        <v>564</v>
      </c>
      <c r="C4786" s="675" t="s">
        <v>4703</v>
      </c>
      <c r="D4786" s="675"/>
      <c r="E4786" s="702"/>
      <c r="F4786" s="702"/>
      <c r="G4786" s="675"/>
      <c r="H4786" s="675"/>
      <c r="I4786" s="675"/>
      <c r="J4786" s="675"/>
      <c r="K4786" s="675"/>
      <c r="L4786" s="675"/>
      <c r="M4786" s="675"/>
    </row>
    <row r="4787" spans="1:13" x14ac:dyDescent="0.25">
      <c r="A4787" s="675" t="s">
        <v>1795</v>
      </c>
      <c r="B4787" s="675" t="s">
        <v>564</v>
      </c>
      <c r="C4787" s="675" t="s">
        <v>4704</v>
      </c>
      <c r="D4787" s="675"/>
      <c r="E4787" s="702"/>
      <c r="F4787" s="702"/>
      <c r="G4787" s="675"/>
      <c r="H4787" s="675"/>
      <c r="I4787" s="675"/>
      <c r="J4787" s="675"/>
      <c r="K4787" s="675"/>
      <c r="L4787" s="675"/>
      <c r="M4787" s="675"/>
    </row>
    <row r="4788" spans="1:13" x14ac:dyDescent="0.25">
      <c r="A4788" s="675" t="s">
        <v>1795</v>
      </c>
      <c r="B4788" s="675" t="s">
        <v>564</v>
      </c>
      <c r="C4788" s="675" t="s">
        <v>4705</v>
      </c>
      <c r="D4788" s="675"/>
      <c r="E4788" s="702"/>
      <c r="F4788" s="702"/>
      <c r="G4788" s="675"/>
      <c r="H4788" s="675"/>
      <c r="I4788" s="675"/>
      <c r="J4788" s="675"/>
      <c r="K4788" s="675"/>
      <c r="L4788" s="675"/>
      <c r="M4788" s="675"/>
    </row>
    <row r="4789" spans="1:13" x14ac:dyDescent="0.25">
      <c r="A4789" s="675" t="s">
        <v>1795</v>
      </c>
      <c r="B4789" s="675" t="s">
        <v>564</v>
      </c>
      <c r="C4789" s="675" t="s">
        <v>4706</v>
      </c>
      <c r="D4789" s="675"/>
      <c r="E4789" s="702"/>
      <c r="F4789" s="702"/>
      <c r="G4789" s="675"/>
      <c r="H4789" s="675"/>
      <c r="I4789" s="675"/>
      <c r="J4789" s="675"/>
      <c r="K4789" s="675"/>
      <c r="L4789" s="675"/>
      <c r="M4789" s="675"/>
    </row>
    <row r="4790" spans="1:13" x14ac:dyDescent="0.25">
      <c r="A4790" s="675" t="s">
        <v>1795</v>
      </c>
      <c r="B4790" s="675" t="s">
        <v>564</v>
      </c>
      <c r="C4790" s="675" t="s">
        <v>4707</v>
      </c>
      <c r="D4790" s="675"/>
      <c r="E4790" s="702"/>
      <c r="F4790" s="702"/>
      <c r="G4790" s="675"/>
      <c r="H4790" s="675"/>
      <c r="I4790" s="675"/>
      <c r="J4790" s="675"/>
      <c r="K4790" s="675"/>
      <c r="L4790" s="675"/>
      <c r="M4790" s="675"/>
    </row>
    <row r="4791" spans="1:13" x14ac:dyDescent="0.25">
      <c r="A4791" s="675" t="s">
        <v>1795</v>
      </c>
      <c r="B4791" s="675" t="s">
        <v>512</v>
      </c>
      <c r="C4791" s="675" t="s">
        <v>4708</v>
      </c>
      <c r="D4791" s="675"/>
      <c r="E4791" s="702"/>
      <c r="F4791" s="702"/>
      <c r="G4791" s="675"/>
      <c r="H4791" s="675"/>
      <c r="I4791" s="675"/>
      <c r="J4791" s="675"/>
      <c r="K4791" s="675"/>
      <c r="L4791" s="675"/>
      <c r="M4791" s="675"/>
    </row>
    <row r="4792" spans="1:13" x14ac:dyDescent="0.25">
      <c r="A4792" s="675" t="s">
        <v>1795</v>
      </c>
      <c r="B4792" s="675" t="s">
        <v>512</v>
      </c>
      <c r="C4792" s="675" t="s">
        <v>4709</v>
      </c>
      <c r="D4792" s="675"/>
      <c r="E4792" s="702"/>
      <c r="F4792" s="702"/>
      <c r="G4792" s="675"/>
      <c r="H4792" s="675"/>
      <c r="I4792" s="675"/>
      <c r="J4792" s="675"/>
      <c r="K4792" s="675"/>
      <c r="L4792" s="675"/>
      <c r="M4792" s="675"/>
    </row>
    <row r="4793" spans="1:13" x14ac:dyDescent="0.25">
      <c r="A4793" s="675" t="s">
        <v>1795</v>
      </c>
      <c r="B4793" s="675" t="s">
        <v>512</v>
      </c>
      <c r="C4793" s="675" t="s">
        <v>4710</v>
      </c>
      <c r="D4793" s="675"/>
      <c r="E4793" s="702"/>
      <c r="F4793" s="702"/>
      <c r="G4793" s="675"/>
      <c r="H4793" s="675"/>
      <c r="I4793" s="675"/>
      <c r="J4793" s="675"/>
      <c r="K4793" s="675"/>
      <c r="L4793" s="675"/>
      <c r="M4793" s="675"/>
    </row>
    <row r="4794" spans="1:13" x14ac:dyDescent="0.25">
      <c r="A4794" s="675" t="s">
        <v>1795</v>
      </c>
      <c r="B4794" s="675" t="s">
        <v>512</v>
      </c>
      <c r="C4794" s="675" t="s">
        <v>4711</v>
      </c>
      <c r="D4794" s="675"/>
      <c r="E4794" s="702"/>
      <c r="F4794" s="702"/>
      <c r="G4794" s="675"/>
      <c r="H4794" s="675"/>
      <c r="I4794" s="675"/>
      <c r="J4794" s="675"/>
      <c r="K4794" s="675"/>
      <c r="L4794" s="675"/>
      <c r="M4794" s="675"/>
    </row>
    <row r="4795" spans="1:13" x14ac:dyDescent="0.25">
      <c r="A4795" s="675" t="s">
        <v>1795</v>
      </c>
      <c r="B4795" s="675" t="s">
        <v>512</v>
      </c>
      <c r="C4795" s="675" t="s">
        <v>4712</v>
      </c>
      <c r="D4795" s="675"/>
      <c r="E4795" s="702"/>
      <c r="F4795" s="702"/>
      <c r="G4795" s="675"/>
      <c r="H4795" s="675"/>
      <c r="I4795" s="675"/>
      <c r="J4795" s="675"/>
      <c r="K4795" s="675"/>
      <c r="L4795" s="675"/>
      <c r="M4795" s="675"/>
    </row>
    <row r="4796" spans="1:13" x14ac:dyDescent="0.25">
      <c r="A4796" s="675" t="s">
        <v>1795</v>
      </c>
      <c r="B4796" s="675" t="s">
        <v>512</v>
      </c>
      <c r="C4796" s="675" t="s">
        <v>4713</v>
      </c>
      <c r="D4796" s="675"/>
      <c r="E4796" s="702"/>
      <c r="F4796" s="702"/>
      <c r="G4796" s="675"/>
      <c r="H4796" s="675"/>
      <c r="I4796" s="675"/>
      <c r="J4796" s="675"/>
      <c r="K4796" s="675"/>
      <c r="L4796" s="675"/>
      <c r="M4796" s="675"/>
    </row>
    <row r="4797" spans="1:13" x14ac:dyDescent="0.25">
      <c r="A4797" s="675" t="s">
        <v>1795</v>
      </c>
      <c r="B4797" s="675" t="s">
        <v>512</v>
      </c>
      <c r="C4797" s="675" t="s">
        <v>4714</v>
      </c>
      <c r="D4797" s="675"/>
      <c r="E4797" s="702"/>
      <c r="F4797" s="702"/>
      <c r="G4797" s="675"/>
      <c r="H4797" s="675"/>
      <c r="I4797" s="675"/>
      <c r="J4797" s="675"/>
      <c r="K4797" s="675"/>
      <c r="L4797" s="675"/>
      <c r="M4797" s="675"/>
    </row>
    <row r="4798" spans="1:13" x14ac:dyDescent="0.25">
      <c r="A4798" s="675" t="s">
        <v>1795</v>
      </c>
      <c r="B4798" s="675" t="s">
        <v>512</v>
      </c>
      <c r="C4798" s="675" t="s">
        <v>4715</v>
      </c>
      <c r="D4798" s="675"/>
      <c r="E4798" s="702"/>
      <c r="F4798" s="702"/>
      <c r="G4798" s="675"/>
      <c r="H4798" s="675"/>
      <c r="I4798" s="675"/>
      <c r="J4798" s="675"/>
      <c r="K4798" s="675"/>
      <c r="L4798" s="675"/>
      <c r="M4798" s="675"/>
    </row>
    <row r="4799" spans="1:13" x14ac:dyDescent="0.25">
      <c r="A4799" s="675" t="s">
        <v>1795</v>
      </c>
      <c r="B4799" s="675" t="s">
        <v>512</v>
      </c>
      <c r="C4799" s="675" t="s">
        <v>4716</v>
      </c>
      <c r="D4799" s="675"/>
      <c r="E4799" s="702"/>
      <c r="F4799" s="702"/>
      <c r="G4799" s="675"/>
      <c r="H4799" s="675"/>
      <c r="I4799" s="675"/>
      <c r="J4799" s="675"/>
      <c r="K4799" s="675"/>
      <c r="L4799" s="675"/>
      <c r="M4799" s="675"/>
    </row>
    <row r="4800" spans="1:13" x14ac:dyDescent="0.25">
      <c r="A4800" s="675" t="s">
        <v>1795</v>
      </c>
      <c r="B4800" s="675" t="s">
        <v>512</v>
      </c>
      <c r="C4800" s="675" t="s">
        <v>4717</v>
      </c>
      <c r="D4800" s="675"/>
      <c r="E4800" s="702"/>
      <c r="F4800" s="702"/>
      <c r="G4800" s="675"/>
      <c r="H4800" s="675"/>
      <c r="I4800" s="675"/>
      <c r="J4800" s="675"/>
      <c r="K4800" s="675"/>
      <c r="L4800" s="675"/>
      <c r="M4800" s="675"/>
    </row>
    <row r="4801" spans="1:13" x14ac:dyDescent="0.25">
      <c r="A4801" s="675" t="s">
        <v>1795</v>
      </c>
      <c r="B4801" s="675" t="s">
        <v>512</v>
      </c>
      <c r="C4801" s="675" t="s">
        <v>4718</v>
      </c>
      <c r="D4801" s="675"/>
      <c r="E4801" s="702"/>
      <c r="F4801" s="702"/>
      <c r="G4801" s="675"/>
      <c r="H4801" s="675"/>
      <c r="I4801" s="675"/>
      <c r="J4801" s="675"/>
      <c r="K4801" s="675"/>
      <c r="L4801" s="675"/>
      <c r="M4801" s="675"/>
    </row>
    <row r="4802" spans="1:13" x14ac:dyDescent="0.25">
      <c r="A4802" s="675" t="s">
        <v>1795</v>
      </c>
      <c r="B4802" s="675" t="s">
        <v>512</v>
      </c>
      <c r="C4802" s="675" t="s">
        <v>4719</v>
      </c>
      <c r="D4802" s="675"/>
      <c r="E4802" s="702"/>
      <c r="F4802" s="702"/>
      <c r="G4802" s="675"/>
      <c r="H4802" s="675"/>
      <c r="I4802" s="675"/>
      <c r="J4802" s="675"/>
      <c r="K4802" s="675"/>
      <c r="L4802" s="675"/>
      <c r="M4802" s="675"/>
    </row>
    <row r="4803" spans="1:13" x14ac:dyDescent="0.25">
      <c r="A4803" s="675" t="s">
        <v>1795</v>
      </c>
      <c r="B4803" s="675" t="s">
        <v>512</v>
      </c>
      <c r="C4803" s="675" t="s">
        <v>4720</v>
      </c>
      <c r="D4803" s="675"/>
      <c r="E4803" s="702"/>
      <c r="F4803" s="702"/>
      <c r="G4803" s="675"/>
      <c r="H4803" s="675"/>
      <c r="I4803" s="675"/>
      <c r="J4803" s="675"/>
      <c r="K4803" s="675"/>
      <c r="L4803" s="675"/>
      <c r="M4803" s="675"/>
    </row>
    <row r="4804" spans="1:13" x14ac:dyDescent="0.25">
      <c r="A4804" s="675" t="s">
        <v>1795</v>
      </c>
      <c r="B4804" s="675" t="s">
        <v>512</v>
      </c>
      <c r="C4804" s="675" t="s">
        <v>4721</v>
      </c>
      <c r="D4804" s="675"/>
      <c r="E4804" s="702"/>
      <c r="F4804" s="702"/>
      <c r="G4804" s="675"/>
      <c r="H4804" s="675"/>
      <c r="I4804" s="675"/>
      <c r="J4804" s="675"/>
      <c r="K4804" s="675"/>
      <c r="L4804" s="675"/>
      <c r="M4804" s="675"/>
    </row>
    <row r="4805" spans="1:13" x14ac:dyDescent="0.25">
      <c r="A4805" s="675" t="s">
        <v>1795</v>
      </c>
      <c r="B4805" s="675" t="s">
        <v>512</v>
      </c>
      <c r="C4805" s="675" t="s">
        <v>4722</v>
      </c>
      <c r="D4805" s="675"/>
      <c r="E4805" s="702"/>
      <c r="F4805" s="702"/>
      <c r="G4805" s="675"/>
      <c r="H4805" s="675"/>
      <c r="I4805" s="675"/>
      <c r="J4805" s="675"/>
      <c r="K4805" s="675"/>
      <c r="L4805" s="675"/>
      <c r="M4805" s="675"/>
    </row>
    <row r="4806" spans="1:13" x14ac:dyDescent="0.25">
      <c r="A4806" s="675" t="s">
        <v>4723</v>
      </c>
      <c r="B4806" s="675" t="s">
        <v>545</v>
      </c>
      <c r="C4806" s="675" t="s">
        <v>4724</v>
      </c>
      <c r="D4806" s="675"/>
      <c r="E4806" s="702"/>
      <c r="F4806" s="702"/>
      <c r="G4806" s="675"/>
      <c r="H4806" s="675"/>
      <c r="I4806" s="675"/>
      <c r="J4806" s="675"/>
      <c r="K4806" s="675"/>
      <c r="L4806" s="675"/>
      <c r="M4806" s="675"/>
    </row>
    <row r="4807" spans="1:13" x14ac:dyDescent="0.25">
      <c r="A4807" s="675" t="s">
        <v>4723</v>
      </c>
      <c r="B4807" s="675" t="s">
        <v>545</v>
      </c>
      <c r="C4807" s="675" t="s">
        <v>4725</v>
      </c>
      <c r="D4807" s="675"/>
      <c r="E4807" s="702"/>
      <c r="F4807" s="702"/>
      <c r="G4807" s="675"/>
      <c r="H4807" s="675"/>
      <c r="I4807" s="675"/>
      <c r="J4807" s="675"/>
      <c r="K4807" s="675"/>
      <c r="L4807" s="675"/>
      <c r="M4807" s="675"/>
    </row>
    <row r="4808" spans="1:13" x14ac:dyDescent="0.25">
      <c r="A4808" s="675" t="s">
        <v>4723</v>
      </c>
      <c r="B4808" s="675" t="s">
        <v>545</v>
      </c>
      <c r="C4808" s="675" t="s">
        <v>4726</v>
      </c>
      <c r="D4808" s="675"/>
      <c r="E4808" s="702"/>
      <c r="F4808" s="702"/>
      <c r="G4808" s="675"/>
      <c r="H4808" s="675"/>
      <c r="I4808" s="675"/>
      <c r="J4808" s="675"/>
      <c r="K4808" s="675"/>
      <c r="L4808" s="675"/>
      <c r="M4808" s="675"/>
    </row>
    <row r="4809" spans="1:13" x14ac:dyDescent="0.25">
      <c r="A4809" s="675" t="s">
        <v>4723</v>
      </c>
      <c r="B4809" s="675" t="s">
        <v>545</v>
      </c>
      <c r="C4809" s="675" t="s">
        <v>4727</v>
      </c>
      <c r="D4809" s="675"/>
      <c r="E4809" s="702"/>
      <c r="F4809" s="702"/>
      <c r="G4809" s="675"/>
      <c r="H4809" s="675"/>
      <c r="I4809" s="675"/>
      <c r="J4809" s="675"/>
      <c r="K4809" s="675"/>
      <c r="L4809" s="675"/>
      <c r="M4809" s="675"/>
    </row>
    <row r="4810" spans="1:13" x14ac:dyDescent="0.25">
      <c r="A4810" s="675" t="s">
        <v>4723</v>
      </c>
      <c r="B4810" s="675" t="s">
        <v>545</v>
      </c>
      <c r="C4810" s="675" t="s">
        <v>4728</v>
      </c>
      <c r="D4810" s="675"/>
      <c r="E4810" s="702"/>
      <c r="F4810" s="702"/>
      <c r="G4810" s="675"/>
      <c r="H4810" s="675"/>
      <c r="I4810" s="675"/>
      <c r="J4810" s="675"/>
      <c r="K4810" s="675"/>
      <c r="L4810" s="675"/>
      <c r="M4810" s="675"/>
    </row>
    <row r="4811" spans="1:13" x14ac:dyDescent="0.25">
      <c r="A4811" s="675" t="s">
        <v>4723</v>
      </c>
      <c r="B4811" s="675" t="s">
        <v>545</v>
      </c>
      <c r="C4811" s="675" t="s">
        <v>4729</v>
      </c>
      <c r="D4811" s="675"/>
      <c r="E4811" s="702"/>
      <c r="F4811" s="702"/>
      <c r="G4811" s="675"/>
      <c r="H4811" s="675"/>
      <c r="I4811" s="675"/>
      <c r="J4811" s="675"/>
      <c r="K4811" s="675"/>
      <c r="L4811" s="675"/>
      <c r="M4811" s="675"/>
    </row>
    <row r="4812" spans="1:13" x14ac:dyDescent="0.25">
      <c r="A4812" s="675" t="s">
        <v>4723</v>
      </c>
      <c r="B4812" s="675" t="s">
        <v>545</v>
      </c>
      <c r="C4812" s="675" t="s">
        <v>4730</v>
      </c>
      <c r="D4812" s="675"/>
      <c r="E4812" s="702"/>
      <c r="F4812" s="702"/>
      <c r="G4812" s="675"/>
      <c r="H4812" s="675"/>
      <c r="I4812" s="675"/>
      <c r="J4812" s="675"/>
      <c r="K4812" s="675"/>
      <c r="L4812" s="675"/>
      <c r="M4812" s="675"/>
    </row>
    <row r="4813" spans="1:13" x14ac:dyDescent="0.25">
      <c r="A4813" s="675" t="s">
        <v>4723</v>
      </c>
      <c r="B4813" s="675" t="s">
        <v>545</v>
      </c>
      <c r="C4813" s="675" t="s">
        <v>4731</v>
      </c>
      <c r="D4813" s="675"/>
      <c r="E4813" s="702"/>
      <c r="F4813" s="702"/>
      <c r="G4813" s="675"/>
      <c r="H4813" s="675"/>
      <c r="I4813" s="675"/>
      <c r="J4813" s="675"/>
      <c r="K4813" s="675"/>
      <c r="L4813" s="675"/>
      <c r="M4813" s="675"/>
    </row>
    <row r="4814" spans="1:13" x14ac:dyDescent="0.25">
      <c r="A4814" s="675" t="s">
        <v>4723</v>
      </c>
      <c r="B4814" s="675" t="s">
        <v>545</v>
      </c>
      <c r="C4814" s="675" t="s">
        <v>4732</v>
      </c>
      <c r="D4814" s="675"/>
      <c r="E4814" s="702"/>
      <c r="F4814" s="702"/>
      <c r="G4814" s="675"/>
      <c r="H4814" s="675"/>
      <c r="I4814" s="675"/>
      <c r="J4814" s="675"/>
      <c r="K4814" s="675"/>
      <c r="L4814" s="675"/>
      <c r="M4814" s="675"/>
    </row>
    <row r="4815" spans="1:13" x14ac:dyDescent="0.25">
      <c r="A4815" s="675" t="s">
        <v>4723</v>
      </c>
      <c r="B4815" s="675" t="s">
        <v>545</v>
      </c>
      <c r="C4815" s="675" t="s">
        <v>4733</v>
      </c>
      <c r="D4815" s="675"/>
      <c r="E4815" s="702"/>
      <c r="F4815" s="702"/>
      <c r="G4815" s="675"/>
      <c r="H4815" s="675"/>
      <c r="I4815" s="675"/>
      <c r="J4815" s="675"/>
      <c r="K4815" s="675"/>
      <c r="L4815" s="675"/>
      <c r="M4815" s="675"/>
    </row>
    <row r="4816" spans="1:13" x14ac:dyDescent="0.25">
      <c r="A4816" s="675" t="s">
        <v>4723</v>
      </c>
      <c r="B4816" s="675" t="s">
        <v>545</v>
      </c>
      <c r="C4816" s="675" t="s">
        <v>4734</v>
      </c>
      <c r="D4816" s="675"/>
      <c r="E4816" s="702"/>
      <c r="F4816" s="702"/>
      <c r="G4816" s="675"/>
      <c r="H4816" s="675"/>
      <c r="I4816" s="675"/>
      <c r="J4816" s="675"/>
      <c r="K4816" s="675"/>
      <c r="L4816" s="675"/>
      <c r="M4816" s="675"/>
    </row>
    <row r="4817" spans="1:13" x14ac:dyDescent="0.25">
      <c r="A4817" s="675" t="s">
        <v>4723</v>
      </c>
      <c r="B4817" s="675" t="s">
        <v>545</v>
      </c>
      <c r="C4817" s="675" t="s">
        <v>4735</v>
      </c>
      <c r="D4817" s="675"/>
      <c r="E4817" s="702"/>
      <c r="F4817" s="702"/>
      <c r="G4817" s="675"/>
      <c r="H4817" s="675"/>
      <c r="I4817" s="675"/>
      <c r="J4817" s="675"/>
      <c r="K4817" s="675"/>
      <c r="L4817" s="675"/>
      <c r="M4817" s="675"/>
    </row>
    <row r="4818" spans="1:13" x14ac:dyDescent="0.25">
      <c r="A4818" s="675" t="s">
        <v>4723</v>
      </c>
      <c r="B4818" s="675" t="s">
        <v>545</v>
      </c>
      <c r="C4818" s="675" t="s">
        <v>4736</v>
      </c>
      <c r="D4818" s="675"/>
      <c r="E4818" s="702"/>
      <c r="F4818" s="702"/>
      <c r="G4818" s="675"/>
      <c r="H4818" s="675"/>
      <c r="I4818" s="675"/>
      <c r="J4818" s="675"/>
      <c r="K4818" s="675"/>
      <c r="L4818" s="675"/>
      <c r="M4818" s="675"/>
    </row>
    <row r="4819" spans="1:13" x14ac:dyDescent="0.25">
      <c r="A4819" s="675" t="s">
        <v>4723</v>
      </c>
      <c r="B4819" s="675" t="s">
        <v>545</v>
      </c>
      <c r="C4819" s="675" t="s">
        <v>4737</v>
      </c>
      <c r="D4819" s="675"/>
      <c r="E4819" s="702"/>
      <c r="F4819" s="702"/>
      <c r="G4819" s="675"/>
      <c r="H4819" s="675"/>
      <c r="I4819" s="675"/>
      <c r="J4819" s="675"/>
      <c r="K4819" s="675"/>
      <c r="L4819" s="675"/>
      <c r="M4819" s="675"/>
    </row>
    <row r="4820" spans="1:13" x14ac:dyDescent="0.25">
      <c r="A4820" s="675" t="s">
        <v>4723</v>
      </c>
      <c r="B4820" s="675" t="s">
        <v>545</v>
      </c>
      <c r="C4820" s="675" t="s">
        <v>4738</v>
      </c>
      <c r="D4820" s="675"/>
      <c r="E4820" s="702"/>
      <c r="F4820" s="702"/>
      <c r="G4820" s="675"/>
      <c r="H4820" s="675"/>
      <c r="I4820" s="675"/>
      <c r="J4820" s="675"/>
      <c r="K4820" s="675"/>
      <c r="L4820" s="675"/>
      <c r="M4820" s="675"/>
    </row>
    <row r="4821" spans="1:13" x14ac:dyDescent="0.25">
      <c r="A4821" s="675" t="s">
        <v>4723</v>
      </c>
      <c r="B4821" s="675" t="s">
        <v>564</v>
      </c>
      <c r="C4821" s="675" t="s">
        <v>4739</v>
      </c>
      <c r="D4821" s="675"/>
      <c r="E4821" s="702"/>
      <c r="F4821" s="702"/>
      <c r="G4821" s="675"/>
      <c r="H4821" s="675"/>
      <c r="I4821" s="675"/>
      <c r="J4821" s="675"/>
      <c r="K4821" s="675"/>
      <c r="L4821" s="675"/>
      <c r="M4821" s="675"/>
    </row>
    <row r="4822" spans="1:13" x14ac:dyDescent="0.25">
      <c r="A4822" s="675" t="s">
        <v>4723</v>
      </c>
      <c r="B4822" s="675" t="s">
        <v>564</v>
      </c>
      <c r="C4822" s="675" t="s">
        <v>4740</v>
      </c>
      <c r="D4822" s="675"/>
      <c r="E4822" s="702"/>
      <c r="F4822" s="702"/>
      <c r="G4822" s="675"/>
      <c r="H4822" s="675"/>
      <c r="I4822" s="675"/>
      <c r="J4822" s="675"/>
      <c r="K4822" s="675"/>
      <c r="L4822" s="675"/>
      <c r="M4822" s="675"/>
    </row>
    <row r="4823" spans="1:13" x14ac:dyDescent="0.25">
      <c r="A4823" s="675" t="s">
        <v>4723</v>
      </c>
      <c r="B4823" s="675" t="s">
        <v>564</v>
      </c>
      <c r="C4823" s="675" t="s">
        <v>4741</v>
      </c>
      <c r="D4823" s="675"/>
      <c r="E4823" s="702"/>
      <c r="F4823" s="702"/>
      <c r="G4823" s="675"/>
      <c r="H4823" s="675"/>
      <c r="I4823" s="675"/>
      <c r="J4823" s="675"/>
      <c r="K4823" s="675"/>
      <c r="L4823" s="675"/>
      <c r="M4823" s="675"/>
    </row>
    <row r="4824" spans="1:13" x14ac:dyDescent="0.25">
      <c r="A4824" s="675" t="s">
        <v>4723</v>
      </c>
      <c r="B4824" s="675" t="s">
        <v>564</v>
      </c>
      <c r="C4824" s="675" t="s">
        <v>4742</v>
      </c>
      <c r="D4824" s="675"/>
      <c r="E4824" s="702"/>
      <c r="F4824" s="702"/>
      <c r="G4824" s="675"/>
      <c r="H4824" s="675"/>
      <c r="I4824" s="675"/>
      <c r="J4824" s="675"/>
      <c r="K4824" s="675"/>
      <c r="L4824" s="675"/>
      <c r="M4824" s="675"/>
    </row>
    <row r="4825" spans="1:13" x14ac:dyDescent="0.25">
      <c r="A4825" s="675" t="s">
        <v>4723</v>
      </c>
      <c r="B4825" s="675" t="s">
        <v>564</v>
      </c>
      <c r="C4825" s="675" t="s">
        <v>4743</v>
      </c>
      <c r="D4825" s="675"/>
      <c r="E4825" s="702"/>
      <c r="F4825" s="702"/>
      <c r="G4825" s="675"/>
      <c r="H4825" s="675"/>
      <c r="I4825" s="675"/>
      <c r="J4825" s="675"/>
      <c r="K4825" s="675"/>
      <c r="L4825" s="675"/>
      <c r="M4825" s="675"/>
    </row>
    <row r="4826" spans="1:13" x14ac:dyDescent="0.25">
      <c r="A4826" s="675" t="s">
        <v>4723</v>
      </c>
      <c r="B4826" s="675" t="s">
        <v>564</v>
      </c>
      <c r="C4826" s="675" t="s">
        <v>4744</v>
      </c>
      <c r="D4826" s="675"/>
      <c r="E4826" s="702"/>
      <c r="F4826" s="702"/>
      <c r="G4826" s="675"/>
      <c r="H4826" s="675"/>
      <c r="I4826" s="675"/>
      <c r="J4826" s="675"/>
      <c r="K4826" s="675"/>
      <c r="L4826" s="675"/>
      <c r="M4826" s="675"/>
    </row>
    <row r="4827" spans="1:13" x14ac:dyDescent="0.25">
      <c r="A4827" s="675" t="s">
        <v>4723</v>
      </c>
      <c r="B4827" s="675" t="s">
        <v>564</v>
      </c>
      <c r="C4827" s="675" t="s">
        <v>4745</v>
      </c>
      <c r="D4827" s="675"/>
      <c r="E4827" s="702"/>
      <c r="F4827" s="702"/>
      <c r="G4827" s="675"/>
      <c r="H4827" s="675"/>
      <c r="I4827" s="675"/>
      <c r="J4827" s="675"/>
      <c r="K4827" s="675"/>
      <c r="L4827" s="675"/>
      <c r="M4827" s="675"/>
    </row>
    <row r="4828" spans="1:13" x14ac:dyDescent="0.25">
      <c r="A4828" s="675" t="s">
        <v>4723</v>
      </c>
      <c r="B4828" s="675" t="s">
        <v>564</v>
      </c>
      <c r="C4828" s="675" t="s">
        <v>4746</v>
      </c>
      <c r="D4828" s="675"/>
      <c r="E4828" s="702"/>
      <c r="F4828" s="702"/>
      <c r="G4828" s="675"/>
      <c r="H4828" s="675"/>
      <c r="I4828" s="675"/>
      <c r="J4828" s="675"/>
      <c r="K4828" s="675"/>
      <c r="L4828" s="675"/>
      <c r="M4828" s="675"/>
    </row>
    <row r="4829" spans="1:13" x14ac:dyDescent="0.25">
      <c r="A4829" s="675" t="s">
        <v>4723</v>
      </c>
      <c r="B4829" s="675" t="s">
        <v>564</v>
      </c>
      <c r="C4829" s="675" t="s">
        <v>4747</v>
      </c>
      <c r="D4829" s="675"/>
      <c r="E4829" s="702"/>
      <c r="F4829" s="702"/>
      <c r="G4829" s="675"/>
      <c r="H4829" s="675"/>
      <c r="I4829" s="675"/>
      <c r="J4829" s="675"/>
      <c r="K4829" s="675"/>
      <c r="L4829" s="675"/>
      <c r="M4829" s="675"/>
    </row>
    <row r="4830" spans="1:13" x14ac:dyDescent="0.25">
      <c r="A4830" s="675" t="s">
        <v>4723</v>
      </c>
      <c r="B4830" s="675" t="s">
        <v>564</v>
      </c>
      <c r="C4830" s="675" t="s">
        <v>4748</v>
      </c>
      <c r="D4830" s="675"/>
      <c r="E4830" s="702"/>
      <c r="F4830" s="702"/>
      <c r="G4830" s="675"/>
      <c r="H4830" s="675"/>
      <c r="I4830" s="675"/>
      <c r="J4830" s="675"/>
      <c r="K4830" s="675"/>
      <c r="L4830" s="675"/>
      <c r="M4830" s="675"/>
    </row>
    <row r="4831" spans="1:13" x14ac:dyDescent="0.25">
      <c r="A4831" s="675" t="s">
        <v>4723</v>
      </c>
      <c r="B4831" s="675" t="s">
        <v>564</v>
      </c>
      <c r="C4831" s="675" t="s">
        <v>4749</v>
      </c>
      <c r="D4831" s="675"/>
      <c r="E4831" s="702"/>
      <c r="F4831" s="702"/>
      <c r="G4831" s="675"/>
      <c r="H4831" s="675"/>
      <c r="I4831" s="675"/>
      <c r="J4831" s="675"/>
      <c r="K4831" s="675"/>
      <c r="L4831" s="675"/>
      <c r="M4831" s="675"/>
    </row>
    <row r="4832" spans="1:13" x14ac:dyDescent="0.25">
      <c r="A4832" s="675" t="s">
        <v>4723</v>
      </c>
      <c r="B4832" s="675" t="s">
        <v>564</v>
      </c>
      <c r="C4832" s="675" t="s">
        <v>4750</v>
      </c>
      <c r="D4832" s="675"/>
      <c r="E4832" s="702"/>
      <c r="F4832" s="702"/>
      <c r="G4832" s="675"/>
      <c r="H4832" s="675"/>
      <c r="I4832" s="675"/>
      <c r="J4832" s="675"/>
      <c r="K4832" s="675"/>
      <c r="L4832" s="675"/>
      <c r="M4832" s="675"/>
    </row>
    <row r="4833" spans="1:13" x14ac:dyDescent="0.25">
      <c r="A4833" s="675" t="s">
        <v>4723</v>
      </c>
      <c r="B4833" s="675" t="s">
        <v>564</v>
      </c>
      <c r="C4833" s="675" t="s">
        <v>4751</v>
      </c>
      <c r="D4833" s="675"/>
      <c r="E4833" s="702"/>
      <c r="F4833" s="702"/>
      <c r="G4833" s="675"/>
      <c r="H4833" s="675"/>
      <c r="I4833" s="675"/>
      <c r="J4833" s="675"/>
      <c r="K4833" s="675"/>
      <c r="L4833" s="675"/>
      <c r="M4833" s="675"/>
    </row>
    <row r="4834" spans="1:13" x14ac:dyDescent="0.25">
      <c r="A4834" s="675" t="s">
        <v>4723</v>
      </c>
      <c r="B4834" s="675" t="s">
        <v>564</v>
      </c>
      <c r="C4834" s="675" t="s">
        <v>4752</v>
      </c>
      <c r="D4834" s="675"/>
      <c r="E4834" s="702"/>
      <c r="F4834" s="702"/>
      <c r="G4834" s="675"/>
      <c r="H4834" s="675"/>
      <c r="I4834" s="675"/>
      <c r="J4834" s="675"/>
      <c r="K4834" s="675"/>
      <c r="L4834" s="675"/>
      <c r="M4834" s="675"/>
    </row>
    <row r="4835" spans="1:13" x14ac:dyDescent="0.25">
      <c r="A4835" s="675" t="s">
        <v>4723</v>
      </c>
      <c r="B4835" s="675" t="s">
        <v>564</v>
      </c>
      <c r="C4835" s="675" t="s">
        <v>4753</v>
      </c>
      <c r="D4835" s="675"/>
      <c r="E4835" s="702"/>
      <c r="F4835" s="702"/>
      <c r="G4835" s="675"/>
      <c r="H4835" s="675"/>
      <c r="I4835" s="675"/>
      <c r="J4835" s="675"/>
      <c r="K4835" s="675"/>
      <c r="L4835" s="675"/>
      <c r="M4835" s="675"/>
    </row>
    <row r="4836" spans="1:13" x14ac:dyDescent="0.25">
      <c r="A4836" s="675" t="s">
        <v>4723</v>
      </c>
      <c r="B4836" s="675" t="s">
        <v>512</v>
      </c>
      <c r="C4836" s="675" t="s">
        <v>4754</v>
      </c>
      <c r="D4836" s="675"/>
      <c r="E4836" s="702"/>
      <c r="F4836" s="702"/>
      <c r="G4836" s="675"/>
      <c r="H4836" s="675"/>
      <c r="I4836" s="675"/>
      <c r="J4836" s="675"/>
      <c r="K4836" s="675"/>
      <c r="L4836" s="675"/>
      <c r="M4836" s="675"/>
    </row>
    <row r="4837" spans="1:13" x14ac:dyDescent="0.25">
      <c r="A4837" s="675" t="s">
        <v>4723</v>
      </c>
      <c r="B4837" s="675" t="s">
        <v>512</v>
      </c>
      <c r="C4837" s="675" t="s">
        <v>4755</v>
      </c>
      <c r="D4837" s="675"/>
      <c r="E4837" s="702"/>
      <c r="F4837" s="702"/>
      <c r="G4837" s="675"/>
      <c r="H4837" s="675"/>
      <c r="I4837" s="675"/>
      <c r="J4837" s="675"/>
      <c r="K4837" s="675"/>
      <c r="L4837" s="675"/>
      <c r="M4837" s="675"/>
    </row>
    <row r="4838" spans="1:13" x14ac:dyDescent="0.25">
      <c r="A4838" s="675" t="s">
        <v>4723</v>
      </c>
      <c r="B4838" s="675" t="s">
        <v>512</v>
      </c>
      <c r="C4838" s="675" t="s">
        <v>4756</v>
      </c>
      <c r="D4838" s="675"/>
      <c r="E4838" s="702"/>
      <c r="F4838" s="702"/>
      <c r="G4838" s="675"/>
      <c r="H4838" s="675"/>
      <c r="I4838" s="675"/>
      <c r="J4838" s="675"/>
      <c r="K4838" s="675"/>
      <c r="L4838" s="675"/>
      <c r="M4838" s="675"/>
    </row>
    <row r="4839" spans="1:13" x14ac:dyDescent="0.25">
      <c r="A4839" s="675" t="s">
        <v>4723</v>
      </c>
      <c r="B4839" s="675" t="s">
        <v>512</v>
      </c>
      <c r="C4839" s="675" t="s">
        <v>4757</v>
      </c>
      <c r="D4839" s="675"/>
      <c r="E4839" s="702"/>
      <c r="F4839" s="702"/>
      <c r="G4839" s="675"/>
      <c r="H4839" s="675"/>
      <c r="I4839" s="675"/>
      <c r="J4839" s="675"/>
      <c r="K4839" s="675"/>
      <c r="L4839" s="675"/>
      <c r="M4839" s="675"/>
    </row>
    <row r="4840" spans="1:13" x14ac:dyDescent="0.25">
      <c r="A4840" s="675" t="s">
        <v>4723</v>
      </c>
      <c r="B4840" s="675" t="s">
        <v>512</v>
      </c>
      <c r="C4840" s="675" t="s">
        <v>4758</v>
      </c>
      <c r="D4840" s="675"/>
      <c r="E4840" s="702"/>
      <c r="F4840" s="702"/>
      <c r="G4840" s="675"/>
      <c r="H4840" s="675"/>
      <c r="I4840" s="675"/>
      <c r="J4840" s="675"/>
      <c r="K4840" s="675"/>
      <c r="L4840" s="675"/>
      <c r="M4840" s="675"/>
    </row>
    <row r="4841" spans="1:13" x14ac:dyDescent="0.25">
      <c r="A4841" s="675" t="s">
        <v>4723</v>
      </c>
      <c r="B4841" s="675" t="s">
        <v>512</v>
      </c>
      <c r="C4841" s="675" t="s">
        <v>4759</v>
      </c>
      <c r="D4841" s="675"/>
      <c r="E4841" s="702"/>
      <c r="F4841" s="702"/>
      <c r="G4841" s="675"/>
      <c r="H4841" s="675"/>
      <c r="I4841" s="675"/>
      <c r="J4841" s="675"/>
      <c r="K4841" s="675"/>
      <c r="L4841" s="675"/>
      <c r="M4841" s="675"/>
    </row>
    <row r="4842" spans="1:13" x14ac:dyDescent="0.25">
      <c r="A4842" s="675" t="s">
        <v>4723</v>
      </c>
      <c r="B4842" s="675" t="s">
        <v>512</v>
      </c>
      <c r="C4842" s="675" t="s">
        <v>4760</v>
      </c>
      <c r="D4842" s="675"/>
      <c r="E4842" s="702"/>
      <c r="F4842" s="702"/>
      <c r="G4842" s="675"/>
      <c r="H4842" s="675"/>
      <c r="I4842" s="675"/>
      <c r="J4842" s="675"/>
      <c r="K4842" s="675"/>
      <c r="L4842" s="675"/>
      <c r="M4842" s="675"/>
    </row>
    <row r="4843" spans="1:13" x14ac:dyDescent="0.25">
      <c r="A4843" s="675" t="s">
        <v>4723</v>
      </c>
      <c r="B4843" s="675" t="s">
        <v>512</v>
      </c>
      <c r="C4843" s="675" t="s">
        <v>4761</v>
      </c>
      <c r="D4843" s="675"/>
      <c r="E4843" s="702"/>
      <c r="F4843" s="702"/>
      <c r="G4843" s="675"/>
      <c r="H4843" s="675"/>
      <c r="I4843" s="675"/>
      <c r="J4843" s="675"/>
      <c r="K4843" s="675"/>
      <c r="L4843" s="675"/>
      <c r="M4843" s="675"/>
    </row>
    <row r="4844" spans="1:13" x14ac:dyDescent="0.25">
      <c r="A4844" s="675" t="s">
        <v>4723</v>
      </c>
      <c r="B4844" s="675" t="s">
        <v>512</v>
      </c>
      <c r="C4844" s="675" t="s">
        <v>4762</v>
      </c>
      <c r="D4844" s="675"/>
      <c r="E4844" s="702"/>
      <c r="F4844" s="702"/>
      <c r="G4844" s="675"/>
      <c r="H4844" s="675"/>
      <c r="I4844" s="675"/>
      <c r="J4844" s="675"/>
      <c r="K4844" s="675"/>
      <c r="L4844" s="675"/>
      <c r="M4844" s="675"/>
    </row>
    <row r="4845" spans="1:13" x14ac:dyDescent="0.25">
      <c r="A4845" s="675" t="s">
        <v>4723</v>
      </c>
      <c r="B4845" s="675" t="s">
        <v>512</v>
      </c>
      <c r="C4845" s="675" t="s">
        <v>4763</v>
      </c>
      <c r="D4845" s="675"/>
      <c r="E4845" s="702"/>
      <c r="F4845" s="702"/>
      <c r="G4845" s="675"/>
      <c r="H4845" s="675"/>
      <c r="I4845" s="675"/>
      <c r="J4845" s="675"/>
      <c r="K4845" s="675"/>
      <c r="L4845" s="675"/>
      <c r="M4845" s="675"/>
    </row>
    <row r="4846" spans="1:13" x14ac:dyDescent="0.25">
      <c r="A4846" s="675" t="s">
        <v>4723</v>
      </c>
      <c r="B4846" s="675" t="s">
        <v>512</v>
      </c>
      <c r="C4846" s="675" t="s">
        <v>4764</v>
      </c>
      <c r="D4846" s="675"/>
      <c r="E4846" s="702"/>
      <c r="F4846" s="702"/>
      <c r="G4846" s="675"/>
      <c r="H4846" s="675"/>
      <c r="I4846" s="675"/>
      <c r="J4846" s="675"/>
      <c r="K4846" s="675"/>
      <c r="L4846" s="675"/>
      <c r="M4846" s="675"/>
    </row>
    <row r="4847" spans="1:13" x14ac:dyDescent="0.25">
      <c r="A4847" s="675" t="s">
        <v>4723</v>
      </c>
      <c r="B4847" s="675" t="s">
        <v>512</v>
      </c>
      <c r="C4847" s="675" t="s">
        <v>4765</v>
      </c>
      <c r="D4847" s="675"/>
      <c r="E4847" s="702"/>
      <c r="F4847" s="702"/>
      <c r="G4847" s="675"/>
      <c r="H4847" s="675"/>
      <c r="I4847" s="675"/>
      <c r="J4847" s="675"/>
      <c r="K4847" s="675"/>
      <c r="L4847" s="675"/>
      <c r="M4847" s="675"/>
    </row>
    <row r="4848" spans="1:13" x14ac:dyDescent="0.25">
      <c r="A4848" s="675" t="s">
        <v>4723</v>
      </c>
      <c r="B4848" s="675" t="s">
        <v>512</v>
      </c>
      <c r="C4848" s="675" t="s">
        <v>4766</v>
      </c>
      <c r="D4848" s="675"/>
      <c r="E4848" s="702"/>
      <c r="F4848" s="702"/>
      <c r="G4848" s="675"/>
      <c r="H4848" s="675"/>
      <c r="I4848" s="675"/>
      <c r="J4848" s="675"/>
      <c r="K4848" s="675"/>
      <c r="L4848" s="675"/>
      <c r="M4848" s="675"/>
    </row>
    <row r="4849" spans="1:13" x14ac:dyDescent="0.25">
      <c r="A4849" s="675" t="s">
        <v>4723</v>
      </c>
      <c r="B4849" s="675" t="s">
        <v>512</v>
      </c>
      <c r="C4849" s="675" t="s">
        <v>4767</v>
      </c>
      <c r="D4849" s="675"/>
      <c r="E4849" s="702"/>
      <c r="F4849" s="702"/>
      <c r="G4849" s="675"/>
      <c r="H4849" s="675"/>
      <c r="I4849" s="675"/>
      <c r="J4849" s="675"/>
      <c r="K4849" s="675"/>
      <c r="L4849" s="675"/>
      <c r="M4849" s="675"/>
    </row>
    <row r="4850" spans="1:13" x14ac:dyDescent="0.25">
      <c r="A4850" s="675" t="s">
        <v>4723</v>
      </c>
      <c r="B4850" s="675" t="s">
        <v>512</v>
      </c>
      <c r="C4850" s="675" t="s">
        <v>4768</v>
      </c>
      <c r="D4850" s="675"/>
      <c r="E4850" s="702"/>
      <c r="F4850" s="702"/>
      <c r="G4850" s="675"/>
      <c r="H4850" s="675"/>
      <c r="I4850" s="675"/>
      <c r="J4850" s="675"/>
      <c r="K4850" s="675"/>
      <c r="L4850" s="675"/>
      <c r="M4850" s="675"/>
    </row>
    <row r="4851" spans="1:13" x14ac:dyDescent="0.25">
      <c r="A4851" s="675" t="s">
        <v>4769</v>
      </c>
      <c r="B4851" s="675" t="s">
        <v>545</v>
      </c>
      <c r="C4851" s="675" t="s">
        <v>4770</v>
      </c>
      <c r="D4851" s="675"/>
      <c r="E4851" s="702"/>
      <c r="F4851" s="702"/>
      <c r="G4851" s="675"/>
      <c r="H4851" s="675"/>
      <c r="I4851" s="675"/>
      <c r="J4851" s="675"/>
      <c r="K4851" s="675"/>
      <c r="L4851" s="675"/>
      <c r="M4851" s="675"/>
    </row>
    <row r="4852" spans="1:13" x14ac:dyDescent="0.25">
      <c r="A4852" s="675" t="s">
        <v>4769</v>
      </c>
      <c r="B4852" s="675" t="s">
        <v>545</v>
      </c>
      <c r="C4852" s="675" t="s">
        <v>4771</v>
      </c>
      <c r="D4852" s="675"/>
      <c r="E4852" s="702"/>
      <c r="F4852" s="702"/>
      <c r="G4852" s="675"/>
      <c r="H4852" s="675"/>
      <c r="I4852" s="675"/>
      <c r="J4852" s="675"/>
      <c r="K4852" s="675"/>
      <c r="L4852" s="675"/>
      <c r="M4852" s="675"/>
    </row>
    <row r="4853" spans="1:13" x14ac:dyDescent="0.25">
      <c r="A4853" s="675" t="s">
        <v>4769</v>
      </c>
      <c r="B4853" s="675" t="s">
        <v>545</v>
      </c>
      <c r="C4853" s="675" t="s">
        <v>4772</v>
      </c>
      <c r="D4853" s="675"/>
      <c r="E4853" s="702"/>
      <c r="F4853" s="702"/>
      <c r="G4853" s="675"/>
      <c r="H4853" s="675"/>
      <c r="I4853" s="675"/>
      <c r="J4853" s="675"/>
      <c r="K4853" s="675"/>
      <c r="L4853" s="675"/>
      <c r="M4853" s="675"/>
    </row>
    <row r="4854" spans="1:13" x14ac:dyDescent="0.25">
      <c r="A4854" s="675" t="s">
        <v>4769</v>
      </c>
      <c r="B4854" s="675" t="s">
        <v>545</v>
      </c>
      <c r="C4854" s="675" t="s">
        <v>4773</v>
      </c>
      <c r="D4854" s="675"/>
      <c r="E4854" s="702"/>
      <c r="F4854" s="702"/>
      <c r="G4854" s="675"/>
      <c r="H4854" s="675"/>
      <c r="I4854" s="675"/>
      <c r="J4854" s="675"/>
      <c r="K4854" s="675"/>
      <c r="L4854" s="675"/>
      <c r="M4854" s="675"/>
    </row>
    <row r="4855" spans="1:13" x14ac:dyDescent="0.25">
      <c r="A4855" s="675" t="s">
        <v>4769</v>
      </c>
      <c r="B4855" s="675" t="s">
        <v>545</v>
      </c>
      <c r="C4855" s="675" t="s">
        <v>4774</v>
      </c>
      <c r="D4855" s="675"/>
      <c r="E4855" s="702"/>
      <c r="F4855" s="702"/>
      <c r="G4855" s="675"/>
      <c r="H4855" s="675"/>
      <c r="I4855" s="675"/>
      <c r="J4855" s="675"/>
      <c r="K4855" s="675"/>
      <c r="L4855" s="675"/>
      <c r="M4855" s="675"/>
    </row>
    <row r="4856" spans="1:13" x14ac:dyDescent="0.25">
      <c r="A4856" s="675" t="s">
        <v>4769</v>
      </c>
      <c r="B4856" s="675" t="s">
        <v>545</v>
      </c>
      <c r="C4856" s="675" t="s">
        <v>4775</v>
      </c>
      <c r="D4856" s="675"/>
      <c r="E4856" s="702"/>
      <c r="F4856" s="702"/>
      <c r="G4856" s="675"/>
      <c r="H4856" s="675"/>
      <c r="I4856" s="675"/>
      <c r="J4856" s="675"/>
      <c r="K4856" s="675"/>
      <c r="L4856" s="675"/>
      <c r="M4856" s="675"/>
    </row>
    <row r="4857" spans="1:13" x14ac:dyDescent="0.25">
      <c r="A4857" s="675" t="s">
        <v>4769</v>
      </c>
      <c r="B4857" s="675" t="s">
        <v>545</v>
      </c>
      <c r="C4857" s="675" t="s">
        <v>4776</v>
      </c>
      <c r="D4857" s="675"/>
      <c r="E4857" s="702"/>
      <c r="F4857" s="702"/>
      <c r="G4857" s="675"/>
      <c r="H4857" s="675"/>
      <c r="I4857" s="675"/>
      <c r="J4857" s="675"/>
      <c r="K4857" s="675"/>
      <c r="L4857" s="675"/>
      <c r="M4857" s="675"/>
    </row>
    <row r="4858" spans="1:13" x14ac:dyDescent="0.25">
      <c r="A4858" s="675" t="s">
        <v>4769</v>
      </c>
      <c r="B4858" s="675" t="s">
        <v>545</v>
      </c>
      <c r="C4858" s="675" t="s">
        <v>4777</v>
      </c>
      <c r="D4858" s="675"/>
      <c r="E4858" s="702"/>
      <c r="F4858" s="702"/>
      <c r="G4858" s="675"/>
      <c r="H4858" s="675"/>
      <c r="I4858" s="675"/>
      <c r="J4858" s="675"/>
      <c r="K4858" s="675"/>
      <c r="L4858" s="675"/>
      <c r="M4858" s="675"/>
    </row>
    <row r="4859" spans="1:13" x14ac:dyDescent="0.25">
      <c r="A4859" s="675" t="s">
        <v>4769</v>
      </c>
      <c r="B4859" s="675" t="s">
        <v>545</v>
      </c>
      <c r="C4859" s="675" t="s">
        <v>4778</v>
      </c>
      <c r="D4859" s="675"/>
      <c r="E4859" s="702"/>
      <c r="F4859" s="702"/>
      <c r="G4859" s="675"/>
      <c r="H4859" s="675"/>
      <c r="I4859" s="675"/>
      <c r="J4859" s="675"/>
      <c r="K4859" s="675"/>
      <c r="L4859" s="675"/>
      <c r="M4859" s="675"/>
    </row>
    <row r="4860" spans="1:13" x14ac:dyDescent="0.25">
      <c r="A4860" s="675" t="s">
        <v>4769</v>
      </c>
      <c r="B4860" s="675" t="s">
        <v>545</v>
      </c>
      <c r="C4860" s="675" t="s">
        <v>4779</v>
      </c>
      <c r="D4860" s="675"/>
      <c r="E4860" s="702"/>
      <c r="F4860" s="702"/>
      <c r="G4860" s="675"/>
      <c r="H4860" s="675"/>
      <c r="I4860" s="675"/>
      <c r="J4860" s="675"/>
      <c r="K4860" s="675"/>
      <c r="L4860" s="675"/>
      <c r="M4860" s="675"/>
    </row>
    <row r="4861" spans="1:13" x14ac:dyDescent="0.25">
      <c r="A4861" s="675" t="s">
        <v>4769</v>
      </c>
      <c r="B4861" s="675" t="s">
        <v>545</v>
      </c>
      <c r="C4861" s="675" t="s">
        <v>4780</v>
      </c>
      <c r="D4861" s="675"/>
      <c r="E4861" s="702"/>
      <c r="F4861" s="702"/>
      <c r="G4861" s="675"/>
      <c r="H4861" s="675"/>
      <c r="I4861" s="675"/>
      <c r="J4861" s="675"/>
      <c r="K4861" s="675"/>
      <c r="L4861" s="675"/>
      <c r="M4861" s="675"/>
    </row>
    <row r="4862" spans="1:13" x14ac:dyDescent="0.25">
      <c r="A4862" s="675" t="s">
        <v>4769</v>
      </c>
      <c r="B4862" s="675" t="s">
        <v>545</v>
      </c>
      <c r="C4862" s="675" t="s">
        <v>4781</v>
      </c>
      <c r="D4862" s="675"/>
      <c r="E4862" s="702"/>
      <c r="F4862" s="702"/>
      <c r="G4862" s="675"/>
      <c r="H4862" s="675"/>
      <c r="I4862" s="675"/>
      <c r="J4862" s="675"/>
      <c r="K4862" s="675"/>
      <c r="L4862" s="675"/>
      <c r="M4862" s="675"/>
    </row>
    <row r="4863" spans="1:13" x14ac:dyDescent="0.25">
      <c r="A4863" s="675" t="s">
        <v>4769</v>
      </c>
      <c r="B4863" s="675" t="s">
        <v>545</v>
      </c>
      <c r="C4863" s="675" t="s">
        <v>4782</v>
      </c>
      <c r="D4863" s="675"/>
      <c r="E4863" s="702"/>
      <c r="F4863" s="702"/>
      <c r="G4863" s="675"/>
      <c r="H4863" s="675"/>
      <c r="I4863" s="675"/>
      <c r="J4863" s="675"/>
      <c r="K4863" s="675"/>
      <c r="L4863" s="675"/>
      <c r="M4863" s="675"/>
    </row>
    <row r="4864" spans="1:13" x14ac:dyDescent="0.25">
      <c r="A4864" s="675" t="s">
        <v>4769</v>
      </c>
      <c r="B4864" s="675" t="s">
        <v>545</v>
      </c>
      <c r="C4864" s="675" t="s">
        <v>4783</v>
      </c>
      <c r="D4864" s="675"/>
      <c r="E4864" s="702"/>
      <c r="F4864" s="702"/>
      <c r="G4864" s="675"/>
      <c r="H4864" s="675"/>
      <c r="I4864" s="675"/>
      <c r="J4864" s="675"/>
      <c r="K4864" s="675"/>
      <c r="L4864" s="675"/>
      <c r="M4864" s="675"/>
    </row>
    <row r="4865" spans="1:13" x14ac:dyDescent="0.25">
      <c r="A4865" s="675" t="s">
        <v>4769</v>
      </c>
      <c r="B4865" s="675" t="s">
        <v>545</v>
      </c>
      <c r="C4865" s="675" t="s">
        <v>4784</v>
      </c>
      <c r="D4865" s="675"/>
      <c r="E4865" s="702"/>
      <c r="F4865" s="702"/>
      <c r="G4865" s="675"/>
      <c r="H4865" s="675"/>
      <c r="I4865" s="675"/>
      <c r="J4865" s="675"/>
      <c r="K4865" s="675"/>
      <c r="L4865" s="675"/>
      <c r="M4865" s="675"/>
    </row>
    <row r="4866" spans="1:13" x14ac:dyDescent="0.25">
      <c r="A4866" s="675" t="s">
        <v>4769</v>
      </c>
      <c r="B4866" s="675" t="s">
        <v>564</v>
      </c>
      <c r="C4866" s="675" t="s">
        <v>4785</v>
      </c>
      <c r="D4866" s="675"/>
      <c r="E4866" s="702"/>
      <c r="F4866" s="702"/>
      <c r="G4866" s="675"/>
      <c r="H4866" s="675"/>
      <c r="I4866" s="675"/>
      <c r="J4866" s="675"/>
      <c r="K4866" s="675"/>
      <c r="L4866" s="675"/>
      <c r="M4866" s="675"/>
    </row>
    <row r="4867" spans="1:13" x14ac:dyDescent="0.25">
      <c r="A4867" s="675" t="s">
        <v>4769</v>
      </c>
      <c r="B4867" s="675" t="s">
        <v>564</v>
      </c>
      <c r="C4867" s="675" t="s">
        <v>4786</v>
      </c>
      <c r="D4867" s="675"/>
      <c r="E4867" s="702"/>
      <c r="F4867" s="702"/>
      <c r="G4867" s="675"/>
      <c r="H4867" s="675"/>
      <c r="I4867" s="675"/>
      <c r="J4867" s="675"/>
      <c r="K4867" s="675"/>
      <c r="L4867" s="675"/>
      <c r="M4867" s="675"/>
    </row>
    <row r="4868" spans="1:13" x14ac:dyDescent="0.25">
      <c r="A4868" s="675" t="s">
        <v>4769</v>
      </c>
      <c r="B4868" s="675" t="s">
        <v>564</v>
      </c>
      <c r="C4868" s="675" t="s">
        <v>4787</v>
      </c>
      <c r="D4868" s="675"/>
      <c r="E4868" s="702"/>
      <c r="F4868" s="702"/>
      <c r="G4868" s="675"/>
      <c r="H4868" s="675"/>
      <c r="I4868" s="675"/>
      <c r="J4868" s="675"/>
      <c r="K4868" s="675"/>
      <c r="L4868" s="675"/>
      <c r="M4868" s="675"/>
    </row>
    <row r="4869" spans="1:13" x14ac:dyDescent="0.25">
      <c r="A4869" s="675" t="s">
        <v>4769</v>
      </c>
      <c r="B4869" s="675" t="s">
        <v>564</v>
      </c>
      <c r="C4869" s="675" t="s">
        <v>4788</v>
      </c>
      <c r="D4869" s="675"/>
      <c r="E4869" s="702"/>
      <c r="F4869" s="702"/>
      <c r="G4869" s="675"/>
      <c r="H4869" s="675"/>
      <c r="I4869" s="675"/>
      <c r="J4869" s="675"/>
      <c r="K4869" s="675"/>
      <c r="L4869" s="675"/>
      <c r="M4869" s="675"/>
    </row>
    <row r="4870" spans="1:13" x14ac:dyDescent="0.25">
      <c r="A4870" s="675" t="s">
        <v>4769</v>
      </c>
      <c r="B4870" s="675" t="s">
        <v>564</v>
      </c>
      <c r="C4870" s="675" t="s">
        <v>4789</v>
      </c>
      <c r="D4870" s="675"/>
      <c r="E4870" s="702"/>
      <c r="F4870" s="702"/>
      <c r="G4870" s="675"/>
      <c r="H4870" s="675"/>
      <c r="I4870" s="675"/>
      <c r="J4870" s="675"/>
      <c r="K4870" s="675"/>
      <c r="L4870" s="675"/>
      <c r="M4870" s="675"/>
    </row>
    <row r="4871" spans="1:13" x14ac:dyDescent="0.25">
      <c r="A4871" s="675" t="s">
        <v>4769</v>
      </c>
      <c r="B4871" s="675" t="s">
        <v>564</v>
      </c>
      <c r="C4871" s="675" t="s">
        <v>4790</v>
      </c>
      <c r="D4871" s="675"/>
      <c r="E4871" s="702"/>
      <c r="F4871" s="702"/>
      <c r="G4871" s="675"/>
      <c r="H4871" s="675"/>
      <c r="I4871" s="675"/>
      <c r="J4871" s="675"/>
      <c r="K4871" s="675"/>
      <c r="L4871" s="675"/>
      <c r="M4871" s="675"/>
    </row>
    <row r="4872" spans="1:13" x14ac:dyDescent="0.25">
      <c r="A4872" s="675" t="s">
        <v>4769</v>
      </c>
      <c r="B4872" s="675" t="s">
        <v>564</v>
      </c>
      <c r="C4872" s="675" t="s">
        <v>4791</v>
      </c>
      <c r="D4872" s="675"/>
      <c r="E4872" s="702"/>
      <c r="F4872" s="702"/>
      <c r="G4872" s="675"/>
      <c r="H4872" s="675"/>
      <c r="I4872" s="675"/>
      <c r="J4872" s="675"/>
      <c r="K4872" s="675"/>
      <c r="L4872" s="675"/>
      <c r="M4872" s="675"/>
    </row>
    <row r="4873" spans="1:13" x14ac:dyDescent="0.25">
      <c r="A4873" s="675" t="s">
        <v>4769</v>
      </c>
      <c r="B4873" s="675" t="s">
        <v>564</v>
      </c>
      <c r="C4873" s="675" t="s">
        <v>4792</v>
      </c>
      <c r="D4873" s="675"/>
      <c r="E4873" s="702"/>
      <c r="F4873" s="702"/>
      <c r="G4873" s="675"/>
      <c r="H4873" s="675"/>
      <c r="I4873" s="675"/>
      <c r="J4873" s="675"/>
      <c r="K4873" s="675"/>
      <c r="L4873" s="675"/>
      <c r="M4873" s="675"/>
    </row>
    <row r="4874" spans="1:13" x14ac:dyDescent="0.25">
      <c r="A4874" s="675" t="s">
        <v>4769</v>
      </c>
      <c r="B4874" s="675" t="s">
        <v>564</v>
      </c>
      <c r="C4874" s="675" t="s">
        <v>4793</v>
      </c>
      <c r="D4874" s="675"/>
      <c r="E4874" s="702"/>
      <c r="F4874" s="702"/>
      <c r="G4874" s="675"/>
      <c r="H4874" s="675"/>
      <c r="I4874" s="675"/>
      <c r="J4874" s="675"/>
      <c r="K4874" s="675"/>
      <c r="L4874" s="675"/>
      <c r="M4874" s="675"/>
    </row>
    <row r="4875" spans="1:13" x14ac:dyDescent="0.25">
      <c r="A4875" s="675" t="s">
        <v>4769</v>
      </c>
      <c r="B4875" s="675" t="s">
        <v>564</v>
      </c>
      <c r="C4875" s="675" t="s">
        <v>4794</v>
      </c>
      <c r="D4875" s="675"/>
      <c r="E4875" s="702"/>
      <c r="F4875" s="702"/>
      <c r="G4875" s="675"/>
      <c r="H4875" s="675"/>
      <c r="I4875" s="675"/>
      <c r="J4875" s="675"/>
      <c r="K4875" s="675"/>
      <c r="L4875" s="675"/>
      <c r="M4875" s="675"/>
    </row>
    <row r="4876" spans="1:13" x14ac:dyDescent="0.25">
      <c r="A4876" s="675" t="s">
        <v>4769</v>
      </c>
      <c r="B4876" s="675" t="s">
        <v>564</v>
      </c>
      <c r="C4876" s="675" t="s">
        <v>4795</v>
      </c>
      <c r="D4876" s="675"/>
      <c r="E4876" s="702"/>
      <c r="F4876" s="702"/>
      <c r="G4876" s="675"/>
      <c r="H4876" s="675"/>
      <c r="I4876" s="675"/>
      <c r="J4876" s="675"/>
      <c r="K4876" s="675"/>
      <c r="L4876" s="675"/>
      <c r="M4876" s="675"/>
    </row>
    <row r="4877" spans="1:13" x14ac:dyDescent="0.25">
      <c r="A4877" s="675" t="s">
        <v>4769</v>
      </c>
      <c r="B4877" s="675" t="s">
        <v>564</v>
      </c>
      <c r="C4877" s="675" t="s">
        <v>4796</v>
      </c>
      <c r="D4877" s="675"/>
      <c r="E4877" s="702"/>
      <c r="F4877" s="702"/>
      <c r="G4877" s="675"/>
      <c r="H4877" s="675"/>
      <c r="I4877" s="675"/>
      <c r="J4877" s="675"/>
      <c r="K4877" s="675"/>
      <c r="L4877" s="675"/>
      <c r="M4877" s="675"/>
    </row>
    <row r="4878" spans="1:13" x14ac:dyDescent="0.25">
      <c r="A4878" s="675" t="s">
        <v>4769</v>
      </c>
      <c r="B4878" s="675" t="s">
        <v>564</v>
      </c>
      <c r="C4878" s="675" t="s">
        <v>4797</v>
      </c>
      <c r="D4878" s="675"/>
      <c r="E4878" s="702"/>
      <c r="F4878" s="702"/>
      <c r="G4878" s="675"/>
      <c r="H4878" s="675"/>
      <c r="I4878" s="675"/>
      <c r="J4878" s="675"/>
      <c r="K4878" s="675"/>
      <c r="L4878" s="675"/>
      <c r="M4878" s="675"/>
    </row>
    <row r="4879" spans="1:13" x14ac:dyDescent="0.25">
      <c r="A4879" s="675" t="s">
        <v>4769</v>
      </c>
      <c r="B4879" s="675" t="s">
        <v>564</v>
      </c>
      <c r="C4879" s="675" t="s">
        <v>4798</v>
      </c>
      <c r="D4879" s="675"/>
      <c r="E4879" s="702"/>
      <c r="F4879" s="702"/>
      <c r="G4879" s="675"/>
      <c r="H4879" s="675"/>
      <c r="I4879" s="675"/>
      <c r="J4879" s="675"/>
      <c r="K4879" s="675"/>
      <c r="L4879" s="675"/>
      <c r="M4879" s="675"/>
    </row>
    <row r="4880" spans="1:13" x14ac:dyDescent="0.25">
      <c r="A4880" s="675" t="s">
        <v>4769</v>
      </c>
      <c r="B4880" s="675" t="s">
        <v>564</v>
      </c>
      <c r="C4880" s="675" t="s">
        <v>4799</v>
      </c>
      <c r="D4880" s="675"/>
      <c r="E4880" s="702"/>
      <c r="F4880" s="702"/>
      <c r="G4880" s="675"/>
      <c r="H4880" s="675"/>
      <c r="I4880" s="675"/>
      <c r="J4880" s="675"/>
      <c r="K4880" s="675"/>
      <c r="L4880" s="675"/>
      <c r="M4880" s="675"/>
    </row>
    <row r="4881" spans="1:13" x14ac:dyDescent="0.25">
      <c r="A4881" s="675" t="s">
        <v>4769</v>
      </c>
      <c r="B4881" s="675" t="s">
        <v>512</v>
      </c>
      <c r="C4881" s="675" t="s">
        <v>4800</v>
      </c>
      <c r="D4881" s="675"/>
      <c r="E4881" s="702"/>
      <c r="F4881" s="702"/>
      <c r="G4881" s="675"/>
      <c r="H4881" s="675"/>
      <c r="I4881" s="675"/>
      <c r="J4881" s="675"/>
      <c r="K4881" s="675"/>
      <c r="L4881" s="675"/>
      <c r="M4881" s="675"/>
    </row>
    <row r="4882" spans="1:13" x14ac:dyDescent="0.25">
      <c r="A4882" s="675" t="s">
        <v>4769</v>
      </c>
      <c r="B4882" s="675" t="s">
        <v>512</v>
      </c>
      <c r="C4882" s="675" t="s">
        <v>4801</v>
      </c>
      <c r="D4882" s="675"/>
      <c r="E4882" s="702"/>
      <c r="F4882" s="702"/>
      <c r="G4882" s="675"/>
      <c r="H4882" s="675"/>
      <c r="I4882" s="675"/>
      <c r="J4882" s="675"/>
      <c r="K4882" s="675"/>
      <c r="L4882" s="675"/>
      <c r="M4882" s="675"/>
    </row>
    <row r="4883" spans="1:13" x14ac:dyDescent="0.25">
      <c r="A4883" s="675" t="s">
        <v>4769</v>
      </c>
      <c r="B4883" s="675" t="s">
        <v>512</v>
      </c>
      <c r="C4883" s="675" t="s">
        <v>4802</v>
      </c>
      <c r="D4883" s="675"/>
      <c r="E4883" s="702"/>
      <c r="F4883" s="702"/>
      <c r="G4883" s="675"/>
      <c r="H4883" s="675"/>
      <c r="I4883" s="675"/>
      <c r="J4883" s="675"/>
      <c r="K4883" s="675"/>
      <c r="L4883" s="675"/>
      <c r="M4883" s="675"/>
    </row>
    <row r="4884" spans="1:13" x14ac:dyDescent="0.25">
      <c r="A4884" s="675" t="s">
        <v>4769</v>
      </c>
      <c r="B4884" s="675" t="s">
        <v>512</v>
      </c>
      <c r="C4884" s="675" t="s">
        <v>4803</v>
      </c>
      <c r="D4884" s="675"/>
      <c r="E4884" s="702"/>
      <c r="F4884" s="702"/>
      <c r="G4884" s="675"/>
      <c r="H4884" s="675"/>
      <c r="I4884" s="675"/>
      <c r="J4884" s="675"/>
      <c r="K4884" s="675"/>
      <c r="L4884" s="675"/>
      <c r="M4884" s="675"/>
    </row>
    <row r="4885" spans="1:13" x14ac:dyDescent="0.25">
      <c r="A4885" s="675" t="s">
        <v>4769</v>
      </c>
      <c r="B4885" s="675" t="s">
        <v>512</v>
      </c>
      <c r="C4885" s="675" t="s">
        <v>4804</v>
      </c>
      <c r="D4885" s="675"/>
      <c r="E4885" s="702"/>
      <c r="F4885" s="702"/>
      <c r="G4885" s="675"/>
      <c r="H4885" s="675"/>
      <c r="I4885" s="675"/>
      <c r="J4885" s="675"/>
      <c r="K4885" s="675"/>
      <c r="L4885" s="675"/>
      <c r="M4885" s="675"/>
    </row>
    <row r="4886" spans="1:13" x14ac:dyDescent="0.25">
      <c r="A4886" s="675" t="s">
        <v>4769</v>
      </c>
      <c r="B4886" s="675" t="s">
        <v>512</v>
      </c>
      <c r="C4886" s="675" t="s">
        <v>4805</v>
      </c>
      <c r="D4886" s="675"/>
      <c r="E4886" s="702"/>
      <c r="F4886" s="702"/>
      <c r="G4886" s="675"/>
      <c r="H4886" s="675"/>
      <c r="I4886" s="675"/>
      <c r="J4886" s="675"/>
      <c r="K4886" s="675"/>
      <c r="L4886" s="675"/>
      <c r="M4886" s="675"/>
    </row>
    <row r="4887" spans="1:13" x14ac:dyDescent="0.25">
      <c r="A4887" s="675" t="s">
        <v>4769</v>
      </c>
      <c r="B4887" s="675" t="s">
        <v>512</v>
      </c>
      <c r="C4887" s="675" t="s">
        <v>4806</v>
      </c>
      <c r="D4887" s="675"/>
      <c r="E4887" s="702"/>
      <c r="F4887" s="702"/>
      <c r="G4887" s="675"/>
      <c r="H4887" s="675"/>
      <c r="I4887" s="675"/>
      <c r="J4887" s="675"/>
      <c r="K4887" s="675"/>
      <c r="L4887" s="675"/>
      <c r="M4887" s="675"/>
    </row>
    <row r="4888" spans="1:13" x14ac:dyDescent="0.25">
      <c r="A4888" s="675" t="s">
        <v>4769</v>
      </c>
      <c r="B4888" s="675" t="s">
        <v>512</v>
      </c>
      <c r="C4888" s="675" t="s">
        <v>4807</v>
      </c>
      <c r="D4888" s="675"/>
      <c r="E4888" s="702"/>
      <c r="F4888" s="702"/>
      <c r="G4888" s="675"/>
      <c r="H4888" s="675"/>
      <c r="I4888" s="675"/>
      <c r="J4888" s="675"/>
      <c r="K4888" s="675"/>
      <c r="L4888" s="675"/>
      <c r="M4888" s="675"/>
    </row>
    <row r="4889" spans="1:13" x14ac:dyDescent="0.25">
      <c r="A4889" s="675" t="s">
        <v>4769</v>
      </c>
      <c r="B4889" s="675" t="s">
        <v>512</v>
      </c>
      <c r="C4889" s="675" t="s">
        <v>4808</v>
      </c>
      <c r="D4889" s="675"/>
      <c r="E4889" s="702"/>
      <c r="F4889" s="702"/>
      <c r="G4889" s="675"/>
      <c r="H4889" s="675"/>
      <c r="I4889" s="675"/>
      <c r="J4889" s="675"/>
      <c r="K4889" s="675"/>
      <c r="L4889" s="675"/>
      <c r="M4889" s="675"/>
    </row>
    <row r="4890" spans="1:13" x14ac:dyDescent="0.25">
      <c r="A4890" s="675" t="s">
        <v>4769</v>
      </c>
      <c r="B4890" s="675" t="s">
        <v>512</v>
      </c>
      <c r="C4890" s="675" t="s">
        <v>4809</v>
      </c>
      <c r="D4890" s="675"/>
      <c r="E4890" s="702"/>
      <c r="F4890" s="702"/>
      <c r="G4890" s="675"/>
      <c r="H4890" s="675"/>
      <c r="I4890" s="675"/>
      <c r="J4890" s="675"/>
      <c r="K4890" s="675"/>
      <c r="L4890" s="675"/>
      <c r="M4890" s="675"/>
    </row>
    <row r="4891" spans="1:13" x14ac:dyDescent="0.25">
      <c r="A4891" s="675" t="s">
        <v>4769</v>
      </c>
      <c r="B4891" s="675" t="s">
        <v>512</v>
      </c>
      <c r="C4891" s="675" t="s">
        <v>4810</v>
      </c>
      <c r="D4891" s="675"/>
      <c r="E4891" s="702"/>
      <c r="F4891" s="702"/>
      <c r="G4891" s="675"/>
      <c r="H4891" s="675"/>
      <c r="I4891" s="675"/>
      <c r="J4891" s="675"/>
      <c r="K4891" s="675"/>
      <c r="L4891" s="675"/>
      <c r="M4891" s="675"/>
    </row>
    <row r="4892" spans="1:13" x14ac:dyDescent="0.25">
      <c r="A4892" s="675" t="s">
        <v>4769</v>
      </c>
      <c r="B4892" s="675" t="s">
        <v>512</v>
      </c>
      <c r="C4892" s="675" t="s">
        <v>4811</v>
      </c>
      <c r="D4892" s="675"/>
      <c r="E4892" s="702"/>
      <c r="F4892" s="702"/>
      <c r="G4892" s="675"/>
      <c r="H4892" s="675"/>
      <c r="I4892" s="675"/>
      <c r="J4892" s="675"/>
      <c r="K4892" s="675"/>
      <c r="L4892" s="675"/>
      <c r="M4892" s="675"/>
    </row>
    <row r="4893" spans="1:13" x14ac:dyDescent="0.25">
      <c r="A4893" s="675" t="s">
        <v>4769</v>
      </c>
      <c r="B4893" s="675" t="s">
        <v>512</v>
      </c>
      <c r="C4893" s="675" t="s">
        <v>4812</v>
      </c>
      <c r="D4893" s="675"/>
      <c r="E4893" s="702"/>
      <c r="F4893" s="702"/>
      <c r="G4893" s="675"/>
      <c r="H4893" s="675"/>
      <c r="I4893" s="675"/>
      <c r="J4893" s="675"/>
      <c r="K4893" s="675"/>
      <c r="L4893" s="675"/>
      <c r="M4893" s="675"/>
    </row>
    <row r="4894" spans="1:13" x14ac:dyDescent="0.25">
      <c r="A4894" s="675" t="s">
        <v>4769</v>
      </c>
      <c r="B4894" s="675" t="s">
        <v>512</v>
      </c>
      <c r="C4894" s="675" t="s">
        <v>4813</v>
      </c>
      <c r="D4894" s="675"/>
      <c r="E4894" s="702"/>
      <c r="F4894" s="702"/>
      <c r="G4894" s="675"/>
      <c r="H4894" s="675"/>
      <c r="I4894" s="675"/>
      <c r="J4894" s="675"/>
      <c r="K4894" s="675"/>
      <c r="L4894" s="675"/>
      <c r="M4894" s="675"/>
    </row>
    <row r="4895" spans="1:13" x14ac:dyDescent="0.25">
      <c r="A4895" s="675" t="s">
        <v>4769</v>
      </c>
      <c r="B4895" s="675" t="s">
        <v>512</v>
      </c>
      <c r="C4895" s="675" t="s">
        <v>4814</v>
      </c>
      <c r="D4895" s="675"/>
      <c r="E4895" s="702"/>
      <c r="F4895" s="702"/>
      <c r="G4895" s="675"/>
      <c r="H4895" s="675"/>
      <c r="I4895" s="675"/>
      <c r="J4895" s="675"/>
      <c r="K4895" s="675"/>
      <c r="L4895" s="675"/>
      <c r="M4895" s="675"/>
    </row>
    <row r="4896" spans="1:13" x14ac:dyDescent="0.25">
      <c r="A4896" s="675" t="s">
        <v>757</v>
      </c>
      <c r="B4896" s="675" t="s">
        <v>545</v>
      </c>
      <c r="C4896" s="676" t="s">
        <v>4815</v>
      </c>
      <c r="D4896" s="675"/>
      <c r="E4896" s="702"/>
      <c r="F4896" s="702"/>
      <c r="G4896" s="675"/>
      <c r="H4896" s="675"/>
      <c r="I4896" s="675"/>
      <c r="J4896" s="675"/>
      <c r="K4896" s="675"/>
      <c r="L4896" s="675"/>
      <c r="M4896" s="675"/>
    </row>
    <row r="4897" spans="1:13" x14ac:dyDescent="0.25">
      <c r="A4897" s="675" t="s">
        <v>757</v>
      </c>
      <c r="B4897" s="675" t="s">
        <v>545</v>
      </c>
      <c r="C4897" s="676" t="s">
        <v>4816</v>
      </c>
      <c r="D4897" s="675"/>
      <c r="E4897" s="702"/>
      <c r="F4897" s="702"/>
      <c r="G4897" s="675"/>
      <c r="H4897" s="675"/>
      <c r="I4897" s="675"/>
      <c r="J4897" s="675"/>
      <c r="K4897" s="675"/>
      <c r="L4897" s="675"/>
      <c r="M4897" s="675"/>
    </row>
    <row r="4898" spans="1:13" x14ac:dyDescent="0.25">
      <c r="A4898" s="675" t="s">
        <v>757</v>
      </c>
      <c r="B4898" s="675" t="s">
        <v>545</v>
      </c>
      <c r="C4898" s="676" t="s">
        <v>4817</v>
      </c>
      <c r="D4898" s="675"/>
      <c r="E4898" s="702"/>
      <c r="F4898" s="702"/>
      <c r="G4898" s="675"/>
      <c r="H4898" s="675"/>
      <c r="I4898" s="675"/>
      <c r="J4898" s="675"/>
      <c r="K4898" s="675"/>
      <c r="L4898" s="675"/>
      <c r="M4898" s="675"/>
    </row>
    <row r="4899" spans="1:13" x14ac:dyDescent="0.25">
      <c r="A4899" s="675" t="s">
        <v>757</v>
      </c>
      <c r="B4899" s="675" t="s">
        <v>545</v>
      </c>
      <c r="C4899" s="676" t="s">
        <v>4818</v>
      </c>
      <c r="D4899" s="675"/>
      <c r="E4899" s="702"/>
      <c r="F4899" s="702"/>
      <c r="G4899" s="675"/>
      <c r="H4899" s="675"/>
      <c r="I4899" s="675"/>
      <c r="J4899" s="675"/>
      <c r="K4899" s="675"/>
      <c r="L4899" s="675"/>
      <c r="M4899" s="675"/>
    </row>
    <row r="4900" spans="1:13" x14ac:dyDescent="0.25">
      <c r="A4900" s="675" t="s">
        <v>757</v>
      </c>
      <c r="B4900" s="675" t="s">
        <v>545</v>
      </c>
      <c r="C4900" s="676" t="s">
        <v>4819</v>
      </c>
      <c r="D4900" s="675"/>
      <c r="E4900" s="702"/>
      <c r="F4900" s="702"/>
      <c r="G4900" s="675"/>
      <c r="H4900" s="675"/>
      <c r="I4900" s="675"/>
      <c r="J4900" s="675"/>
      <c r="K4900" s="675"/>
      <c r="L4900" s="675"/>
      <c r="M4900" s="675"/>
    </row>
    <row r="4901" spans="1:13" x14ac:dyDescent="0.25">
      <c r="A4901" s="675" t="s">
        <v>757</v>
      </c>
      <c r="B4901" s="675" t="s">
        <v>545</v>
      </c>
      <c r="C4901" s="676" t="s">
        <v>4820</v>
      </c>
      <c r="D4901" s="675"/>
      <c r="E4901" s="702"/>
      <c r="F4901" s="702"/>
      <c r="G4901" s="675"/>
      <c r="H4901" s="675"/>
      <c r="I4901" s="675"/>
      <c r="J4901" s="675"/>
      <c r="K4901" s="675"/>
      <c r="L4901" s="675"/>
      <c r="M4901" s="675"/>
    </row>
    <row r="4902" spans="1:13" x14ac:dyDescent="0.25">
      <c r="A4902" s="675" t="s">
        <v>757</v>
      </c>
      <c r="B4902" s="675" t="s">
        <v>545</v>
      </c>
      <c r="C4902" s="676" t="s">
        <v>4821</v>
      </c>
      <c r="D4902" s="675"/>
      <c r="E4902" s="702"/>
      <c r="F4902" s="702"/>
      <c r="G4902" s="675"/>
      <c r="H4902" s="675"/>
      <c r="I4902" s="675"/>
      <c r="J4902" s="675"/>
      <c r="K4902" s="675"/>
      <c r="L4902" s="675"/>
      <c r="M4902" s="675"/>
    </row>
    <row r="4903" spans="1:13" x14ac:dyDescent="0.25">
      <c r="A4903" s="675" t="s">
        <v>757</v>
      </c>
      <c r="B4903" s="675" t="s">
        <v>545</v>
      </c>
      <c r="C4903" s="676" t="s">
        <v>4822</v>
      </c>
      <c r="D4903" s="675"/>
      <c r="E4903" s="702"/>
      <c r="F4903" s="702"/>
      <c r="G4903" s="675"/>
      <c r="H4903" s="675"/>
      <c r="I4903" s="675"/>
      <c r="J4903" s="675"/>
      <c r="K4903" s="675"/>
      <c r="L4903" s="675"/>
      <c r="M4903" s="675"/>
    </row>
    <row r="4904" spans="1:13" x14ac:dyDescent="0.25">
      <c r="A4904" s="675" t="s">
        <v>757</v>
      </c>
      <c r="B4904" s="675" t="s">
        <v>545</v>
      </c>
      <c r="C4904" s="676" t="s">
        <v>4823</v>
      </c>
      <c r="D4904" s="675"/>
      <c r="E4904" s="702"/>
      <c r="F4904" s="702"/>
      <c r="G4904" s="675"/>
      <c r="H4904" s="675"/>
      <c r="I4904" s="675"/>
      <c r="J4904" s="675"/>
      <c r="K4904" s="675"/>
      <c r="L4904" s="675"/>
      <c r="M4904" s="675"/>
    </row>
    <row r="4905" spans="1:13" x14ac:dyDescent="0.25">
      <c r="A4905" s="675" t="s">
        <v>757</v>
      </c>
      <c r="B4905" s="675" t="s">
        <v>545</v>
      </c>
      <c r="C4905" s="676" t="s">
        <v>4824</v>
      </c>
      <c r="D4905" s="675"/>
      <c r="E4905" s="702"/>
      <c r="F4905" s="702"/>
      <c r="G4905" s="675"/>
      <c r="H4905" s="675"/>
      <c r="I4905" s="675"/>
      <c r="J4905" s="675"/>
      <c r="K4905" s="675"/>
      <c r="L4905" s="675"/>
      <c r="M4905" s="675"/>
    </row>
    <row r="4906" spans="1:13" x14ac:dyDescent="0.25">
      <c r="A4906" s="675" t="s">
        <v>757</v>
      </c>
      <c r="B4906" s="675" t="s">
        <v>545</v>
      </c>
      <c r="C4906" s="676" t="s">
        <v>4825</v>
      </c>
      <c r="D4906" s="675"/>
      <c r="E4906" s="702"/>
      <c r="F4906" s="702"/>
      <c r="G4906" s="675"/>
      <c r="H4906" s="675"/>
      <c r="I4906" s="675"/>
      <c r="J4906" s="675"/>
      <c r="K4906" s="675"/>
      <c r="L4906" s="675"/>
      <c r="M4906" s="675"/>
    </row>
    <row r="4907" spans="1:13" x14ac:dyDescent="0.25">
      <c r="A4907" s="675" t="s">
        <v>757</v>
      </c>
      <c r="B4907" s="675" t="s">
        <v>545</v>
      </c>
      <c r="C4907" s="676" t="s">
        <v>4826</v>
      </c>
      <c r="D4907" s="675"/>
      <c r="E4907" s="702"/>
      <c r="F4907" s="702"/>
      <c r="G4907" s="675"/>
      <c r="H4907" s="675"/>
      <c r="I4907" s="675"/>
      <c r="J4907" s="675"/>
      <c r="K4907" s="675"/>
      <c r="L4907" s="675"/>
      <c r="M4907" s="675"/>
    </row>
    <row r="4908" spans="1:13" x14ac:dyDescent="0.25">
      <c r="A4908" s="675" t="s">
        <v>757</v>
      </c>
      <c r="B4908" s="675" t="s">
        <v>545</v>
      </c>
      <c r="C4908" s="676" t="s">
        <v>4827</v>
      </c>
      <c r="D4908" s="675"/>
      <c r="E4908" s="702"/>
      <c r="F4908" s="702"/>
      <c r="G4908" s="675"/>
      <c r="H4908" s="675"/>
      <c r="I4908" s="675"/>
      <c r="J4908" s="675"/>
      <c r="K4908" s="675"/>
      <c r="L4908" s="675"/>
      <c r="M4908" s="675"/>
    </row>
    <row r="4909" spans="1:13" x14ac:dyDescent="0.25">
      <c r="A4909" s="675" t="s">
        <v>757</v>
      </c>
      <c r="B4909" s="675" t="s">
        <v>545</v>
      </c>
      <c r="C4909" s="676" t="s">
        <v>4828</v>
      </c>
      <c r="D4909" s="675"/>
      <c r="E4909" s="702"/>
      <c r="F4909" s="702"/>
      <c r="G4909" s="675"/>
      <c r="H4909" s="675"/>
      <c r="I4909" s="675"/>
      <c r="J4909" s="675"/>
      <c r="K4909" s="675"/>
      <c r="L4909" s="675"/>
      <c r="M4909" s="675"/>
    </row>
    <row r="4910" spans="1:13" x14ac:dyDescent="0.25">
      <c r="A4910" s="675" t="s">
        <v>757</v>
      </c>
      <c r="B4910" s="675" t="s">
        <v>545</v>
      </c>
      <c r="C4910" s="676" t="s">
        <v>4829</v>
      </c>
      <c r="D4910" s="675"/>
      <c r="E4910" s="702"/>
      <c r="F4910" s="702"/>
      <c r="G4910" s="675"/>
      <c r="H4910" s="675"/>
      <c r="I4910" s="675"/>
      <c r="J4910" s="675"/>
      <c r="K4910" s="675"/>
      <c r="L4910" s="675"/>
      <c r="M4910" s="675"/>
    </row>
    <row r="4911" spans="1:13" x14ac:dyDescent="0.25">
      <c r="A4911" s="675" t="s">
        <v>757</v>
      </c>
      <c r="B4911" s="675" t="s">
        <v>564</v>
      </c>
      <c r="C4911" s="675" t="s">
        <v>4830</v>
      </c>
      <c r="D4911" s="675"/>
      <c r="E4911" s="702"/>
      <c r="F4911" s="702"/>
      <c r="G4911" s="675"/>
      <c r="H4911" s="675"/>
      <c r="I4911" s="675"/>
      <c r="J4911" s="675"/>
      <c r="K4911" s="675"/>
      <c r="L4911" s="675"/>
      <c r="M4911" s="675"/>
    </row>
    <row r="4912" spans="1:13" x14ac:dyDescent="0.25">
      <c r="A4912" s="675" t="s">
        <v>757</v>
      </c>
      <c r="B4912" s="675" t="s">
        <v>564</v>
      </c>
      <c r="C4912" s="675" t="s">
        <v>4831</v>
      </c>
      <c r="D4912" s="675"/>
      <c r="E4912" s="702"/>
      <c r="F4912" s="702"/>
      <c r="G4912" s="675"/>
      <c r="H4912" s="675"/>
      <c r="I4912" s="675"/>
      <c r="J4912" s="675"/>
      <c r="K4912" s="675"/>
      <c r="L4912" s="675"/>
      <c r="M4912" s="675"/>
    </row>
    <row r="4913" spans="1:13" x14ac:dyDescent="0.25">
      <c r="A4913" s="675" t="s">
        <v>757</v>
      </c>
      <c r="B4913" s="675" t="s">
        <v>564</v>
      </c>
      <c r="C4913" s="675" t="s">
        <v>4832</v>
      </c>
      <c r="D4913" s="675"/>
      <c r="E4913" s="702"/>
      <c r="F4913" s="702"/>
      <c r="G4913" s="675"/>
      <c r="H4913" s="675"/>
      <c r="I4913" s="675"/>
      <c r="J4913" s="675"/>
      <c r="K4913" s="675"/>
      <c r="L4913" s="675"/>
      <c r="M4913" s="675"/>
    </row>
    <row r="4914" spans="1:13" x14ac:dyDescent="0.25">
      <c r="A4914" s="675" t="s">
        <v>757</v>
      </c>
      <c r="B4914" s="675" t="s">
        <v>564</v>
      </c>
      <c r="C4914" s="675" t="s">
        <v>4833</v>
      </c>
      <c r="D4914" s="675"/>
      <c r="E4914" s="702"/>
      <c r="F4914" s="702"/>
      <c r="G4914" s="675"/>
      <c r="H4914" s="675"/>
      <c r="I4914" s="675"/>
      <c r="J4914" s="675"/>
      <c r="K4914" s="675"/>
      <c r="L4914" s="675"/>
      <c r="M4914" s="675"/>
    </row>
    <row r="4915" spans="1:13" x14ac:dyDescent="0.25">
      <c r="A4915" s="675" t="s">
        <v>757</v>
      </c>
      <c r="B4915" s="675" t="s">
        <v>564</v>
      </c>
      <c r="C4915" s="675" t="s">
        <v>4834</v>
      </c>
      <c r="D4915" s="675"/>
      <c r="E4915" s="702"/>
      <c r="F4915" s="702"/>
      <c r="G4915" s="675"/>
      <c r="H4915" s="675"/>
      <c r="I4915" s="675"/>
      <c r="J4915" s="675"/>
      <c r="K4915" s="675"/>
      <c r="L4915" s="675"/>
      <c r="M4915" s="675"/>
    </row>
    <row r="4916" spans="1:13" x14ac:dyDescent="0.25">
      <c r="A4916" s="675" t="s">
        <v>757</v>
      </c>
      <c r="B4916" s="675" t="s">
        <v>564</v>
      </c>
      <c r="C4916" s="675" t="s">
        <v>4835</v>
      </c>
      <c r="D4916" s="675"/>
      <c r="E4916" s="702"/>
      <c r="F4916" s="702"/>
      <c r="G4916" s="675"/>
      <c r="H4916" s="675"/>
      <c r="I4916" s="675"/>
      <c r="J4916" s="675"/>
      <c r="K4916" s="675"/>
      <c r="L4916" s="675"/>
      <c r="M4916" s="675"/>
    </row>
    <row r="4917" spans="1:13" x14ac:dyDescent="0.25">
      <c r="A4917" s="675" t="s">
        <v>757</v>
      </c>
      <c r="B4917" s="675" t="s">
        <v>564</v>
      </c>
      <c r="C4917" s="675" t="s">
        <v>4836</v>
      </c>
      <c r="D4917" s="675"/>
      <c r="E4917" s="702"/>
      <c r="F4917" s="702"/>
      <c r="G4917" s="675"/>
      <c r="H4917" s="675"/>
      <c r="I4917" s="675"/>
      <c r="J4917" s="675"/>
      <c r="K4917" s="675"/>
      <c r="L4917" s="675"/>
      <c r="M4917" s="675"/>
    </row>
    <row r="4918" spans="1:13" x14ac:dyDescent="0.25">
      <c r="A4918" s="675" t="s">
        <v>757</v>
      </c>
      <c r="B4918" s="675" t="s">
        <v>564</v>
      </c>
      <c r="C4918" s="675" t="s">
        <v>4837</v>
      </c>
      <c r="D4918" s="675"/>
      <c r="E4918" s="702"/>
      <c r="F4918" s="702"/>
      <c r="G4918" s="675"/>
      <c r="H4918" s="675"/>
      <c r="I4918" s="675"/>
      <c r="J4918" s="675"/>
      <c r="K4918" s="675"/>
      <c r="L4918" s="675"/>
      <c r="M4918" s="675"/>
    </row>
    <row r="4919" spans="1:13" x14ac:dyDescent="0.25">
      <c r="A4919" s="675" t="s">
        <v>757</v>
      </c>
      <c r="B4919" s="675" t="s">
        <v>564</v>
      </c>
      <c r="C4919" s="675" t="s">
        <v>4838</v>
      </c>
      <c r="D4919" s="675"/>
      <c r="E4919" s="702"/>
      <c r="F4919" s="702"/>
      <c r="G4919" s="675"/>
      <c r="H4919" s="675"/>
      <c r="I4919" s="675"/>
      <c r="J4919" s="675"/>
      <c r="K4919" s="675"/>
      <c r="L4919" s="675"/>
      <c r="M4919" s="675"/>
    </row>
    <row r="4920" spans="1:13" x14ac:dyDescent="0.25">
      <c r="A4920" s="675" t="s">
        <v>757</v>
      </c>
      <c r="B4920" s="675" t="s">
        <v>564</v>
      </c>
      <c r="C4920" s="675" t="s">
        <v>4839</v>
      </c>
      <c r="D4920" s="675"/>
      <c r="E4920" s="702"/>
      <c r="F4920" s="702"/>
      <c r="G4920" s="675"/>
      <c r="H4920" s="675"/>
      <c r="I4920" s="675"/>
      <c r="J4920" s="675"/>
      <c r="K4920" s="675"/>
      <c r="L4920" s="675"/>
      <c r="M4920" s="675"/>
    </row>
    <row r="4921" spans="1:13" x14ac:dyDescent="0.25">
      <c r="A4921" s="675" t="s">
        <v>757</v>
      </c>
      <c r="B4921" s="675" t="s">
        <v>564</v>
      </c>
      <c r="C4921" s="675" t="s">
        <v>4840</v>
      </c>
      <c r="D4921" s="675"/>
      <c r="E4921" s="702"/>
      <c r="F4921" s="702"/>
      <c r="G4921" s="675"/>
      <c r="H4921" s="675"/>
      <c r="I4921" s="675"/>
      <c r="J4921" s="675"/>
      <c r="K4921" s="675"/>
      <c r="L4921" s="675"/>
      <c r="M4921" s="675"/>
    </row>
    <row r="4922" spans="1:13" x14ac:dyDescent="0.25">
      <c r="A4922" s="675" t="s">
        <v>757</v>
      </c>
      <c r="B4922" s="675" t="s">
        <v>564</v>
      </c>
      <c r="C4922" s="675" t="s">
        <v>4841</v>
      </c>
      <c r="D4922" s="675"/>
      <c r="E4922" s="702"/>
      <c r="F4922" s="702"/>
      <c r="G4922" s="675"/>
      <c r="H4922" s="675"/>
      <c r="I4922" s="675"/>
      <c r="J4922" s="675"/>
      <c r="K4922" s="675"/>
      <c r="L4922" s="675"/>
      <c r="M4922" s="675"/>
    </row>
    <row r="4923" spans="1:13" x14ac:dyDescent="0.25">
      <c r="A4923" s="675" t="s">
        <v>757</v>
      </c>
      <c r="B4923" s="675" t="s">
        <v>564</v>
      </c>
      <c r="C4923" s="675" t="s">
        <v>4842</v>
      </c>
      <c r="D4923" s="675"/>
      <c r="E4923" s="702"/>
      <c r="F4923" s="702"/>
      <c r="G4923" s="675"/>
      <c r="H4923" s="675"/>
      <c r="I4923" s="675"/>
      <c r="J4923" s="675"/>
      <c r="K4923" s="675"/>
      <c r="L4923" s="675"/>
      <c r="M4923" s="675"/>
    </row>
    <row r="4924" spans="1:13" x14ac:dyDescent="0.25">
      <c r="A4924" s="675" t="s">
        <v>757</v>
      </c>
      <c r="B4924" s="675" t="s">
        <v>564</v>
      </c>
      <c r="C4924" s="675" t="s">
        <v>4843</v>
      </c>
      <c r="D4924" s="675"/>
      <c r="E4924" s="702"/>
      <c r="F4924" s="702"/>
      <c r="G4924" s="675"/>
      <c r="H4924" s="675"/>
      <c r="I4924" s="675"/>
      <c r="J4924" s="675"/>
      <c r="K4924" s="675"/>
      <c r="L4924" s="675"/>
      <c r="M4924" s="675"/>
    </row>
    <row r="4925" spans="1:13" x14ac:dyDescent="0.25">
      <c r="A4925" s="675" t="s">
        <v>757</v>
      </c>
      <c r="B4925" s="675" t="s">
        <v>564</v>
      </c>
      <c r="C4925" s="675" t="s">
        <v>4844</v>
      </c>
      <c r="D4925" s="675"/>
      <c r="E4925" s="702"/>
      <c r="F4925" s="702"/>
      <c r="G4925" s="675"/>
      <c r="H4925" s="675"/>
      <c r="I4925" s="675"/>
      <c r="J4925" s="675"/>
      <c r="K4925" s="675"/>
      <c r="L4925" s="675"/>
      <c r="M4925" s="675"/>
    </row>
    <row r="4926" spans="1:13" x14ac:dyDescent="0.25">
      <c r="A4926" s="675" t="s">
        <v>757</v>
      </c>
      <c r="B4926" s="675" t="s">
        <v>512</v>
      </c>
      <c r="C4926" s="675" t="s">
        <v>4845</v>
      </c>
      <c r="D4926" s="675"/>
      <c r="E4926" s="702"/>
      <c r="F4926" s="702"/>
      <c r="G4926" s="675"/>
      <c r="H4926" s="675"/>
      <c r="I4926" s="675"/>
      <c r="J4926" s="675"/>
      <c r="K4926" s="675"/>
      <c r="L4926" s="675"/>
      <c r="M4926" s="675"/>
    </row>
    <row r="4927" spans="1:13" x14ac:dyDescent="0.25">
      <c r="A4927" s="675" t="s">
        <v>757</v>
      </c>
      <c r="B4927" s="675" t="s">
        <v>512</v>
      </c>
      <c r="C4927" s="675" t="s">
        <v>4846</v>
      </c>
      <c r="D4927" s="675"/>
      <c r="E4927" s="702"/>
      <c r="F4927" s="702"/>
      <c r="G4927" s="675"/>
      <c r="H4927" s="675"/>
      <c r="I4927" s="675"/>
      <c r="J4927" s="675"/>
      <c r="K4927" s="675"/>
      <c r="L4927" s="675"/>
      <c r="M4927" s="675"/>
    </row>
    <row r="4928" spans="1:13" x14ac:dyDescent="0.25">
      <c r="A4928" s="675" t="s">
        <v>757</v>
      </c>
      <c r="B4928" s="675" t="s">
        <v>512</v>
      </c>
      <c r="C4928" s="675" t="s">
        <v>4847</v>
      </c>
      <c r="D4928" s="675"/>
      <c r="E4928" s="702"/>
      <c r="F4928" s="702"/>
      <c r="G4928" s="675"/>
      <c r="H4928" s="675"/>
      <c r="I4928" s="675"/>
      <c r="J4928" s="675"/>
      <c r="K4928" s="675"/>
      <c r="L4928" s="675"/>
      <c r="M4928" s="675"/>
    </row>
    <row r="4929" spans="1:13" x14ac:dyDescent="0.25">
      <c r="A4929" s="675" t="s">
        <v>757</v>
      </c>
      <c r="B4929" s="675" t="s">
        <v>512</v>
      </c>
      <c r="C4929" s="675" t="s">
        <v>4848</v>
      </c>
      <c r="D4929" s="675"/>
      <c r="E4929" s="702"/>
      <c r="F4929" s="702"/>
      <c r="G4929" s="675"/>
      <c r="H4929" s="675"/>
      <c r="I4929" s="675"/>
      <c r="J4929" s="675"/>
      <c r="K4929" s="675"/>
      <c r="L4929" s="675"/>
      <c r="M4929" s="675"/>
    </row>
    <row r="4930" spans="1:13" x14ac:dyDescent="0.25">
      <c r="A4930" s="675" t="s">
        <v>757</v>
      </c>
      <c r="B4930" s="675" t="s">
        <v>512</v>
      </c>
      <c r="C4930" s="675" t="s">
        <v>4849</v>
      </c>
      <c r="D4930" s="675"/>
      <c r="E4930" s="702"/>
      <c r="F4930" s="702"/>
      <c r="G4930" s="675"/>
      <c r="H4930" s="675"/>
      <c r="I4930" s="675"/>
      <c r="J4930" s="675"/>
      <c r="K4930" s="675"/>
      <c r="L4930" s="675"/>
      <c r="M4930" s="675"/>
    </row>
    <row r="4931" spans="1:13" x14ac:dyDescent="0.25">
      <c r="A4931" s="675" t="s">
        <v>757</v>
      </c>
      <c r="B4931" s="675" t="s">
        <v>512</v>
      </c>
      <c r="C4931" s="675" t="s">
        <v>4850</v>
      </c>
      <c r="D4931" s="675"/>
      <c r="E4931" s="702"/>
      <c r="F4931" s="702"/>
      <c r="G4931" s="675"/>
      <c r="H4931" s="675"/>
      <c r="I4931" s="675"/>
      <c r="J4931" s="675"/>
      <c r="K4931" s="675"/>
      <c r="L4931" s="675"/>
      <c r="M4931" s="675"/>
    </row>
    <row r="4932" spans="1:13" x14ac:dyDescent="0.25">
      <c r="A4932" s="675" t="s">
        <v>757</v>
      </c>
      <c r="B4932" s="675" t="s">
        <v>512</v>
      </c>
      <c r="C4932" s="675" t="s">
        <v>4851</v>
      </c>
      <c r="D4932" s="675"/>
      <c r="E4932" s="702"/>
      <c r="F4932" s="702"/>
      <c r="G4932" s="675"/>
      <c r="H4932" s="675"/>
      <c r="I4932" s="675"/>
      <c r="J4932" s="675"/>
      <c r="K4932" s="675"/>
      <c r="L4932" s="675"/>
      <c r="M4932" s="675"/>
    </row>
    <row r="4933" spans="1:13" x14ac:dyDescent="0.25">
      <c r="A4933" s="675" t="s">
        <v>757</v>
      </c>
      <c r="B4933" s="675" t="s">
        <v>512</v>
      </c>
      <c r="C4933" s="675" t="s">
        <v>4852</v>
      </c>
      <c r="D4933" s="675"/>
      <c r="E4933" s="702"/>
      <c r="F4933" s="702"/>
      <c r="G4933" s="675"/>
      <c r="H4933" s="675"/>
      <c r="I4933" s="675"/>
      <c r="J4933" s="675"/>
      <c r="K4933" s="675"/>
      <c r="L4933" s="675"/>
      <c r="M4933" s="675"/>
    </row>
    <row r="4934" spans="1:13" x14ac:dyDescent="0.25">
      <c r="A4934" s="675" t="s">
        <v>757</v>
      </c>
      <c r="B4934" s="675" t="s">
        <v>512</v>
      </c>
      <c r="C4934" s="675" t="s">
        <v>4853</v>
      </c>
      <c r="D4934" s="675"/>
      <c r="E4934" s="702"/>
      <c r="F4934" s="702"/>
      <c r="G4934" s="675"/>
      <c r="H4934" s="675"/>
      <c r="I4934" s="675"/>
      <c r="J4934" s="675"/>
      <c r="K4934" s="675"/>
      <c r="L4934" s="675"/>
      <c r="M4934" s="675"/>
    </row>
    <row r="4935" spans="1:13" x14ac:dyDescent="0.25">
      <c r="A4935" s="675" t="s">
        <v>757</v>
      </c>
      <c r="B4935" s="675" t="s">
        <v>512</v>
      </c>
      <c r="C4935" s="675" t="s">
        <v>4854</v>
      </c>
      <c r="D4935" s="675"/>
      <c r="E4935" s="702"/>
      <c r="F4935" s="702"/>
      <c r="G4935" s="675"/>
      <c r="H4935" s="675"/>
      <c r="I4935" s="675"/>
      <c r="J4935" s="675"/>
      <c r="K4935" s="675"/>
      <c r="L4935" s="675"/>
      <c r="M4935" s="675"/>
    </row>
    <row r="4936" spans="1:13" x14ac:dyDescent="0.25">
      <c r="A4936" s="675" t="s">
        <v>757</v>
      </c>
      <c r="B4936" s="675" t="s">
        <v>512</v>
      </c>
      <c r="C4936" s="675" t="s">
        <v>4855</v>
      </c>
      <c r="D4936" s="675"/>
      <c r="E4936" s="702"/>
      <c r="F4936" s="702"/>
      <c r="G4936" s="675"/>
      <c r="H4936" s="675"/>
      <c r="I4936" s="675"/>
      <c r="J4936" s="675"/>
      <c r="K4936" s="675"/>
      <c r="L4936" s="675"/>
      <c r="M4936" s="675"/>
    </row>
    <row r="4937" spans="1:13" x14ac:dyDescent="0.25">
      <c r="A4937" s="675" t="s">
        <v>757</v>
      </c>
      <c r="B4937" s="675" t="s">
        <v>512</v>
      </c>
      <c r="C4937" s="675" t="s">
        <v>4856</v>
      </c>
      <c r="D4937" s="675"/>
      <c r="E4937" s="702"/>
      <c r="F4937" s="702"/>
      <c r="G4937" s="675"/>
      <c r="H4937" s="675"/>
      <c r="I4937" s="675"/>
      <c r="J4937" s="675"/>
      <c r="K4937" s="675"/>
      <c r="L4937" s="675"/>
      <c r="M4937" s="675"/>
    </row>
    <row r="4938" spans="1:13" x14ac:dyDescent="0.25">
      <c r="A4938" s="675" t="s">
        <v>757</v>
      </c>
      <c r="B4938" s="675" t="s">
        <v>512</v>
      </c>
      <c r="C4938" s="675" t="s">
        <v>4857</v>
      </c>
      <c r="D4938" s="675"/>
      <c r="E4938" s="702"/>
      <c r="F4938" s="702"/>
      <c r="G4938" s="675"/>
      <c r="H4938" s="675"/>
      <c r="I4938" s="675"/>
      <c r="J4938" s="675"/>
      <c r="K4938" s="675"/>
      <c r="L4938" s="675"/>
      <c r="M4938" s="675"/>
    </row>
    <row r="4939" spans="1:13" x14ac:dyDescent="0.25">
      <c r="A4939" s="675" t="s">
        <v>757</v>
      </c>
      <c r="B4939" s="675" t="s">
        <v>512</v>
      </c>
      <c r="C4939" s="675" t="s">
        <v>4858</v>
      </c>
      <c r="D4939" s="675"/>
      <c r="E4939" s="702"/>
      <c r="F4939" s="702"/>
      <c r="G4939" s="675"/>
      <c r="H4939" s="675"/>
      <c r="I4939" s="675"/>
      <c r="J4939" s="675"/>
      <c r="K4939" s="675"/>
      <c r="L4939" s="675"/>
      <c r="M4939" s="675"/>
    </row>
    <row r="4940" spans="1:13" x14ac:dyDescent="0.25">
      <c r="A4940" s="675" t="s">
        <v>757</v>
      </c>
      <c r="B4940" s="675" t="s">
        <v>512</v>
      </c>
      <c r="C4940" s="675" t="s">
        <v>4859</v>
      </c>
      <c r="D4940" s="675"/>
      <c r="E4940" s="702"/>
      <c r="F4940" s="702"/>
      <c r="G4940" s="675"/>
      <c r="H4940" s="675"/>
      <c r="I4940" s="675"/>
      <c r="J4940" s="675"/>
      <c r="K4940" s="675"/>
      <c r="L4940" s="675"/>
      <c r="M4940" s="675"/>
    </row>
    <row r="4941" spans="1:13" x14ac:dyDescent="0.25">
      <c r="A4941" s="675" t="s">
        <v>4860</v>
      </c>
      <c r="B4941" s="675" t="s">
        <v>545</v>
      </c>
      <c r="C4941" s="675" t="s">
        <v>4861</v>
      </c>
      <c r="D4941" s="675"/>
      <c r="E4941" s="702"/>
      <c r="F4941" s="702"/>
      <c r="G4941" s="675"/>
      <c r="H4941" s="675"/>
      <c r="I4941" s="675"/>
      <c r="J4941" s="675"/>
      <c r="K4941" s="675"/>
      <c r="L4941" s="675"/>
      <c r="M4941" s="675"/>
    </row>
    <row r="4942" spans="1:13" x14ac:dyDescent="0.25">
      <c r="A4942" s="675" t="s">
        <v>4860</v>
      </c>
      <c r="B4942" s="675" t="s">
        <v>545</v>
      </c>
      <c r="C4942" s="675" t="s">
        <v>4862</v>
      </c>
      <c r="D4942" s="675"/>
      <c r="E4942" s="702"/>
      <c r="F4942" s="702"/>
      <c r="G4942" s="675"/>
      <c r="H4942" s="675"/>
      <c r="I4942" s="675"/>
      <c r="J4942" s="675"/>
      <c r="K4942" s="675"/>
      <c r="L4942" s="675"/>
      <c r="M4942" s="675"/>
    </row>
    <row r="4943" spans="1:13" x14ac:dyDescent="0.25">
      <c r="A4943" s="675" t="s">
        <v>4860</v>
      </c>
      <c r="B4943" s="675" t="s">
        <v>545</v>
      </c>
      <c r="C4943" s="675" t="s">
        <v>4863</v>
      </c>
      <c r="D4943" s="675"/>
      <c r="E4943" s="702"/>
      <c r="F4943" s="702"/>
      <c r="G4943" s="675"/>
      <c r="H4943" s="675"/>
      <c r="I4943" s="675"/>
      <c r="J4943" s="675"/>
      <c r="K4943" s="675"/>
      <c r="L4943" s="675"/>
      <c r="M4943" s="675"/>
    </row>
    <row r="4944" spans="1:13" x14ac:dyDescent="0.25">
      <c r="A4944" s="675" t="s">
        <v>4860</v>
      </c>
      <c r="B4944" s="675" t="s">
        <v>545</v>
      </c>
      <c r="C4944" s="675" t="s">
        <v>4864</v>
      </c>
      <c r="D4944" s="675"/>
      <c r="E4944" s="702"/>
      <c r="F4944" s="702"/>
      <c r="G4944" s="675"/>
      <c r="H4944" s="675"/>
      <c r="I4944" s="675"/>
      <c r="J4944" s="675"/>
      <c r="K4944" s="675"/>
      <c r="L4944" s="675"/>
      <c r="M4944" s="675"/>
    </row>
    <row r="4945" spans="1:13" x14ac:dyDescent="0.25">
      <c r="A4945" s="675" t="s">
        <v>4860</v>
      </c>
      <c r="B4945" s="675" t="s">
        <v>545</v>
      </c>
      <c r="C4945" s="675" t="s">
        <v>4865</v>
      </c>
      <c r="D4945" s="675"/>
      <c r="E4945" s="702"/>
      <c r="F4945" s="702"/>
      <c r="G4945" s="675"/>
      <c r="H4945" s="675"/>
      <c r="I4945" s="675"/>
      <c r="J4945" s="675"/>
      <c r="K4945" s="675"/>
      <c r="L4945" s="675"/>
      <c r="M4945" s="675"/>
    </row>
    <row r="4946" spans="1:13" x14ac:dyDescent="0.25">
      <c r="A4946" s="675" t="s">
        <v>4860</v>
      </c>
      <c r="B4946" s="675" t="s">
        <v>545</v>
      </c>
      <c r="C4946" s="675" t="s">
        <v>4866</v>
      </c>
      <c r="D4946" s="675"/>
      <c r="E4946" s="702"/>
      <c r="F4946" s="702"/>
      <c r="G4946" s="675"/>
      <c r="H4946" s="675"/>
      <c r="I4946" s="675"/>
      <c r="J4946" s="675"/>
      <c r="K4946" s="675"/>
      <c r="L4946" s="675"/>
      <c r="M4946" s="675"/>
    </row>
    <row r="4947" spans="1:13" x14ac:dyDescent="0.25">
      <c r="A4947" s="675" t="s">
        <v>4860</v>
      </c>
      <c r="B4947" s="675" t="s">
        <v>545</v>
      </c>
      <c r="C4947" s="675" t="s">
        <v>4867</v>
      </c>
      <c r="D4947" s="675"/>
      <c r="E4947" s="702"/>
      <c r="F4947" s="702"/>
      <c r="G4947" s="675"/>
      <c r="H4947" s="675"/>
      <c r="I4947" s="675"/>
      <c r="J4947" s="675"/>
      <c r="K4947" s="675"/>
      <c r="L4947" s="675"/>
      <c r="M4947" s="675"/>
    </row>
    <row r="4948" spans="1:13" x14ac:dyDescent="0.25">
      <c r="A4948" s="675" t="s">
        <v>4860</v>
      </c>
      <c r="B4948" s="675" t="s">
        <v>545</v>
      </c>
      <c r="C4948" s="675" t="s">
        <v>4868</v>
      </c>
      <c r="D4948" s="675"/>
      <c r="E4948" s="702"/>
      <c r="F4948" s="702"/>
      <c r="G4948" s="675"/>
      <c r="H4948" s="675"/>
      <c r="I4948" s="675"/>
      <c r="J4948" s="675"/>
      <c r="K4948" s="675"/>
      <c r="L4948" s="675"/>
      <c r="M4948" s="675"/>
    </row>
    <row r="4949" spans="1:13" x14ac:dyDescent="0.25">
      <c r="A4949" s="675" t="s">
        <v>4860</v>
      </c>
      <c r="B4949" s="675" t="s">
        <v>545</v>
      </c>
      <c r="C4949" s="675" t="s">
        <v>4869</v>
      </c>
      <c r="D4949" s="675"/>
      <c r="E4949" s="702"/>
      <c r="F4949" s="702"/>
      <c r="G4949" s="675"/>
      <c r="H4949" s="675"/>
      <c r="I4949" s="675"/>
      <c r="J4949" s="675"/>
      <c r="K4949" s="675"/>
      <c r="L4949" s="675"/>
      <c r="M4949" s="675"/>
    </row>
    <row r="4950" spans="1:13" x14ac:dyDescent="0.25">
      <c r="A4950" s="675" t="s">
        <v>4860</v>
      </c>
      <c r="B4950" s="675" t="s">
        <v>545</v>
      </c>
      <c r="C4950" s="675" t="s">
        <v>4870</v>
      </c>
      <c r="D4950" s="675"/>
      <c r="E4950" s="702"/>
      <c r="F4950" s="702"/>
      <c r="G4950" s="675"/>
      <c r="H4950" s="675"/>
      <c r="I4950" s="675"/>
      <c r="J4950" s="675"/>
      <c r="K4950" s="675"/>
      <c r="L4950" s="675"/>
      <c r="M4950" s="675"/>
    </row>
    <row r="4951" spans="1:13" x14ac:dyDescent="0.25">
      <c r="A4951" s="675" t="s">
        <v>4860</v>
      </c>
      <c r="B4951" s="675" t="s">
        <v>545</v>
      </c>
      <c r="C4951" s="675" t="s">
        <v>4871</v>
      </c>
      <c r="D4951" s="675"/>
      <c r="E4951" s="702"/>
      <c r="F4951" s="702"/>
      <c r="G4951" s="675"/>
      <c r="H4951" s="675"/>
      <c r="I4951" s="675"/>
      <c r="J4951" s="675"/>
      <c r="K4951" s="675"/>
      <c r="L4951" s="675"/>
      <c r="M4951" s="675"/>
    </row>
    <row r="4952" spans="1:13" x14ac:dyDescent="0.25">
      <c r="A4952" s="675" t="s">
        <v>4860</v>
      </c>
      <c r="B4952" s="675" t="s">
        <v>545</v>
      </c>
      <c r="C4952" s="675" t="s">
        <v>4872</v>
      </c>
      <c r="D4952" s="675"/>
      <c r="E4952" s="702"/>
      <c r="F4952" s="702"/>
      <c r="G4952" s="675"/>
      <c r="H4952" s="675"/>
      <c r="I4952" s="675"/>
      <c r="J4952" s="675"/>
      <c r="K4952" s="675"/>
      <c r="L4952" s="675"/>
      <c r="M4952" s="675"/>
    </row>
    <row r="4953" spans="1:13" x14ac:dyDescent="0.25">
      <c r="A4953" s="675" t="s">
        <v>4860</v>
      </c>
      <c r="B4953" s="675" t="s">
        <v>545</v>
      </c>
      <c r="C4953" s="675" t="s">
        <v>4873</v>
      </c>
      <c r="D4953" s="675"/>
      <c r="E4953" s="702"/>
      <c r="F4953" s="702"/>
      <c r="G4953" s="675"/>
      <c r="H4953" s="675"/>
      <c r="I4953" s="675"/>
      <c r="J4953" s="675"/>
      <c r="K4953" s="675"/>
      <c r="L4953" s="675"/>
      <c r="M4953" s="675"/>
    </row>
    <row r="4954" spans="1:13" x14ac:dyDescent="0.25">
      <c r="A4954" s="675" t="s">
        <v>4860</v>
      </c>
      <c r="B4954" s="675" t="s">
        <v>545</v>
      </c>
      <c r="C4954" s="675" t="s">
        <v>4874</v>
      </c>
      <c r="D4954" s="675"/>
      <c r="E4954" s="702"/>
      <c r="F4954" s="702"/>
      <c r="G4954" s="675"/>
      <c r="H4954" s="675"/>
      <c r="I4954" s="675"/>
      <c r="J4954" s="675"/>
      <c r="K4954" s="675"/>
      <c r="L4954" s="675"/>
      <c r="M4954" s="675"/>
    </row>
    <row r="4955" spans="1:13" x14ac:dyDescent="0.25">
      <c r="A4955" s="675" t="s">
        <v>4860</v>
      </c>
      <c r="B4955" s="675" t="s">
        <v>545</v>
      </c>
      <c r="C4955" s="675" t="s">
        <v>4875</v>
      </c>
      <c r="D4955" s="675"/>
      <c r="E4955" s="702"/>
      <c r="F4955" s="702"/>
      <c r="G4955" s="675"/>
      <c r="H4955" s="675"/>
      <c r="I4955" s="675"/>
      <c r="J4955" s="675"/>
      <c r="K4955" s="675"/>
      <c r="L4955" s="675"/>
      <c r="M4955" s="675"/>
    </row>
    <row r="4956" spans="1:13" x14ac:dyDescent="0.25">
      <c r="A4956" s="675" t="s">
        <v>4860</v>
      </c>
      <c r="B4956" s="675" t="s">
        <v>564</v>
      </c>
      <c r="C4956" s="675" t="s">
        <v>4876</v>
      </c>
      <c r="D4956" s="675"/>
      <c r="E4956" s="702"/>
      <c r="F4956" s="702"/>
      <c r="G4956" s="675"/>
      <c r="H4956" s="675"/>
      <c r="I4956" s="675"/>
      <c r="J4956" s="675"/>
      <c r="K4956" s="675"/>
      <c r="L4956" s="675"/>
      <c r="M4956" s="675"/>
    </row>
    <row r="4957" spans="1:13" x14ac:dyDescent="0.25">
      <c r="A4957" s="675" t="s">
        <v>4860</v>
      </c>
      <c r="B4957" s="675" t="s">
        <v>564</v>
      </c>
      <c r="C4957" s="675" t="s">
        <v>4877</v>
      </c>
      <c r="D4957" s="675"/>
      <c r="E4957" s="702"/>
      <c r="F4957" s="702"/>
      <c r="G4957" s="675"/>
      <c r="H4957" s="675"/>
      <c r="I4957" s="675"/>
      <c r="J4957" s="675"/>
      <c r="K4957" s="675"/>
      <c r="L4957" s="675"/>
      <c r="M4957" s="675"/>
    </row>
    <row r="4958" spans="1:13" x14ac:dyDescent="0.25">
      <c r="A4958" s="675" t="s">
        <v>4860</v>
      </c>
      <c r="B4958" s="675" t="s">
        <v>564</v>
      </c>
      <c r="C4958" s="675" t="s">
        <v>4878</v>
      </c>
      <c r="D4958" s="675"/>
      <c r="E4958" s="702"/>
      <c r="F4958" s="702"/>
      <c r="G4958" s="675"/>
      <c r="H4958" s="675"/>
      <c r="I4958" s="675"/>
      <c r="J4958" s="675"/>
      <c r="K4958" s="675"/>
      <c r="L4958" s="675"/>
      <c r="M4958" s="675"/>
    </row>
    <row r="4959" spans="1:13" x14ac:dyDescent="0.25">
      <c r="A4959" s="675" t="s">
        <v>4860</v>
      </c>
      <c r="B4959" s="675" t="s">
        <v>564</v>
      </c>
      <c r="C4959" s="675" t="s">
        <v>4879</v>
      </c>
      <c r="D4959" s="675"/>
      <c r="E4959" s="702"/>
      <c r="F4959" s="702"/>
      <c r="G4959" s="675"/>
      <c r="H4959" s="675"/>
      <c r="I4959" s="675"/>
      <c r="J4959" s="675"/>
      <c r="K4959" s="675"/>
      <c r="L4959" s="675"/>
      <c r="M4959" s="675"/>
    </row>
    <row r="4960" spans="1:13" x14ac:dyDescent="0.25">
      <c r="A4960" s="675" t="s">
        <v>4860</v>
      </c>
      <c r="B4960" s="675" t="s">
        <v>564</v>
      </c>
      <c r="C4960" s="675" t="s">
        <v>4880</v>
      </c>
      <c r="D4960" s="675"/>
      <c r="E4960" s="702"/>
      <c r="F4960" s="702"/>
      <c r="G4960" s="675"/>
      <c r="H4960" s="675"/>
      <c r="I4960" s="675"/>
      <c r="J4960" s="675"/>
      <c r="K4960" s="675"/>
      <c r="L4960" s="675"/>
      <c r="M4960" s="675"/>
    </row>
    <row r="4961" spans="1:13" x14ac:dyDescent="0.25">
      <c r="A4961" s="675" t="s">
        <v>4860</v>
      </c>
      <c r="B4961" s="675" t="s">
        <v>564</v>
      </c>
      <c r="C4961" s="675" t="s">
        <v>4881</v>
      </c>
      <c r="D4961" s="675"/>
      <c r="E4961" s="702"/>
      <c r="F4961" s="702"/>
      <c r="G4961" s="675"/>
      <c r="H4961" s="675"/>
      <c r="I4961" s="675"/>
      <c r="J4961" s="675"/>
      <c r="K4961" s="675"/>
      <c r="L4961" s="675"/>
      <c r="M4961" s="675"/>
    </row>
    <row r="4962" spans="1:13" x14ac:dyDescent="0.25">
      <c r="A4962" s="675" t="s">
        <v>4860</v>
      </c>
      <c r="B4962" s="675" t="s">
        <v>564</v>
      </c>
      <c r="C4962" s="675" t="s">
        <v>4882</v>
      </c>
      <c r="D4962" s="675"/>
      <c r="E4962" s="702"/>
      <c r="F4962" s="702"/>
      <c r="G4962" s="675"/>
      <c r="H4962" s="675"/>
      <c r="I4962" s="675"/>
      <c r="J4962" s="675"/>
      <c r="K4962" s="675"/>
      <c r="L4962" s="675"/>
      <c r="M4962" s="675"/>
    </row>
    <row r="4963" spans="1:13" x14ac:dyDescent="0.25">
      <c r="A4963" s="675" t="s">
        <v>4860</v>
      </c>
      <c r="B4963" s="675" t="s">
        <v>564</v>
      </c>
      <c r="C4963" s="675" t="s">
        <v>4883</v>
      </c>
      <c r="D4963" s="675"/>
      <c r="E4963" s="702"/>
      <c r="F4963" s="702"/>
      <c r="G4963" s="675"/>
      <c r="H4963" s="675"/>
      <c r="I4963" s="675"/>
      <c r="J4963" s="675"/>
      <c r="K4963" s="675"/>
      <c r="L4963" s="675"/>
      <c r="M4963" s="675"/>
    </row>
    <row r="4964" spans="1:13" x14ac:dyDescent="0.25">
      <c r="A4964" s="675" t="s">
        <v>4860</v>
      </c>
      <c r="B4964" s="675" t="s">
        <v>564</v>
      </c>
      <c r="C4964" s="675" t="s">
        <v>4884</v>
      </c>
      <c r="D4964" s="675"/>
      <c r="E4964" s="702"/>
      <c r="F4964" s="702"/>
      <c r="G4964" s="675"/>
      <c r="H4964" s="675"/>
      <c r="I4964" s="675"/>
      <c r="J4964" s="675"/>
      <c r="K4964" s="675"/>
      <c r="L4964" s="675"/>
      <c r="M4964" s="675"/>
    </row>
    <row r="4965" spans="1:13" x14ac:dyDescent="0.25">
      <c r="A4965" s="675" t="s">
        <v>4860</v>
      </c>
      <c r="B4965" s="675" t="s">
        <v>564</v>
      </c>
      <c r="C4965" s="675" t="s">
        <v>4885</v>
      </c>
      <c r="D4965" s="675"/>
      <c r="E4965" s="702"/>
      <c r="F4965" s="702"/>
      <c r="G4965" s="675"/>
      <c r="H4965" s="675"/>
      <c r="I4965" s="675"/>
      <c r="J4965" s="675"/>
      <c r="K4965" s="675"/>
      <c r="L4965" s="675"/>
      <c r="M4965" s="675"/>
    </row>
    <row r="4966" spans="1:13" x14ac:dyDescent="0.25">
      <c r="A4966" s="675" t="s">
        <v>4860</v>
      </c>
      <c r="B4966" s="675" t="s">
        <v>564</v>
      </c>
      <c r="C4966" s="675" t="s">
        <v>4886</v>
      </c>
      <c r="D4966" s="675"/>
      <c r="E4966" s="702"/>
      <c r="F4966" s="702"/>
      <c r="G4966" s="675"/>
      <c r="H4966" s="675"/>
      <c r="I4966" s="675"/>
      <c r="J4966" s="675"/>
      <c r="K4966" s="675"/>
      <c r="L4966" s="675"/>
      <c r="M4966" s="675"/>
    </row>
    <row r="4967" spans="1:13" x14ac:dyDescent="0.25">
      <c r="A4967" s="675" t="s">
        <v>4860</v>
      </c>
      <c r="B4967" s="675" t="s">
        <v>564</v>
      </c>
      <c r="C4967" s="675" t="s">
        <v>4887</v>
      </c>
      <c r="D4967" s="675"/>
      <c r="E4967" s="702"/>
      <c r="F4967" s="702"/>
      <c r="G4967" s="675"/>
      <c r="H4967" s="675"/>
      <c r="I4967" s="675"/>
      <c r="J4967" s="675"/>
      <c r="K4967" s="675"/>
      <c r="L4967" s="675"/>
      <c r="M4967" s="675"/>
    </row>
    <row r="4968" spans="1:13" x14ac:dyDescent="0.25">
      <c r="A4968" s="675" t="s">
        <v>4860</v>
      </c>
      <c r="B4968" s="675" t="s">
        <v>564</v>
      </c>
      <c r="C4968" s="675" t="s">
        <v>4888</v>
      </c>
      <c r="D4968" s="675"/>
      <c r="E4968" s="702"/>
      <c r="F4968" s="702"/>
      <c r="G4968" s="675"/>
      <c r="H4968" s="675"/>
      <c r="I4968" s="675"/>
      <c r="J4968" s="675"/>
      <c r="K4968" s="675"/>
      <c r="L4968" s="675"/>
      <c r="M4968" s="675"/>
    </row>
    <row r="4969" spans="1:13" x14ac:dyDescent="0.25">
      <c r="A4969" s="675" t="s">
        <v>4860</v>
      </c>
      <c r="B4969" s="675" t="s">
        <v>564</v>
      </c>
      <c r="C4969" s="675" t="s">
        <v>4889</v>
      </c>
      <c r="D4969" s="675"/>
      <c r="E4969" s="702"/>
      <c r="F4969" s="702"/>
      <c r="G4969" s="675"/>
      <c r="H4969" s="675"/>
      <c r="I4969" s="675"/>
      <c r="J4969" s="675"/>
      <c r="K4969" s="675"/>
      <c r="L4969" s="675"/>
      <c r="M4969" s="675"/>
    </row>
    <row r="4970" spans="1:13" x14ac:dyDescent="0.25">
      <c r="A4970" s="675" t="s">
        <v>4860</v>
      </c>
      <c r="B4970" s="675" t="s">
        <v>564</v>
      </c>
      <c r="C4970" s="675" t="s">
        <v>4890</v>
      </c>
      <c r="D4970" s="675"/>
      <c r="E4970" s="702"/>
      <c r="F4970" s="702"/>
      <c r="G4970" s="675"/>
      <c r="H4970" s="675"/>
      <c r="I4970" s="675"/>
      <c r="J4970" s="675"/>
      <c r="K4970" s="675"/>
      <c r="L4970" s="675"/>
      <c r="M4970" s="675"/>
    </row>
    <row r="4971" spans="1:13" x14ac:dyDescent="0.25">
      <c r="A4971" s="675" t="s">
        <v>4860</v>
      </c>
      <c r="B4971" s="675" t="s">
        <v>512</v>
      </c>
      <c r="C4971" s="675" t="s">
        <v>4891</v>
      </c>
      <c r="D4971" s="675"/>
      <c r="E4971" s="702"/>
      <c r="F4971" s="702"/>
      <c r="G4971" s="675"/>
      <c r="H4971" s="675"/>
      <c r="I4971" s="675"/>
      <c r="J4971" s="675"/>
      <c r="K4971" s="675"/>
      <c r="L4971" s="675"/>
      <c r="M4971" s="675"/>
    </row>
    <row r="4972" spans="1:13" x14ac:dyDescent="0.25">
      <c r="A4972" s="675" t="s">
        <v>4860</v>
      </c>
      <c r="B4972" s="675" t="s">
        <v>512</v>
      </c>
      <c r="C4972" s="675" t="s">
        <v>4892</v>
      </c>
      <c r="D4972" s="675"/>
      <c r="E4972" s="702"/>
      <c r="F4972" s="702"/>
      <c r="G4972" s="675"/>
      <c r="H4972" s="675"/>
      <c r="I4972" s="675"/>
      <c r="J4972" s="675"/>
      <c r="K4972" s="675"/>
      <c r="L4972" s="675"/>
      <c r="M4972" s="675"/>
    </row>
    <row r="4973" spans="1:13" x14ac:dyDescent="0.25">
      <c r="A4973" s="675" t="s">
        <v>4860</v>
      </c>
      <c r="B4973" s="675" t="s">
        <v>512</v>
      </c>
      <c r="C4973" s="675" t="s">
        <v>4893</v>
      </c>
      <c r="D4973" s="675"/>
      <c r="E4973" s="702"/>
      <c r="F4973" s="702"/>
      <c r="G4973" s="675"/>
      <c r="H4973" s="675"/>
      <c r="I4973" s="675"/>
      <c r="J4973" s="675"/>
      <c r="K4973" s="675"/>
      <c r="L4973" s="675"/>
      <c r="M4973" s="675"/>
    </row>
    <row r="4974" spans="1:13" x14ac:dyDescent="0.25">
      <c r="A4974" s="675" t="s">
        <v>4860</v>
      </c>
      <c r="B4974" s="675" t="s">
        <v>512</v>
      </c>
      <c r="C4974" s="675" t="s">
        <v>4894</v>
      </c>
      <c r="D4974" s="675"/>
      <c r="E4974" s="702"/>
      <c r="F4974" s="702"/>
      <c r="G4974" s="675"/>
      <c r="H4974" s="675"/>
      <c r="I4974" s="675"/>
      <c r="J4974" s="675"/>
      <c r="K4974" s="675"/>
      <c r="L4974" s="675"/>
      <c r="M4974" s="675"/>
    </row>
    <row r="4975" spans="1:13" x14ac:dyDescent="0.25">
      <c r="A4975" s="675" t="s">
        <v>4860</v>
      </c>
      <c r="B4975" s="675" t="s">
        <v>512</v>
      </c>
      <c r="C4975" s="675" t="s">
        <v>4895</v>
      </c>
      <c r="D4975" s="675"/>
      <c r="E4975" s="702"/>
      <c r="F4975" s="702"/>
      <c r="G4975" s="675"/>
      <c r="H4975" s="675"/>
      <c r="I4975" s="675"/>
      <c r="J4975" s="675"/>
      <c r="K4975" s="675"/>
      <c r="L4975" s="675"/>
      <c r="M4975" s="675"/>
    </row>
    <row r="4976" spans="1:13" x14ac:dyDescent="0.25">
      <c r="A4976" s="675" t="s">
        <v>4860</v>
      </c>
      <c r="B4976" s="675" t="s">
        <v>512</v>
      </c>
      <c r="C4976" s="675" t="s">
        <v>4896</v>
      </c>
      <c r="D4976" s="675"/>
      <c r="E4976" s="702"/>
      <c r="F4976" s="702"/>
      <c r="G4976" s="675"/>
      <c r="H4976" s="675"/>
      <c r="I4976" s="675"/>
      <c r="J4976" s="675"/>
      <c r="K4976" s="675"/>
      <c r="L4976" s="675"/>
      <c r="M4976" s="675"/>
    </row>
    <row r="4977" spans="1:13" x14ac:dyDescent="0.25">
      <c r="A4977" s="675" t="s">
        <v>4860</v>
      </c>
      <c r="B4977" s="675" t="s">
        <v>512</v>
      </c>
      <c r="C4977" s="675" t="s">
        <v>4897</v>
      </c>
      <c r="D4977" s="675"/>
      <c r="E4977" s="702"/>
      <c r="F4977" s="702"/>
      <c r="G4977" s="675"/>
      <c r="H4977" s="675"/>
      <c r="I4977" s="675"/>
      <c r="J4977" s="675"/>
      <c r="K4977" s="675"/>
      <c r="L4977" s="675"/>
      <c r="M4977" s="675"/>
    </row>
    <row r="4978" spans="1:13" x14ac:dyDescent="0.25">
      <c r="A4978" s="675" t="s">
        <v>4860</v>
      </c>
      <c r="B4978" s="675" t="s">
        <v>512</v>
      </c>
      <c r="C4978" s="675" t="s">
        <v>4898</v>
      </c>
      <c r="D4978" s="675"/>
      <c r="E4978" s="702"/>
      <c r="F4978" s="702"/>
      <c r="G4978" s="675"/>
      <c r="H4978" s="675"/>
      <c r="I4978" s="675"/>
      <c r="J4978" s="675"/>
      <c r="K4978" s="675"/>
      <c r="L4978" s="675"/>
      <c r="M4978" s="675"/>
    </row>
    <row r="4979" spans="1:13" x14ac:dyDescent="0.25">
      <c r="A4979" s="675" t="s">
        <v>4860</v>
      </c>
      <c r="B4979" s="675" t="s">
        <v>512</v>
      </c>
      <c r="C4979" s="675" t="s">
        <v>4899</v>
      </c>
      <c r="D4979" s="675"/>
      <c r="E4979" s="702"/>
      <c r="F4979" s="702"/>
      <c r="G4979" s="675"/>
      <c r="H4979" s="675"/>
      <c r="I4979" s="675"/>
      <c r="J4979" s="675"/>
      <c r="K4979" s="675"/>
      <c r="L4979" s="675"/>
      <c r="M4979" s="675"/>
    </row>
    <row r="4980" spans="1:13" x14ac:dyDescent="0.25">
      <c r="A4980" s="675" t="s">
        <v>4860</v>
      </c>
      <c r="B4980" s="675" t="s">
        <v>512</v>
      </c>
      <c r="C4980" s="675" t="s">
        <v>4900</v>
      </c>
      <c r="D4980" s="675"/>
      <c r="E4980" s="702"/>
      <c r="F4980" s="702"/>
      <c r="G4980" s="675"/>
      <c r="H4980" s="675"/>
      <c r="I4980" s="675"/>
      <c r="J4980" s="675"/>
      <c r="K4980" s="675"/>
      <c r="L4980" s="675"/>
      <c r="M4980" s="675"/>
    </row>
    <row r="4981" spans="1:13" x14ac:dyDescent="0.25">
      <c r="A4981" s="675" t="s">
        <v>4860</v>
      </c>
      <c r="B4981" s="675" t="s">
        <v>512</v>
      </c>
      <c r="C4981" s="675" t="s">
        <v>4901</v>
      </c>
      <c r="D4981" s="675"/>
      <c r="E4981" s="702"/>
      <c r="F4981" s="702"/>
      <c r="G4981" s="675"/>
      <c r="H4981" s="675"/>
      <c r="I4981" s="675"/>
      <c r="J4981" s="675"/>
      <c r="K4981" s="675"/>
      <c r="L4981" s="675"/>
      <c r="M4981" s="675"/>
    </row>
    <row r="4982" spans="1:13" x14ac:dyDescent="0.25">
      <c r="A4982" s="675" t="s">
        <v>4860</v>
      </c>
      <c r="B4982" s="675" t="s">
        <v>512</v>
      </c>
      <c r="C4982" s="675" t="s">
        <v>4902</v>
      </c>
      <c r="D4982" s="675"/>
      <c r="E4982" s="702"/>
      <c r="F4982" s="702"/>
      <c r="G4982" s="675"/>
      <c r="H4982" s="675"/>
      <c r="I4982" s="675"/>
      <c r="J4982" s="675"/>
      <c r="K4982" s="675"/>
      <c r="L4982" s="675"/>
      <c r="M4982" s="675"/>
    </row>
    <row r="4983" spans="1:13" x14ac:dyDescent="0.25">
      <c r="A4983" s="675" t="s">
        <v>4860</v>
      </c>
      <c r="B4983" s="675" t="s">
        <v>512</v>
      </c>
      <c r="C4983" s="675" t="s">
        <v>4903</v>
      </c>
      <c r="D4983" s="675"/>
      <c r="E4983" s="702"/>
      <c r="F4983" s="702"/>
      <c r="G4983" s="675"/>
      <c r="H4983" s="675"/>
      <c r="I4983" s="675"/>
      <c r="J4983" s="675"/>
      <c r="K4983" s="675"/>
      <c r="L4983" s="675"/>
      <c r="M4983" s="675"/>
    </row>
    <row r="4984" spans="1:13" x14ac:dyDescent="0.25">
      <c r="A4984" s="675" t="s">
        <v>4860</v>
      </c>
      <c r="B4984" s="675" t="s">
        <v>512</v>
      </c>
      <c r="C4984" s="675" t="s">
        <v>4904</v>
      </c>
      <c r="D4984" s="675"/>
      <c r="E4984" s="702"/>
      <c r="F4984" s="702"/>
      <c r="G4984" s="675"/>
      <c r="H4984" s="675"/>
      <c r="I4984" s="675"/>
      <c r="J4984" s="675"/>
      <c r="K4984" s="675"/>
      <c r="L4984" s="675"/>
      <c r="M4984" s="675"/>
    </row>
    <row r="4985" spans="1:13" x14ac:dyDescent="0.25">
      <c r="A4985" s="675" t="s">
        <v>4860</v>
      </c>
      <c r="B4985" s="675" t="s">
        <v>512</v>
      </c>
      <c r="C4985" s="675" t="s">
        <v>4905</v>
      </c>
      <c r="D4985" s="675"/>
      <c r="E4985" s="702"/>
      <c r="F4985" s="702"/>
      <c r="G4985" s="675"/>
      <c r="H4985" s="675"/>
      <c r="I4985" s="675"/>
      <c r="J4985" s="675"/>
      <c r="K4985" s="675"/>
      <c r="L4985" s="675"/>
      <c r="M4985" s="675"/>
    </row>
    <row r="4986" spans="1:13" x14ac:dyDescent="0.25">
      <c r="A4986" s="675" t="s">
        <v>4906</v>
      </c>
      <c r="B4986" s="675" t="s">
        <v>545</v>
      </c>
      <c r="C4986" s="675" t="s">
        <v>4907</v>
      </c>
      <c r="D4986" s="675"/>
      <c r="E4986" s="702"/>
      <c r="F4986" s="702"/>
      <c r="G4986" s="675"/>
      <c r="H4986" s="675"/>
      <c r="I4986" s="675"/>
      <c r="J4986" s="675"/>
      <c r="K4986" s="675"/>
      <c r="L4986" s="675"/>
      <c r="M4986" s="675"/>
    </row>
    <row r="4987" spans="1:13" x14ac:dyDescent="0.25">
      <c r="A4987" s="675" t="s">
        <v>4906</v>
      </c>
      <c r="B4987" s="675" t="s">
        <v>545</v>
      </c>
      <c r="C4987" s="675" t="s">
        <v>4908</v>
      </c>
      <c r="D4987" s="675"/>
      <c r="E4987" s="702"/>
      <c r="F4987" s="702"/>
      <c r="G4987" s="675"/>
      <c r="H4987" s="675"/>
      <c r="I4987" s="675"/>
      <c r="J4987" s="675"/>
      <c r="K4987" s="675"/>
      <c r="L4987" s="675"/>
      <c r="M4987" s="675"/>
    </row>
    <row r="4988" spans="1:13" x14ac:dyDescent="0.25">
      <c r="A4988" s="675" t="s">
        <v>4906</v>
      </c>
      <c r="B4988" s="675" t="s">
        <v>545</v>
      </c>
      <c r="C4988" s="675" t="s">
        <v>4909</v>
      </c>
      <c r="D4988" s="675"/>
      <c r="E4988" s="702"/>
      <c r="F4988" s="702"/>
      <c r="G4988" s="675"/>
      <c r="H4988" s="675"/>
      <c r="I4988" s="675"/>
      <c r="J4988" s="675"/>
      <c r="K4988" s="675"/>
      <c r="L4988" s="675"/>
      <c r="M4988" s="675"/>
    </row>
    <row r="4989" spans="1:13" x14ac:dyDescent="0.25">
      <c r="A4989" s="675" t="s">
        <v>4906</v>
      </c>
      <c r="B4989" s="675" t="s">
        <v>545</v>
      </c>
      <c r="C4989" s="675" t="s">
        <v>4910</v>
      </c>
      <c r="D4989" s="675"/>
      <c r="E4989" s="702"/>
      <c r="F4989" s="702"/>
      <c r="G4989" s="675"/>
      <c r="H4989" s="675"/>
      <c r="I4989" s="675"/>
      <c r="J4989" s="675"/>
      <c r="K4989" s="675"/>
      <c r="L4989" s="675"/>
      <c r="M4989" s="675"/>
    </row>
    <row r="4990" spans="1:13" x14ac:dyDescent="0.25">
      <c r="A4990" s="675" t="s">
        <v>4906</v>
      </c>
      <c r="B4990" s="675" t="s">
        <v>545</v>
      </c>
      <c r="C4990" s="675" t="s">
        <v>4911</v>
      </c>
      <c r="D4990" s="675"/>
      <c r="E4990" s="702"/>
      <c r="F4990" s="702"/>
      <c r="G4990" s="675"/>
      <c r="H4990" s="675"/>
      <c r="I4990" s="675"/>
      <c r="J4990" s="675"/>
      <c r="K4990" s="675"/>
      <c r="L4990" s="675"/>
      <c r="M4990" s="675"/>
    </row>
    <row r="4991" spans="1:13" x14ac:dyDescent="0.25">
      <c r="A4991" s="675" t="s">
        <v>4906</v>
      </c>
      <c r="B4991" s="675" t="s">
        <v>545</v>
      </c>
      <c r="C4991" s="675" t="s">
        <v>4912</v>
      </c>
      <c r="D4991" s="675"/>
      <c r="E4991" s="702"/>
      <c r="F4991" s="702"/>
      <c r="G4991" s="675"/>
      <c r="H4991" s="675"/>
      <c r="I4991" s="675"/>
      <c r="J4991" s="675"/>
      <c r="K4991" s="675"/>
      <c r="L4991" s="675"/>
      <c r="M4991" s="675"/>
    </row>
    <row r="4992" spans="1:13" x14ac:dyDescent="0.25">
      <c r="A4992" s="675" t="s">
        <v>4906</v>
      </c>
      <c r="B4992" s="675" t="s">
        <v>545</v>
      </c>
      <c r="C4992" s="675" t="s">
        <v>4913</v>
      </c>
      <c r="D4992" s="675"/>
      <c r="E4992" s="702"/>
      <c r="F4992" s="702"/>
      <c r="G4992" s="675"/>
      <c r="H4992" s="675"/>
      <c r="I4992" s="675"/>
      <c r="J4992" s="675"/>
      <c r="K4992" s="675"/>
      <c r="L4992" s="675"/>
      <c r="M4992" s="675"/>
    </row>
    <row r="4993" spans="1:13" x14ac:dyDescent="0.25">
      <c r="A4993" s="675" t="s">
        <v>4906</v>
      </c>
      <c r="B4993" s="675" t="s">
        <v>545</v>
      </c>
      <c r="C4993" s="675" t="s">
        <v>4914</v>
      </c>
      <c r="D4993" s="675"/>
      <c r="E4993" s="702"/>
      <c r="F4993" s="702"/>
      <c r="G4993" s="675"/>
      <c r="H4993" s="675"/>
      <c r="I4993" s="675"/>
      <c r="J4993" s="675"/>
      <c r="K4993" s="675"/>
      <c r="L4993" s="675"/>
      <c r="M4993" s="675"/>
    </row>
    <row r="4994" spans="1:13" x14ac:dyDescent="0.25">
      <c r="A4994" s="675" t="s">
        <v>4906</v>
      </c>
      <c r="B4994" s="675" t="s">
        <v>545</v>
      </c>
      <c r="C4994" s="675" t="s">
        <v>4915</v>
      </c>
      <c r="D4994" s="675"/>
      <c r="E4994" s="702"/>
      <c r="F4994" s="702"/>
      <c r="G4994" s="675"/>
      <c r="H4994" s="675"/>
      <c r="I4994" s="675"/>
      <c r="J4994" s="675"/>
      <c r="K4994" s="675"/>
      <c r="L4994" s="675"/>
      <c r="M4994" s="675"/>
    </row>
    <row r="4995" spans="1:13" x14ac:dyDescent="0.25">
      <c r="A4995" s="675" t="s">
        <v>4906</v>
      </c>
      <c r="B4995" s="675" t="s">
        <v>545</v>
      </c>
      <c r="C4995" s="675" t="s">
        <v>4916</v>
      </c>
      <c r="D4995" s="675"/>
      <c r="E4995" s="702"/>
      <c r="F4995" s="702"/>
      <c r="G4995" s="675"/>
      <c r="H4995" s="675"/>
      <c r="I4995" s="675"/>
      <c r="J4995" s="675"/>
      <c r="K4995" s="675"/>
      <c r="L4995" s="675"/>
      <c r="M4995" s="675"/>
    </row>
    <row r="4996" spans="1:13" x14ac:dyDescent="0.25">
      <c r="A4996" s="675" t="s">
        <v>4906</v>
      </c>
      <c r="B4996" s="675" t="s">
        <v>545</v>
      </c>
      <c r="C4996" s="675" t="s">
        <v>4917</v>
      </c>
      <c r="D4996" s="675"/>
      <c r="E4996" s="702"/>
      <c r="F4996" s="702"/>
      <c r="G4996" s="675"/>
      <c r="H4996" s="675"/>
      <c r="I4996" s="675"/>
      <c r="J4996" s="675"/>
      <c r="K4996" s="675"/>
      <c r="L4996" s="675"/>
      <c r="M4996" s="675"/>
    </row>
    <row r="4997" spans="1:13" x14ac:dyDescent="0.25">
      <c r="A4997" s="675" t="s">
        <v>4906</v>
      </c>
      <c r="B4997" s="675" t="s">
        <v>545</v>
      </c>
      <c r="C4997" s="675" t="s">
        <v>4918</v>
      </c>
      <c r="D4997" s="675"/>
      <c r="E4997" s="702"/>
      <c r="F4997" s="702"/>
      <c r="G4997" s="675"/>
      <c r="H4997" s="675"/>
      <c r="I4997" s="675"/>
      <c r="J4997" s="675"/>
      <c r="K4997" s="675"/>
      <c r="L4997" s="675"/>
      <c r="M4997" s="675"/>
    </row>
    <row r="4998" spans="1:13" x14ac:dyDescent="0.25">
      <c r="A4998" s="675" t="s">
        <v>4906</v>
      </c>
      <c r="B4998" s="675" t="s">
        <v>545</v>
      </c>
      <c r="C4998" s="675" t="s">
        <v>4919</v>
      </c>
      <c r="D4998" s="675"/>
      <c r="E4998" s="702"/>
      <c r="F4998" s="702"/>
      <c r="G4998" s="675"/>
      <c r="H4998" s="675"/>
      <c r="I4998" s="675"/>
      <c r="J4998" s="675"/>
      <c r="K4998" s="675"/>
      <c r="L4998" s="675"/>
      <c r="M4998" s="675"/>
    </row>
    <row r="4999" spans="1:13" x14ac:dyDescent="0.25">
      <c r="A4999" s="675" t="s">
        <v>4906</v>
      </c>
      <c r="B4999" s="675" t="s">
        <v>545</v>
      </c>
      <c r="C4999" s="675" t="s">
        <v>4920</v>
      </c>
      <c r="D4999" s="675"/>
      <c r="E4999" s="702"/>
      <c r="F4999" s="702"/>
      <c r="G4999" s="675"/>
      <c r="H4999" s="675"/>
      <c r="I4999" s="675"/>
      <c r="J4999" s="675"/>
      <c r="K4999" s="675"/>
      <c r="L4999" s="675"/>
      <c r="M4999" s="675"/>
    </row>
    <row r="5000" spans="1:13" x14ac:dyDescent="0.25">
      <c r="A5000" s="675" t="s">
        <v>4906</v>
      </c>
      <c r="B5000" s="675" t="s">
        <v>545</v>
      </c>
      <c r="C5000" s="675" t="s">
        <v>4921</v>
      </c>
      <c r="D5000" s="675"/>
      <c r="E5000" s="702"/>
      <c r="F5000" s="702"/>
      <c r="G5000" s="675"/>
      <c r="H5000" s="675"/>
      <c r="I5000" s="675"/>
      <c r="J5000" s="675"/>
      <c r="K5000" s="675"/>
      <c r="L5000" s="675"/>
      <c r="M5000" s="675"/>
    </row>
    <row r="5001" spans="1:13" x14ac:dyDescent="0.25">
      <c r="A5001" s="675" t="s">
        <v>4906</v>
      </c>
      <c r="B5001" s="675" t="s">
        <v>564</v>
      </c>
      <c r="C5001" s="675" t="s">
        <v>4922</v>
      </c>
      <c r="D5001" s="675"/>
      <c r="E5001" s="702"/>
      <c r="F5001" s="702"/>
      <c r="G5001" s="675"/>
      <c r="H5001" s="675"/>
      <c r="I5001" s="675"/>
      <c r="J5001" s="675"/>
      <c r="K5001" s="675"/>
      <c r="L5001" s="675"/>
      <c r="M5001" s="675"/>
    </row>
    <row r="5002" spans="1:13" x14ac:dyDescent="0.25">
      <c r="A5002" s="675" t="s">
        <v>4906</v>
      </c>
      <c r="B5002" s="675" t="s">
        <v>564</v>
      </c>
      <c r="C5002" s="675" t="s">
        <v>4923</v>
      </c>
      <c r="D5002" s="675"/>
      <c r="E5002" s="702"/>
      <c r="F5002" s="702"/>
      <c r="G5002" s="675"/>
      <c r="H5002" s="675"/>
      <c r="I5002" s="675"/>
      <c r="J5002" s="675"/>
      <c r="K5002" s="675"/>
      <c r="L5002" s="675"/>
      <c r="M5002" s="675"/>
    </row>
    <row r="5003" spans="1:13" x14ac:dyDescent="0.25">
      <c r="A5003" s="675" t="s">
        <v>4906</v>
      </c>
      <c r="B5003" s="675" t="s">
        <v>564</v>
      </c>
      <c r="C5003" s="675" t="s">
        <v>4924</v>
      </c>
      <c r="D5003" s="675"/>
      <c r="E5003" s="702"/>
      <c r="F5003" s="702"/>
      <c r="G5003" s="675"/>
      <c r="H5003" s="675"/>
      <c r="I5003" s="675"/>
      <c r="J5003" s="675"/>
      <c r="K5003" s="675"/>
      <c r="L5003" s="675"/>
      <c r="M5003" s="675"/>
    </row>
    <row r="5004" spans="1:13" x14ac:dyDescent="0.25">
      <c r="A5004" s="675" t="s">
        <v>4906</v>
      </c>
      <c r="B5004" s="675" t="s">
        <v>564</v>
      </c>
      <c r="C5004" s="675" t="s">
        <v>4925</v>
      </c>
      <c r="D5004" s="675"/>
      <c r="E5004" s="702"/>
      <c r="F5004" s="702"/>
      <c r="G5004" s="675"/>
      <c r="H5004" s="675"/>
      <c r="I5004" s="675"/>
      <c r="J5004" s="675"/>
      <c r="K5004" s="675"/>
      <c r="L5004" s="675"/>
      <c r="M5004" s="675"/>
    </row>
    <row r="5005" spans="1:13" x14ac:dyDescent="0.25">
      <c r="A5005" s="675" t="s">
        <v>4906</v>
      </c>
      <c r="B5005" s="675" t="s">
        <v>564</v>
      </c>
      <c r="C5005" s="675" t="s">
        <v>4926</v>
      </c>
      <c r="D5005" s="675"/>
      <c r="E5005" s="702"/>
      <c r="F5005" s="702"/>
      <c r="G5005" s="675"/>
      <c r="H5005" s="675"/>
      <c r="I5005" s="675"/>
      <c r="J5005" s="675"/>
      <c r="K5005" s="675"/>
      <c r="L5005" s="675"/>
      <c r="M5005" s="675"/>
    </row>
    <row r="5006" spans="1:13" x14ac:dyDescent="0.25">
      <c r="A5006" s="675" t="s">
        <v>4906</v>
      </c>
      <c r="B5006" s="675" t="s">
        <v>564</v>
      </c>
      <c r="C5006" s="675" t="s">
        <v>4927</v>
      </c>
      <c r="D5006" s="675"/>
      <c r="E5006" s="702"/>
      <c r="F5006" s="702"/>
      <c r="G5006" s="675"/>
      <c r="H5006" s="675"/>
      <c r="I5006" s="675"/>
      <c r="J5006" s="675"/>
      <c r="K5006" s="675"/>
      <c r="L5006" s="675"/>
      <c r="M5006" s="675"/>
    </row>
    <row r="5007" spans="1:13" x14ac:dyDescent="0.25">
      <c r="A5007" s="675" t="s">
        <v>4906</v>
      </c>
      <c r="B5007" s="675" t="s">
        <v>564</v>
      </c>
      <c r="C5007" s="675" t="s">
        <v>4928</v>
      </c>
      <c r="D5007" s="675"/>
      <c r="E5007" s="702"/>
      <c r="F5007" s="702"/>
      <c r="G5007" s="675"/>
      <c r="H5007" s="675"/>
      <c r="I5007" s="675"/>
      <c r="J5007" s="675"/>
      <c r="K5007" s="675"/>
      <c r="L5007" s="675"/>
      <c r="M5007" s="675"/>
    </row>
    <row r="5008" spans="1:13" x14ac:dyDescent="0.25">
      <c r="A5008" s="675" t="s">
        <v>4906</v>
      </c>
      <c r="B5008" s="675" t="s">
        <v>564</v>
      </c>
      <c r="C5008" s="675" t="s">
        <v>4929</v>
      </c>
      <c r="D5008" s="675"/>
      <c r="E5008" s="702"/>
      <c r="F5008" s="702"/>
      <c r="G5008" s="675"/>
      <c r="H5008" s="675"/>
      <c r="I5008" s="675"/>
      <c r="J5008" s="675"/>
      <c r="K5008" s="675"/>
      <c r="L5008" s="675"/>
      <c r="M5008" s="675"/>
    </row>
    <row r="5009" spans="1:13" x14ac:dyDescent="0.25">
      <c r="A5009" s="675" t="s">
        <v>4906</v>
      </c>
      <c r="B5009" s="675" t="s">
        <v>564</v>
      </c>
      <c r="C5009" s="675" t="s">
        <v>4930</v>
      </c>
      <c r="D5009" s="675"/>
      <c r="E5009" s="702"/>
      <c r="F5009" s="702"/>
      <c r="G5009" s="675"/>
      <c r="H5009" s="675"/>
      <c r="I5009" s="675"/>
      <c r="J5009" s="675"/>
      <c r="K5009" s="675"/>
      <c r="L5009" s="675"/>
      <c r="M5009" s="675"/>
    </row>
    <row r="5010" spans="1:13" x14ac:dyDescent="0.25">
      <c r="A5010" s="675" t="s">
        <v>4906</v>
      </c>
      <c r="B5010" s="675" t="s">
        <v>564</v>
      </c>
      <c r="C5010" s="675" t="s">
        <v>4931</v>
      </c>
      <c r="D5010" s="675"/>
      <c r="E5010" s="702"/>
      <c r="F5010" s="702"/>
      <c r="G5010" s="675"/>
      <c r="H5010" s="675"/>
      <c r="I5010" s="675"/>
      <c r="J5010" s="675"/>
      <c r="K5010" s="675"/>
      <c r="L5010" s="675"/>
      <c r="M5010" s="675"/>
    </row>
    <row r="5011" spans="1:13" x14ac:dyDescent="0.25">
      <c r="A5011" s="675" t="s">
        <v>4906</v>
      </c>
      <c r="B5011" s="675" t="s">
        <v>564</v>
      </c>
      <c r="C5011" s="675" t="s">
        <v>4932</v>
      </c>
      <c r="D5011" s="675"/>
      <c r="E5011" s="702"/>
      <c r="F5011" s="702"/>
      <c r="G5011" s="675"/>
      <c r="H5011" s="675"/>
      <c r="I5011" s="675"/>
      <c r="J5011" s="675"/>
      <c r="K5011" s="675"/>
      <c r="L5011" s="675"/>
      <c r="M5011" s="675"/>
    </row>
    <row r="5012" spans="1:13" x14ac:dyDescent="0.25">
      <c r="A5012" s="675" t="s">
        <v>4906</v>
      </c>
      <c r="B5012" s="675" t="s">
        <v>564</v>
      </c>
      <c r="C5012" s="675" t="s">
        <v>4933</v>
      </c>
      <c r="D5012" s="675"/>
      <c r="E5012" s="702"/>
      <c r="F5012" s="702"/>
      <c r="G5012" s="675"/>
      <c r="H5012" s="675"/>
      <c r="I5012" s="675"/>
      <c r="J5012" s="675"/>
      <c r="K5012" s="675"/>
      <c r="L5012" s="675"/>
      <c r="M5012" s="675"/>
    </row>
    <row r="5013" spans="1:13" x14ac:dyDescent="0.25">
      <c r="A5013" s="675" t="s">
        <v>4906</v>
      </c>
      <c r="B5013" s="675" t="s">
        <v>564</v>
      </c>
      <c r="C5013" s="675" t="s">
        <v>4934</v>
      </c>
      <c r="D5013" s="675"/>
      <c r="E5013" s="702"/>
      <c r="F5013" s="702"/>
      <c r="G5013" s="675"/>
      <c r="H5013" s="675"/>
      <c r="I5013" s="675"/>
      <c r="J5013" s="675"/>
      <c r="K5013" s="675"/>
      <c r="L5013" s="675"/>
      <c r="M5013" s="675"/>
    </row>
    <row r="5014" spans="1:13" x14ac:dyDescent="0.25">
      <c r="A5014" s="675" t="s">
        <v>4906</v>
      </c>
      <c r="B5014" s="675" t="s">
        <v>564</v>
      </c>
      <c r="C5014" s="675" t="s">
        <v>4935</v>
      </c>
      <c r="D5014" s="675"/>
      <c r="E5014" s="702"/>
      <c r="F5014" s="702"/>
      <c r="G5014" s="675"/>
      <c r="H5014" s="675"/>
      <c r="I5014" s="675"/>
      <c r="J5014" s="675"/>
      <c r="K5014" s="675"/>
      <c r="L5014" s="675"/>
      <c r="M5014" s="675"/>
    </row>
    <row r="5015" spans="1:13" x14ac:dyDescent="0.25">
      <c r="A5015" s="675" t="s">
        <v>4906</v>
      </c>
      <c r="B5015" s="675" t="s">
        <v>564</v>
      </c>
      <c r="C5015" s="675" t="s">
        <v>4936</v>
      </c>
      <c r="D5015" s="675"/>
      <c r="E5015" s="702"/>
      <c r="F5015" s="702"/>
      <c r="G5015" s="675"/>
      <c r="H5015" s="675"/>
      <c r="I5015" s="675"/>
      <c r="J5015" s="675"/>
      <c r="K5015" s="675"/>
      <c r="L5015" s="675"/>
      <c r="M5015" s="675"/>
    </row>
    <row r="5016" spans="1:13" x14ac:dyDescent="0.25">
      <c r="A5016" s="675" t="s">
        <v>4906</v>
      </c>
      <c r="B5016" s="675" t="s">
        <v>512</v>
      </c>
      <c r="C5016" s="675" t="s">
        <v>4937</v>
      </c>
      <c r="D5016" s="675"/>
      <c r="E5016" s="702"/>
      <c r="F5016" s="702"/>
      <c r="G5016" s="675"/>
      <c r="H5016" s="675"/>
      <c r="I5016" s="675"/>
      <c r="J5016" s="675"/>
      <c r="K5016" s="675"/>
      <c r="L5016" s="675"/>
      <c r="M5016" s="675"/>
    </row>
    <row r="5017" spans="1:13" x14ac:dyDescent="0.25">
      <c r="A5017" s="675" t="s">
        <v>4906</v>
      </c>
      <c r="B5017" s="675" t="s">
        <v>512</v>
      </c>
      <c r="C5017" s="675" t="s">
        <v>4938</v>
      </c>
      <c r="D5017" s="675"/>
      <c r="E5017" s="702"/>
      <c r="F5017" s="702"/>
      <c r="G5017" s="675"/>
      <c r="H5017" s="675"/>
      <c r="I5017" s="675"/>
      <c r="J5017" s="675"/>
      <c r="K5017" s="675"/>
      <c r="L5017" s="675"/>
      <c r="M5017" s="675"/>
    </row>
    <row r="5018" spans="1:13" x14ac:dyDescent="0.25">
      <c r="A5018" s="675" t="s">
        <v>4906</v>
      </c>
      <c r="B5018" s="675" t="s">
        <v>512</v>
      </c>
      <c r="C5018" s="675" t="s">
        <v>4939</v>
      </c>
      <c r="D5018" s="675"/>
      <c r="E5018" s="702"/>
      <c r="F5018" s="702"/>
      <c r="G5018" s="675"/>
      <c r="H5018" s="675"/>
      <c r="I5018" s="675"/>
      <c r="J5018" s="675"/>
      <c r="K5018" s="675"/>
      <c r="L5018" s="675"/>
      <c r="M5018" s="675"/>
    </row>
    <row r="5019" spans="1:13" x14ac:dyDescent="0.25">
      <c r="A5019" s="675" t="s">
        <v>4906</v>
      </c>
      <c r="B5019" s="675" t="s">
        <v>512</v>
      </c>
      <c r="C5019" s="675" t="s">
        <v>4940</v>
      </c>
      <c r="D5019" s="675"/>
      <c r="E5019" s="702"/>
      <c r="F5019" s="702"/>
      <c r="G5019" s="675"/>
      <c r="H5019" s="675"/>
      <c r="I5019" s="675"/>
      <c r="J5019" s="675"/>
      <c r="K5019" s="675"/>
      <c r="L5019" s="675"/>
      <c r="M5019" s="675"/>
    </row>
    <row r="5020" spans="1:13" x14ac:dyDescent="0.25">
      <c r="A5020" s="675" t="s">
        <v>4906</v>
      </c>
      <c r="B5020" s="675" t="s">
        <v>512</v>
      </c>
      <c r="C5020" s="675" t="s">
        <v>4941</v>
      </c>
      <c r="D5020" s="675"/>
      <c r="E5020" s="702"/>
      <c r="F5020" s="702"/>
      <c r="G5020" s="675"/>
      <c r="H5020" s="675"/>
      <c r="I5020" s="675"/>
      <c r="J5020" s="675"/>
      <c r="K5020" s="675"/>
      <c r="L5020" s="675"/>
      <c r="M5020" s="675"/>
    </row>
    <row r="5021" spans="1:13" x14ac:dyDescent="0.25">
      <c r="A5021" s="675" t="s">
        <v>4906</v>
      </c>
      <c r="B5021" s="675" t="s">
        <v>512</v>
      </c>
      <c r="C5021" s="675" t="s">
        <v>4942</v>
      </c>
      <c r="D5021" s="675"/>
      <c r="E5021" s="702"/>
      <c r="F5021" s="702"/>
      <c r="G5021" s="675"/>
      <c r="H5021" s="675"/>
      <c r="I5021" s="675"/>
      <c r="J5021" s="675"/>
      <c r="K5021" s="675"/>
      <c r="L5021" s="675"/>
      <c r="M5021" s="675"/>
    </row>
    <row r="5022" spans="1:13" x14ac:dyDescent="0.25">
      <c r="A5022" s="675" t="s">
        <v>4906</v>
      </c>
      <c r="B5022" s="675" t="s">
        <v>512</v>
      </c>
      <c r="C5022" s="675" t="s">
        <v>4943</v>
      </c>
      <c r="D5022" s="675"/>
      <c r="E5022" s="702"/>
      <c r="F5022" s="702"/>
      <c r="G5022" s="675"/>
      <c r="H5022" s="675"/>
      <c r="I5022" s="675"/>
      <c r="J5022" s="675"/>
      <c r="K5022" s="675"/>
      <c r="L5022" s="675"/>
      <c r="M5022" s="675"/>
    </row>
    <row r="5023" spans="1:13" x14ac:dyDescent="0.25">
      <c r="A5023" s="675" t="s">
        <v>4906</v>
      </c>
      <c r="B5023" s="675" t="s">
        <v>512</v>
      </c>
      <c r="C5023" s="675" t="s">
        <v>4944</v>
      </c>
      <c r="D5023" s="675"/>
      <c r="E5023" s="702"/>
      <c r="F5023" s="702"/>
      <c r="G5023" s="675"/>
      <c r="H5023" s="675"/>
      <c r="I5023" s="675"/>
      <c r="J5023" s="675"/>
      <c r="K5023" s="675"/>
      <c r="L5023" s="675"/>
      <c r="M5023" s="675"/>
    </row>
    <row r="5024" spans="1:13" x14ac:dyDescent="0.25">
      <c r="A5024" s="675" t="s">
        <v>4906</v>
      </c>
      <c r="B5024" s="675" t="s">
        <v>512</v>
      </c>
      <c r="C5024" s="675" t="s">
        <v>4945</v>
      </c>
      <c r="D5024" s="675"/>
      <c r="E5024" s="702"/>
      <c r="F5024" s="702"/>
      <c r="G5024" s="675"/>
      <c r="H5024" s="675"/>
      <c r="I5024" s="675"/>
      <c r="J5024" s="675"/>
      <c r="K5024" s="675"/>
      <c r="L5024" s="675"/>
      <c r="M5024" s="675"/>
    </row>
    <row r="5025" spans="1:13" x14ac:dyDescent="0.25">
      <c r="A5025" s="675" t="s">
        <v>4906</v>
      </c>
      <c r="B5025" s="675" t="s">
        <v>512</v>
      </c>
      <c r="C5025" s="675" t="s">
        <v>4946</v>
      </c>
      <c r="D5025" s="675"/>
      <c r="E5025" s="702"/>
      <c r="F5025" s="702"/>
      <c r="G5025" s="675"/>
      <c r="H5025" s="675"/>
      <c r="I5025" s="675"/>
      <c r="J5025" s="675"/>
      <c r="K5025" s="675"/>
      <c r="L5025" s="675"/>
      <c r="M5025" s="675"/>
    </row>
    <row r="5026" spans="1:13" x14ac:dyDescent="0.25">
      <c r="A5026" s="675" t="s">
        <v>4906</v>
      </c>
      <c r="B5026" s="675" t="s">
        <v>512</v>
      </c>
      <c r="C5026" s="675" t="s">
        <v>4947</v>
      </c>
      <c r="D5026" s="675"/>
      <c r="E5026" s="702"/>
      <c r="F5026" s="702"/>
      <c r="G5026" s="675"/>
      <c r="H5026" s="675"/>
      <c r="I5026" s="675"/>
      <c r="J5026" s="675"/>
      <c r="K5026" s="675"/>
      <c r="L5026" s="675"/>
      <c r="M5026" s="675"/>
    </row>
    <row r="5027" spans="1:13" x14ac:dyDescent="0.25">
      <c r="A5027" s="675" t="s">
        <v>4906</v>
      </c>
      <c r="B5027" s="675" t="s">
        <v>512</v>
      </c>
      <c r="C5027" s="675" t="s">
        <v>4948</v>
      </c>
      <c r="D5027" s="675"/>
      <c r="E5027" s="702"/>
      <c r="F5027" s="702"/>
      <c r="G5027" s="675"/>
      <c r="H5027" s="675"/>
      <c r="I5027" s="675"/>
      <c r="J5027" s="675"/>
      <c r="K5027" s="675"/>
      <c r="L5027" s="675"/>
      <c r="M5027" s="675"/>
    </row>
    <row r="5028" spans="1:13" x14ac:dyDescent="0.25">
      <c r="A5028" s="675" t="s">
        <v>4906</v>
      </c>
      <c r="B5028" s="675" t="s">
        <v>512</v>
      </c>
      <c r="C5028" s="675" t="s">
        <v>4949</v>
      </c>
      <c r="D5028" s="675"/>
      <c r="E5028" s="702"/>
      <c r="F5028" s="702"/>
      <c r="G5028" s="675"/>
      <c r="H5028" s="675"/>
      <c r="I5028" s="675"/>
      <c r="J5028" s="675"/>
      <c r="K5028" s="675"/>
      <c r="L5028" s="675"/>
      <c r="M5028" s="675"/>
    </row>
    <row r="5029" spans="1:13" x14ac:dyDescent="0.25">
      <c r="A5029" s="675" t="s">
        <v>4906</v>
      </c>
      <c r="B5029" s="675" t="s">
        <v>512</v>
      </c>
      <c r="C5029" s="675" t="s">
        <v>4950</v>
      </c>
      <c r="D5029" s="675"/>
      <c r="E5029" s="702"/>
      <c r="F5029" s="702"/>
      <c r="G5029" s="675"/>
      <c r="H5029" s="675"/>
      <c r="I5029" s="675"/>
      <c r="J5029" s="675"/>
      <c r="K5029" s="675"/>
      <c r="L5029" s="675"/>
      <c r="M5029" s="675"/>
    </row>
    <row r="5030" spans="1:13" x14ac:dyDescent="0.25">
      <c r="A5030" s="675" t="s">
        <v>4906</v>
      </c>
      <c r="B5030" s="675" t="s">
        <v>512</v>
      </c>
      <c r="C5030" s="675" t="s">
        <v>4951</v>
      </c>
      <c r="D5030" s="675"/>
      <c r="E5030" s="702"/>
      <c r="F5030" s="702"/>
      <c r="G5030" s="675"/>
      <c r="H5030" s="675"/>
      <c r="I5030" s="675"/>
      <c r="J5030" s="675"/>
      <c r="K5030" s="675"/>
      <c r="L5030" s="675"/>
      <c r="M5030" s="675"/>
    </row>
    <row r="5031" spans="1:13" x14ac:dyDescent="0.25">
      <c r="A5031" s="675" t="s">
        <v>4952</v>
      </c>
      <c r="B5031" s="675" t="s">
        <v>545</v>
      </c>
      <c r="C5031" s="675" t="s">
        <v>4953</v>
      </c>
      <c r="D5031" s="675"/>
      <c r="E5031" s="702"/>
      <c r="F5031" s="702"/>
      <c r="G5031" s="675"/>
      <c r="H5031" s="675"/>
      <c r="I5031" s="675"/>
      <c r="J5031" s="675"/>
      <c r="K5031" s="675"/>
      <c r="L5031" s="675"/>
      <c r="M5031" s="675"/>
    </row>
    <row r="5032" spans="1:13" x14ac:dyDescent="0.25">
      <c r="A5032" s="675" t="s">
        <v>4952</v>
      </c>
      <c r="B5032" s="675" t="s">
        <v>545</v>
      </c>
      <c r="C5032" s="675" t="s">
        <v>4954</v>
      </c>
      <c r="D5032" s="675"/>
      <c r="E5032" s="702"/>
      <c r="F5032" s="702"/>
      <c r="G5032" s="675"/>
      <c r="H5032" s="675"/>
      <c r="I5032" s="675"/>
      <c r="J5032" s="675"/>
      <c r="K5032" s="675"/>
      <c r="L5032" s="675"/>
      <c r="M5032" s="675"/>
    </row>
    <row r="5033" spans="1:13" x14ac:dyDescent="0.25">
      <c r="A5033" s="675" t="s">
        <v>4952</v>
      </c>
      <c r="B5033" s="675" t="s">
        <v>545</v>
      </c>
      <c r="C5033" s="675" t="s">
        <v>4955</v>
      </c>
      <c r="D5033" s="675"/>
      <c r="E5033" s="702"/>
      <c r="F5033" s="702"/>
      <c r="G5033" s="675"/>
      <c r="H5033" s="675"/>
      <c r="I5033" s="675"/>
      <c r="J5033" s="675"/>
      <c r="K5033" s="675"/>
      <c r="L5033" s="675"/>
      <c r="M5033" s="675"/>
    </row>
    <row r="5034" spans="1:13" x14ac:dyDescent="0.25">
      <c r="A5034" s="675" t="s">
        <v>4952</v>
      </c>
      <c r="B5034" s="675" t="s">
        <v>545</v>
      </c>
      <c r="C5034" s="675" t="s">
        <v>4956</v>
      </c>
      <c r="D5034" s="675"/>
      <c r="E5034" s="702"/>
      <c r="F5034" s="702"/>
      <c r="G5034" s="675"/>
      <c r="H5034" s="675"/>
      <c r="I5034" s="675"/>
      <c r="J5034" s="675"/>
      <c r="K5034" s="675"/>
      <c r="L5034" s="675"/>
      <c r="M5034" s="675"/>
    </row>
    <row r="5035" spans="1:13" x14ac:dyDescent="0.25">
      <c r="A5035" s="675" t="s">
        <v>4952</v>
      </c>
      <c r="B5035" s="675" t="s">
        <v>545</v>
      </c>
      <c r="C5035" s="675" t="s">
        <v>4957</v>
      </c>
      <c r="D5035" s="675"/>
      <c r="E5035" s="702"/>
      <c r="F5035" s="702"/>
      <c r="G5035" s="675"/>
      <c r="H5035" s="675"/>
      <c r="I5035" s="675"/>
      <c r="J5035" s="675"/>
      <c r="K5035" s="675"/>
      <c r="L5035" s="675"/>
      <c r="M5035" s="675"/>
    </row>
    <row r="5036" spans="1:13" x14ac:dyDescent="0.25">
      <c r="A5036" s="675" t="s">
        <v>4952</v>
      </c>
      <c r="B5036" s="675" t="s">
        <v>545</v>
      </c>
      <c r="C5036" s="675" t="s">
        <v>4958</v>
      </c>
      <c r="D5036" s="675"/>
      <c r="E5036" s="702"/>
      <c r="F5036" s="702"/>
      <c r="G5036" s="675"/>
      <c r="H5036" s="675"/>
      <c r="I5036" s="675"/>
      <c r="J5036" s="675"/>
      <c r="K5036" s="675"/>
      <c r="L5036" s="675"/>
      <c r="M5036" s="675"/>
    </row>
    <row r="5037" spans="1:13" x14ac:dyDescent="0.25">
      <c r="A5037" s="675" t="s">
        <v>4952</v>
      </c>
      <c r="B5037" s="675" t="s">
        <v>545</v>
      </c>
      <c r="C5037" s="675" t="s">
        <v>4959</v>
      </c>
      <c r="D5037" s="675"/>
      <c r="E5037" s="702"/>
      <c r="F5037" s="702"/>
      <c r="G5037" s="675"/>
      <c r="H5037" s="675"/>
      <c r="I5037" s="675"/>
      <c r="J5037" s="675"/>
      <c r="K5037" s="675"/>
      <c r="L5037" s="675"/>
      <c r="M5037" s="675"/>
    </row>
    <row r="5038" spans="1:13" x14ac:dyDescent="0.25">
      <c r="A5038" s="675" t="s">
        <v>4952</v>
      </c>
      <c r="B5038" s="675" t="s">
        <v>545</v>
      </c>
      <c r="C5038" s="675" t="s">
        <v>4960</v>
      </c>
      <c r="D5038" s="675"/>
      <c r="E5038" s="702"/>
      <c r="F5038" s="702"/>
      <c r="G5038" s="675"/>
      <c r="H5038" s="675"/>
      <c r="I5038" s="675"/>
      <c r="J5038" s="675"/>
      <c r="K5038" s="675"/>
      <c r="L5038" s="675"/>
      <c r="M5038" s="675"/>
    </row>
    <row r="5039" spans="1:13" x14ac:dyDescent="0.25">
      <c r="A5039" s="675" t="s">
        <v>4952</v>
      </c>
      <c r="B5039" s="675" t="s">
        <v>545</v>
      </c>
      <c r="C5039" s="675" t="s">
        <v>4961</v>
      </c>
      <c r="D5039" s="675"/>
      <c r="E5039" s="702"/>
      <c r="F5039" s="702"/>
      <c r="G5039" s="675"/>
      <c r="H5039" s="675"/>
      <c r="I5039" s="675"/>
      <c r="J5039" s="675"/>
      <c r="K5039" s="675"/>
      <c r="L5039" s="675"/>
      <c r="M5039" s="675"/>
    </row>
    <row r="5040" spans="1:13" x14ac:dyDescent="0.25">
      <c r="A5040" s="675" t="s">
        <v>4952</v>
      </c>
      <c r="B5040" s="675" t="s">
        <v>545</v>
      </c>
      <c r="C5040" s="675" t="s">
        <v>4962</v>
      </c>
      <c r="D5040" s="675"/>
      <c r="E5040" s="702"/>
      <c r="F5040" s="702"/>
      <c r="G5040" s="675"/>
      <c r="H5040" s="675"/>
      <c r="I5040" s="675"/>
      <c r="J5040" s="675"/>
      <c r="K5040" s="675"/>
      <c r="L5040" s="675"/>
      <c r="M5040" s="675"/>
    </row>
    <row r="5041" spans="1:13" x14ac:dyDescent="0.25">
      <c r="A5041" s="675" t="s">
        <v>4952</v>
      </c>
      <c r="B5041" s="675" t="s">
        <v>545</v>
      </c>
      <c r="C5041" s="675" t="s">
        <v>4963</v>
      </c>
      <c r="D5041" s="675"/>
      <c r="E5041" s="702"/>
      <c r="F5041" s="702"/>
      <c r="G5041" s="675"/>
      <c r="H5041" s="675"/>
      <c r="I5041" s="675"/>
      <c r="J5041" s="675"/>
      <c r="K5041" s="675"/>
      <c r="L5041" s="675"/>
      <c r="M5041" s="675"/>
    </row>
    <row r="5042" spans="1:13" x14ac:dyDescent="0.25">
      <c r="A5042" s="675" t="s">
        <v>4952</v>
      </c>
      <c r="B5042" s="675" t="s">
        <v>545</v>
      </c>
      <c r="C5042" s="675" t="s">
        <v>4964</v>
      </c>
      <c r="D5042" s="675"/>
      <c r="E5042" s="702"/>
      <c r="F5042" s="702"/>
      <c r="G5042" s="675"/>
      <c r="H5042" s="675"/>
      <c r="I5042" s="675"/>
      <c r="J5042" s="675"/>
      <c r="K5042" s="675"/>
      <c r="L5042" s="675"/>
      <c r="M5042" s="675"/>
    </row>
    <row r="5043" spans="1:13" x14ac:dyDescent="0.25">
      <c r="A5043" s="675" t="s">
        <v>4952</v>
      </c>
      <c r="B5043" s="675" t="s">
        <v>545</v>
      </c>
      <c r="C5043" s="675" t="s">
        <v>4965</v>
      </c>
      <c r="D5043" s="675"/>
      <c r="E5043" s="702"/>
      <c r="F5043" s="702"/>
      <c r="G5043" s="675"/>
      <c r="H5043" s="675"/>
      <c r="I5043" s="675"/>
      <c r="J5043" s="675"/>
      <c r="K5043" s="675"/>
      <c r="L5043" s="675"/>
      <c r="M5043" s="675"/>
    </row>
    <row r="5044" spans="1:13" x14ac:dyDescent="0.25">
      <c r="A5044" s="675" t="s">
        <v>4952</v>
      </c>
      <c r="B5044" s="675" t="s">
        <v>545</v>
      </c>
      <c r="C5044" s="675" t="s">
        <v>4966</v>
      </c>
      <c r="D5044" s="675"/>
      <c r="E5044" s="702"/>
      <c r="F5044" s="702"/>
      <c r="G5044" s="675"/>
      <c r="H5044" s="675"/>
      <c r="I5044" s="675"/>
      <c r="J5044" s="675"/>
      <c r="K5044" s="675"/>
      <c r="L5044" s="675"/>
      <c r="M5044" s="675"/>
    </row>
    <row r="5045" spans="1:13" x14ac:dyDescent="0.25">
      <c r="A5045" s="675" t="s">
        <v>4952</v>
      </c>
      <c r="B5045" s="675" t="s">
        <v>545</v>
      </c>
      <c r="C5045" s="675" t="s">
        <v>4967</v>
      </c>
      <c r="D5045" s="675"/>
      <c r="E5045" s="702"/>
      <c r="F5045" s="702"/>
      <c r="G5045" s="675"/>
      <c r="H5045" s="675"/>
      <c r="I5045" s="675"/>
      <c r="J5045" s="675"/>
      <c r="K5045" s="675"/>
      <c r="L5045" s="675"/>
      <c r="M5045" s="675"/>
    </row>
    <row r="5046" spans="1:13" x14ac:dyDescent="0.25">
      <c r="A5046" s="675" t="s">
        <v>4952</v>
      </c>
      <c r="B5046" s="675" t="s">
        <v>564</v>
      </c>
      <c r="C5046" s="675" t="s">
        <v>4968</v>
      </c>
      <c r="D5046" s="675"/>
      <c r="E5046" s="702"/>
      <c r="F5046" s="702"/>
      <c r="G5046" s="675"/>
      <c r="H5046" s="675"/>
      <c r="I5046" s="675"/>
      <c r="J5046" s="675"/>
      <c r="K5046" s="675"/>
      <c r="L5046" s="675"/>
      <c r="M5046" s="675"/>
    </row>
    <row r="5047" spans="1:13" x14ac:dyDescent="0.25">
      <c r="A5047" s="675" t="s">
        <v>4952</v>
      </c>
      <c r="B5047" s="675" t="s">
        <v>564</v>
      </c>
      <c r="C5047" s="675" t="s">
        <v>4969</v>
      </c>
      <c r="D5047" s="675"/>
      <c r="E5047" s="702"/>
      <c r="F5047" s="702"/>
      <c r="G5047" s="675"/>
      <c r="H5047" s="675"/>
      <c r="I5047" s="675"/>
      <c r="J5047" s="675"/>
      <c r="K5047" s="675"/>
      <c r="L5047" s="675"/>
      <c r="M5047" s="675"/>
    </row>
    <row r="5048" spans="1:13" x14ac:dyDescent="0.25">
      <c r="A5048" s="675" t="s">
        <v>4952</v>
      </c>
      <c r="B5048" s="675" t="s">
        <v>564</v>
      </c>
      <c r="C5048" s="675" t="s">
        <v>4970</v>
      </c>
      <c r="D5048" s="675"/>
      <c r="E5048" s="702"/>
      <c r="F5048" s="702"/>
      <c r="G5048" s="675"/>
      <c r="H5048" s="675"/>
      <c r="I5048" s="675"/>
      <c r="J5048" s="675"/>
      <c r="K5048" s="675"/>
      <c r="L5048" s="675"/>
      <c r="M5048" s="675"/>
    </row>
    <row r="5049" spans="1:13" x14ac:dyDescent="0.25">
      <c r="A5049" s="675" t="s">
        <v>4952</v>
      </c>
      <c r="B5049" s="675" t="s">
        <v>564</v>
      </c>
      <c r="C5049" s="675" t="s">
        <v>4971</v>
      </c>
      <c r="D5049" s="675"/>
      <c r="E5049" s="702"/>
      <c r="F5049" s="702"/>
      <c r="G5049" s="675"/>
      <c r="H5049" s="675"/>
      <c r="I5049" s="675"/>
      <c r="J5049" s="675"/>
      <c r="K5049" s="675"/>
      <c r="L5049" s="675"/>
      <c r="M5049" s="675"/>
    </row>
    <row r="5050" spans="1:13" x14ac:dyDescent="0.25">
      <c r="A5050" s="675" t="s">
        <v>4952</v>
      </c>
      <c r="B5050" s="675" t="s">
        <v>564</v>
      </c>
      <c r="C5050" s="675" t="s">
        <v>4972</v>
      </c>
      <c r="D5050" s="675"/>
      <c r="E5050" s="702"/>
      <c r="F5050" s="702"/>
      <c r="G5050" s="675"/>
      <c r="H5050" s="675"/>
      <c r="I5050" s="675"/>
      <c r="J5050" s="675"/>
      <c r="K5050" s="675"/>
      <c r="L5050" s="675"/>
      <c r="M5050" s="675"/>
    </row>
    <row r="5051" spans="1:13" x14ac:dyDescent="0.25">
      <c r="A5051" s="675" t="s">
        <v>4952</v>
      </c>
      <c r="B5051" s="675" t="s">
        <v>564</v>
      </c>
      <c r="C5051" s="675" t="s">
        <v>4973</v>
      </c>
      <c r="D5051" s="675"/>
      <c r="E5051" s="702"/>
      <c r="F5051" s="702"/>
      <c r="G5051" s="675"/>
      <c r="H5051" s="675"/>
      <c r="I5051" s="675"/>
      <c r="J5051" s="675"/>
      <c r="K5051" s="675"/>
      <c r="L5051" s="675"/>
      <c r="M5051" s="675"/>
    </row>
    <row r="5052" spans="1:13" x14ac:dyDescent="0.25">
      <c r="A5052" s="675" t="s">
        <v>4952</v>
      </c>
      <c r="B5052" s="675" t="s">
        <v>564</v>
      </c>
      <c r="C5052" s="675" t="s">
        <v>4974</v>
      </c>
      <c r="D5052" s="675"/>
      <c r="E5052" s="702"/>
      <c r="F5052" s="702"/>
      <c r="G5052" s="675"/>
      <c r="H5052" s="675"/>
      <c r="I5052" s="675"/>
      <c r="J5052" s="675"/>
      <c r="K5052" s="675"/>
      <c r="L5052" s="675"/>
      <c r="M5052" s="675"/>
    </row>
    <row r="5053" spans="1:13" x14ac:dyDescent="0.25">
      <c r="A5053" s="675" t="s">
        <v>4952</v>
      </c>
      <c r="B5053" s="675" t="s">
        <v>564</v>
      </c>
      <c r="C5053" s="675" t="s">
        <v>4975</v>
      </c>
      <c r="D5053" s="675"/>
      <c r="E5053" s="702"/>
      <c r="F5053" s="702"/>
      <c r="G5053" s="675"/>
      <c r="H5053" s="675"/>
      <c r="I5053" s="675"/>
      <c r="J5053" s="675"/>
      <c r="K5053" s="675"/>
      <c r="L5053" s="675"/>
      <c r="M5053" s="675"/>
    </row>
    <row r="5054" spans="1:13" x14ac:dyDescent="0.25">
      <c r="A5054" s="675" t="s">
        <v>4952</v>
      </c>
      <c r="B5054" s="675" t="s">
        <v>564</v>
      </c>
      <c r="C5054" s="675" t="s">
        <v>4976</v>
      </c>
      <c r="D5054" s="675"/>
      <c r="E5054" s="702"/>
      <c r="F5054" s="702"/>
      <c r="G5054" s="675"/>
      <c r="H5054" s="675"/>
      <c r="I5054" s="675"/>
      <c r="J5054" s="675"/>
      <c r="K5054" s="675"/>
      <c r="L5054" s="675"/>
      <c r="M5054" s="675"/>
    </row>
    <row r="5055" spans="1:13" x14ac:dyDescent="0.25">
      <c r="A5055" s="675" t="s">
        <v>4952</v>
      </c>
      <c r="B5055" s="675" t="s">
        <v>564</v>
      </c>
      <c r="C5055" s="675" t="s">
        <v>4977</v>
      </c>
      <c r="D5055" s="675"/>
      <c r="E5055" s="702"/>
      <c r="F5055" s="702"/>
      <c r="G5055" s="675"/>
      <c r="H5055" s="675"/>
      <c r="I5055" s="675"/>
      <c r="J5055" s="675"/>
      <c r="K5055" s="675"/>
      <c r="L5055" s="675"/>
      <c r="M5055" s="675"/>
    </row>
    <row r="5056" spans="1:13" x14ac:dyDescent="0.25">
      <c r="A5056" s="675" t="s">
        <v>4952</v>
      </c>
      <c r="B5056" s="675" t="s">
        <v>564</v>
      </c>
      <c r="C5056" s="675" t="s">
        <v>4978</v>
      </c>
      <c r="D5056" s="675"/>
      <c r="E5056" s="702"/>
      <c r="F5056" s="702"/>
      <c r="G5056" s="675"/>
      <c r="H5056" s="675"/>
      <c r="I5056" s="675"/>
      <c r="J5056" s="675"/>
      <c r="K5056" s="675"/>
      <c r="L5056" s="675"/>
      <c r="M5056" s="675"/>
    </row>
    <row r="5057" spans="1:13" x14ac:dyDescent="0.25">
      <c r="A5057" s="675" t="s">
        <v>4952</v>
      </c>
      <c r="B5057" s="675" t="s">
        <v>564</v>
      </c>
      <c r="C5057" s="675" t="s">
        <v>4979</v>
      </c>
      <c r="D5057" s="675"/>
      <c r="E5057" s="702"/>
      <c r="F5057" s="702"/>
      <c r="G5057" s="675"/>
      <c r="H5057" s="675"/>
      <c r="I5057" s="675"/>
      <c r="J5057" s="675"/>
      <c r="K5057" s="675"/>
      <c r="L5057" s="675"/>
      <c r="M5057" s="675"/>
    </row>
    <row r="5058" spans="1:13" x14ac:dyDescent="0.25">
      <c r="A5058" s="675" t="s">
        <v>4952</v>
      </c>
      <c r="B5058" s="675" t="s">
        <v>564</v>
      </c>
      <c r="C5058" s="675" t="s">
        <v>4980</v>
      </c>
      <c r="D5058" s="675"/>
      <c r="E5058" s="702"/>
      <c r="F5058" s="702"/>
      <c r="G5058" s="675"/>
      <c r="H5058" s="675"/>
      <c r="I5058" s="675"/>
      <c r="J5058" s="675"/>
      <c r="K5058" s="675"/>
      <c r="L5058" s="675"/>
      <c r="M5058" s="675"/>
    </row>
    <row r="5059" spans="1:13" x14ac:dyDescent="0.25">
      <c r="A5059" s="675" t="s">
        <v>4952</v>
      </c>
      <c r="B5059" s="675" t="s">
        <v>564</v>
      </c>
      <c r="C5059" s="675" t="s">
        <v>4981</v>
      </c>
      <c r="D5059" s="675"/>
      <c r="E5059" s="702"/>
      <c r="F5059" s="702"/>
      <c r="G5059" s="675"/>
      <c r="H5059" s="675"/>
      <c r="I5059" s="675"/>
      <c r="J5059" s="675"/>
      <c r="K5059" s="675"/>
      <c r="L5059" s="675"/>
      <c r="M5059" s="675"/>
    </row>
    <row r="5060" spans="1:13" x14ac:dyDescent="0.25">
      <c r="A5060" s="675" t="s">
        <v>4952</v>
      </c>
      <c r="B5060" s="675" t="s">
        <v>564</v>
      </c>
      <c r="C5060" s="675" t="s">
        <v>4982</v>
      </c>
      <c r="D5060" s="675"/>
      <c r="E5060" s="702"/>
      <c r="F5060" s="702"/>
      <c r="G5060" s="675"/>
      <c r="H5060" s="675"/>
      <c r="I5060" s="675"/>
      <c r="J5060" s="675"/>
      <c r="K5060" s="675"/>
      <c r="L5060" s="675"/>
      <c r="M5060" s="675"/>
    </row>
    <row r="5061" spans="1:13" x14ac:dyDescent="0.25">
      <c r="A5061" s="675" t="s">
        <v>4952</v>
      </c>
      <c r="B5061" s="675" t="s">
        <v>512</v>
      </c>
      <c r="C5061" s="675" t="s">
        <v>4983</v>
      </c>
      <c r="D5061" s="675"/>
      <c r="E5061" s="702"/>
      <c r="F5061" s="702"/>
      <c r="G5061" s="675"/>
      <c r="H5061" s="675"/>
      <c r="I5061" s="675"/>
      <c r="J5061" s="675"/>
      <c r="K5061" s="675"/>
      <c r="L5061" s="675"/>
      <c r="M5061" s="675"/>
    </row>
    <row r="5062" spans="1:13" x14ac:dyDescent="0.25">
      <c r="A5062" s="675" t="s">
        <v>4952</v>
      </c>
      <c r="B5062" s="675" t="s">
        <v>512</v>
      </c>
      <c r="C5062" s="675" t="s">
        <v>4984</v>
      </c>
      <c r="D5062" s="675"/>
      <c r="E5062" s="702"/>
      <c r="F5062" s="702"/>
      <c r="G5062" s="675"/>
      <c r="H5062" s="675"/>
      <c r="I5062" s="675"/>
      <c r="J5062" s="675"/>
      <c r="K5062" s="675"/>
      <c r="L5062" s="675"/>
      <c r="M5062" s="675"/>
    </row>
    <row r="5063" spans="1:13" x14ac:dyDescent="0.25">
      <c r="A5063" s="675" t="s">
        <v>4952</v>
      </c>
      <c r="B5063" s="675" t="s">
        <v>512</v>
      </c>
      <c r="C5063" s="675" t="s">
        <v>4985</v>
      </c>
      <c r="D5063" s="675"/>
      <c r="E5063" s="702"/>
      <c r="F5063" s="702"/>
      <c r="G5063" s="675"/>
      <c r="H5063" s="675"/>
      <c r="I5063" s="675"/>
      <c r="J5063" s="675"/>
      <c r="K5063" s="675"/>
      <c r="L5063" s="675"/>
      <c r="M5063" s="675"/>
    </row>
    <row r="5064" spans="1:13" x14ac:dyDescent="0.25">
      <c r="A5064" s="675" t="s">
        <v>4952</v>
      </c>
      <c r="B5064" s="675" t="s">
        <v>512</v>
      </c>
      <c r="C5064" s="675" t="s">
        <v>4986</v>
      </c>
      <c r="D5064" s="675"/>
      <c r="E5064" s="702"/>
      <c r="F5064" s="702"/>
      <c r="G5064" s="675"/>
      <c r="H5064" s="675"/>
      <c r="I5064" s="675"/>
      <c r="J5064" s="675"/>
      <c r="K5064" s="675"/>
      <c r="L5064" s="675"/>
      <c r="M5064" s="675"/>
    </row>
    <row r="5065" spans="1:13" x14ac:dyDescent="0.25">
      <c r="A5065" s="675" t="s">
        <v>4952</v>
      </c>
      <c r="B5065" s="675" t="s">
        <v>512</v>
      </c>
      <c r="C5065" s="675" t="s">
        <v>4987</v>
      </c>
      <c r="D5065" s="675"/>
      <c r="E5065" s="702"/>
      <c r="F5065" s="702"/>
      <c r="G5065" s="675"/>
      <c r="H5065" s="675"/>
      <c r="I5065" s="675"/>
      <c r="J5065" s="675"/>
      <c r="K5065" s="675"/>
      <c r="L5065" s="675"/>
      <c r="M5065" s="675"/>
    </row>
    <row r="5066" spans="1:13" x14ac:dyDescent="0.25">
      <c r="A5066" s="675" t="s">
        <v>4952</v>
      </c>
      <c r="B5066" s="675" t="s">
        <v>512</v>
      </c>
      <c r="C5066" s="675" t="s">
        <v>4988</v>
      </c>
      <c r="D5066" s="675"/>
      <c r="E5066" s="702"/>
      <c r="F5066" s="702"/>
      <c r="G5066" s="675"/>
      <c r="H5066" s="675"/>
      <c r="I5066" s="675"/>
      <c r="J5066" s="675"/>
      <c r="K5066" s="675"/>
      <c r="L5066" s="675"/>
      <c r="M5066" s="675"/>
    </row>
    <row r="5067" spans="1:13" x14ac:dyDescent="0.25">
      <c r="A5067" s="675" t="s">
        <v>4952</v>
      </c>
      <c r="B5067" s="675" t="s">
        <v>512</v>
      </c>
      <c r="C5067" s="675" t="s">
        <v>4989</v>
      </c>
      <c r="D5067" s="675"/>
      <c r="E5067" s="702"/>
      <c r="F5067" s="702"/>
      <c r="G5067" s="675"/>
      <c r="H5067" s="675"/>
      <c r="I5067" s="675"/>
      <c r="J5067" s="675"/>
      <c r="K5067" s="675"/>
      <c r="L5067" s="675"/>
      <c r="M5067" s="675"/>
    </row>
    <row r="5068" spans="1:13" x14ac:dyDescent="0.25">
      <c r="A5068" s="675" t="s">
        <v>4952</v>
      </c>
      <c r="B5068" s="675" t="s">
        <v>512</v>
      </c>
      <c r="C5068" s="675" t="s">
        <v>4990</v>
      </c>
      <c r="D5068" s="675"/>
      <c r="E5068" s="675"/>
      <c r="G5068" s="675"/>
      <c r="H5068" s="675"/>
      <c r="I5068" s="675"/>
      <c r="J5068" s="675"/>
      <c r="K5068" s="675"/>
      <c r="L5068" s="675"/>
      <c r="M5068" s="675"/>
    </row>
    <row r="5069" spans="1:13" x14ac:dyDescent="0.25">
      <c r="A5069" s="675" t="s">
        <v>4952</v>
      </c>
      <c r="B5069" s="675" t="s">
        <v>512</v>
      </c>
      <c r="C5069" s="675" t="s">
        <v>4991</v>
      </c>
      <c r="D5069" s="675"/>
      <c r="E5069" s="675"/>
      <c r="G5069" s="675"/>
      <c r="H5069" s="675"/>
      <c r="I5069" s="675"/>
      <c r="J5069" s="675"/>
      <c r="K5069" s="675"/>
      <c r="L5069" s="675"/>
      <c r="M5069" s="675"/>
    </row>
    <row r="5070" spans="1:13" x14ac:dyDescent="0.25">
      <c r="A5070" s="675" t="s">
        <v>4952</v>
      </c>
      <c r="B5070" s="675" t="s">
        <v>512</v>
      </c>
      <c r="C5070" s="675" t="s">
        <v>4992</v>
      </c>
      <c r="D5070" s="675"/>
      <c r="E5070" s="675"/>
      <c r="G5070" s="675"/>
      <c r="H5070" s="675"/>
      <c r="I5070" s="675"/>
      <c r="J5070" s="675"/>
      <c r="K5070" s="675"/>
      <c r="L5070" s="675"/>
      <c r="M5070" s="675"/>
    </row>
    <row r="5071" spans="1:13" x14ac:dyDescent="0.25">
      <c r="A5071" s="675" t="s">
        <v>4952</v>
      </c>
      <c r="B5071" s="675" t="s">
        <v>512</v>
      </c>
      <c r="C5071" s="675" t="s">
        <v>4993</v>
      </c>
      <c r="D5071" s="675"/>
      <c r="E5071" s="675"/>
      <c r="G5071" s="675"/>
      <c r="H5071" s="675"/>
      <c r="I5071" s="675"/>
      <c r="J5071" s="675"/>
      <c r="K5071" s="675"/>
      <c r="L5071" s="675"/>
      <c r="M5071" s="675"/>
    </row>
    <row r="5072" spans="1:13" x14ac:dyDescent="0.25">
      <c r="A5072" s="675" t="s">
        <v>4952</v>
      </c>
      <c r="B5072" s="675" t="s">
        <v>512</v>
      </c>
      <c r="C5072" s="675" t="s">
        <v>4994</v>
      </c>
      <c r="D5072" s="675"/>
      <c r="E5072" s="675"/>
      <c r="G5072" s="675"/>
      <c r="H5072" s="675"/>
      <c r="I5072" s="675"/>
      <c r="J5072" s="675"/>
      <c r="K5072" s="675"/>
      <c r="L5072" s="675"/>
      <c r="M5072" s="675"/>
    </row>
    <row r="5073" spans="1:13" x14ac:dyDescent="0.25">
      <c r="A5073" s="675" t="s">
        <v>4952</v>
      </c>
      <c r="B5073" s="675" t="s">
        <v>512</v>
      </c>
      <c r="C5073" s="675" t="s">
        <v>4995</v>
      </c>
      <c r="D5073" s="675"/>
      <c r="E5073" s="675"/>
      <c r="G5073" s="675"/>
      <c r="H5073" s="675"/>
      <c r="I5073" s="675"/>
      <c r="J5073" s="675"/>
      <c r="K5073" s="675"/>
      <c r="L5073" s="675"/>
      <c r="M5073" s="675"/>
    </row>
    <row r="5074" spans="1:13" x14ac:dyDescent="0.25">
      <c r="A5074" s="675" t="s">
        <v>4952</v>
      </c>
      <c r="B5074" s="675" t="s">
        <v>512</v>
      </c>
      <c r="C5074" s="675" t="s">
        <v>4996</v>
      </c>
      <c r="D5074" s="675"/>
      <c r="E5074" s="675"/>
      <c r="G5074" s="675"/>
      <c r="H5074" s="675"/>
      <c r="I5074" s="675"/>
      <c r="J5074" s="675"/>
      <c r="K5074" s="675"/>
      <c r="L5074" s="675"/>
      <c r="M5074" s="675"/>
    </row>
    <row r="5075" spans="1:13" x14ac:dyDescent="0.25">
      <c r="A5075" s="675" t="s">
        <v>4952</v>
      </c>
      <c r="B5075" s="675" t="s">
        <v>512</v>
      </c>
      <c r="C5075" s="675" t="s">
        <v>4997</v>
      </c>
      <c r="D5075" s="675"/>
      <c r="E5075" s="675"/>
      <c r="G5075" s="675"/>
      <c r="H5075" s="675"/>
      <c r="I5075" s="675"/>
      <c r="J5075" s="675"/>
      <c r="K5075" s="675"/>
      <c r="L5075" s="675"/>
      <c r="M5075" s="675"/>
    </row>
    <row r="5076" spans="1:13" x14ac:dyDescent="0.25">
      <c r="A5076" s="675" t="s">
        <v>4998</v>
      </c>
      <c r="B5076" s="675" t="s">
        <v>545</v>
      </c>
      <c r="C5076" s="675" t="s">
        <v>4999</v>
      </c>
      <c r="D5076" s="675"/>
      <c r="E5076" s="675"/>
      <c r="G5076" s="675"/>
      <c r="H5076" s="675"/>
      <c r="I5076" s="675"/>
      <c r="J5076" s="675"/>
      <c r="K5076" s="675"/>
      <c r="L5076" s="675"/>
      <c r="M5076" s="675"/>
    </row>
    <row r="5077" spans="1:13" x14ac:dyDescent="0.25">
      <c r="A5077" s="675" t="s">
        <v>4998</v>
      </c>
      <c r="B5077" s="675" t="s">
        <v>545</v>
      </c>
      <c r="C5077" s="675" t="s">
        <v>5000</v>
      </c>
      <c r="D5077" s="675"/>
      <c r="E5077" s="675"/>
      <c r="G5077" s="675"/>
      <c r="H5077" s="675"/>
      <c r="I5077" s="675"/>
      <c r="J5077" s="675"/>
      <c r="K5077" s="675"/>
      <c r="L5077" s="675"/>
      <c r="M5077" s="675"/>
    </row>
    <row r="5078" spans="1:13" x14ac:dyDescent="0.25">
      <c r="A5078" s="675" t="s">
        <v>4998</v>
      </c>
      <c r="B5078" s="675" t="s">
        <v>545</v>
      </c>
      <c r="C5078" s="675" t="s">
        <v>5001</v>
      </c>
      <c r="D5078" s="675"/>
      <c r="E5078" s="675"/>
      <c r="G5078" s="675"/>
      <c r="H5078" s="675"/>
      <c r="I5078" s="675"/>
      <c r="J5078" s="675"/>
      <c r="K5078" s="675"/>
      <c r="L5078" s="675"/>
      <c r="M5078" s="675"/>
    </row>
    <row r="5079" spans="1:13" x14ac:dyDescent="0.25">
      <c r="A5079" s="675" t="s">
        <v>4998</v>
      </c>
      <c r="B5079" s="675" t="s">
        <v>545</v>
      </c>
      <c r="C5079" s="675" t="s">
        <v>5002</v>
      </c>
      <c r="D5079" s="675"/>
      <c r="E5079" s="675"/>
      <c r="G5079" s="675"/>
      <c r="H5079" s="675"/>
      <c r="I5079" s="675"/>
      <c r="J5079" s="675"/>
      <c r="K5079" s="675"/>
      <c r="L5079" s="675"/>
      <c r="M5079" s="675"/>
    </row>
    <row r="5080" spans="1:13" x14ac:dyDescent="0.25">
      <c r="A5080" s="675" t="s">
        <v>4998</v>
      </c>
      <c r="B5080" s="675" t="s">
        <v>545</v>
      </c>
      <c r="C5080" s="675" t="s">
        <v>5003</v>
      </c>
      <c r="D5080" s="675"/>
      <c r="E5080" s="675"/>
      <c r="G5080" s="675"/>
      <c r="H5080" s="675"/>
      <c r="I5080" s="675"/>
      <c r="J5080" s="675"/>
      <c r="K5080" s="675"/>
      <c r="L5080" s="675"/>
      <c r="M5080" s="675"/>
    </row>
    <row r="5081" spans="1:13" x14ac:dyDescent="0.25">
      <c r="A5081" s="675" t="s">
        <v>4998</v>
      </c>
      <c r="B5081" s="675" t="s">
        <v>545</v>
      </c>
      <c r="C5081" s="675" t="s">
        <v>5004</v>
      </c>
      <c r="D5081" s="675"/>
      <c r="E5081" s="675"/>
      <c r="G5081" s="675"/>
      <c r="H5081" s="675"/>
      <c r="I5081" s="675"/>
      <c r="J5081" s="675"/>
      <c r="K5081" s="675"/>
      <c r="L5081" s="675"/>
      <c r="M5081" s="675"/>
    </row>
    <row r="5082" spans="1:13" x14ac:dyDescent="0.25">
      <c r="A5082" s="675" t="s">
        <v>4998</v>
      </c>
      <c r="B5082" s="675" t="s">
        <v>545</v>
      </c>
      <c r="C5082" s="675" t="s">
        <v>5005</v>
      </c>
      <c r="D5082" s="675"/>
      <c r="E5082" s="675"/>
      <c r="G5082" s="675"/>
      <c r="H5082" s="675"/>
      <c r="I5082" s="675"/>
      <c r="J5082" s="675"/>
      <c r="K5082" s="675"/>
      <c r="L5082" s="675"/>
      <c r="M5082" s="675"/>
    </row>
    <row r="5083" spans="1:13" x14ac:dyDescent="0.25">
      <c r="A5083" s="675" t="s">
        <v>4998</v>
      </c>
      <c r="B5083" s="675" t="s">
        <v>545</v>
      </c>
      <c r="C5083" s="675" t="s">
        <v>5006</v>
      </c>
      <c r="D5083" s="675"/>
      <c r="E5083" s="675"/>
      <c r="G5083" s="675"/>
      <c r="H5083" s="675"/>
      <c r="I5083" s="675"/>
      <c r="J5083" s="675"/>
      <c r="K5083" s="675"/>
      <c r="L5083" s="675"/>
      <c r="M5083" s="675"/>
    </row>
    <row r="5084" spans="1:13" x14ac:dyDescent="0.25">
      <c r="A5084" s="675" t="s">
        <v>4998</v>
      </c>
      <c r="B5084" s="675" t="s">
        <v>545</v>
      </c>
      <c r="C5084" s="675" t="s">
        <v>5007</v>
      </c>
      <c r="D5084" s="675"/>
      <c r="E5084" s="675"/>
      <c r="G5084" s="675"/>
      <c r="H5084" s="675"/>
      <c r="I5084" s="675"/>
      <c r="J5084" s="675"/>
      <c r="K5084" s="675"/>
      <c r="L5084" s="675"/>
      <c r="M5084" s="675"/>
    </row>
    <row r="5085" spans="1:13" x14ac:dyDescent="0.25">
      <c r="A5085" s="675" t="s">
        <v>4998</v>
      </c>
      <c r="B5085" s="675" t="s">
        <v>545</v>
      </c>
      <c r="C5085" s="675" t="s">
        <v>5008</v>
      </c>
      <c r="D5085" s="675"/>
      <c r="E5085" s="675"/>
      <c r="G5085" s="675"/>
      <c r="H5085" s="675"/>
      <c r="I5085" s="675"/>
      <c r="J5085" s="675"/>
      <c r="K5085" s="675"/>
      <c r="L5085" s="675"/>
      <c r="M5085" s="675"/>
    </row>
    <row r="5086" spans="1:13" x14ac:dyDescent="0.25">
      <c r="A5086" s="675" t="s">
        <v>4998</v>
      </c>
      <c r="B5086" s="675" t="s">
        <v>545</v>
      </c>
      <c r="C5086" s="675" t="s">
        <v>5009</v>
      </c>
      <c r="D5086" s="675"/>
      <c r="E5086" s="675"/>
      <c r="G5086" s="675"/>
      <c r="H5086" s="675"/>
      <c r="I5086" s="675"/>
      <c r="J5086" s="675"/>
      <c r="K5086" s="675"/>
      <c r="L5086" s="675"/>
      <c r="M5086" s="675"/>
    </row>
    <row r="5087" spans="1:13" x14ac:dyDescent="0.25">
      <c r="A5087" s="675" t="s">
        <v>4998</v>
      </c>
      <c r="B5087" s="675" t="s">
        <v>545</v>
      </c>
      <c r="C5087" s="675" t="s">
        <v>5010</v>
      </c>
      <c r="D5087" s="675"/>
      <c r="E5087" s="675"/>
      <c r="G5087" s="675"/>
      <c r="H5087" s="675"/>
      <c r="I5087" s="675"/>
      <c r="J5087" s="675"/>
      <c r="K5087" s="675"/>
      <c r="L5087" s="675"/>
      <c r="M5087" s="675"/>
    </row>
    <row r="5088" spans="1:13" x14ac:dyDescent="0.25">
      <c r="A5088" s="675" t="s">
        <v>4998</v>
      </c>
      <c r="B5088" s="675" t="s">
        <v>545</v>
      </c>
      <c r="C5088" s="675" t="s">
        <v>5011</v>
      </c>
      <c r="D5088" s="675"/>
      <c r="E5088" s="675"/>
      <c r="G5088" s="675"/>
      <c r="H5088" s="675"/>
      <c r="I5088" s="675"/>
      <c r="J5088" s="675"/>
      <c r="K5088" s="675"/>
      <c r="L5088" s="675"/>
      <c r="M5088" s="675"/>
    </row>
    <row r="5089" spans="1:13" x14ac:dyDescent="0.25">
      <c r="A5089" s="675" t="s">
        <v>4998</v>
      </c>
      <c r="B5089" s="675" t="s">
        <v>545</v>
      </c>
      <c r="C5089" s="675" t="s">
        <v>5012</v>
      </c>
      <c r="D5089" s="675"/>
      <c r="E5089" s="675"/>
      <c r="G5089" s="675"/>
      <c r="H5089" s="675"/>
      <c r="I5089" s="675"/>
      <c r="J5089" s="675"/>
      <c r="K5089" s="675"/>
      <c r="L5089" s="675"/>
      <c r="M5089" s="675"/>
    </row>
    <row r="5090" spans="1:13" x14ac:dyDescent="0.25">
      <c r="A5090" s="675" t="s">
        <v>4998</v>
      </c>
      <c r="B5090" s="675" t="s">
        <v>545</v>
      </c>
      <c r="C5090" s="675" t="s">
        <v>5013</v>
      </c>
      <c r="D5090" s="675"/>
      <c r="E5090" s="675"/>
      <c r="G5090" s="675"/>
      <c r="H5090" s="675"/>
      <c r="I5090" s="675"/>
      <c r="J5090" s="675"/>
      <c r="K5090" s="675"/>
      <c r="L5090" s="675"/>
      <c r="M5090" s="675"/>
    </row>
    <row r="5091" spans="1:13" x14ac:dyDescent="0.25">
      <c r="A5091" s="675" t="s">
        <v>4998</v>
      </c>
      <c r="B5091" s="675" t="s">
        <v>564</v>
      </c>
      <c r="C5091" s="675" t="s">
        <v>5014</v>
      </c>
      <c r="D5091" s="675"/>
      <c r="E5091" s="675"/>
      <c r="G5091" s="675"/>
      <c r="H5091" s="675"/>
      <c r="I5091" s="675"/>
      <c r="J5091" s="675"/>
      <c r="K5091" s="675"/>
      <c r="L5091" s="675"/>
      <c r="M5091" s="675"/>
    </row>
    <row r="5092" spans="1:13" x14ac:dyDescent="0.25">
      <c r="A5092" s="675" t="s">
        <v>4998</v>
      </c>
      <c r="B5092" s="675" t="s">
        <v>564</v>
      </c>
      <c r="C5092" s="675" t="s">
        <v>5015</v>
      </c>
      <c r="D5092" s="675"/>
      <c r="E5092" s="675"/>
      <c r="G5092" s="675"/>
      <c r="H5092" s="675"/>
      <c r="I5092" s="675"/>
      <c r="J5092" s="675"/>
      <c r="K5092" s="675"/>
      <c r="L5092" s="675"/>
      <c r="M5092" s="675"/>
    </row>
    <row r="5093" spans="1:13" x14ac:dyDescent="0.25">
      <c r="A5093" s="675" t="s">
        <v>4998</v>
      </c>
      <c r="B5093" s="675" t="s">
        <v>564</v>
      </c>
      <c r="C5093" s="675" t="s">
        <v>5016</v>
      </c>
      <c r="D5093" s="675"/>
      <c r="E5093" s="675"/>
      <c r="G5093" s="675"/>
      <c r="H5093" s="675"/>
      <c r="I5093" s="675"/>
      <c r="J5093" s="675"/>
      <c r="K5093" s="675"/>
      <c r="L5093" s="675"/>
      <c r="M5093" s="675"/>
    </row>
    <row r="5094" spans="1:13" x14ac:dyDescent="0.25">
      <c r="A5094" s="675" t="s">
        <v>4998</v>
      </c>
      <c r="B5094" s="675" t="s">
        <v>564</v>
      </c>
      <c r="C5094" s="675" t="s">
        <v>5017</v>
      </c>
      <c r="D5094" s="675"/>
      <c r="E5094" s="675"/>
      <c r="G5094" s="675"/>
      <c r="H5094" s="675"/>
      <c r="I5094" s="675"/>
      <c r="J5094" s="675"/>
      <c r="K5094" s="675"/>
      <c r="L5094" s="675"/>
      <c r="M5094" s="675"/>
    </row>
    <row r="5095" spans="1:13" x14ac:dyDescent="0.25">
      <c r="A5095" s="675" t="s">
        <v>4998</v>
      </c>
      <c r="B5095" s="675" t="s">
        <v>564</v>
      </c>
      <c r="C5095" s="675" t="s">
        <v>5018</v>
      </c>
      <c r="D5095" s="675"/>
      <c r="E5095" s="675"/>
      <c r="G5095" s="675"/>
      <c r="H5095" s="675"/>
      <c r="I5095" s="675"/>
      <c r="J5095" s="675"/>
      <c r="K5095" s="675"/>
      <c r="L5095" s="675"/>
      <c r="M5095" s="675"/>
    </row>
    <row r="5096" spans="1:13" x14ac:dyDescent="0.25">
      <c r="A5096" s="675" t="s">
        <v>4998</v>
      </c>
      <c r="B5096" s="675" t="s">
        <v>564</v>
      </c>
      <c r="C5096" s="675" t="s">
        <v>5019</v>
      </c>
      <c r="D5096" s="675"/>
      <c r="E5096" s="675"/>
      <c r="G5096" s="675"/>
      <c r="H5096" s="675"/>
      <c r="I5096" s="675"/>
      <c r="J5096" s="675"/>
      <c r="K5096" s="675"/>
      <c r="L5096" s="675"/>
      <c r="M5096" s="675"/>
    </row>
    <row r="5097" spans="1:13" x14ac:dyDescent="0.25">
      <c r="A5097" s="675" t="s">
        <v>4998</v>
      </c>
      <c r="B5097" s="675" t="s">
        <v>564</v>
      </c>
      <c r="C5097" s="675" t="s">
        <v>5020</v>
      </c>
      <c r="D5097" s="675"/>
      <c r="E5097" s="675"/>
      <c r="G5097" s="675"/>
      <c r="H5097" s="675"/>
      <c r="I5097" s="675"/>
      <c r="J5097" s="675"/>
      <c r="K5097" s="675"/>
      <c r="L5097" s="675"/>
      <c r="M5097" s="675"/>
    </row>
    <row r="5098" spans="1:13" x14ac:dyDescent="0.25">
      <c r="A5098" s="675" t="s">
        <v>4998</v>
      </c>
      <c r="B5098" s="675" t="s">
        <v>564</v>
      </c>
      <c r="C5098" s="675" t="s">
        <v>5021</v>
      </c>
      <c r="D5098" s="675"/>
      <c r="E5098" s="675"/>
      <c r="G5098" s="675"/>
      <c r="H5098" s="675"/>
      <c r="I5098" s="675"/>
      <c r="J5098" s="675"/>
      <c r="K5098" s="675"/>
      <c r="L5098" s="675"/>
      <c r="M5098" s="675"/>
    </row>
    <row r="5099" spans="1:13" x14ac:dyDescent="0.25">
      <c r="A5099" s="675" t="s">
        <v>4998</v>
      </c>
      <c r="B5099" s="675" t="s">
        <v>564</v>
      </c>
      <c r="C5099" s="675" t="s">
        <v>5022</v>
      </c>
      <c r="D5099" s="675"/>
      <c r="E5099" s="675"/>
      <c r="G5099" s="675"/>
      <c r="H5099" s="675"/>
      <c r="I5099" s="675"/>
      <c r="J5099" s="675"/>
      <c r="K5099" s="675"/>
      <c r="L5099" s="675"/>
      <c r="M5099" s="675"/>
    </row>
    <row r="5100" spans="1:13" x14ac:dyDescent="0.25">
      <c r="A5100" s="675" t="s">
        <v>4998</v>
      </c>
      <c r="B5100" s="675" t="s">
        <v>564</v>
      </c>
      <c r="C5100" s="675" t="s">
        <v>5023</v>
      </c>
      <c r="D5100" s="675"/>
      <c r="E5100" s="675"/>
      <c r="G5100" s="675"/>
      <c r="H5100" s="675"/>
      <c r="I5100" s="675"/>
      <c r="J5100" s="675"/>
      <c r="K5100" s="675"/>
      <c r="L5100" s="675"/>
      <c r="M5100" s="675"/>
    </row>
    <row r="5101" spans="1:13" x14ac:dyDescent="0.25">
      <c r="A5101" s="675" t="s">
        <v>4998</v>
      </c>
      <c r="B5101" s="675" t="s">
        <v>564</v>
      </c>
      <c r="C5101" s="675" t="s">
        <v>5024</v>
      </c>
      <c r="D5101" s="675"/>
      <c r="E5101" s="675"/>
      <c r="G5101" s="675"/>
      <c r="H5101" s="675"/>
      <c r="I5101" s="675"/>
      <c r="J5101" s="675"/>
      <c r="K5101" s="675"/>
      <c r="L5101" s="675"/>
      <c r="M5101" s="675"/>
    </row>
    <row r="5102" spans="1:13" x14ac:dyDescent="0.25">
      <c r="A5102" s="675" t="s">
        <v>4998</v>
      </c>
      <c r="B5102" s="675" t="s">
        <v>564</v>
      </c>
      <c r="C5102" s="675" t="s">
        <v>5025</v>
      </c>
      <c r="D5102" s="675"/>
      <c r="E5102" s="675"/>
      <c r="G5102" s="675"/>
      <c r="H5102" s="675"/>
      <c r="I5102" s="675"/>
      <c r="J5102" s="675"/>
      <c r="K5102" s="675"/>
      <c r="L5102" s="675"/>
      <c r="M5102" s="675"/>
    </row>
    <row r="5103" spans="1:13" x14ac:dyDescent="0.25">
      <c r="A5103" s="675" t="s">
        <v>4998</v>
      </c>
      <c r="B5103" s="675" t="s">
        <v>564</v>
      </c>
      <c r="C5103" s="675" t="s">
        <v>5026</v>
      </c>
      <c r="D5103" s="675"/>
      <c r="E5103" s="675"/>
      <c r="G5103" s="675"/>
      <c r="H5103" s="675"/>
      <c r="I5103" s="675"/>
      <c r="J5103" s="675"/>
      <c r="K5103" s="675"/>
      <c r="L5103" s="675"/>
      <c r="M5103" s="675"/>
    </row>
    <row r="5104" spans="1:13" x14ac:dyDescent="0.25">
      <c r="A5104" s="675" t="s">
        <v>4998</v>
      </c>
      <c r="B5104" s="675" t="s">
        <v>564</v>
      </c>
      <c r="C5104" s="675" t="s">
        <v>5027</v>
      </c>
      <c r="D5104" s="675"/>
      <c r="E5104" s="675"/>
      <c r="G5104" s="675"/>
      <c r="H5104" s="675"/>
      <c r="I5104" s="675"/>
      <c r="J5104" s="675"/>
      <c r="K5104" s="675"/>
      <c r="L5104" s="675"/>
      <c r="M5104" s="675"/>
    </row>
    <row r="5105" spans="1:13" x14ac:dyDescent="0.25">
      <c r="A5105" s="675" t="s">
        <v>4998</v>
      </c>
      <c r="B5105" s="675" t="s">
        <v>564</v>
      </c>
      <c r="C5105" s="675" t="s">
        <v>5028</v>
      </c>
      <c r="D5105" s="675"/>
      <c r="E5105" s="675"/>
      <c r="G5105" s="675"/>
      <c r="H5105" s="675"/>
      <c r="I5105" s="675"/>
      <c r="J5105" s="675"/>
      <c r="K5105" s="675"/>
      <c r="L5105" s="675"/>
      <c r="M5105" s="675"/>
    </row>
    <row r="5106" spans="1:13" x14ac:dyDescent="0.25">
      <c r="A5106" s="675" t="s">
        <v>4998</v>
      </c>
      <c r="B5106" s="675" t="s">
        <v>512</v>
      </c>
      <c r="C5106" s="675" t="s">
        <v>5029</v>
      </c>
      <c r="D5106" s="675"/>
      <c r="E5106" s="675"/>
      <c r="G5106" s="675"/>
      <c r="H5106" s="675"/>
      <c r="I5106" s="675"/>
      <c r="J5106" s="675"/>
      <c r="K5106" s="675"/>
      <c r="L5106" s="675"/>
      <c r="M5106" s="675"/>
    </row>
    <row r="5107" spans="1:13" x14ac:dyDescent="0.25">
      <c r="A5107" s="675" t="s">
        <v>4998</v>
      </c>
      <c r="B5107" s="675" t="s">
        <v>512</v>
      </c>
      <c r="C5107" s="675" t="s">
        <v>5030</v>
      </c>
      <c r="D5107" s="675"/>
      <c r="E5107" s="675"/>
      <c r="G5107" s="675"/>
      <c r="H5107" s="675"/>
      <c r="I5107" s="675"/>
      <c r="J5107" s="675"/>
      <c r="K5107" s="675"/>
      <c r="L5107" s="675"/>
      <c r="M5107" s="675"/>
    </row>
    <row r="5108" spans="1:13" x14ac:dyDescent="0.25">
      <c r="A5108" s="675" t="s">
        <v>4998</v>
      </c>
      <c r="B5108" s="675" t="s">
        <v>512</v>
      </c>
      <c r="C5108" s="675" t="s">
        <v>5031</v>
      </c>
      <c r="D5108" s="675"/>
      <c r="E5108" s="675"/>
      <c r="G5108" s="675"/>
      <c r="H5108" s="675"/>
      <c r="I5108" s="675"/>
      <c r="J5108" s="675"/>
      <c r="K5108" s="675"/>
      <c r="L5108" s="675"/>
      <c r="M5108" s="675"/>
    </row>
    <row r="5109" spans="1:13" x14ac:dyDescent="0.25">
      <c r="A5109" s="675" t="s">
        <v>4998</v>
      </c>
      <c r="B5109" s="675" t="s">
        <v>512</v>
      </c>
      <c r="C5109" s="675" t="s">
        <v>5032</v>
      </c>
      <c r="D5109" s="675"/>
      <c r="E5109" s="675"/>
      <c r="G5109" s="675"/>
      <c r="H5109" s="675"/>
      <c r="I5109" s="675"/>
      <c r="J5109" s="675"/>
      <c r="K5109" s="675"/>
      <c r="L5109" s="675"/>
      <c r="M5109" s="675"/>
    </row>
    <row r="5110" spans="1:13" x14ac:dyDescent="0.25">
      <c r="A5110" s="675" t="s">
        <v>4998</v>
      </c>
      <c r="B5110" s="675" t="s">
        <v>512</v>
      </c>
      <c r="C5110" s="675" t="s">
        <v>5033</v>
      </c>
      <c r="D5110" s="675"/>
      <c r="E5110" s="675"/>
      <c r="G5110" s="675"/>
      <c r="H5110" s="675"/>
      <c r="I5110" s="675"/>
      <c r="J5110" s="675"/>
      <c r="K5110" s="675"/>
      <c r="L5110" s="675"/>
      <c r="M5110" s="675"/>
    </row>
    <row r="5111" spans="1:13" x14ac:dyDescent="0.25">
      <c r="A5111" s="675" t="s">
        <v>4998</v>
      </c>
      <c r="B5111" s="675" t="s">
        <v>512</v>
      </c>
      <c r="C5111" s="675" t="s">
        <v>5034</v>
      </c>
      <c r="D5111" s="675"/>
      <c r="E5111" s="675"/>
      <c r="G5111" s="675"/>
      <c r="H5111" s="675"/>
      <c r="I5111" s="675"/>
      <c r="J5111" s="675"/>
      <c r="K5111" s="675"/>
      <c r="L5111" s="675"/>
      <c r="M5111" s="675"/>
    </row>
    <row r="5112" spans="1:13" x14ac:dyDescent="0.25">
      <c r="A5112" s="675" t="s">
        <v>4998</v>
      </c>
      <c r="B5112" s="675" t="s">
        <v>512</v>
      </c>
      <c r="C5112" s="675" t="s">
        <v>5035</v>
      </c>
      <c r="D5112" s="675"/>
      <c r="E5112" s="675"/>
      <c r="G5112" s="675"/>
      <c r="H5112" s="675"/>
      <c r="I5112" s="675"/>
      <c r="J5112" s="675"/>
      <c r="K5112" s="675"/>
      <c r="L5112" s="675"/>
      <c r="M5112" s="675"/>
    </row>
    <row r="5113" spans="1:13" x14ac:dyDescent="0.25">
      <c r="A5113" s="675" t="s">
        <v>4998</v>
      </c>
      <c r="B5113" s="675" t="s">
        <v>512</v>
      </c>
      <c r="C5113" s="675" t="s">
        <v>5036</v>
      </c>
      <c r="D5113" s="675"/>
      <c r="E5113" s="675"/>
      <c r="G5113" s="675"/>
      <c r="H5113" s="675"/>
      <c r="I5113" s="675"/>
      <c r="J5113" s="675"/>
      <c r="K5113" s="675"/>
      <c r="L5113" s="675"/>
      <c r="M5113" s="675"/>
    </row>
    <row r="5114" spans="1:13" x14ac:dyDescent="0.25">
      <c r="A5114" s="675" t="s">
        <v>4998</v>
      </c>
      <c r="B5114" s="675" t="s">
        <v>512</v>
      </c>
      <c r="C5114" s="675" t="s">
        <v>5037</v>
      </c>
      <c r="D5114" s="675"/>
      <c r="E5114" s="675"/>
      <c r="G5114" s="675"/>
      <c r="H5114" s="675"/>
      <c r="I5114" s="675"/>
      <c r="J5114" s="675"/>
      <c r="K5114" s="675"/>
      <c r="L5114" s="675"/>
      <c r="M5114" s="675"/>
    </row>
    <row r="5115" spans="1:13" x14ac:dyDescent="0.25">
      <c r="A5115" s="675" t="s">
        <v>4998</v>
      </c>
      <c r="B5115" s="675" t="s">
        <v>512</v>
      </c>
      <c r="C5115" s="675" t="s">
        <v>5038</v>
      </c>
      <c r="D5115" s="675"/>
      <c r="E5115" s="675"/>
      <c r="G5115" s="675"/>
      <c r="H5115" s="675"/>
      <c r="I5115" s="675"/>
      <c r="J5115" s="675"/>
      <c r="K5115" s="675"/>
      <c r="L5115" s="675"/>
      <c r="M5115" s="675"/>
    </row>
    <row r="5116" spans="1:13" x14ac:dyDescent="0.25">
      <c r="A5116" s="675" t="s">
        <v>4998</v>
      </c>
      <c r="B5116" s="675" t="s">
        <v>512</v>
      </c>
      <c r="C5116" s="675" t="s">
        <v>5039</v>
      </c>
      <c r="D5116" s="675"/>
      <c r="E5116" s="675"/>
      <c r="G5116" s="675"/>
      <c r="H5116" s="675"/>
      <c r="I5116" s="675"/>
      <c r="J5116" s="675"/>
      <c r="K5116" s="675"/>
      <c r="L5116" s="675"/>
      <c r="M5116" s="675"/>
    </row>
    <row r="5117" spans="1:13" x14ac:dyDescent="0.25">
      <c r="A5117" s="675" t="s">
        <v>4998</v>
      </c>
      <c r="B5117" s="675" t="s">
        <v>512</v>
      </c>
      <c r="C5117" s="675" t="s">
        <v>5040</v>
      </c>
      <c r="D5117" s="675"/>
      <c r="E5117" s="675"/>
      <c r="G5117" s="675"/>
      <c r="H5117" s="675"/>
      <c r="I5117" s="675"/>
      <c r="J5117" s="675"/>
      <c r="K5117" s="675"/>
      <c r="L5117" s="675"/>
      <c r="M5117" s="675"/>
    </row>
    <row r="5118" spans="1:13" x14ac:dyDescent="0.25">
      <c r="A5118" s="675" t="s">
        <v>4998</v>
      </c>
      <c r="B5118" s="675" t="s">
        <v>512</v>
      </c>
      <c r="C5118" s="675" t="s">
        <v>5041</v>
      </c>
      <c r="D5118" s="675"/>
      <c r="E5118" s="675"/>
      <c r="G5118" s="675"/>
      <c r="H5118" s="675"/>
      <c r="I5118" s="675"/>
      <c r="J5118" s="675"/>
      <c r="K5118" s="675"/>
      <c r="L5118" s="675"/>
      <c r="M5118" s="675"/>
    </row>
    <row r="5119" spans="1:13" x14ac:dyDescent="0.25">
      <c r="A5119" s="675" t="s">
        <v>4998</v>
      </c>
      <c r="B5119" s="675" t="s">
        <v>512</v>
      </c>
      <c r="C5119" s="675" t="s">
        <v>5042</v>
      </c>
      <c r="D5119" s="675"/>
      <c r="E5119" s="675"/>
      <c r="G5119" s="675"/>
      <c r="H5119" s="675"/>
      <c r="I5119" s="675"/>
      <c r="J5119" s="675"/>
      <c r="K5119" s="675"/>
      <c r="L5119" s="675"/>
      <c r="M5119" s="675"/>
    </row>
    <row r="5120" spans="1:13" x14ac:dyDescent="0.25">
      <c r="A5120" s="675" t="s">
        <v>4998</v>
      </c>
      <c r="B5120" s="675" t="s">
        <v>512</v>
      </c>
      <c r="C5120" s="675" t="s">
        <v>5043</v>
      </c>
      <c r="D5120" s="675"/>
      <c r="E5120" s="675"/>
      <c r="G5120" s="675"/>
      <c r="H5120" s="675"/>
      <c r="I5120" s="675"/>
      <c r="J5120" s="675"/>
      <c r="K5120" s="675"/>
      <c r="L5120" s="675"/>
      <c r="M5120" s="675"/>
    </row>
    <row r="5121" spans="1:13" x14ac:dyDescent="0.25">
      <c r="A5121" s="675" t="s">
        <v>5044</v>
      </c>
      <c r="B5121" s="675" t="s">
        <v>545</v>
      </c>
      <c r="C5121" s="676" t="s">
        <v>5045</v>
      </c>
      <c r="D5121" s="675"/>
      <c r="E5121" s="675"/>
      <c r="G5121" s="675"/>
      <c r="H5121" s="675"/>
      <c r="I5121" s="675"/>
      <c r="J5121" s="675"/>
      <c r="K5121" s="675"/>
      <c r="L5121" s="675"/>
      <c r="M5121" s="675"/>
    </row>
    <row r="5122" spans="1:13" x14ac:dyDescent="0.25">
      <c r="A5122" s="675" t="s">
        <v>5044</v>
      </c>
      <c r="B5122" s="675" t="s">
        <v>545</v>
      </c>
      <c r="C5122" s="676" t="s">
        <v>5046</v>
      </c>
      <c r="D5122" s="675"/>
      <c r="E5122" s="675"/>
      <c r="G5122" s="675"/>
      <c r="H5122" s="675"/>
      <c r="I5122" s="675"/>
      <c r="J5122" s="675"/>
      <c r="K5122" s="675"/>
      <c r="L5122" s="675"/>
      <c r="M5122" s="675"/>
    </row>
    <row r="5123" spans="1:13" x14ac:dyDescent="0.25">
      <c r="A5123" s="675" t="s">
        <v>5044</v>
      </c>
      <c r="B5123" s="675" t="s">
        <v>545</v>
      </c>
      <c r="C5123" s="676" t="s">
        <v>5047</v>
      </c>
      <c r="D5123" s="675"/>
      <c r="E5123" s="675"/>
      <c r="G5123" s="675"/>
      <c r="H5123" s="675"/>
      <c r="I5123" s="675"/>
      <c r="J5123" s="675"/>
      <c r="K5123" s="675"/>
      <c r="L5123" s="675"/>
      <c r="M5123" s="675"/>
    </row>
    <row r="5124" spans="1:13" x14ac:dyDescent="0.25">
      <c r="A5124" s="675" t="s">
        <v>5044</v>
      </c>
      <c r="B5124" s="675" t="s">
        <v>545</v>
      </c>
      <c r="C5124" s="676" t="s">
        <v>5048</v>
      </c>
      <c r="D5124" s="675"/>
      <c r="E5124" s="675"/>
      <c r="G5124" s="675"/>
      <c r="H5124" s="675"/>
      <c r="I5124" s="675"/>
      <c r="J5124" s="675"/>
      <c r="K5124" s="675"/>
      <c r="L5124" s="675"/>
      <c r="M5124" s="675"/>
    </row>
    <row r="5125" spans="1:13" x14ac:dyDescent="0.25">
      <c r="A5125" s="675" t="s">
        <v>5044</v>
      </c>
      <c r="B5125" s="675" t="s">
        <v>545</v>
      </c>
      <c r="C5125" s="676" t="s">
        <v>5049</v>
      </c>
      <c r="D5125" s="675"/>
      <c r="E5125" s="675"/>
      <c r="G5125" s="675"/>
      <c r="H5125" s="675"/>
      <c r="I5125" s="675"/>
      <c r="J5125" s="675"/>
      <c r="K5125" s="675"/>
      <c r="L5125" s="675"/>
      <c r="M5125" s="675"/>
    </row>
    <row r="5126" spans="1:13" x14ac:dyDescent="0.25">
      <c r="A5126" s="675" t="s">
        <v>5044</v>
      </c>
      <c r="B5126" s="675" t="s">
        <v>545</v>
      </c>
      <c r="C5126" s="676" t="s">
        <v>5050</v>
      </c>
      <c r="D5126" s="675"/>
      <c r="E5126" s="675"/>
      <c r="G5126" s="675"/>
      <c r="H5126" s="675"/>
      <c r="I5126" s="675"/>
      <c r="J5126" s="675"/>
      <c r="K5126" s="675"/>
      <c r="L5126" s="675"/>
      <c r="M5126" s="675"/>
    </row>
    <row r="5127" spans="1:13" x14ac:dyDescent="0.25">
      <c r="A5127" s="675" t="s">
        <v>5044</v>
      </c>
      <c r="B5127" s="675" t="s">
        <v>545</v>
      </c>
      <c r="C5127" s="676" t="s">
        <v>5051</v>
      </c>
      <c r="D5127" s="675"/>
      <c r="E5127" s="675"/>
      <c r="G5127" s="675"/>
      <c r="H5127" s="675"/>
      <c r="I5127" s="675"/>
      <c r="J5127" s="675"/>
      <c r="K5127" s="675"/>
      <c r="L5127" s="675"/>
      <c r="M5127" s="675"/>
    </row>
    <row r="5128" spans="1:13" x14ac:dyDescent="0.25">
      <c r="A5128" s="675" t="s">
        <v>5044</v>
      </c>
      <c r="B5128" s="675" t="s">
        <v>545</v>
      </c>
      <c r="C5128" s="676" t="s">
        <v>5052</v>
      </c>
      <c r="D5128" s="675"/>
      <c r="E5128" s="675"/>
      <c r="G5128" s="675"/>
      <c r="H5128" s="675"/>
      <c r="I5128" s="675"/>
      <c r="J5128" s="675"/>
      <c r="K5128" s="675"/>
      <c r="L5128" s="675"/>
      <c r="M5128" s="675"/>
    </row>
    <row r="5129" spans="1:13" x14ac:dyDescent="0.25">
      <c r="A5129" s="675" t="s">
        <v>5044</v>
      </c>
      <c r="B5129" s="675" t="s">
        <v>545</v>
      </c>
      <c r="C5129" s="676" t="s">
        <v>5053</v>
      </c>
      <c r="D5129" s="675"/>
      <c r="E5129" s="675"/>
      <c r="G5129" s="675"/>
      <c r="H5129" s="675"/>
      <c r="I5129" s="675"/>
      <c r="J5129" s="675"/>
      <c r="K5129" s="675"/>
      <c r="L5129" s="675"/>
      <c r="M5129" s="675"/>
    </row>
    <row r="5130" spans="1:13" x14ac:dyDescent="0.25">
      <c r="A5130" s="675" t="s">
        <v>5044</v>
      </c>
      <c r="B5130" s="675" t="s">
        <v>545</v>
      </c>
      <c r="C5130" s="676" t="s">
        <v>5054</v>
      </c>
      <c r="D5130" s="675"/>
      <c r="E5130" s="675"/>
      <c r="G5130" s="675"/>
      <c r="H5130" s="675"/>
      <c r="I5130" s="675"/>
      <c r="J5130" s="675"/>
      <c r="K5130" s="675"/>
      <c r="L5130" s="675"/>
      <c r="M5130" s="675"/>
    </row>
    <row r="5131" spans="1:13" x14ac:dyDescent="0.25">
      <c r="A5131" s="675" t="s">
        <v>5044</v>
      </c>
      <c r="B5131" s="675" t="s">
        <v>545</v>
      </c>
      <c r="C5131" s="676" t="s">
        <v>5055</v>
      </c>
      <c r="D5131" s="675"/>
      <c r="E5131" s="675"/>
      <c r="G5131" s="675"/>
      <c r="H5131" s="675"/>
      <c r="I5131" s="675"/>
      <c r="J5131" s="675"/>
      <c r="K5131" s="675"/>
      <c r="L5131" s="675"/>
      <c r="M5131" s="675"/>
    </row>
    <row r="5132" spans="1:13" x14ac:dyDescent="0.25">
      <c r="A5132" s="675" t="s">
        <v>5044</v>
      </c>
      <c r="B5132" s="675" t="s">
        <v>545</v>
      </c>
      <c r="C5132" s="676" t="s">
        <v>5056</v>
      </c>
      <c r="D5132" s="675"/>
      <c r="E5132" s="675"/>
      <c r="G5132" s="675"/>
      <c r="H5132" s="675"/>
      <c r="I5132" s="675"/>
      <c r="J5132" s="675"/>
      <c r="K5132" s="675"/>
      <c r="L5132" s="675"/>
      <c r="M5132" s="675"/>
    </row>
    <row r="5133" spans="1:13" x14ac:dyDescent="0.25">
      <c r="A5133" s="675" t="s">
        <v>5044</v>
      </c>
      <c r="B5133" s="675" t="s">
        <v>545</v>
      </c>
      <c r="C5133" s="676" t="s">
        <v>5057</v>
      </c>
      <c r="D5133" s="675"/>
      <c r="E5133" s="675"/>
      <c r="G5133" s="675"/>
      <c r="H5133" s="675"/>
      <c r="I5133" s="675"/>
      <c r="J5133" s="675"/>
      <c r="K5133" s="675"/>
      <c r="L5133" s="675"/>
      <c r="M5133" s="675"/>
    </row>
    <row r="5134" spans="1:13" x14ac:dyDescent="0.25">
      <c r="A5134" s="675" t="s">
        <v>5044</v>
      </c>
      <c r="B5134" s="675" t="s">
        <v>545</v>
      </c>
      <c r="C5134" s="676" t="s">
        <v>5058</v>
      </c>
      <c r="D5134" s="675"/>
      <c r="E5134" s="675"/>
      <c r="G5134" s="675"/>
      <c r="H5134" s="675"/>
      <c r="I5134" s="675"/>
      <c r="J5134" s="675"/>
      <c r="K5134" s="675"/>
      <c r="L5134" s="675"/>
      <c r="M5134" s="675"/>
    </row>
    <row r="5135" spans="1:13" ht="30" x14ac:dyDescent="0.25">
      <c r="A5135" s="675" t="s">
        <v>5044</v>
      </c>
      <c r="B5135" s="675" t="s">
        <v>545</v>
      </c>
      <c r="C5135" s="676" t="s">
        <v>5059</v>
      </c>
      <c r="D5135" s="675"/>
      <c r="E5135" s="675"/>
      <c r="G5135" s="675"/>
      <c r="H5135" s="675"/>
      <c r="I5135" s="675"/>
      <c r="J5135" s="675"/>
      <c r="K5135" s="675"/>
      <c r="L5135" s="675"/>
      <c r="M5135" s="675"/>
    </row>
    <row r="5136" spans="1:13" x14ac:dyDescent="0.25">
      <c r="A5136" s="675" t="s">
        <v>5044</v>
      </c>
      <c r="B5136" s="675" t="s">
        <v>564</v>
      </c>
      <c r="C5136" s="675" t="s">
        <v>5060</v>
      </c>
      <c r="D5136" s="675"/>
      <c r="E5136" s="675"/>
      <c r="G5136" s="675"/>
      <c r="H5136" s="675"/>
      <c r="I5136" s="675"/>
      <c r="J5136" s="675"/>
      <c r="K5136" s="675"/>
      <c r="L5136" s="675"/>
      <c r="M5136" s="675"/>
    </row>
    <row r="5137" spans="1:13" x14ac:dyDescent="0.25">
      <c r="A5137" s="675" t="s">
        <v>5044</v>
      </c>
      <c r="B5137" s="675" t="s">
        <v>564</v>
      </c>
      <c r="C5137" s="675" t="s">
        <v>5061</v>
      </c>
      <c r="D5137" s="675"/>
      <c r="E5137" s="675"/>
      <c r="G5137" s="675"/>
      <c r="H5137" s="675"/>
      <c r="I5137" s="675"/>
      <c r="J5137" s="675"/>
      <c r="K5137" s="675"/>
      <c r="L5137" s="675"/>
      <c r="M5137" s="675"/>
    </row>
    <row r="5138" spans="1:13" x14ac:dyDescent="0.25">
      <c r="A5138" s="675" t="s">
        <v>5044</v>
      </c>
      <c r="B5138" s="675" t="s">
        <v>564</v>
      </c>
      <c r="C5138" s="675" t="s">
        <v>5062</v>
      </c>
      <c r="D5138" s="675"/>
      <c r="E5138" s="675"/>
      <c r="G5138" s="675"/>
      <c r="H5138" s="675"/>
      <c r="I5138" s="675"/>
      <c r="J5138" s="675"/>
      <c r="K5138" s="675"/>
      <c r="L5138" s="675"/>
      <c r="M5138" s="675"/>
    </row>
    <row r="5139" spans="1:13" x14ac:dyDescent="0.25">
      <c r="A5139" s="675" t="s">
        <v>5044</v>
      </c>
      <c r="B5139" s="675" t="s">
        <v>564</v>
      </c>
      <c r="C5139" s="675" t="s">
        <v>5063</v>
      </c>
      <c r="D5139" s="675"/>
      <c r="E5139" s="675"/>
      <c r="G5139" s="675"/>
      <c r="H5139" s="675"/>
      <c r="I5139" s="675"/>
      <c r="J5139" s="675"/>
      <c r="K5139" s="675"/>
      <c r="L5139" s="675"/>
      <c r="M5139" s="675"/>
    </row>
    <row r="5140" spans="1:13" x14ac:dyDescent="0.25">
      <c r="A5140" s="675" t="s">
        <v>5044</v>
      </c>
      <c r="B5140" s="675" t="s">
        <v>564</v>
      </c>
      <c r="C5140" s="675" t="s">
        <v>5064</v>
      </c>
      <c r="D5140" s="675"/>
      <c r="E5140" s="675"/>
      <c r="G5140" s="675"/>
      <c r="H5140" s="675"/>
      <c r="I5140" s="675"/>
      <c r="J5140" s="675"/>
      <c r="K5140" s="675"/>
      <c r="L5140" s="675"/>
      <c r="M5140" s="675"/>
    </row>
    <row r="5141" spans="1:13" x14ac:dyDescent="0.25">
      <c r="A5141" s="675" t="s">
        <v>5044</v>
      </c>
      <c r="B5141" s="675" t="s">
        <v>564</v>
      </c>
      <c r="C5141" s="675" t="s">
        <v>5065</v>
      </c>
      <c r="D5141" s="675"/>
      <c r="E5141" s="675"/>
      <c r="G5141" s="675"/>
      <c r="H5141" s="675"/>
      <c r="I5141" s="675"/>
      <c r="J5141" s="675"/>
      <c r="K5141" s="675"/>
      <c r="L5141" s="675"/>
      <c r="M5141" s="675"/>
    </row>
    <row r="5142" spans="1:13" x14ac:dyDescent="0.25">
      <c r="A5142" s="675" t="s">
        <v>5044</v>
      </c>
      <c r="B5142" s="675" t="s">
        <v>564</v>
      </c>
      <c r="C5142" s="675" t="s">
        <v>5066</v>
      </c>
      <c r="D5142" s="675"/>
      <c r="E5142" s="675"/>
      <c r="G5142" s="675"/>
      <c r="H5142" s="675"/>
      <c r="I5142" s="675"/>
      <c r="J5142" s="675"/>
      <c r="K5142" s="675"/>
      <c r="L5142" s="675"/>
      <c r="M5142" s="675"/>
    </row>
    <row r="5143" spans="1:13" x14ac:dyDescent="0.25">
      <c r="A5143" s="675" t="s">
        <v>5044</v>
      </c>
      <c r="B5143" s="675" t="s">
        <v>564</v>
      </c>
      <c r="C5143" s="675" t="s">
        <v>5067</v>
      </c>
      <c r="D5143" s="675"/>
      <c r="E5143" s="675"/>
      <c r="G5143" s="675"/>
      <c r="H5143" s="675"/>
      <c r="I5143" s="675"/>
      <c r="J5143" s="675"/>
      <c r="K5143" s="675"/>
      <c r="L5143" s="675"/>
      <c r="M5143" s="675"/>
    </row>
    <row r="5144" spans="1:13" x14ac:dyDescent="0.25">
      <c r="A5144" s="675" t="s">
        <v>5044</v>
      </c>
      <c r="B5144" s="675" t="s">
        <v>564</v>
      </c>
      <c r="C5144" s="675" t="s">
        <v>5068</v>
      </c>
      <c r="D5144" s="675"/>
      <c r="E5144" s="675"/>
      <c r="G5144" s="675"/>
      <c r="H5144" s="675"/>
      <c r="I5144" s="675"/>
      <c r="J5144" s="675"/>
      <c r="K5144" s="675"/>
      <c r="L5144" s="675"/>
      <c r="M5144" s="675"/>
    </row>
    <row r="5145" spans="1:13" x14ac:dyDescent="0.25">
      <c r="A5145" s="675" t="s">
        <v>5044</v>
      </c>
      <c r="B5145" s="675" t="s">
        <v>564</v>
      </c>
      <c r="C5145" s="675" t="s">
        <v>5069</v>
      </c>
      <c r="D5145" s="675"/>
      <c r="E5145" s="675"/>
      <c r="G5145" s="675"/>
      <c r="H5145" s="675"/>
      <c r="I5145" s="675"/>
      <c r="J5145" s="675"/>
      <c r="K5145" s="675"/>
      <c r="L5145" s="675"/>
      <c r="M5145" s="675"/>
    </row>
    <row r="5146" spans="1:13" x14ac:dyDescent="0.25">
      <c r="A5146" s="675" t="s">
        <v>5044</v>
      </c>
      <c r="B5146" s="675" t="s">
        <v>564</v>
      </c>
      <c r="C5146" s="675" t="s">
        <v>5070</v>
      </c>
      <c r="D5146" s="675"/>
      <c r="E5146" s="675"/>
      <c r="G5146" s="675"/>
      <c r="H5146" s="675"/>
      <c r="I5146" s="675"/>
      <c r="J5146" s="675"/>
      <c r="K5146" s="675"/>
      <c r="L5146" s="675"/>
      <c r="M5146" s="675"/>
    </row>
    <row r="5147" spans="1:13" x14ac:dyDescent="0.25">
      <c r="A5147" s="675" t="s">
        <v>5044</v>
      </c>
      <c r="B5147" s="675" t="s">
        <v>564</v>
      </c>
      <c r="C5147" s="675" t="s">
        <v>5071</v>
      </c>
      <c r="D5147" s="675"/>
      <c r="E5147" s="675"/>
      <c r="G5147" s="675"/>
      <c r="H5147" s="675"/>
      <c r="I5147" s="675"/>
      <c r="J5147" s="675"/>
      <c r="K5147" s="675"/>
      <c r="L5147" s="675"/>
      <c r="M5147" s="675"/>
    </row>
    <row r="5148" spans="1:13" x14ac:dyDescent="0.25">
      <c r="A5148" s="675" t="s">
        <v>5044</v>
      </c>
      <c r="B5148" s="675" t="s">
        <v>564</v>
      </c>
      <c r="C5148" s="675" t="s">
        <v>5072</v>
      </c>
      <c r="D5148" s="675"/>
      <c r="E5148" s="675"/>
      <c r="G5148" s="675"/>
      <c r="H5148" s="675"/>
      <c r="I5148" s="675"/>
      <c r="J5148" s="675"/>
      <c r="K5148" s="675"/>
      <c r="L5148" s="675"/>
      <c r="M5148" s="675"/>
    </row>
    <row r="5149" spans="1:13" x14ac:dyDescent="0.25">
      <c r="A5149" s="675" t="s">
        <v>5044</v>
      </c>
      <c r="B5149" s="675" t="s">
        <v>564</v>
      </c>
      <c r="C5149" s="675" t="s">
        <v>5073</v>
      </c>
      <c r="D5149" s="675"/>
      <c r="E5149" s="675"/>
      <c r="G5149" s="675"/>
      <c r="H5149" s="675"/>
      <c r="I5149" s="675"/>
      <c r="J5149" s="675"/>
      <c r="K5149" s="675"/>
      <c r="L5149" s="675"/>
      <c r="M5149" s="675"/>
    </row>
    <row r="5150" spans="1:13" x14ac:dyDescent="0.25">
      <c r="A5150" s="675" t="s">
        <v>5044</v>
      </c>
      <c r="B5150" s="675" t="s">
        <v>564</v>
      </c>
      <c r="C5150" s="675" t="s">
        <v>5074</v>
      </c>
      <c r="D5150" s="675"/>
      <c r="E5150" s="675"/>
      <c r="G5150" s="675"/>
      <c r="H5150" s="675"/>
      <c r="I5150" s="675"/>
      <c r="J5150" s="675"/>
      <c r="K5150" s="675"/>
      <c r="L5150" s="675"/>
      <c r="M5150" s="675"/>
    </row>
    <row r="5151" spans="1:13" x14ac:dyDescent="0.25">
      <c r="A5151" s="675" t="s">
        <v>5044</v>
      </c>
      <c r="B5151" s="675" t="s">
        <v>512</v>
      </c>
      <c r="C5151" s="675" t="s">
        <v>5075</v>
      </c>
      <c r="D5151" s="675"/>
      <c r="E5151" s="675"/>
      <c r="G5151" s="675"/>
      <c r="H5151" s="675"/>
      <c r="I5151" s="675"/>
      <c r="J5151" s="675"/>
      <c r="K5151" s="675"/>
      <c r="L5151" s="675"/>
      <c r="M5151" s="675"/>
    </row>
    <row r="5152" spans="1:13" x14ac:dyDescent="0.25">
      <c r="A5152" s="675" t="s">
        <v>5044</v>
      </c>
      <c r="B5152" s="675" t="s">
        <v>512</v>
      </c>
      <c r="C5152" s="675" t="s">
        <v>5076</v>
      </c>
      <c r="D5152" s="675"/>
      <c r="E5152" s="675"/>
      <c r="G5152" s="675"/>
      <c r="H5152" s="675"/>
      <c r="I5152" s="675"/>
      <c r="J5152" s="675"/>
      <c r="K5152" s="675"/>
      <c r="L5152" s="675"/>
      <c r="M5152" s="675"/>
    </row>
    <row r="5153" spans="1:13" x14ac:dyDescent="0.25">
      <c r="A5153" s="675" t="s">
        <v>5044</v>
      </c>
      <c r="B5153" s="675" t="s">
        <v>512</v>
      </c>
      <c r="C5153" s="675" t="s">
        <v>5077</v>
      </c>
      <c r="D5153" s="675"/>
      <c r="E5153" s="675"/>
      <c r="G5153" s="675"/>
      <c r="H5153" s="675"/>
      <c r="I5153" s="675"/>
      <c r="J5153" s="675"/>
      <c r="K5153" s="675"/>
      <c r="L5153" s="675"/>
      <c r="M5153" s="675"/>
    </row>
    <row r="5154" spans="1:13" x14ac:dyDescent="0.25">
      <c r="A5154" s="675" t="s">
        <v>5044</v>
      </c>
      <c r="B5154" s="675" t="s">
        <v>512</v>
      </c>
      <c r="C5154" s="675" t="s">
        <v>5078</v>
      </c>
      <c r="D5154" s="675"/>
      <c r="E5154" s="675"/>
      <c r="G5154" s="675"/>
      <c r="H5154" s="675"/>
      <c r="I5154" s="675"/>
      <c r="J5154" s="675"/>
      <c r="K5154" s="675"/>
      <c r="L5154" s="675"/>
      <c r="M5154" s="675"/>
    </row>
    <row r="5155" spans="1:13" x14ac:dyDescent="0.25">
      <c r="A5155" s="675" t="s">
        <v>5044</v>
      </c>
      <c r="B5155" s="675" t="s">
        <v>512</v>
      </c>
      <c r="C5155" s="675" t="s">
        <v>5079</v>
      </c>
      <c r="D5155" s="675"/>
      <c r="E5155" s="675"/>
      <c r="G5155" s="675"/>
      <c r="H5155" s="675"/>
      <c r="I5155" s="675"/>
      <c r="J5155" s="675"/>
      <c r="K5155" s="675"/>
      <c r="L5155" s="675"/>
      <c r="M5155" s="675"/>
    </row>
    <row r="5156" spans="1:13" x14ac:dyDescent="0.25">
      <c r="A5156" s="675" t="s">
        <v>5044</v>
      </c>
      <c r="B5156" s="675" t="s">
        <v>512</v>
      </c>
      <c r="C5156" s="675" t="s">
        <v>5080</v>
      </c>
      <c r="D5156" s="675"/>
      <c r="E5156" s="675"/>
      <c r="G5156" s="675"/>
      <c r="H5156" s="675"/>
      <c r="I5156" s="675"/>
      <c r="J5156" s="675"/>
      <c r="K5156" s="675"/>
      <c r="L5156" s="675"/>
      <c r="M5156" s="675"/>
    </row>
    <row r="5157" spans="1:13" x14ac:dyDescent="0.25">
      <c r="A5157" s="675" t="s">
        <v>5044</v>
      </c>
      <c r="B5157" s="675" t="s">
        <v>512</v>
      </c>
      <c r="C5157" s="675" t="s">
        <v>5081</v>
      </c>
      <c r="D5157" s="675"/>
      <c r="E5157" s="675"/>
      <c r="G5157" s="675"/>
      <c r="H5157" s="675"/>
      <c r="I5157" s="675"/>
      <c r="J5157" s="675"/>
      <c r="K5157" s="675"/>
      <c r="L5157" s="675"/>
      <c r="M5157" s="675"/>
    </row>
    <row r="5158" spans="1:13" x14ac:dyDescent="0.25">
      <c r="A5158" s="675" t="s">
        <v>5044</v>
      </c>
      <c r="B5158" s="675" t="s">
        <v>512</v>
      </c>
      <c r="C5158" s="675" t="s">
        <v>5082</v>
      </c>
      <c r="D5158" s="675"/>
      <c r="E5158" s="675"/>
      <c r="G5158" s="675"/>
      <c r="H5158" s="675"/>
      <c r="I5158" s="675"/>
      <c r="J5158" s="675"/>
      <c r="K5158" s="675"/>
      <c r="L5158" s="675"/>
      <c r="M5158" s="675"/>
    </row>
    <row r="5159" spans="1:13" x14ac:dyDescent="0.25">
      <c r="A5159" s="675" t="s">
        <v>5044</v>
      </c>
      <c r="B5159" s="675" t="s">
        <v>512</v>
      </c>
      <c r="C5159" s="675" t="s">
        <v>5083</v>
      </c>
      <c r="D5159" s="675"/>
      <c r="E5159" s="675"/>
      <c r="G5159" s="675"/>
      <c r="H5159" s="675"/>
      <c r="I5159" s="675"/>
      <c r="J5159" s="675"/>
      <c r="K5159" s="675"/>
      <c r="L5159" s="675"/>
      <c r="M5159" s="675"/>
    </row>
    <row r="5160" spans="1:13" x14ac:dyDescent="0.25">
      <c r="A5160" s="675" t="s">
        <v>5044</v>
      </c>
      <c r="B5160" s="675" t="s">
        <v>512</v>
      </c>
      <c r="C5160" s="675" t="s">
        <v>5084</v>
      </c>
      <c r="D5160" s="675"/>
      <c r="E5160" s="675"/>
      <c r="G5160" s="675"/>
      <c r="H5160" s="675"/>
      <c r="I5160" s="675"/>
      <c r="J5160" s="675"/>
      <c r="K5160" s="675"/>
      <c r="L5160" s="675"/>
      <c r="M5160" s="675"/>
    </row>
    <row r="5161" spans="1:13" x14ac:dyDescent="0.25">
      <c r="A5161" s="675" t="s">
        <v>5044</v>
      </c>
      <c r="B5161" s="675" t="s">
        <v>512</v>
      </c>
      <c r="C5161" s="675" t="s">
        <v>5085</v>
      </c>
      <c r="D5161" s="675"/>
      <c r="E5161" s="675"/>
      <c r="G5161" s="675"/>
      <c r="H5161" s="675"/>
      <c r="I5161" s="675"/>
      <c r="J5161" s="675"/>
      <c r="K5161" s="675"/>
      <c r="L5161" s="675"/>
      <c r="M5161" s="675"/>
    </row>
    <row r="5162" spans="1:13" x14ac:dyDescent="0.25">
      <c r="A5162" s="675" t="s">
        <v>5044</v>
      </c>
      <c r="B5162" s="675" t="s">
        <v>512</v>
      </c>
      <c r="C5162" s="675" t="s">
        <v>5086</v>
      </c>
      <c r="D5162" s="675"/>
      <c r="E5162" s="675"/>
      <c r="G5162" s="675"/>
      <c r="H5162" s="675"/>
      <c r="I5162" s="675"/>
      <c r="J5162" s="675"/>
      <c r="K5162" s="675"/>
      <c r="L5162" s="675"/>
      <c r="M5162" s="675"/>
    </row>
    <row r="5163" spans="1:13" x14ac:dyDescent="0.25">
      <c r="A5163" s="675" t="s">
        <v>5044</v>
      </c>
      <c r="B5163" s="675" t="s">
        <v>512</v>
      </c>
      <c r="C5163" s="675" t="s">
        <v>5087</v>
      </c>
      <c r="D5163" s="675"/>
      <c r="E5163" s="675"/>
      <c r="G5163" s="675"/>
      <c r="H5163" s="675"/>
      <c r="I5163" s="675"/>
      <c r="J5163" s="675"/>
      <c r="K5163" s="675"/>
      <c r="L5163" s="675"/>
      <c r="M5163" s="675"/>
    </row>
    <row r="5164" spans="1:13" x14ac:dyDescent="0.25">
      <c r="A5164" s="675" t="s">
        <v>5044</v>
      </c>
      <c r="B5164" s="675" t="s">
        <v>512</v>
      </c>
      <c r="C5164" s="675" t="s">
        <v>5088</v>
      </c>
      <c r="D5164" s="675"/>
      <c r="E5164" s="675"/>
      <c r="G5164" s="675"/>
      <c r="H5164" s="675"/>
      <c r="I5164" s="675"/>
      <c r="J5164" s="675"/>
      <c r="K5164" s="675"/>
      <c r="L5164" s="675"/>
      <c r="M5164" s="675"/>
    </row>
    <row r="5165" spans="1:13" x14ac:dyDescent="0.25">
      <c r="A5165" s="675" t="s">
        <v>5044</v>
      </c>
      <c r="B5165" s="675" t="s">
        <v>512</v>
      </c>
      <c r="C5165" s="675" t="s">
        <v>5089</v>
      </c>
      <c r="D5165" s="675"/>
      <c r="E5165" s="675"/>
      <c r="G5165" s="675"/>
      <c r="H5165" s="675"/>
      <c r="I5165" s="675"/>
      <c r="J5165" s="675"/>
      <c r="K5165" s="675"/>
      <c r="L5165" s="675"/>
      <c r="M5165" s="675"/>
    </row>
    <row r="5166" spans="1:13" x14ac:dyDescent="0.25">
      <c r="A5166" s="675" t="s">
        <v>773</v>
      </c>
      <c r="B5166" s="675" t="s">
        <v>545</v>
      </c>
      <c r="C5166" s="675" t="s">
        <v>5090</v>
      </c>
      <c r="D5166" s="675"/>
      <c r="E5166" s="675"/>
      <c r="G5166" s="675"/>
      <c r="H5166" s="675"/>
      <c r="I5166" s="675"/>
      <c r="J5166" s="675"/>
      <c r="K5166" s="675"/>
      <c r="L5166" s="675"/>
      <c r="M5166" s="675"/>
    </row>
    <row r="5167" spans="1:13" x14ac:dyDescent="0.25">
      <c r="A5167" s="675" t="s">
        <v>773</v>
      </c>
      <c r="B5167" s="675" t="s">
        <v>545</v>
      </c>
      <c r="C5167" s="675" t="s">
        <v>5091</v>
      </c>
      <c r="D5167" s="675"/>
      <c r="E5167" s="675"/>
      <c r="G5167" s="675"/>
      <c r="H5167" s="675"/>
      <c r="I5167" s="675"/>
      <c r="J5167" s="675"/>
      <c r="K5167" s="675"/>
      <c r="L5167" s="675"/>
      <c r="M5167" s="675"/>
    </row>
    <row r="5168" spans="1:13" x14ac:dyDescent="0.25">
      <c r="A5168" s="675" t="s">
        <v>773</v>
      </c>
      <c r="B5168" s="675" t="s">
        <v>545</v>
      </c>
      <c r="C5168" s="675" t="s">
        <v>5092</v>
      </c>
      <c r="D5168" s="675"/>
      <c r="E5168" s="675"/>
      <c r="G5168" s="675"/>
      <c r="H5168" s="675"/>
      <c r="I5168" s="675"/>
      <c r="J5168" s="675"/>
      <c r="K5168" s="675"/>
      <c r="L5168" s="675"/>
      <c r="M5168" s="675"/>
    </row>
    <row r="5169" spans="1:13" x14ac:dyDescent="0.25">
      <c r="A5169" s="675" t="s">
        <v>773</v>
      </c>
      <c r="B5169" s="675" t="s">
        <v>545</v>
      </c>
      <c r="C5169" s="675" t="s">
        <v>5093</v>
      </c>
      <c r="D5169" s="675"/>
      <c r="E5169" s="675"/>
      <c r="G5169" s="675"/>
      <c r="H5169" s="675"/>
      <c r="I5169" s="675"/>
      <c r="J5169" s="675"/>
      <c r="K5169" s="675"/>
      <c r="L5169" s="675"/>
      <c r="M5169" s="675"/>
    </row>
    <row r="5170" spans="1:13" x14ac:dyDescent="0.25">
      <c r="A5170" s="675" t="s">
        <v>773</v>
      </c>
      <c r="B5170" s="675" t="s">
        <v>545</v>
      </c>
      <c r="C5170" s="675" t="s">
        <v>5094</v>
      </c>
      <c r="D5170" s="675"/>
      <c r="E5170" s="675"/>
      <c r="G5170" s="675"/>
      <c r="H5170" s="675"/>
      <c r="I5170" s="675"/>
      <c r="J5170" s="675"/>
      <c r="K5170" s="675"/>
      <c r="L5170" s="675"/>
      <c r="M5170" s="675"/>
    </row>
    <row r="5171" spans="1:13" x14ac:dyDescent="0.25">
      <c r="A5171" s="675" t="s">
        <v>773</v>
      </c>
      <c r="B5171" s="675" t="s">
        <v>545</v>
      </c>
      <c r="C5171" s="675" t="s">
        <v>5095</v>
      </c>
      <c r="D5171" s="675"/>
      <c r="E5171" s="675"/>
      <c r="G5171" s="675"/>
      <c r="H5171" s="675"/>
      <c r="I5171" s="675"/>
      <c r="J5171" s="675"/>
      <c r="K5171" s="675"/>
      <c r="L5171" s="675"/>
      <c r="M5171" s="675"/>
    </row>
    <row r="5172" spans="1:13" x14ac:dyDescent="0.25">
      <c r="A5172" s="675" t="s">
        <v>773</v>
      </c>
      <c r="B5172" s="675" t="s">
        <v>545</v>
      </c>
      <c r="C5172" s="675" t="s">
        <v>5096</v>
      </c>
      <c r="D5172" s="675"/>
      <c r="E5172" s="675"/>
      <c r="G5172" s="675"/>
      <c r="H5172" s="675"/>
      <c r="I5172" s="675"/>
      <c r="J5172" s="675"/>
      <c r="K5172" s="675"/>
      <c r="L5172" s="675"/>
      <c r="M5172" s="675"/>
    </row>
    <row r="5173" spans="1:13" x14ac:dyDescent="0.25">
      <c r="A5173" s="675" t="s">
        <v>773</v>
      </c>
      <c r="B5173" s="675" t="s">
        <v>545</v>
      </c>
      <c r="C5173" s="675" t="s">
        <v>5097</v>
      </c>
      <c r="D5173" s="675"/>
      <c r="E5173" s="675"/>
      <c r="G5173" s="675"/>
      <c r="H5173" s="675"/>
      <c r="I5173" s="675"/>
      <c r="J5173" s="675"/>
      <c r="K5173" s="675"/>
      <c r="L5173" s="675"/>
      <c r="M5173" s="675"/>
    </row>
    <row r="5174" spans="1:13" x14ac:dyDescent="0.25">
      <c r="A5174" s="675" t="s">
        <v>773</v>
      </c>
      <c r="B5174" s="675" t="s">
        <v>545</v>
      </c>
      <c r="C5174" s="675" t="s">
        <v>5098</v>
      </c>
      <c r="D5174" s="675"/>
      <c r="E5174" s="675"/>
      <c r="G5174" s="675"/>
      <c r="H5174" s="675"/>
      <c r="I5174" s="675"/>
      <c r="J5174" s="675"/>
      <c r="K5174" s="675"/>
      <c r="L5174" s="675"/>
      <c r="M5174" s="675"/>
    </row>
    <row r="5175" spans="1:13" x14ac:dyDescent="0.25">
      <c r="A5175" s="675" t="s">
        <v>773</v>
      </c>
      <c r="B5175" s="675" t="s">
        <v>545</v>
      </c>
      <c r="C5175" s="675" t="s">
        <v>5099</v>
      </c>
      <c r="D5175" s="675"/>
      <c r="E5175" s="675"/>
      <c r="G5175" s="675"/>
      <c r="H5175" s="675"/>
      <c r="I5175" s="675"/>
      <c r="J5175" s="675"/>
      <c r="K5175" s="675"/>
      <c r="L5175" s="675"/>
      <c r="M5175" s="675"/>
    </row>
    <row r="5176" spans="1:13" x14ac:dyDescent="0.25">
      <c r="A5176" s="675" t="s">
        <v>773</v>
      </c>
      <c r="B5176" s="675" t="s">
        <v>545</v>
      </c>
      <c r="C5176" s="675" t="s">
        <v>5100</v>
      </c>
      <c r="D5176" s="675"/>
      <c r="E5176" s="675"/>
      <c r="G5176" s="675"/>
      <c r="H5176" s="675"/>
      <c r="I5176" s="675"/>
      <c r="J5176" s="675"/>
      <c r="K5176" s="675"/>
      <c r="L5176" s="675"/>
      <c r="M5176" s="675"/>
    </row>
    <row r="5177" spans="1:13" x14ac:dyDescent="0.25">
      <c r="A5177" s="675" t="s">
        <v>773</v>
      </c>
      <c r="B5177" s="675" t="s">
        <v>545</v>
      </c>
      <c r="C5177" s="675" t="s">
        <v>5101</v>
      </c>
      <c r="D5177" s="675"/>
      <c r="E5177" s="675"/>
      <c r="G5177" s="675"/>
      <c r="H5177" s="675"/>
      <c r="I5177" s="675"/>
      <c r="J5177" s="675"/>
      <c r="K5177" s="675"/>
      <c r="L5177" s="675"/>
      <c r="M5177" s="675"/>
    </row>
    <row r="5178" spans="1:13" x14ac:dyDescent="0.25">
      <c r="A5178" s="675" t="s">
        <v>773</v>
      </c>
      <c r="B5178" s="675" t="s">
        <v>545</v>
      </c>
      <c r="C5178" s="675" t="s">
        <v>5102</v>
      </c>
      <c r="D5178" s="675"/>
      <c r="E5178" s="675"/>
      <c r="G5178" s="675"/>
      <c r="H5178" s="675"/>
      <c r="I5178" s="675"/>
      <c r="J5178" s="675"/>
      <c r="K5178" s="675"/>
      <c r="L5178" s="675"/>
      <c r="M5178" s="675"/>
    </row>
    <row r="5179" spans="1:13" x14ac:dyDescent="0.25">
      <c r="A5179" s="675" t="s">
        <v>773</v>
      </c>
      <c r="B5179" s="675" t="s">
        <v>545</v>
      </c>
      <c r="C5179" s="675" t="s">
        <v>5103</v>
      </c>
      <c r="D5179" s="675"/>
      <c r="E5179" s="675"/>
      <c r="G5179" s="675"/>
      <c r="H5179" s="675"/>
      <c r="I5179" s="675"/>
      <c r="J5179" s="675"/>
      <c r="K5179" s="675"/>
      <c r="L5179" s="675"/>
      <c r="M5179" s="675"/>
    </row>
    <row r="5180" spans="1:13" x14ac:dyDescent="0.25">
      <c r="A5180" s="675" t="s">
        <v>773</v>
      </c>
      <c r="B5180" s="675" t="s">
        <v>545</v>
      </c>
      <c r="C5180" s="675" t="s">
        <v>5104</v>
      </c>
      <c r="D5180" s="675"/>
      <c r="E5180" s="675"/>
      <c r="G5180" s="675"/>
      <c r="H5180" s="675"/>
      <c r="I5180" s="675"/>
      <c r="J5180" s="675"/>
      <c r="K5180" s="675"/>
      <c r="L5180" s="675"/>
      <c r="M5180" s="675"/>
    </row>
    <row r="5181" spans="1:13" x14ac:dyDescent="0.25">
      <c r="A5181" s="675" t="s">
        <v>773</v>
      </c>
      <c r="B5181" s="675" t="s">
        <v>564</v>
      </c>
      <c r="C5181" s="675" t="s">
        <v>5105</v>
      </c>
      <c r="D5181" s="675"/>
      <c r="E5181" s="675"/>
      <c r="G5181" s="675"/>
      <c r="H5181" s="675"/>
      <c r="I5181" s="675"/>
      <c r="J5181" s="675"/>
      <c r="K5181" s="675"/>
      <c r="L5181" s="675"/>
      <c r="M5181" s="675"/>
    </row>
    <row r="5182" spans="1:13" x14ac:dyDescent="0.25">
      <c r="A5182" s="675" t="s">
        <v>773</v>
      </c>
      <c r="B5182" s="675" t="s">
        <v>564</v>
      </c>
      <c r="C5182" s="675" t="s">
        <v>5106</v>
      </c>
      <c r="D5182" s="675"/>
      <c r="E5182" s="675"/>
      <c r="G5182" s="675"/>
      <c r="H5182" s="675"/>
      <c r="I5182" s="675"/>
      <c r="J5182" s="675"/>
      <c r="K5182" s="675"/>
      <c r="L5182" s="675"/>
      <c r="M5182" s="675"/>
    </row>
    <row r="5183" spans="1:13" x14ac:dyDescent="0.25">
      <c r="A5183" s="675" t="s">
        <v>773</v>
      </c>
      <c r="B5183" s="675" t="s">
        <v>564</v>
      </c>
      <c r="C5183" s="675" t="s">
        <v>5107</v>
      </c>
      <c r="D5183" s="675"/>
      <c r="E5183" s="675"/>
      <c r="G5183" s="675"/>
      <c r="H5183" s="675"/>
      <c r="I5183" s="675"/>
      <c r="J5183" s="675"/>
      <c r="K5183" s="675"/>
      <c r="L5183" s="675"/>
      <c r="M5183" s="675"/>
    </row>
    <row r="5184" spans="1:13" x14ac:dyDescent="0.25">
      <c r="A5184" s="675" t="s">
        <v>773</v>
      </c>
      <c r="B5184" s="675" t="s">
        <v>564</v>
      </c>
      <c r="C5184" s="675" t="s">
        <v>5108</v>
      </c>
      <c r="D5184" s="675"/>
      <c r="E5184" s="675"/>
      <c r="G5184" s="675"/>
      <c r="H5184" s="675"/>
      <c r="I5184" s="675"/>
      <c r="J5184" s="675"/>
      <c r="K5184" s="675"/>
      <c r="L5184" s="675"/>
      <c r="M5184" s="675"/>
    </row>
    <row r="5185" spans="1:13" x14ac:dyDescent="0.25">
      <c r="A5185" s="675" t="s">
        <v>773</v>
      </c>
      <c r="B5185" s="675" t="s">
        <v>564</v>
      </c>
      <c r="C5185" s="675" t="s">
        <v>5109</v>
      </c>
      <c r="D5185" s="675"/>
      <c r="E5185" s="675"/>
      <c r="G5185" s="675"/>
      <c r="H5185" s="675"/>
      <c r="I5185" s="675"/>
      <c r="J5185" s="675"/>
      <c r="K5185" s="675"/>
      <c r="L5185" s="675"/>
      <c r="M5185" s="675"/>
    </row>
    <row r="5186" spans="1:13" x14ac:dyDescent="0.25">
      <c r="A5186" s="675" t="s">
        <v>773</v>
      </c>
      <c r="B5186" s="675" t="s">
        <v>564</v>
      </c>
      <c r="C5186" s="675" t="s">
        <v>5110</v>
      </c>
      <c r="D5186" s="675"/>
      <c r="E5186" s="675"/>
      <c r="G5186" s="675"/>
      <c r="H5186" s="675"/>
      <c r="I5186" s="675"/>
      <c r="J5186" s="675"/>
      <c r="K5186" s="675"/>
      <c r="L5186" s="675"/>
      <c r="M5186" s="675"/>
    </row>
    <row r="5187" spans="1:13" x14ac:dyDescent="0.25">
      <c r="A5187" s="675" t="s">
        <v>773</v>
      </c>
      <c r="B5187" s="675" t="s">
        <v>564</v>
      </c>
      <c r="C5187" s="675" t="s">
        <v>5111</v>
      </c>
      <c r="D5187" s="675"/>
      <c r="E5187" s="675"/>
      <c r="G5187" s="675"/>
      <c r="H5187" s="675"/>
      <c r="I5187" s="675"/>
      <c r="J5187" s="675"/>
      <c r="K5187" s="675"/>
      <c r="L5187" s="675"/>
      <c r="M5187" s="675"/>
    </row>
    <row r="5188" spans="1:13" x14ac:dyDescent="0.25">
      <c r="A5188" s="675" t="s">
        <v>773</v>
      </c>
      <c r="B5188" s="675" t="s">
        <v>564</v>
      </c>
      <c r="C5188" s="675" t="s">
        <v>5112</v>
      </c>
      <c r="D5188" s="675"/>
      <c r="E5188" s="675"/>
      <c r="G5188" s="675"/>
      <c r="H5188" s="675"/>
      <c r="I5188" s="675"/>
      <c r="J5188" s="675"/>
      <c r="K5188" s="675"/>
      <c r="L5188" s="675"/>
      <c r="M5188" s="675"/>
    </row>
    <row r="5189" spans="1:13" x14ac:dyDescent="0.25">
      <c r="A5189" s="675" t="s">
        <v>773</v>
      </c>
      <c r="B5189" s="675" t="s">
        <v>564</v>
      </c>
      <c r="C5189" s="675" t="s">
        <v>5113</v>
      </c>
      <c r="D5189" s="675"/>
      <c r="E5189" s="675"/>
      <c r="G5189" s="675"/>
      <c r="H5189" s="675"/>
      <c r="I5189" s="675"/>
      <c r="J5189" s="675"/>
      <c r="K5189" s="675"/>
      <c r="L5189" s="675"/>
      <c r="M5189" s="675"/>
    </row>
    <row r="5190" spans="1:13" x14ac:dyDescent="0.25">
      <c r="A5190" s="675" t="s">
        <v>773</v>
      </c>
      <c r="B5190" s="675" t="s">
        <v>564</v>
      </c>
      <c r="C5190" s="675" t="s">
        <v>5114</v>
      </c>
      <c r="D5190" s="675"/>
      <c r="E5190" s="675"/>
      <c r="G5190" s="675"/>
      <c r="H5190" s="675"/>
      <c r="I5190" s="675"/>
      <c r="J5190" s="675"/>
      <c r="K5190" s="675"/>
      <c r="L5190" s="675"/>
      <c r="M5190" s="675"/>
    </row>
    <row r="5191" spans="1:13" x14ac:dyDescent="0.25">
      <c r="A5191" s="675" t="s">
        <v>773</v>
      </c>
      <c r="B5191" s="675" t="s">
        <v>564</v>
      </c>
      <c r="C5191" s="675" t="s">
        <v>5115</v>
      </c>
      <c r="D5191" s="675"/>
      <c r="E5191" s="675"/>
      <c r="G5191" s="675"/>
      <c r="H5191" s="675"/>
      <c r="I5191" s="675"/>
      <c r="J5191" s="675"/>
      <c r="K5191" s="675"/>
      <c r="L5191" s="675"/>
      <c r="M5191" s="675"/>
    </row>
    <row r="5192" spans="1:13" x14ac:dyDescent="0.25">
      <c r="A5192" s="675" t="s">
        <v>773</v>
      </c>
      <c r="B5192" s="675" t="s">
        <v>564</v>
      </c>
      <c r="C5192" s="675" t="s">
        <v>5116</v>
      </c>
      <c r="D5192" s="675"/>
      <c r="E5192" s="675"/>
      <c r="G5192" s="675"/>
      <c r="H5192" s="675"/>
      <c r="I5192" s="675"/>
      <c r="J5192" s="675"/>
      <c r="K5192" s="675"/>
      <c r="L5192" s="675"/>
      <c r="M5192" s="675"/>
    </row>
    <row r="5193" spans="1:13" x14ac:dyDescent="0.25">
      <c r="A5193" s="675" t="s">
        <v>773</v>
      </c>
      <c r="B5193" s="675" t="s">
        <v>564</v>
      </c>
      <c r="C5193" s="675" t="s">
        <v>5117</v>
      </c>
      <c r="D5193" s="675"/>
      <c r="E5193" s="675"/>
      <c r="G5193" s="675"/>
      <c r="H5193" s="675"/>
      <c r="I5193" s="675"/>
      <c r="J5193" s="675"/>
      <c r="K5193" s="675"/>
      <c r="L5193" s="675"/>
      <c r="M5193" s="675"/>
    </row>
    <row r="5194" spans="1:13" x14ac:dyDescent="0.25">
      <c r="A5194" s="675" t="s">
        <v>773</v>
      </c>
      <c r="B5194" s="675" t="s">
        <v>564</v>
      </c>
      <c r="C5194" s="675" t="s">
        <v>5118</v>
      </c>
      <c r="D5194" s="675"/>
      <c r="E5194" s="675"/>
      <c r="G5194" s="675"/>
      <c r="H5194" s="675"/>
      <c r="I5194" s="675"/>
      <c r="J5194" s="675"/>
      <c r="K5194" s="675"/>
      <c r="L5194" s="675"/>
      <c r="M5194" s="675"/>
    </row>
    <row r="5195" spans="1:13" x14ac:dyDescent="0.25">
      <c r="A5195" s="675" t="s">
        <v>773</v>
      </c>
      <c r="B5195" s="675" t="s">
        <v>564</v>
      </c>
      <c r="C5195" s="675" t="s">
        <v>5119</v>
      </c>
      <c r="D5195" s="675"/>
      <c r="E5195" s="675"/>
      <c r="G5195" s="675"/>
      <c r="H5195" s="675"/>
      <c r="I5195" s="675"/>
      <c r="J5195" s="675"/>
      <c r="K5195" s="675"/>
      <c r="L5195" s="675"/>
      <c r="M5195" s="675"/>
    </row>
    <row r="5196" spans="1:13" x14ac:dyDescent="0.25">
      <c r="A5196" s="675" t="s">
        <v>773</v>
      </c>
      <c r="B5196" s="675" t="s">
        <v>512</v>
      </c>
      <c r="C5196" s="675" t="s">
        <v>5120</v>
      </c>
      <c r="D5196" s="675"/>
      <c r="E5196" s="675"/>
      <c r="G5196" s="675"/>
      <c r="H5196" s="675"/>
      <c r="I5196" s="675"/>
      <c r="J5196" s="675"/>
      <c r="K5196" s="675"/>
      <c r="L5196" s="675"/>
      <c r="M5196" s="675"/>
    </row>
    <row r="5197" spans="1:13" x14ac:dyDescent="0.25">
      <c r="A5197" s="675" t="s">
        <v>773</v>
      </c>
      <c r="B5197" s="675" t="s">
        <v>512</v>
      </c>
      <c r="C5197" s="675" t="s">
        <v>5121</v>
      </c>
      <c r="D5197" s="675"/>
      <c r="E5197" s="675"/>
      <c r="G5197" s="675"/>
      <c r="H5197" s="675"/>
      <c r="I5197" s="675"/>
      <c r="J5197" s="675"/>
      <c r="K5197" s="675"/>
      <c r="L5197" s="675"/>
      <c r="M5197" s="675"/>
    </row>
    <row r="5198" spans="1:13" x14ac:dyDescent="0.25">
      <c r="A5198" s="675" t="s">
        <v>773</v>
      </c>
      <c r="B5198" s="675" t="s">
        <v>512</v>
      </c>
      <c r="C5198" s="675" t="s">
        <v>5122</v>
      </c>
      <c r="D5198" s="675"/>
      <c r="E5198" s="675"/>
      <c r="G5198" s="675"/>
      <c r="H5198" s="675"/>
      <c r="I5198" s="675"/>
      <c r="J5198" s="675"/>
      <c r="K5198" s="675"/>
      <c r="L5198" s="675"/>
      <c r="M5198" s="675"/>
    </row>
    <row r="5199" spans="1:13" x14ac:dyDescent="0.25">
      <c r="A5199" s="675" t="s">
        <v>773</v>
      </c>
      <c r="B5199" s="675" t="s">
        <v>512</v>
      </c>
      <c r="C5199" s="675" t="s">
        <v>5123</v>
      </c>
      <c r="D5199" s="675"/>
      <c r="E5199" s="675"/>
      <c r="G5199" s="675"/>
      <c r="H5199" s="675"/>
      <c r="I5199" s="675"/>
      <c r="J5199" s="675"/>
      <c r="K5199" s="675"/>
      <c r="L5199" s="675"/>
      <c r="M5199" s="675"/>
    </row>
    <row r="5200" spans="1:13" x14ac:dyDescent="0.25">
      <c r="A5200" s="675" t="s">
        <v>773</v>
      </c>
      <c r="B5200" s="675" t="s">
        <v>512</v>
      </c>
      <c r="C5200" s="675" t="s">
        <v>5124</v>
      </c>
      <c r="D5200" s="675"/>
      <c r="E5200" s="675"/>
      <c r="G5200" s="675"/>
      <c r="H5200" s="675"/>
      <c r="I5200" s="675"/>
      <c r="J5200" s="675"/>
      <c r="K5200" s="675"/>
      <c r="L5200" s="675"/>
      <c r="M5200" s="675"/>
    </row>
    <row r="5201" spans="1:13" x14ac:dyDescent="0.25">
      <c r="A5201" s="675" t="s">
        <v>773</v>
      </c>
      <c r="B5201" s="675" t="s">
        <v>512</v>
      </c>
      <c r="C5201" s="675" t="s">
        <v>5125</v>
      </c>
      <c r="D5201" s="675"/>
      <c r="E5201" s="675"/>
      <c r="G5201" s="675"/>
      <c r="H5201" s="675"/>
      <c r="I5201" s="675"/>
      <c r="J5201" s="675"/>
      <c r="K5201" s="675"/>
      <c r="L5201" s="675"/>
      <c r="M5201" s="675"/>
    </row>
    <row r="5202" spans="1:13" x14ac:dyDescent="0.25">
      <c r="A5202" s="675" t="s">
        <v>773</v>
      </c>
      <c r="B5202" s="675" t="s">
        <v>512</v>
      </c>
      <c r="C5202" s="675" t="s">
        <v>5126</v>
      </c>
      <c r="D5202" s="675"/>
      <c r="E5202" s="675"/>
      <c r="G5202" s="675"/>
      <c r="H5202" s="675"/>
      <c r="I5202" s="675"/>
      <c r="J5202" s="675"/>
      <c r="K5202" s="675"/>
      <c r="L5202" s="675"/>
      <c r="M5202" s="675"/>
    </row>
    <row r="5203" spans="1:13" x14ac:dyDescent="0.25">
      <c r="A5203" s="675" t="s">
        <v>773</v>
      </c>
      <c r="B5203" s="675" t="s">
        <v>512</v>
      </c>
      <c r="C5203" s="675" t="s">
        <v>5127</v>
      </c>
      <c r="D5203" s="675"/>
      <c r="E5203" s="675"/>
      <c r="G5203" s="675"/>
      <c r="H5203" s="675"/>
      <c r="I5203" s="675"/>
      <c r="J5203" s="675"/>
      <c r="K5203" s="675"/>
      <c r="L5203" s="675"/>
      <c r="M5203" s="675"/>
    </row>
    <row r="5204" spans="1:13" x14ac:dyDescent="0.25">
      <c r="A5204" s="675" t="s">
        <v>773</v>
      </c>
      <c r="B5204" s="675" t="s">
        <v>512</v>
      </c>
      <c r="C5204" s="675" t="s">
        <v>5128</v>
      </c>
      <c r="D5204" s="675"/>
      <c r="E5204" s="675"/>
      <c r="G5204" s="675"/>
      <c r="H5204" s="675"/>
      <c r="I5204" s="675"/>
      <c r="J5204" s="675"/>
      <c r="K5204" s="675"/>
      <c r="L5204" s="675"/>
      <c r="M5204" s="675"/>
    </row>
    <row r="5205" spans="1:13" x14ac:dyDescent="0.25">
      <c r="A5205" s="675" t="s">
        <v>773</v>
      </c>
      <c r="B5205" s="675" t="s">
        <v>512</v>
      </c>
      <c r="C5205" s="675" t="s">
        <v>5129</v>
      </c>
      <c r="D5205" s="675"/>
      <c r="E5205" s="675"/>
      <c r="G5205" s="675"/>
      <c r="H5205" s="675"/>
      <c r="I5205" s="675"/>
      <c r="J5205" s="675"/>
      <c r="K5205" s="675"/>
      <c r="L5205" s="675"/>
      <c r="M5205" s="675"/>
    </row>
    <row r="5206" spans="1:13" x14ac:dyDescent="0.25">
      <c r="A5206" s="675" t="s">
        <v>773</v>
      </c>
      <c r="B5206" s="675" t="s">
        <v>512</v>
      </c>
      <c r="C5206" s="675" t="s">
        <v>5130</v>
      </c>
      <c r="D5206" s="675"/>
      <c r="E5206" s="675"/>
      <c r="G5206" s="675"/>
      <c r="H5206" s="675"/>
      <c r="I5206" s="675"/>
      <c r="J5206" s="675"/>
      <c r="K5206" s="675"/>
      <c r="L5206" s="675"/>
      <c r="M5206" s="675"/>
    </row>
    <row r="5207" spans="1:13" x14ac:dyDescent="0.25">
      <c r="A5207" s="675" t="s">
        <v>773</v>
      </c>
      <c r="B5207" s="675" t="s">
        <v>512</v>
      </c>
      <c r="C5207" s="675" t="s">
        <v>5131</v>
      </c>
      <c r="D5207" s="675"/>
      <c r="E5207" s="675"/>
      <c r="G5207" s="675"/>
      <c r="H5207" s="675"/>
      <c r="I5207" s="675"/>
      <c r="J5207" s="675"/>
      <c r="K5207" s="675"/>
      <c r="L5207" s="675"/>
      <c r="M5207" s="675"/>
    </row>
    <row r="5208" spans="1:13" x14ac:dyDescent="0.25">
      <c r="A5208" s="675" t="s">
        <v>773</v>
      </c>
      <c r="B5208" s="675" t="s">
        <v>512</v>
      </c>
      <c r="C5208" s="675" t="s">
        <v>5132</v>
      </c>
      <c r="D5208" s="675"/>
      <c r="E5208" s="675"/>
      <c r="G5208" s="675"/>
      <c r="H5208" s="675"/>
      <c r="I5208" s="675"/>
      <c r="J5208" s="675"/>
      <c r="K5208" s="675"/>
      <c r="L5208" s="675"/>
      <c r="M5208" s="675"/>
    </row>
    <row r="5209" spans="1:13" x14ac:dyDescent="0.25">
      <c r="A5209" s="675" t="s">
        <v>773</v>
      </c>
      <c r="B5209" s="675" t="s">
        <v>512</v>
      </c>
      <c r="C5209" s="675" t="s">
        <v>5133</v>
      </c>
      <c r="D5209" s="675"/>
      <c r="E5209" s="675"/>
      <c r="G5209" s="675"/>
      <c r="H5209" s="675"/>
      <c r="I5209" s="675"/>
      <c r="J5209" s="675"/>
      <c r="K5209" s="675"/>
      <c r="L5209" s="675"/>
      <c r="M5209" s="675"/>
    </row>
    <row r="5210" spans="1:13" x14ac:dyDescent="0.25">
      <c r="A5210" s="675" t="s">
        <v>773</v>
      </c>
      <c r="B5210" s="675" t="s">
        <v>512</v>
      </c>
      <c r="C5210" s="675" t="s">
        <v>5134</v>
      </c>
      <c r="D5210" s="675"/>
      <c r="E5210" s="675"/>
      <c r="G5210" s="675"/>
      <c r="H5210" s="675"/>
      <c r="I5210" s="675"/>
      <c r="J5210" s="675"/>
      <c r="K5210" s="675"/>
      <c r="L5210" s="675"/>
      <c r="M5210" s="675"/>
    </row>
    <row r="5211" spans="1:13" x14ac:dyDescent="0.25">
      <c r="A5211" s="675" t="s">
        <v>5135</v>
      </c>
      <c r="B5211" s="675" t="s">
        <v>545</v>
      </c>
      <c r="C5211" s="675" t="s">
        <v>5136</v>
      </c>
      <c r="D5211" s="675"/>
      <c r="E5211" s="675"/>
      <c r="G5211" s="675"/>
      <c r="H5211" s="675"/>
      <c r="I5211" s="675"/>
      <c r="J5211" s="675"/>
      <c r="K5211" s="675"/>
      <c r="L5211" s="675"/>
      <c r="M5211" s="675"/>
    </row>
    <row r="5212" spans="1:13" x14ac:dyDescent="0.25">
      <c r="A5212" s="675" t="s">
        <v>5135</v>
      </c>
      <c r="B5212" s="675" t="s">
        <v>545</v>
      </c>
      <c r="C5212" s="675" t="s">
        <v>5137</v>
      </c>
      <c r="D5212" s="675"/>
      <c r="E5212" s="675"/>
      <c r="G5212" s="675"/>
      <c r="H5212" s="675"/>
      <c r="I5212" s="675"/>
      <c r="J5212" s="675"/>
      <c r="K5212" s="675"/>
      <c r="L5212" s="675"/>
      <c r="M5212" s="675"/>
    </row>
    <row r="5213" spans="1:13" x14ac:dyDescent="0.25">
      <c r="A5213" s="675" t="s">
        <v>5135</v>
      </c>
      <c r="B5213" s="675" t="s">
        <v>545</v>
      </c>
      <c r="C5213" s="675" t="s">
        <v>5138</v>
      </c>
      <c r="D5213" s="675"/>
      <c r="E5213" s="675"/>
      <c r="G5213" s="675"/>
      <c r="H5213" s="675"/>
      <c r="I5213" s="675"/>
      <c r="J5213" s="675"/>
      <c r="K5213" s="675"/>
      <c r="L5213" s="675"/>
      <c r="M5213" s="675"/>
    </row>
    <row r="5214" spans="1:13" x14ac:dyDescent="0.25">
      <c r="A5214" s="675" t="s">
        <v>5135</v>
      </c>
      <c r="B5214" s="675" t="s">
        <v>545</v>
      </c>
      <c r="C5214" s="675" t="s">
        <v>5139</v>
      </c>
      <c r="D5214" s="675"/>
      <c r="E5214" s="675"/>
      <c r="G5214" s="675"/>
      <c r="H5214" s="675"/>
      <c r="I5214" s="675"/>
      <c r="J5214" s="675"/>
      <c r="K5214" s="675"/>
      <c r="L5214" s="675"/>
      <c r="M5214" s="675"/>
    </row>
    <row r="5215" spans="1:13" x14ac:dyDescent="0.25">
      <c r="A5215" s="675" t="s">
        <v>5135</v>
      </c>
      <c r="B5215" s="675" t="s">
        <v>545</v>
      </c>
      <c r="C5215" s="675" t="s">
        <v>5140</v>
      </c>
      <c r="D5215" s="675"/>
      <c r="E5215" s="675"/>
      <c r="G5215" s="675"/>
      <c r="H5215" s="675"/>
      <c r="I5215" s="675"/>
      <c r="J5215" s="675"/>
      <c r="K5215" s="675"/>
      <c r="L5215" s="675"/>
      <c r="M5215" s="675"/>
    </row>
    <row r="5216" spans="1:13" x14ac:dyDescent="0.25">
      <c r="A5216" s="675" t="s">
        <v>5135</v>
      </c>
      <c r="B5216" s="675" t="s">
        <v>545</v>
      </c>
      <c r="C5216" s="675" t="s">
        <v>5141</v>
      </c>
      <c r="D5216" s="675"/>
      <c r="E5216" s="675"/>
      <c r="G5216" s="675"/>
      <c r="H5216" s="675"/>
      <c r="I5216" s="675"/>
      <c r="J5216" s="675"/>
      <c r="K5216" s="675"/>
      <c r="L5216" s="675"/>
      <c r="M5216" s="675"/>
    </row>
    <row r="5217" spans="1:13" x14ac:dyDescent="0.25">
      <c r="A5217" s="675" t="s">
        <v>5135</v>
      </c>
      <c r="B5217" s="675" t="s">
        <v>545</v>
      </c>
      <c r="C5217" s="675" t="s">
        <v>5142</v>
      </c>
      <c r="D5217" s="675"/>
      <c r="E5217" s="675"/>
      <c r="G5217" s="675"/>
      <c r="H5217" s="675"/>
      <c r="I5217" s="675"/>
      <c r="J5217" s="675"/>
      <c r="K5217" s="675"/>
      <c r="L5217" s="675"/>
      <c r="M5217" s="675"/>
    </row>
    <row r="5218" spans="1:13" x14ac:dyDescent="0.25">
      <c r="A5218" s="675" t="s">
        <v>5135</v>
      </c>
      <c r="B5218" s="675" t="s">
        <v>545</v>
      </c>
      <c r="C5218" s="675" t="s">
        <v>5143</v>
      </c>
      <c r="D5218" s="675"/>
      <c r="E5218" s="675"/>
      <c r="G5218" s="675"/>
      <c r="H5218" s="675"/>
      <c r="I5218" s="675"/>
      <c r="J5218" s="675"/>
      <c r="K5218" s="675"/>
      <c r="L5218" s="675"/>
      <c r="M5218" s="675"/>
    </row>
    <row r="5219" spans="1:13" x14ac:dyDescent="0.25">
      <c r="A5219" s="675" t="s">
        <v>5135</v>
      </c>
      <c r="B5219" s="675" t="s">
        <v>545</v>
      </c>
      <c r="C5219" s="675" t="s">
        <v>5144</v>
      </c>
      <c r="D5219" s="675"/>
      <c r="E5219" s="675"/>
      <c r="G5219" s="675"/>
      <c r="H5219" s="675"/>
      <c r="I5219" s="675"/>
      <c r="J5219" s="675"/>
      <c r="K5219" s="675"/>
      <c r="L5219" s="675"/>
      <c r="M5219" s="675"/>
    </row>
    <row r="5220" spans="1:13" x14ac:dyDescent="0.25">
      <c r="A5220" s="675" t="s">
        <v>5135</v>
      </c>
      <c r="B5220" s="675" t="s">
        <v>545</v>
      </c>
      <c r="C5220" s="675" t="s">
        <v>5145</v>
      </c>
      <c r="D5220" s="675"/>
      <c r="E5220" s="675"/>
      <c r="G5220" s="675"/>
      <c r="H5220" s="675"/>
      <c r="I5220" s="675"/>
      <c r="J5220" s="675"/>
      <c r="K5220" s="675"/>
      <c r="L5220" s="675"/>
      <c r="M5220" s="675"/>
    </row>
    <row r="5221" spans="1:13" x14ac:dyDescent="0.25">
      <c r="A5221" s="675" t="s">
        <v>5135</v>
      </c>
      <c r="B5221" s="675" t="s">
        <v>545</v>
      </c>
      <c r="C5221" s="675" t="s">
        <v>5146</v>
      </c>
      <c r="D5221" s="675"/>
      <c r="E5221" s="675"/>
      <c r="G5221" s="675"/>
      <c r="H5221" s="675"/>
      <c r="I5221" s="675"/>
      <c r="J5221" s="675"/>
      <c r="K5221" s="675"/>
      <c r="L5221" s="675"/>
      <c r="M5221" s="675"/>
    </row>
    <row r="5222" spans="1:13" x14ac:dyDescent="0.25">
      <c r="A5222" s="675" t="s">
        <v>5135</v>
      </c>
      <c r="B5222" s="675" t="s">
        <v>545</v>
      </c>
      <c r="C5222" s="675" t="s">
        <v>5147</v>
      </c>
      <c r="D5222" s="675"/>
      <c r="E5222" s="675"/>
      <c r="G5222" s="675"/>
      <c r="H5222" s="675"/>
      <c r="I5222" s="675"/>
      <c r="J5222" s="675"/>
      <c r="K5222" s="675"/>
      <c r="L5222" s="675"/>
      <c r="M5222" s="675"/>
    </row>
    <row r="5223" spans="1:13" x14ac:dyDescent="0.25">
      <c r="A5223" s="675" t="s">
        <v>5135</v>
      </c>
      <c r="B5223" s="675" t="s">
        <v>545</v>
      </c>
      <c r="C5223" s="675" t="s">
        <v>5148</v>
      </c>
      <c r="D5223" s="675"/>
      <c r="E5223" s="675"/>
      <c r="G5223" s="675"/>
      <c r="H5223" s="675"/>
      <c r="I5223" s="675"/>
      <c r="J5223" s="675"/>
      <c r="K5223" s="675"/>
      <c r="L5223" s="675"/>
      <c r="M5223" s="675"/>
    </row>
    <row r="5224" spans="1:13" x14ac:dyDescent="0.25">
      <c r="A5224" s="675" t="s">
        <v>5135</v>
      </c>
      <c r="B5224" s="675" t="s">
        <v>545</v>
      </c>
      <c r="C5224" s="675" t="s">
        <v>5149</v>
      </c>
      <c r="D5224" s="675"/>
      <c r="E5224" s="675"/>
      <c r="G5224" s="675"/>
      <c r="H5224" s="675"/>
      <c r="I5224" s="675"/>
      <c r="J5224" s="675"/>
      <c r="K5224" s="675"/>
      <c r="L5224" s="675"/>
      <c r="M5224" s="675"/>
    </row>
    <row r="5225" spans="1:13" x14ac:dyDescent="0.25">
      <c r="A5225" s="675" t="s">
        <v>5135</v>
      </c>
      <c r="B5225" s="675" t="s">
        <v>545</v>
      </c>
      <c r="C5225" s="675" t="s">
        <v>5150</v>
      </c>
      <c r="D5225" s="675"/>
      <c r="E5225" s="675"/>
      <c r="G5225" s="675"/>
      <c r="H5225" s="675"/>
      <c r="I5225" s="675"/>
      <c r="J5225" s="675"/>
      <c r="K5225" s="675"/>
      <c r="L5225" s="675"/>
      <c r="M5225" s="675"/>
    </row>
    <row r="5226" spans="1:13" x14ac:dyDescent="0.25">
      <c r="A5226" s="675" t="s">
        <v>5135</v>
      </c>
      <c r="B5226" s="675" t="s">
        <v>564</v>
      </c>
      <c r="C5226" s="675" t="s">
        <v>5151</v>
      </c>
      <c r="D5226" s="675"/>
      <c r="E5226" s="675"/>
      <c r="G5226" s="675"/>
      <c r="H5226" s="675"/>
      <c r="I5226" s="675"/>
      <c r="J5226" s="675"/>
      <c r="K5226" s="675"/>
      <c r="L5226" s="675"/>
      <c r="M5226" s="675"/>
    </row>
    <row r="5227" spans="1:13" x14ac:dyDescent="0.25">
      <c r="A5227" s="675" t="s">
        <v>5135</v>
      </c>
      <c r="B5227" s="675" t="s">
        <v>564</v>
      </c>
      <c r="C5227" s="675" t="s">
        <v>5152</v>
      </c>
      <c r="D5227" s="675"/>
      <c r="E5227" s="675"/>
      <c r="G5227" s="675"/>
      <c r="H5227" s="675"/>
      <c r="I5227" s="675"/>
      <c r="J5227" s="675"/>
      <c r="K5227" s="675"/>
      <c r="L5227" s="675"/>
      <c r="M5227" s="675"/>
    </row>
    <row r="5228" spans="1:13" x14ac:dyDescent="0.25">
      <c r="A5228" s="675" t="s">
        <v>5135</v>
      </c>
      <c r="B5228" s="675" t="s">
        <v>564</v>
      </c>
      <c r="C5228" s="675" t="s">
        <v>5153</v>
      </c>
      <c r="D5228" s="675"/>
      <c r="E5228" s="675"/>
      <c r="G5228" s="675"/>
      <c r="H5228" s="675"/>
      <c r="I5228" s="675"/>
      <c r="J5228" s="675"/>
      <c r="K5228" s="675"/>
      <c r="L5228" s="675"/>
      <c r="M5228" s="675"/>
    </row>
    <row r="5229" spans="1:13" x14ac:dyDescent="0.25">
      <c r="A5229" s="675" t="s">
        <v>5135</v>
      </c>
      <c r="B5229" s="675" t="s">
        <v>564</v>
      </c>
      <c r="C5229" s="675" t="s">
        <v>5154</v>
      </c>
      <c r="D5229" s="675"/>
      <c r="E5229" s="675"/>
      <c r="G5229" s="675"/>
      <c r="H5229" s="675"/>
      <c r="I5229" s="675"/>
      <c r="J5229" s="675"/>
      <c r="K5229" s="675"/>
      <c r="L5229" s="675"/>
      <c r="M5229" s="675"/>
    </row>
    <row r="5230" spans="1:13" x14ac:dyDescent="0.25">
      <c r="A5230" s="675" t="s">
        <v>5135</v>
      </c>
      <c r="B5230" s="675" t="s">
        <v>564</v>
      </c>
      <c r="C5230" s="675" t="s">
        <v>5155</v>
      </c>
      <c r="D5230" s="675"/>
      <c r="E5230" s="675"/>
      <c r="G5230" s="675"/>
      <c r="H5230" s="675"/>
      <c r="I5230" s="675"/>
      <c r="J5230" s="675"/>
      <c r="K5230" s="675"/>
      <c r="L5230" s="675"/>
      <c r="M5230" s="675"/>
    </row>
    <row r="5231" spans="1:13" x14ac:dyDescent="0.25">
      <c r="A5231" s="675" t="s">
        <v>5135</v>
      </c>
      <c r="B5231" s="675" t="s">
        <v>564</v>
      </c>
      <c r="C5231" s="675" t="s">
        <v>5156</v>
      </c>
      <c r="D5231" s="675"/>
      <c r="E5231" s="675"/>
      <c r="G5231" s="675"/>
      <c r="H5231" s="675"/>
      <c r="I5231" s="675"/>
      <c r="J5231" s="675"/>
      <c r="K5231" s="675"/>
      <c r="L5231" s="675"/>
      <c r="M5231" s="675"/>
    </row>
    <row r="5232" spans="1:13" x14ac:dyDescent="0.25">
      <c r="A5232" s="675" t="s">
        <v>5135</v>
      </c>
      <c r="B5232" s="675" t="s">
        <v>564</v>
      </c>
      <c r="C5232" s="675" t="s">
        <v>5157</v>
      </c>
      <c r="D5232" s="675"/>
      <c r="E5232" s="675"/>
      <c r="G5232" s="675"/>
      <c r="H5232" s="675"/>
      <c r="I5232" s="675"/>
      <c r="J5232" s="675"/>
      <c r="K5232" s="675"/>
      <c r="L5232" s="675"/>
      <c r="M5232" s="675"/>
    </row>
    <row r="5233" spans="1:13" x14ac:dyDescent="0.25">
      <c r="A5233" s="675" t="s">
        <v>5135</v>
      </c>
      <c r="B5233" s="675" t="s">
        <v>564</v>
      </c>
      <c r="C5233" s="675" t="s">
        <v>5158</v>
      </c>
      <c r="D5233" s="675"/>
      <c r="E5233" s="675"/>
      <c r="G5233" s="675"/>
      <c r="H5233" s="675"/>
      <c r="I5233" s="675"/>
      <c r="J5233" s="675"/>
      <c r="K5233" s="675"/>
      <c r="L5233" s="675"/>
      <c r="M5233" s="675"/>
    </row>
    <row r="5234" spans="1:13" x14ac:dyDescent="0.25">
      <c r="A5234" s="675" t="s">
        <v>5135</v>
      </c>
      <c r="B5234" s="675" t="s">
        <v>564</v>
      </c>
      <c r="C5234" s="675" t="s">
        <v>5159</v>
      </c>
      <c r="D5234" s="675"/>
      <c r="E5234" s="675"/>
      <c r="G5234" s="675"/>
      <c r="H5234" s="675"/>
      <c r="I5234" s="675"/>
      <c r="J5234" s="675"/>
      <c r="K5234" s="675"/>
      <c r="L5234" s="675"/>
      <c r="M5234" s="675"/>
    </row>
    <row r="5235" spans="1:13" x14ac:dyDescent="0.25">
      <c r="A5235" s="675" t="s">
        <v>5135</v>
      </c>
      <c r="B5235" s="675" t="s">
        <v>564</v>
      </c>
      <c r="C5235" s="675" t="s">
        <v>5160</v>
      </c>
      <c r="D5235" s="675"/>
      <c r="E5235" s="675"/>
      <c r="G5235" s="675"/>
      <c r="H5235" s="675"/>
      <c r="I5235" s="675"/>
      <c r="J5235" s="675"/>
      <c r="K5235" s="675"/>
      <c r="L5235" s="675"/>
      <c r="M5235" s="675"/>
    </row>
    <row r="5236" spans="1:13" x14ac:dyDescent="0.25">
      <c r="A5236" s="675" t="s">
        <v>5135</v>
      </c>
      <c r="B5236" s="675" t="s">
        <v>564</v>
      </c>
      <c r="C5236" s="675" t="s">
        <v>5161</v>
      </c>
      <c r="D5236" s="675"/>
      <c r="E5236" s="675"/>
      <c r="G5236" s="675"/>
      <c r="H5236" s="675"/>
      <c r="I5236" s="675"/>
      <c r="J5236" s="675"/>
      <c r="K5236" s="675"/>
      <c r="L5236" s="675"/>
      <c r="M5236" s="675"/>
    </row>
    <row r="5237" spans="1:13" x14ac:dyDescent="0.25">
      <c r="A5237" s="675" t="s">
        <v>5135</v>
      </c>
      <c r="B5237" s="675" t="s">
        <v>564</v>
      </c>
      <c r="C5237" s="675" t="s">
        <v>5162</v>
      </c>
      <c r="D5237" s="675"/>
      <c r="E5237" s="675"/>
      <c r="G5237" s="675"/>
      <c r="H5237" s="675"/>
      <c r="I5237" s="675"/>
      <c r="J5237" s="675"/>
      <c r="K5237" s="675"/>
      <c r="L5237" s="675"/>
      <c r="M5237" s="675"/>
    </row>
    <row r="5238" spans="1:13" x14ac:dyDescent="0.25">
      <c r="A5238" s="675" t="s">
        <v>5135</v>
      </c>
      <c r="B5238" s="675" t="s">
        <v>564</v>
      </c>
      <c r="C5238" s="675" t="s">
        <v>5163</v>
      </c>
      <c r="D5238" s="675"/>
      <c r="E5238" s="675"/>
      <c r="G5238" s="675"/>
      <c r="H5238" s="675"/>
      <c r="I5238" s="675"/>
      <c r="J5238" s="675"/>
      <c r="K5238" s="675"/>
      <c r="L5238" s="675"/>
      <c r="M5238" s="675"/>
    </row>
    <row r="5239" spans="1:13" x14ac:dyDescent="0.25">
      <c r="A5239" s="675" t="s">
        <v>5135</v>
      </c>
      <c r="B5239" s="675" t="s">
        <v>564</v>
      </c>
      <c r="C5239" s="675" t="s">
        <v>5164</v>
      </c>
      <c r="D5239" s="675"/>
      <c r="E5239" s="675"/>
      <c r="G5239" s="675"/>
      <c r="H5239" s="675"/>
      <c r="I5239" s="675"/>
      <c r="J5239" s="675"/>
      <c r="K5239" s="675"/>
      <c r="L5239" s="675"/>
      <c r="M5239" s="675"/>
    </row>
    <row r="5240" spans="1:13" x14ac:dyDescent="0.25">
      <c r="A5240" s="675" t="s">
        <v>5135</v>
      </c>
      <c r="B5240" s="675" t="s">
        <v>564</v>
      </c>
      <c r="C5240" s="675" t="s">
        <v>5165</v>
      </c>
      <c r="D5240" s="675"/>
      <c r="E5240" s="675"/>
      <c r="G5240" s="675"/>
      <c r="H5240" s="675"/>
      <c r="I5240" s="675"/>
      <c r="J5240" s="675"/>
      <c r="K5240" s="675"/>
      <c r="L5240" s="675"/>
      <c r="M5240" s="675"/>
    </row>
    <row r="5241" spans="1:13" x14ac:dyDescent="0.25">
      <c r="A5241" s="675" t="s">
        <v>5135</v>
      </c>
      <c r="B5241" s="675" t="s">
        <v>512</v>
      </c>
      <c r="C5241" s="675" t="s">
        <v>5166</v>
      </c>
      <c r="D5241" s="675"/>
      <c r="E5241" s="675"/>
      <c r="G5241" s="675"/>
      <c r="H5241" s="675"/>
      <c r="I5241" s="675"/>
      <c r="J5241" s="675"/>
      <c r="K5241" s="675"/>
      <c r="L5241" s="675"/>
      <c r="M5241" s="675"/>
    </row>
    <row r="5242" spans="1:13" x14ac:dyDescent="0.25">
      <c r="A5242" s="675" t="s">
        <v>5135</v>
      </c>
      <c r="B5242" s="675" t="s">
        <v>512</v>
      </c>
      <c r="C5242" s="675" t="s">
        <v>5167</v>
      </c>
      <c r="D5242" s="675"/>
      <c r="E5242" s="675"/>
      <c r="G5242" s="675"/>
      <c r="H5242" s="675"/>
      <c r="I5242" s="675"/>
      <c r="J5242" s="675"/>
      <c r="K5242" s="675"/>
      <c r="L5242" s="675"/>
      <c r="M5242" s="675"/>
    </row>
    <row r="5243" spans="1:13" x14ac:dyDescent="0.25">
      <c r="A5243" s="675" t="s">
        <v>5135</v>
      </c>
      <c r="B5243" s="675" t="s">
        <v>512</v>
      </c>
      <c r="C5243" s="675" t="s">
        <v>5168</v>
      </c>
      <c r="D5243" s="675"/>
      <c r="E5243" s="675"/>
      <c r="G5243" s="675"/>
      <c r="H5243" s="675"/>
      <c r="I5243" s="675"/>
      <c r="J5243" s="675"/>
      <c r="K5243" s="675"/>
      <c r="L5243" s="675"/>
      <c r="M5243" s="675"/>
    </row>
    <row r="5244" spans="1:13" x14ac:dyDescent="0.25">
      <c r="A5244" s="675" t="s">
        <v>5135</v>
      </c>
      <c r="B5244" s="675" t="s">
        <v>512</v>
      </c>
      <c r="C5244" s="675" t="s">
        <v>5169</v>
      </c>
      <c r="D5244" s="675"/>
      <c r="E5244" s="675"/>
      <c r="G5244" s="675"/>
      <c r="H5244" s="675"/>
      <c r="I5244" s="675"/>
      <c r="J5244" s="675"/>
      <c r="K5244" s="675"/>
      <c r="L5244" s="675"/>
      <c r="M5244" s="675"/>
    </row>
    <row r="5245" spans="1:13" x14ac:dyDescent="0.25">
      <c r="A5245" s="675" t="s">
        <v>5135</v>
      </c>
      <c r="B5245" s="675" t="s">
        <v>512</v>
      </c>
      <c r="C5245" s="675" t="s">
        <v>5170</v>
      </c>
      <c r="D5245" s="675"/>
      <c r="E5245" s="675"/>
      <c r="G5245" s="675"/>
      <c r="H5245" s="675"/>
      <c r="I5245" s="675"/>
      <c r="J5245" s="675"/>
      <c r="K5245" s="675"/>
      <c r="L5245" s="675"/>
      <c r="M5245" s="675"/>
    </row>
    <row r="5246" spans="1:13" x14ac:dyDescent="0.25">
      <c r="A5246" s="675" t="s">
        <v>5135</v>
      </c>
      <c r="B5246" s="675" t="s">
        <v>512</v>
      </c>
      <c r="C5246" s="675" t="s">
        <v>5171</v>
      </c>
      <c r="D5246" s="675"/>
      <c r="E5246" s="675"/>
      <c r="G5246" s="675"/>
      <c r="H5246" s="675"/>
      <c r="I5246" s="675"/>
      <c r="J5246" s="675"/>
      <c r="K5246" s="675"/>
      <c r="L5246" s="675"/>
      <c r="M5246" s="675"/>
    </row>
    <row r="5247" spans="1:13" x14ac:dyDescent="0.25">
      <c r="A5247" s="675" t="s">
        <v>5135</v>
      </c>
      <c r="B5247" s="675" t="s">
        <v>512</v>
      </c>
      <c r="C5247" s="675" t="s">
        <v>5172</v>
      </c>
      <c r="D5247" s="675"/>
      <c r="E5247" s="675"/>
      <c r="G5247" s="675"/>
      <c r="H5247" s="675"/>
      <c r="I5247" s="675"/>
      <c r="J5247" s="675"/>
      <c r="K5247" s="675"/>
      <c r="L5247" s="675"/>
      <c r="M5247" s="675"/>
    </row>
    <row r="5248" spans="1:13" x14ac:dyDescent="0.25">
      <c r="A5248" s="675" t="s">
        <v>5135</v>
      </c>
      <c r="B5248" s="675" t="s">
        <v>512</v>
      </c>
      <c r="C5248" s="675" t="s">
        <v>5173</v>
      </c>
      <c r="D5248" s="675"/>
      <c r="E5248" s="675"/>
      <c r="G5248" s="675"/>
      <c r="H5248" s="675"/>
      <c r="I5248" s="675"/>
      <c r="J5248" s="675"/>
      <c r="K5248" s="675"/>
      <c r="L5248" s="675"/>
      <c r="M5248" s="675"/>
    </row>
    <row r="5249" spans="1:13" x14ac:dyDescent="0.25">
      <c r="A5249" s="675" t="s">
        <v>5135</v>
      </c>
      <c r="B5249" s="675" t="s">
        <v>512</v>
      </c>
      <c r="C5249" s="675" t="s">
        <v>5174</v>
      </c>
      <c r="D5249" s="675"/>
      <c r="E5249" s="675"/>
      <c r="G5249" s="675"/>
      <c r="H5249" s="675"/>
      <c r="I5249" s="675"/>
      <c r="J5249" s="675"/>
      <c r="K5249" s="675"/>
      <c r="L5249" s="675"/>
      <c r="M5249" s="675"/>
    </row>
    <row r="5250" spans="1:13" x14ac:dyDescent="0.25">
      <c r="A5250" s="675" t="s">
        <v>5135</v>
      </c>
      <c r="B5250" s="675" t="s">
        <v>512</v>
      </c>
      <c r="C5250" s="675" t="s">
        <v>5175</v>
      </c>
      <c r="D5250" s="675"/>
      <c r="E5250" s="675"/>
      <c r="G5250" s="675"/>
      <c r="H5250" s="675"/>
      <c r="I5250" s="675"/>
      <c r="J5250" s="675"/>
      <c r="K5250" s="675"/>
      <c r="L5250" s="675"/>
      <c r="M5250" s="675"/>
    </row>
    <row r="5251" spans="1:13" x14ac:dyDescent="0.25">
      <c r="A5251" s="675" t="s">
        <v>5135</v>
      </c>
      <c r="B5251" s="675" t="s">
        <v>512</v>
      </c>
      <c r="C5251" s="675" t="s">
        <v>5176</v>
      </c>
      <c r="D5251" s="675"/>
      <c r="E5251" s="675"/>
      <c r="G5251" s="675"/>
      <c r="H5251" s="675"/>
      <c r="I5251" s="675"/>
      <c r="J5251" s="675"/>
      <c r="K5251" s="675"/>
      <c r="L5251" s="675"/>
      <c r="M5251" s="675"/>
    </row>
    <row r="5252" spans="1:13" x14ac:dyDescent="0.25">
      <c r="A5252" s="675" t="s">
        <v>5135</v>
      </c>
      <c r="B5252" s="675" t="s">
        <v>512</v>
      </c>
      <c r="C5252" s="675" t="s">
        <v>5177</v>
      </c>
      <c r="D5252" s="675"/>
      <c r="E5252" s="675"/>
      <c r="G5252" s="675"/>
      <c r="H5252" s="675"/>
      <c r="I5252" s="675"/>
      <c r="J5252" s="675"/>
      <c r="K5252" s="675"/>
      <c r="L5252" s="675"/>
      <c r="M5252" s="675"/>
    </row>
    <row r="5253" spans="1:13" x14ac:dyDescent="0.25">
      <c r="A5253" s="675" t="s">
        <v>5135</v>
      </c>
      <c r="B5253" s="675" t="s">
        <v>512</v>
      </c>
      <c r="C5253" s="675" t="s">
        <v>5178</v>
      </c>
      <c r="D5253" s="675"/>
      <c r="E5253" s="675"/>
      <c r="G5253" s="675"/>
      <c r="H5253" s="675"/>
      <c r="I5253" s="675"/>
      <c r="J5253" s="675"/>
      <c r="K5253" s="675"/>
      <c r="L5253" s="675"/>
      <c r="M5253" s="675"/>
    </row>
    <row r="5254" spans="1:13" x14ac:dyDescent="0.25">
      <c r="A5254" s="675" t="s">
        <v>5135</v>
      </c>
      <c r="B5254" s="675" t="s">
        <v>512</v>
      </c>
      <c r="C5254" s="675" t="s">
        <v>5179</v>
      </c>
      <c r="D5254" s="675"/>
      <c r="E5254" s="675"/>
      <c r="G5254" s="675"/>
      <c r="H5254" s="675"/>
      <c r="I5254" s="675"/>
      <c r="J5254" s="675"/>
      <c r="K5254" s="675"/>
      <c r="L5254" s="675"/>
      <c r="M5254" s="675"/>
    </row>
    <row r="5255" spans="1:13" x14ac:dyDescent="0.25">
      <c r="A5255" s="675" t="s">
        <v>5135</v>
      </c>
      <c r="B5255" s="675" t="s">
        <v>512</v>
      </c>
      <c r="C5255" s="675" t="s">
        <v>5180</v>
      </c>
      <c r="D5255" s="675"/>
      <c r="E5255" s="675"/>
      <c r="G5255" s="675"/>
      <c r="H5255" s="675"/>
      <c r="I5255" s="675"/>
      <c r="J5255" s="675"/>
      <c r="K5255" s="675"/>
      <c r="L5255" s="675"/>
      <c r="M5255" s="675"/>
    </row>
    <row r="5256" spans="1:13" x14ac:dyDescent="0.25">
      <c r="A5256" s="675" t="s">
        <v>5181</v>
      </c>
      <c r="B5256" s="675" t="s">
        <v>545</v>
      </c>
      <c r="C5256" s="675" t="s">
        <v>5182</v>
      </c>
      <c r="D5256" s="675"/>
      <c r="E5256" s="675"/>
      <c r="G5256" s="675"/>
      <c r="H5256" s="675"/>
      <c r="I5256" s="675"/>
      <c r="J5256" s="675"/>
      <c r="K5256" s="675"/>
      <c r="L5256" s="675"/>
      <c r="M5256" s="675"/>
    </row>
    <row r="5257" spans="1:13" x14ac:dyDescent="0.25">
      <c r="A5257" s="675" t="s">
        <v>5181</v>
      </c>
      <c r="B5257" s="675" t="s">
        <v>545</v>
      </c>
      <c r="C5257" s="675" t="s">
        <v>5183</v>
      </c>
      <c r="D5257" s="675"/>
      <c r="E5257" s="675"/>
      <c r="G5257" s="675"/>
      <c r="H5257" s="675"/>
      <c r="I5257" s="675"/>
      <c r="J5257" s="675"/>
      <c r="K5257" s="675"/>
      <c r="L5257" s="675"/>
      <c r="M5257" s="675"/>
    </row>
    <row r="5258" spans="1:13" x14ac:dyDescent="0.25">
      <c r="A5258" s="675" t="s">
        <v>5181</v>
      </c>
      <c r="B5258" s="675" t="s">
        <v>545</v>
      </c>
      <c r="C5258" s="675" t="s">
        <v>5184</v>
      </c>
      <c r="D5258" s="675"/>
      <c r="E5258" s="675"/>
      <c r="G5258" s="675"/>
      <c r="H5258" s="675"/>
      <c r="I5258" s="675"/>
      <c r="J5258" s="675"/>
      <c r="K5258" s="675"/>
      <c r="L5258" s="675"/>
      <c r="M5258" s="675"/>
    </row>
    <row r="5259" spans="1:13" x14ac:dyDescent="0.25">
      <c r="A5259" s="675" t="s">
        <v>5181</v>
      </c>
      <c r="B5259" s="675" t="s">
        <v>545</v>
      </c>
      <c r="C5259" s="675" t="s">
        <v>5185</v>
      </c>
      <c r="D5259" s="675"/>
      <c r="E5259" s="675"/>
      <c r="G5259" s="675"/>
      <c r="H5259" s="675"/>
      <c r="I5259" s="675"/>
      <c r="J5259" s="675"/>
      <c r="K5259" s="675"/>
      <c r="L5259" s="675"/>
      <c r="M5259" s="675"/>
    </row>
    <row r="5260" spans="1:13" x14ac:dyDescent="0.25">
      <c r="A5260" s="675" t="s">
        <v>5181</v>
      </c>
      <c r="B5260" s="675" t="s">
        <v>545</v>
      </c>
      <c r="C5260" s="675" t="s">
        <v>5186</v>
      </c>
      <c r="D5260" s="675"/>
      <c r="E5260" s="675"/>
      <c r="G5260" s="675"/>
      <c r="H5260" s="675"/>
      <c r="I5260" s="675"/>
      <c r="J5260" s="675"/>
      <c r="K5260" s="675"/>
      <c r="L5260" s="675"/>
      <c r="M5260" s="675"/>
    </row>
    <row r="5261" spans="1:13" x14ac:dyDescent="0.25">
      <c r="A5261" s="675" t="s">
        <v>5181</v>
      </c>
      <c r="B5261" s="675" t="s">
        <v>545</v>
      </c>
      <c r="C5261" s="675" t="s">
        <v>5187</v>
      </c>
      <c r="D5261" s="675"/>
      <c r="E5261" s="675"/>
      <c r="G5261" s="675"/>
      <c r="H5261" s="675"/>
      <c r="I5261" s="675"/>
      <c r="J5261" s="675"/>
      <c r="K5261" s="675"/>
      <c r="L5261" s="675"/>
      <c r="M5261" s="675"/>
    </row>
    <row r="5262" spans="1:13" x14ac:dyDescent="0.25">
      <c r="A5262" s="675" t="s">
        <v>5181</v>
      </c>
      <c r="B5262" s="675" t="s">
        <v>545</v>
      </c>
      <c r="C5262" s="675" t="s">
        <v>5188</v>
      </c>
      <c r="D5262" s="675"/>
      <c r="E5262" s="675"/>
      <c r="G5262" s="675"/>
      <c r="H5262" s="675"/>
      <c r="I5262" s="675"/>
      <c r="J5262" s="675"/>
      <c r="K5262" s="675"/>
      <c r="L5262" s="675"/>
      <c r="M5262" s="675"/>
    </row>
    <row r="5263" spans="1:13" x14ac:dyDescent="0.25">
      <c r="A5263" s="675" t="s">
        <v>5181</v>
      </c>
      <c r="B5263" s="675" t="s">
        <v>545</v>
      </c>
      <c r="C5263" s="675" t="s">
        <v>5189</v>
      </c>
      <c r="D5263" s="675"/>
      <c r="E5263" s="675"/>
      <c r="G5263" s="675"/>
      <c r="H5263" s="675"/>
      <c r="I5263" s="675"/>
      <c r="J5263" s="675"/>
      <c r="K5263" s="675"/>
      <c r="L5263" s="675"/>
      <c r="M5263" s="675"/>
    </row>
    <row r="5264" spans="1:13" x14ac:dyDescent="0.25">
      <c r="A5264" s="675" t="s">
        <v>5181</v>
      </c>
      <c r="B5264" s="675" t="s">
        <v>545</v>
      </c>
      <c r="C5264" s="675" t="s">
        <v>5190</v>
      </c>
      <c r="D5264" s="675"/>
      <c r="E5264" s="675"/>
      <c r="G5264" s="675"/>
      <c r="H5264" s="675"/>
      <c r="I5264" s="675"/>
      <c r="J5264" s="675"/>
      <c r="K5264" s="675"/>
      <c r="L5264" s="675"/>
      <c r="M5264" s="675"/>
    </row>
    <row r="5265" spans="1:13" x14ac:dyDescent="0.25">
      <c r="A5265" s="675" t="s">
        <v>5181</v>
      </c>
      <c r="B5265" s="675" t="s">
        <v>545</v>
      </c>
      <c r="C5265" s="675" t="s">
        <v>5191</v>
      </c>
      <c r="D5265" s="675"/>
      <c r="E5265" s="675"/>
      <c r="G5265" s="675"/>
      <c r="H5265" s="675"/>
      <c r="I5265" s="675"/>
      <c r="J5265" s="675"/>
      <c r="K5265" s="675"/>
      <c r="L5265" s="675"/>
      <c r="M5265" s="675"/>
    </row>
    <row r="5266" spans="1:13" x14ac:dyDescent="0.25">
      <c r="A5266" s="675" t="s">
        <v>5181</v>
      </c>
      <c r="B5266" s="675" t="s">
        <v>545</v>
      </c>
      <c r="C5266" s="675" t="s">
        <v>5192</v>
      </c>
      <c r="D5266" s="675"/>
      <c r="E5266" s="675"/>
      <c r="G5266" s="675"/>
      <c r="H5266" s="675"/>
      <c r="I5266" s="675"/>
      <c r="J5266" s="675"/>
      <c r="K5266" s="675"/>
      <c r="L5266" s="675"/>
      <c r="M5266" s="675"/>
    </row>
    <row r="5267" spans="1:13" x14ac:dyDescent="0.25">
      <c r="A5267" s="675" t="s">
        <v>5181</v>
      </c>
      <c r="B5267" s="675" t="s">
        <v>545</v>
      </c>
      <c r="C5267" s="675" t="s">
        <v>5193</v>
      </c>
      <c r="D5267" s="675"/>
      <c r="E5267" s="675"/>
      <c r="G5267" s="675"/>
      <c r="H5267" s="675"/>
      <c r="I5267" s="675"/>
      <c r="J5267" s="675"/>
      <c r="K5267" s="675"/>
      <c r="L5267" s="675"/>
      <c r="M5267" s="675"/>
    </row>
    <row r="5268" spans="1:13" x14ac:dyDescent="0.25">
      <c r="A5268" s="675" t="s">
        <v>5181</v>
      </c>
      <c r="B5268" s="675" t="s">
        <v>545</v>
      </c>
      <c r="C5268" s="675" t="s">
        <v>5194</v>
      </c>
      <c r="D5268" s="675"/>
      <c r="E5268" s="675"/>
      <c r="G5268" s="675"/>
      <c r="H5268" s="675"/>
      <c r="I5268" s="675"/>
      <c r="J5268" s="675"/>
      <c r="K5268" s="675"/>
      <c r="L5268" s="675"/>
      <c r="M5268" s="675"/>
    </row>
    <row r="5269" spans="1:13" x14ac:dyDescent="0.25">
      <c r="A5269" s="675" t="s">
        <v>5181</v>
      </c>
      <c r="B5269" s="675" t="s">
        <v>545</v>
      </c>
      <c r="C5269" s="675" t="s">
        <v>5195</v>
      </c>
      <c r="D5269" s="675"/>
      <c r="E5269" s="675"/>
      <c r="G5269" s="675"/>
      <c r="H5269" s="675"/>
      <c r="I5269" s="675"/>
      <c r="J5269" s="675"/>
      <c r="K5269" s="675"/>
      <c r="L5269" s="675"/>
      <c r="M5269" s="675"/>
    </row>
    <row r="5270" spans="1:13" x14ac:dyDescent="0.25">
      <c r="A5270" s="675" t="s">
        <v>5181</v>
      </c>
      <c r="B5270" s="675" t="s">
        <v>545</v>
      </c>
      <c r="C5270" s="675" t="s">
        <v>5196</v>
      </c>
      <c r="D5270" s="675"/>
      <c r="E5270" s="675"/>
      <c r="G5270" s="675"/>
      <c r="H5270" s="675"/>
      <c r="I5270" s="675"/>
      <c r="J5270" s="675"/>
      <c r="K5270" s="675"/>
      <c r="L5270" s="675"/>
      <c r="M5270" s="675"/>
    </row>
    <row r="5271" spans="1:13" x14ac:dyDescent="0.25">
      <c r="A5271" s="675" t="s">
        <v>5181</v>
      </c>
      <c r="B5271" s="675" t="s">
        <v>564</v>
      </c>
      <c r="C5271" s="675" t="s">
        <v>5197</v>
      </c>
      <c r="D5271" s="675"/>
      <c r="E5271" s="675"/>
      <c r="G5271" s="675"/>
      <c r="H5271" s="675"/>
      <c r="I5271" s="675"/>
      <c r="J5271" s="675"/>
      <c r="K5271" s="675"/>
      <c r="L5271" s="675"/>
      <c r="M5271" s="675"/>
    </row>
    <row r="5272" spans="1:13" x14ac:dyDescent="0.25">
      <c r="A5272" s="675" t="s">
        <v>5181</v>
      </c>
      <c r="B5272" s="675" t="s">
        <v>564</v>
      </c>
      <c r="C5272" s="675" t="s">
        <v>5198</v>
      </c>
      <c r="D5272" s="675"/>
      <c r="E5272" s="675"/>
      <c r="G5272" s="675"/>
      <c r="H5272" s="675"/>
      <c r="I5272" s="675"/>
      <c r="J5272" s="675"/>
      <c r="K5272" s="675"/>
      <c r="L5272" s="675"/>
      <c r="M5272" s="675"/>
    </row>
    <row r="5273" spans="1:13" x14ac:dyDescent="0.25">
      <c r="A5273" s="675" t="s">
        <v>5181</v>
      </c>
      <c r="B5273" s="675" t="s">
        <v>564</v>
      </c>
      <c r="C5273" s="675" t="s">
        <v>5199</v>
      </c>
      <c r="D5273" s="675"/>
      <c r="E5273" s="675"/>
      <c r="G5273" s="675"/>
      <c r="H5273" s="675"/>
      <c r="I5273" s="675"/>
      <c r="J5273" s="675"/>
      <c r="K5273" s="675"/>
      <c r="L5273" s="675"/>
      <c r="M5273" s="675"/>
    </row>
    <row r="5274" spans="1:13" x14ac:dyDescent="0.25">
      <c r="A5274" s="675" t="s">
        <v>5181</v>
      </c>
      <c r="B5274" s="675" t="s">
        <v>564</v>
      </c>
      <c r="C5274" s="675" t="s">
        <v>5200</v>
      </c>
      <c r="D5274" s="675"/>
      <c r="E5274" s="675"/>
      <c r="G5274" s="675"/>
      <c r="H5274" s="675"/>
      <c r="I5274" s="675"/>
      <c r="J5274" s="675"/>
      <c r="K5274" s="675"/>
      <c r="L5274" s="675"/>
      <c r="M5274" s="675"/>
    </row>
    <row r="5275" spans="1:13" x14ac:dyDescent="0.25">
      <c r="A5275" s="675" t="s">
        <v>5181</v>
      </c>
      <c r="B5275" s="675" t="s">
        <v>564</v>
      </c>
      <c r="C5275" s="675" t="s">
        <v>5201</v>
      </c>
      <c r="D5275" s="675"/>
      <c r="E5275" s="675"/>
      <c r="G5275" s="675"/>
      <c r="H5275" s="675"/>
      <c r="I5275" s="675"/>
      <c r="J5275" s="675"/>
      <c r="K5275" s="675"/>
      <c r="L5275" s="675"/>
      <c r="M5275" s="675"/>
    </row>
    <row r="5276" spans="1:13" x14ac:dyDescent="0.25">
      <c r="A5276" s="675" t="s">
        <v>5181</v>
      </c>
      <c r="B5276" s="675" t="s">
        <v>564</v>
      </c>
      <c r="C5276" s="675" t="s">
        <v>5202</v>
      </c>
      <c r="D5276" s="675"/>
      <c r="E5276" s="675"/>
      <c r="G5276" s="675"/>
      <c r="H5276" s="675"/>
      <c r="I5276" s="675"/>
      <c r="J5276" s="675"/>
      <c r="K5276" s="675"/>
      <c r="L5276" s="675"/>
      <c r="M5276" s="675"/>
    </row>
    <row r="5277" spans="1:13" x14ac:dyDescent="0.25">
      <c r="A5277" s="675" t="s">
        <v>5181</v>
      </c>
      <c r="B5277" s="675" t="s">
        <v>564</v>
      </c>
      <c r="C5277" s="675" t="s">
        <v>5203</v>
      </c>
      <c r="D5277" s="675"/>
      <c r="E5277" s="675"/>
      <c r="G5277" s="675"/>
      <c r="H5277" s="675"/>
      <c r="I5277" s="675"/>
      <c r="J5277" s="675"/>
      <c r="K5277" s="675"/>
      <c r="L5277" s="675"/>
      <c r="M5277" s="675"/>
    </row>
    <row r="5278" spans="1:13" x14ac:dyDescent="0.25">
      <c r="A5278" s="675" t="s">
        <v>5181</v>
      </c>
      <c r="B5278" s="675" t="s">
        <v>564</v>
      </c>
      <c r="C5278" s="675" t="s">
        <v>5204</v>
      </c>
      <c r="D5278" s="675"/>
      <c r="E5278" s="675"/>
      <c r="G5278" s="675"/>
      <c r="H5278" s="675"/>
      <c r="I5278" s="675"/>
      <c r="J5278" s="675"/>
      <c r="K5278" s="675"/>
      <c r="L5278" s="675"/>
      <c r="M5278" s="675"/>
    </row>
    <row r="5279" spans="1:13" x14ac:dyDescent="0.25">
      <c r="A5279" s="675" t="s">
        <v>5181</v>
      </c>
      <c r="B5279" s="675" t="s">
        <v>564</v>
      </c>
      <c r="C5279" s="675" t="s">
        <v>5205</v>
      </c>
      <c r="D5279" s="675"/>
      <c r="E5279" s="675"/>
      <c r="G5279" s="675"/>
      <c r="H5279" s="675"/>
      <c r="I5279" s="675"/>
      <c r="J5279" s="675"/>
      <c r="K5279" s="675"/>
      <c r="L5279" s="675"/>
      <c r="M5279" s="675"/>
    </row>
    <row r="5280" spans="1:13" x14ac:dyDescent="0.25">
      <c r="A5280" s="675" t="s">
        <v>5181</v>
      </c>
      <c r="B5280" s="675" t="s">
        <v>564</v>
      </c>
      <c r="C5280" s="675" t="s">
        <v>5206</v>
      </c>
      <c r="D5280" s="675"/>
      <c r="E5280" s="675"/>
      <c r="G5280" s="675"/>
      <c r="H5280" s="675"/>
      <c r="I5280" s="675"/>
      <c r="J5280" s="675"/>
      <c r="K5280" s="675"/>
      <c r="L5280" s="675"/>
      <c r="M5280" s="675"/>
    </row>
    <row r="5281" spans="1:13" x14ac:dyDescent="0.25">
      <c r="A5281" s="675" t="s">
        <v>5181</v>
      </c>
      <c r="B5281" s="675" t="s">
        <v>564</v>
      </c>
      <c r="C5281" s="675" t="s">
        <v>5207</v>
      </c>
      <c r="D5281" s="675"/>
      <c r="E5281" s="675"/>
      <c r="G5281" s="675"/>
      <c r="H5281" s="675"/>
      <c r="I5281" s="675"/>
      <c r="J5281" s="675"/>
      <c r="K5281" s="675"/>
      <c r="L5281" s="675"/>
      <c r="M5281" s="675"/>
    </row>
    <row r="5282" spans="1:13" x14ac:dyDescent="0.25">
      <c r="A5282" s="675" t="s">
        <v>5181</v>
      </c>
      <c r="B5282" s="675" t="s">
        <v>564</v>
      </c>
      <c r="C5282" s="675" t="s">
        <v>5208</v>
      </c>
      <c r="D5282" s="675"/>
      <c r="E5282" s="675"/>
      <c r="G5282" s="675"/>
      <c r="H5282" s="675"/>
      <c r="I5282" s="675"/>
      <c r="J5282" s="675"/>
      <c r="K5282" s="675"/>
      <c r="L5282" s="675"/>
      <c r="M5282" s="675"/>
    </row>
    <row r="5283" spans="1:13" x14ac:dyDescent="0.25">
      <c r="A5283" s="675" t="s">
        <v>5181</v>
      </c>
      <c r="B5283" s="675" t="s">
        <v>564</v>
      </c>
      <c r="C5283" s="675" t="s">
        <v>5209</v>
      </c>
      <c r="D5283" s="675"/>
      <c r="E5283" s="675"/>
      <c r="G5283" s="675"/>
      <c r="H5283" s="675"/>
      <c r="I5283" s="675"/>
      <c r="J5283" s="675"/>
      <c r="K5283" s="675"/>
      <c r="L5283" s="675"/>
      <c r="M5283" s="675"/>
    </row>
    <row r="5284" spans="1:13" x14ac:dyDescent="0.25">
      <c r="A5284" s="675" t="s">
        <v>5181</v>
      </c>
      <c r="B5284" s="675" t="s">
        <v>564</v>
      </c>
      <c r="C5284" s="675" t="s">
        <v>5210</v>
      </c>
      <c r="D5284" s="675"/>
      <c r="E5284" s="675"/>
      <c r="G5284" s="675"/>
      <c r="H5284" s="675"/>
      <c r="I5284" s="675"/>
      <c r="J5284" s="675"/>
      <c r="K5284" s="675"/>
      <c r="L5284" s="675"/>
      <c r="M5284" s="675"/>
    </row>
    <row r="5285" spans="1:13" x14ac:dyDescent="0.25">
      <c r="A5285" s="675" t="s">
        <v>5181</v>
      </c>
      <c r="B5285" s="675" t="s">
        <v>564</v>
      </c>
      <c r="C5285" s="675" t="s">
        <v>5211</v>
      </c>
      <c r="D5285" s="675"/>
      <c r="E5285" s="675"/>
      <c r="G5285" s="675"/>
      <c r="H5285" s="675"/>
      <c r="I5285" s="675"/>
      <c r="J5285" s="675"/>
      <c r="K5285" s="675"/>
      <c r="L5285" s="675"/>
      <c r="M5285" s="675"/>
    </row>
    <row r="5286" spans="1:13" x14ac:dyDescent="0.25">
      <c r="A5286" s="675" t="s">
        <v>5181</v>
      </c>
      <c r="B5286" s="675" t="s">
        <v>512</v>
      </c>
      <c r="C5286" s="675" t="s">
        <v>5212</v>
      </c>
      <c r="D5286" s="675"/>
      <c r="E5286" s="675"/>
      <c r="G5286" s="675"/>
      <c r="H5286" s="675"/>
      <c r="I5286" s="675"/>
      <c r="J5286" s="675"/>
      <c r="K5286" s="675"/>
      <c r="L5286" s="675"/>
      <c r="M5286" s="675"/>
    </row>
    <row r="5287" spans="1:13" x14ac:dyDescent="0.25">
      <c r="A5287" s="675" t="s">
        <v>5181</v>
      </c>
      <c r="B5287" s="675" t="s">
        <v>512</v>
      </c>
      <c r="C5287" s="675" t="s">
        <v>5213</v>
      </c>
      <c r="D5287" s="675"/>
      <c r="E5287" s="675"/>
      <c r="G5287" s="675"/>
      <c r="H5287" s="675"/>
      <c r="I5287" s="675"/>
      <c r="J5287" s="675"/>
      <c r="K5287" s="675"/>
      <c r="L5287" s="675"/>
      <c r="M5287" s="675"/>
    </row>
    <row r="5288" spans="1:13" x14ac:dyDescent="0.25">
      <c r="A5288" s="675" t="s">
        <v>5181</v>
      </c>
      <c r="B5288" s="675" t="s">
        <v>512</v>
      </c>
      <c r="C5288" s="675" t="s">
        <v>5214</v>
      </c>
      <c r="D5288" s="675"/>
      <c r="E5288" s="675"/>
      <c r="G5288" s="675"/>
      <c r="H5288" s="675"/>
      <c r="I5288" s="675"/>
      <c r="J5288" s="675"/>
      <c r="K5288" s="675"/>
      <c r="L5288" s="675"/>
      <c r="M5288" s="675"/>
    </row>
    <row r="5289" spans="1:13" x14ac:dyDescent="0.25">
      <c r="A5289" s="675" t="s">
        <v>5181</v>
      </c>
      <c r="B5289" s="675" t="s">
        <v>512</v>
      </c>
      <c r="C5289" s="675" t="s">
        <v>5215</v>
      </c>
      <c r="D5289" s="675"/>
      <c r="E5289" s="675"/>
      <c r="G5289" s="675"/>
      <c r="H5289" s="675"/>
      <c r="I5289" s="675"/>
      <c r="J5289" s="675"/>
      <c r="K5289" s="675"/>
      <c r="L5289" s="675"/>
      <c r="M5289" s="675"/>
    </row>
    <row r="5290" spans="1:13" x14ac:dyDescent="0.25">
      <c r="A5290" s="675" t="s">
        <v>5181</v>
      </c>
      <c r="B5290" s="675" t="s">
        <v>512</v>
      </c>
      <c r="C5290" s="675" t="s">
        <v>5216</v>
      </c>
      <c r="D5290" s="675"/>
      <c r="E5290" s="675"/>
      <c r="G5290" s="675"/>
      <c r="H5290" s="675"/>
      <c r="I5290" s="675"/>
      <c r="J5290" s="675"/>
      <c r="K5290" s="675"/>
      <c r="L5290" s="675"/>
      <c r="M5290" s="675"/>
    </row>
    <row r="5291" spans="1:13" x14ac:dyDescent="0.25">
      <c r="A5291" s="675" t="s">
        <v>5181</v>
      </c>
      <c r="B5291" s="675" t="s">
        <v>512</v>
      </c>
      <c r="C5291" s="675" t="s">
        <v>5217</v>
      </c>
      <c r="D5291" s="675"/>
      <c r="E5291" s="675"/>
      <c r="G5291" s="675"/>
      <c r="H5291" s="675"/>
      <c r="I5291" s="675"/>
      <c r="J5291" s="675"/>
      <c r="K5291" s="675"/>
      <c r="L5291" s="675"/>
      <c r="M5291" s="675"/>
    </row>
    <row r="5292" spans="1:13" x14ac:dyDescent="0.25">
      <c r="A5292" s="675" t="s">
        <v>5181</v>
      </c>
      <c r="B5292" s="675" t="s">
        <v>512</v>
      </c>
      <c r="C5292" s="675" t="s">
        <v>5218</v>
      </c>
      <c r="D5292" s="675"/>
      <c r="E5292" s="675"/>
      <c r="G5292" s="675"/>
      <c r="H5292" s="675"/>
      <c r="I5292" s="675"/>
      <c r="J5292" s="675"/>
      <c r="K5292" s="675"/>
      <c r="L5292" s="675"/>
      <c r="M5292" s="675"/>
    </row>
    <row r="5293" spans="1:13" x14ac:dyDescent="0.25">
      <c r="A5293" s="675" t="s">
        <v>5181</v>
      </c>
      <c r="B5293" s="675" t="s">
        <v>512</v>
      </c>
      <c r="C5293" s="675" t="s">
        <v>5219</v>
      </c>
      <c r="D5293" s="675"/>
      <c r="E5293" s="675"/>
      <c r="G5293" s="675"/>
      <c r="H5293" s="675"/>
      <c r="I5293" s="675"/>
      <c r="J5293" s="675"/>
      <c r="K5293" s="675"/>
      <c r="L5293" s="675"/>
      <c r="M5293" s="675"/>
    </row>
    <row r="5294" spans="1:13" x14ac:dyDescent="0.25">
      <c r="A5294" s="675" t="s">
        <v>5181</v>
      </c>
      <c r="B5294" s="675" t="s">
        <v>512</v>
      </c>
      <c r="C5294" s="675" t="s">
        <v>5220</v>
      </c>
      <c r="D5294" s="675"/>
      <c r="E5294" s="675"/>
      <c r="G5294" s="675"/>
      <c r="H5294" s="675"/>
      <c r="I5294" s="675"/>
      <c r="J5294" s="675"/>
      <c r="K5294" s="675"/>
      <c r="L5294" s="675"/>
      <c r="M5294" s="675"/>
    </row>
    <row r="5295" spans="1:13" x14ac:dyDescent="0.25">
      <c r="A5295" s="675" t="s">
        <v>5181</v>
      </c>
      <c r="B5295" s="675" t="s">
        <v>512</v>
      </c>
      <c r="C5295" s="675" t="s">
        <v>5221</v>
      </c>
      <c r="D5295" s="675"/>
      <c r="E5295" s="675"/>
      <c r="G5295" s="675"/>
      <c r="H5295" s="675"/>
      <c r="I5295" s="675"/>
      <c r="J5295" s="675"/>
      <c r="K5295" s="675"/>
      <c r="L5295" s="675"/>
      <c r="M5295" s="675"/>
    </row>
    <row r="5296" spans="1:13" x14ac:dyDescent="0.25">
      <c r="A5296" s="675" t="s">
        <v>5181</v>
      </c>
      <c r="B5296" s="675" t="s">
        <v>512</v>
      </c>
      <c r="C5296" s="675" t="s">
        <v>5222</v>
      </c>
      <c r="D5296" s="675"/>
      <c r="E5296" s="675"/>
      <c r="G5296" s="675"/>
      <c r="H5296" s="675"/>
      <c r="I5296" s="675"/>
      <c r="J5296" s="675"/>
      <c r="K5296" s="675"/>
      <c r="L5296" s="675"/>
      <c r="M5296" s="675"/>
    </row>
    <row r="5297" spans="1:13" x14ac:dyDescent="0.25">
      <c r="A5297" s="675" t="s">
        <v>5181</v>
      </c>
      <c r="B5297" s="675" t="s">
        <v>512</v>
      </c>
      <c r="C5297" s="675" t="s">
        <v>5223</v>
      </c>
      <c r="D5297" s="675"/>
      <c r="E5297" s="675"/>
      <c r="G5297" s="675"/>
      <c r="H5297" s="675"/>
      <c r="I5297" s="675"/>
      <c r="J5297" s="675"/>
      <c r="K5297" s="675"/>
      <c r="L5297" s="675"/>
      <c r="M5297" s="675"/>
    </row>
    <row r="5298" spans="1:13" x14ac:dyDescent="0.25">
      <c r="A5298" s="675" t="s">
        <v>5181</v>
      </c>
      <c r="B5298" s="675" t="s">
        <v>512</v>
      </c>
      <c r="C5298" s="675" t="s">
        <v>5224</v>
      </c>
      <c r="D5298" s="675"/>
      <c r="E5298" s="675"/>
      <c r="G5298" s="675"/>
      <c r="H5298" s="675"/>
      <c r="I5298" s="675"/>
      <c r="J5298" s="675"/>
      <c r="K5298" s="675"/>
      <c r="L5298" s="675"/>
      <c r="M5298" s="675"/>
    </row>
    <row r="5299" spans="1:13" x14ac:dyDescent="0.25">
      <c r="A5299" s="675" t="s">
        <v>5181</v>
      </c>
      <c r="B5299" s="675" t="s">
        <v>512</v>
      </c>
      <c r="C5299" s="675" t="s">
        <v>5225</v>
      </c>
      <c r="D5299" s="675"/>
      <c r="E5299" s="675"/>
      <c r="G5299" s="675"/>
      <c r="H5299" s="675"/>
      <c r="I5299" s="675"/>
      <c r="J5299" s="675"/>
      <c r="K5299" s="675"/>
      <c r="L5299" s="675"/>
      <c r="M5299" s="675"/>
    </row>
    <row r="5300" spans="1:13" x14ac:dyDescent="0.25">
      <c r="A5300" s="675" t="s">
        <v>5181</v>
      </c>
      <c r="B5300" s="675" t="s">
        <v>512</v>
      </c>
      <c r="C5300" s="675" t="s">
        <v>5226</v>
      </c>
      <c r="D5300" s="675"/>
      <c r="E5300" s="675"/>
      <c r="G5300" s="675"/>
      <c r="H5300" s="675"/>
      <c r="I5300" s="675"/>
      <c r="J5300" s="675"/>
      <c r="K5300" s="675"/>
      <c r="L5300" s="675"/>
      <c r="M5300" s="675"/>
    </row>
    <row r="5301" spans="1:13" x14ac:dyDescent="0.25">
      <c r="A5301" s="675" t="s">
        <v>5227</v>
      </c>
      <c r="B5301" s="675" t="s">
        <v>545</v>
      </c>
      <c r="C5301" s="676" t="s">
        <v>5228</v>
      </c>
      <c r="D5301" s="675"/>
      <c r="E5301" s="675"/>
      <c r="G5301" s="675"/>
      <c r="H5301" s="675"/>
      <c r="I5301" s="675"/>
      <c r="J5301" s="675"/>
      <c r="K5301" s="675"/>
      <c r="L5301" s="675"/>
      <c r="M5301" s="675"/>
    </row>
    <row r="5302" spans="1:13" x14ac:dyDescent="0.25">
      <c r="A5302" s="675" t="s">
        <v>5227</v>
      </c>
      <c r="B5302" s="675" t="s">
        <v>545</v>
      </c>
      <c r="C5302" s="676" t="s">
        <v>5229</v>
      </c>
      <c r="D5302" s="675"/>
      <c r="E5302" s="675"/>
      <c r="G5302" s="675"/>
      <c r="H5302" s="675"/>
      <c r="I5302" s="675"/>
      <c r="J5302" s="675"/>
      <c r="K5302" s="675"/>
      <c r="L5302" s="675"/>
      <c r="M5302" s="675"/>
    </row>
    <row r="5303" spans="1:13" x14ac:dyDescent="0.25">
      <c r="A5303" s="675" t="s">
        <v>5227</v>
      </c>
      <c r="B5303" s="675" t="s">
        <v>545</v>
      </c>
      <c r="C5303" s="676" t="s">
        <v>5230</v>
      </c>
      <c r="D5303" s="675"/>
      <c r="E5303" s="675"/>
      <c r="G5303" s="675"/>
      <c r="H5303" s="675"/>
      <c r="I5303" s="675"/>
      <c r="J5303" s="675"/>
      <c r="K5303" s="675"/>
      <c r="L5303" s="675"/>
      <c r="M5303" s="675"/>
    </row>
    <row r="5304" spans="1:13" x14ac:dyDescent="0.25">
      <c r="A5304" s="675" t="s">
        <v>5227</v>
      </c>
      <c r="B5304" s="675" t="s">
        <v>545</v>
      </c>
      <c r="C5304" s="676" t="s">
        <v>5231</v>
      </c>
      <c r="D5304" s="675"/>
      <c r="E5304" s="675"/>
      <c r="G5304" s="675"/>
      <c r="H5304" s="675"/>
      <c r="I5304" s="675"/>
      <c r="J5304" s="675"/>
      <c r="K5304" s="675"/>
      <c r="L5304" s="675"/>
      <c r="M5304" s="675"/>
    </row>
    <row r="5305" spans="1:13" x14ac:dyDescent="0.25">
      <c r="A5305" s="675" t="s">
        <v>5227</v>
      </c>
      <c r="B5305" s="675" t="s">
        <v>545</v>
      </c>
      <c r="C5305" s="676" t="s">
        <v>5232</v>
      </c>
      <c r="D5305" s="675"/>
      <c r="E5305" s="675"/>
      <c r="G5305" s="675"/>
      <c r="H5305" s="675"/>
      <c r="I5305" s="675"/>
      <c r="J5305" s="675"/>
      <c r="K5305" s="675"/>
      <c r="L5305" s="675"/>
      <c r="M5305" s="675"/>
    </row>
    <row r="5306" spans="1:13" x14ac:dyDescent="0.25">
      <c r="A5306" s="675" t="s">
        <v>5227</v>
      </c>
      <c r="B5306" s="675" t="s">
        <v>545</v>
      </c>
      <c r="C5306" s="676" t="s">
        <v>5233</v>
      </c>
      <c r="D5306" s="675"/>
      <c r="E5306" s="675"/>
      <c r="G5306" s="675"/>
      <c r="H5306" s="675"/>
      <c r="I5306" s="675"/>
      <c r="J5306" s="675"/>
      <c r="K5306" s="675"/>
      <c r="L5306" s="675"/>
      <c r="M5306" s="675"/>
    </row>
    <row r="5307" spans="1:13" x14ac:dyDescent="0.25">
      <c r="A5307" s="675" t="s">
        <v>5227</v>
      </c>
      <c r="B5307" s="675" t="s">
        <v>545</v>
      </c>
      <c r="C5307" s="676" t="s">
        <v>5234</v>
      </c>
      <c r="D5307" s="675"/>
      <c r="E5307" s="675"/>
      <c r="G5307" s="675"/>
      <c r="H5307" s="675"/>
      <c r="I5307" s="675"/>
      <c r="J5307" s="675"/>
      <c r="K5307" s="675"/>
      <c r="L5307" s="675"/>
      <c r="M5307" s="675"/>
    </row>
    <row r="5308" spans="1:13" x14ac:dyDescent="0.25">
      <c r="A5308" s="675" t="s">
        <v>5227</v>
      </c>
      <c r="B5308" s="675" t="s">
        <v>545</v>
      </c>
      <c r="C5308" s="676" t="s">
        <v>5235</v>
      </c>
      <c r="D5308" s="675"/>
      <c r="E5308" s="675"/>
      <c r="G5308" s="675"/>
      <c r="H5308" s="675"/>
      <c r="I5308" s="675"/>
      <c r="J5308" s="675"/>
      <c r="K5308" s="675"/>
      <c r="L5308" s="675"/>
      <c r="M5308" s="675"/>
    </row>
    <row r="5309" spans="1:13" x14ac:dyDescent="0.25">
      <c r="A5309" s="675" t="s">
        <v>5227</v>
      </c>
      <c r="B5309" s="675" t="s">
        <v>545</v>
      </c>
      <c r="C5309" s="676" t="s">
        <v>5236</v>
      </c>
      <c r="D5309" s="675"/>
      <c r="E5309" s="675"/>
      <c r="G5309" s="675"/>
      <c r="H5309" s="675"/>
      <c r="I5309" s="675"/>
      <c r="J5309" s="675"/>
      <c r="K5309" s="675"/>
      <c r="L5309" s="675"/>
      <c r="M5309" s="675"/>
    </row>
    <row r="5310" spans="1:13" x14ac:dyDescent="0.25">
      <c r="A5310" s="675" t="s">
        <v>5227</v>
      </c>
      <c r="B5310" s="675" t="s">
        <v>545</v>
      </c>
      <c r="C5310" s="676" t="s">
        <v>5237</v>
      </c>
      <c r="D5310" s="675"/>
      <c r="E5310" s="675"/>
      <c r="G5310" s="675"/>
      <c r="H5310" s="675"/>
      <c r="I5310" s="675"/>
      <c r="J5310" s="675"/>
      <c r="K5310" s="675"/>
      <c r="L5310" s="675"/>
      <c r="M5310" s="675"/>
    </row>
    <row r="5311" spans="1:13" ht="30" x14ac:dyDescent="0.25">
      <c r="A5311" s="675" t="s">
        <v>5227</v>
      </c>
      <c r="B5311" s="675" t="s">
        <v>545</v>
      </c>
      <c r="C5311" s="676" t="s">
        <v>5238</v>
      </c>
      <c r="D5311" s="675"/>
      <c r="E5311" s="675"/>
      <c r="G5311" s="675"/>
      <c r="H5311" s="675"/>
      <c r="I5311" s="675"/>
      <c r="J5311" s="675"/>
      <c r="K5311" s="675"/>
      <c r="L5311" s="675"/>
      <c r="M5311" s="675"/>
    </row>
    <row r="5312" spans="1:13" x14ac:dyDescent="0.25">
      <c r="A5312" s="675" t="s">
        <v>5227</v>
      </c>
      <c r="B5312" s="675" t="s">
        <v>545</v>
      </c>
      <c r="C5312" s="676" t="s">
        <v>5239</v>
      </c>
      <c r="D5312" s="675"/>
      <c r="E5312" s="675"/>
      <c r="G5312" s="675"/>
      <c r="H5312" s="675"/>
      <c r="I5312" s="675"/>
      <c r="J5312" s="675"/>
      <c r="K5312" s="675"/>
      <c r="L5312" s="675"/>
      <c r="M5312" s="675"/>
    </row>
    <row r="5313" spans="1:13" x14ac:dyDescent="0.25">
      <c r="A5313" s="675" t="s">
        <v>5227</v>
      </c>
      <c r="B5313" s="675" t="s">
        <v>545</v>
      </c>
      <c r="C5313" s="676" t="s">
        <v>5240</v>
      </c>
      <c r="D5313" s="675"/>
      <c r="E5313" s="675"/>
      <c r="G5313" s="675"/>
      <c r="H5313" s="675"/>
      <c r="I5313" s="675"/>
      <c r="J5313" s="675"/>
      <c r="K5313" s="675"/>
      <c r="L5313" s="675"/>
      <c r="M5313" s="675"/>
    </row>
    <row r="5314" spans="1:13" x14ac:dyDescent="0.25">
      <c r="A5314" s="675" t="s">
        <v>5227</v>
      </c>
      <c r="B5314" s="675" t="s">
        <v>545</v>
      </c>
      <c r="C5314" s="676" t="s">
        <v>5241</v>
      </c>
      <c r="D5314" s="675"/>
      <c r="E5314" s="675"/>
      <c r="G5314" s="675"/>
      <c r="H5314" s="675"/>
      <c r="I5314" s="675"/>
      <c r="J5314" s="675"/>
      <c r="K5314" s="675"/>
      <c r="L5314" s="675"/>
      <c r="M5314" s="675"/>
    </row>
    <row r="5315" spans="1:13" x14ac:dyDescent="0.25">
      <c r="A5315" s="675" t="s">
        <v>5227</v>
      </c>
      <c r="B5315" s="675" t="s">
        <v>545</v>
      </c>
      <c r="C5315" s="676" t="s">
        <v>5242</v>
      </c>
      <c r="D5315" s="675"/>
      <c r="E5315" s="675"/>
      <c r="G5315" s="675"/>
      <c r="H5315" s="675"/>
      <c r="I5315" s="675"/>
      <c r="J5315" s="675"/>
      <c r="K5315" s="675"/>
      <c r="L5315" s="675"/>
      <c r="M5315" s="675"/>
    </row>
    <row r="5316" spans="1:13" x14ac:dyDescent="0.25">
      <c r="A5316" s="675" t="s">
        <v>5227</v>
      </c>
      <c r="B5316" s="675" t="s">
        <v>564</v>
      </c>
      <c r="C5316" s="676" t="s">
        <v>5243</v>
      </c>
      <c r="D5316" s="675"/>
      <c r="E5316" s="675"/>
      <c r="G5316" s="675"/>
      <c r="H5316" s="675"/>
      <c r="I5316" s="675"/>
      <c r="J5316" s="675"/>
      <c r="K5316" s="675"/>
      <c r="L5316" s="675"/>
      <c r="M5316" s="675"/>
    </row>
    <row r="5317" spans="1:13" x14ac:dyDescent="0.25">
      <c r="A5317" s="675" t="s">
        <v>5227</v>
      </c>
      <c r="B5317" s="675" t="s">
        <v>564</v>
      </c>
      <c r="C5317" s="676" t="s">
        <v>5244</v>
      </c>
      <c r="D5317" s="675"/>
      <c r="E5317" s="675"/>
      <c r="G5317" s="675"/>
      <c r="H5317" s="675"/>
      <c r="I5317" s="675"/>
      <c r="J5317" s="675"/>
      <c r="K5317" s="675"/>
      <c r="L5317" s="675"/>
      <c r="M5317" s="675"/>
    </row>
    <row r="5318" spans="1:13" x14ac:dyDescent="0.25">
      <c r="A5318" s="675" t="s">
        <v>5227</v>
      </c>
      <c r="B5318" s="675" t="s">
        <v>564</v>
      </c>
      <c r="C5318" s="676" t="s">
        <v>5245</v>
      </c>
      <c r="D5318" s="675"/>
      <c r="E5318" s="675"/>
      <c r="G5318" s="675"/>
      <c r="H5318" s="675"/>
      <c r="I5318" s="675"/>
      <c r="J5318" s="675"/>
      <c r="K5318" s="675"/>
      <c r="L5318" s="675"/>
      <c r="M5318" s="675"/>
    </row>
    <row r="5319" spans="1:13" x14ac:dyDescent="0.25">
      <c r="A5319" s="675" t="s">
        <v>5227</v>
      </c>
      <c r="B5319" s="675" t="s">
        <v>564</v>
      </c>
      <c r="C5319" s="676" t="s">
        <v>5246</v>
      </c>
      <c r="D5319" s="675"/>
      <c r="E5319" s="675"/>
      <c r="G5319" s="675"/>
      <c r="H5319" s="675"/>
      <c r="I5319" s="675"/>
      <c r="J5319" s="675"/>
      <c r="K5319" s="675"/>
      <c r="L5319" s="675"/>
      <c r="M5319" s="675"/>
    </row>
    <row r="5320" spans="1:13" x14ac:dyDescent="0.25">
      <c r="A5320" s="675" t="s">
        <v>5227</v>
      </c>
      <c r="B5320" s="675" t="s">
        <v>564</v>
      </c>
      <c r="C5320" s="676" t="s">
        <v>5247</v>
      </c>
      <c r="D5320" s="675"/>
      <c r="E5320" s="675"/>
      <c r="G5320" s="675"/>
      <c r="H5320" s="675"/>
      <c r="I5320" s="675"/>
      <c r="J5320" s="675"/>
      <c r="K5320" s="675"/>
      <c r="L5320" s="675"/>
      <c r="M5320" s="675"/>
    </row>
    <row r="5321" spans="1:13" x14ac:dyDescent="0.25">
      <c r="A5321" s="675" t="s">
        <v>5227</v>
      </c>
      <c r="B5321" s="675" t="s">
        <v>564</v>
      </c>
      <c r="C5321" s="676" t="s">
        <v>5248</v>
      </c>
      <c r="D5321" s="675"/>
      <c r="E5321" s="675"/>
      <c r="G5321" s="675"/>
      <c r="H5321" s="675"/>
      <c r="I5321" s="675"/>
      <c r="J5321" s="675"/>
      <c r="K5321" s="675"/>
      <c r="L5321" s="675"/>
      <c r="M5321" s="675"/>
    </row>
    <row r="5322" spans="1:13" x14ac:dyDescent="0.25">
      <c r="A5322" s="675" t="s">
        <v>5227</v>
      </c>
      <c r="B5322" s="675" t="s">
        <v>564</v>
      </c>
      <c r="C5322" s="676" t="s">
        <v>5249</v>
      </c>
      <c r="D5322" s="675"/>
      <c r="E5322" s="675"/>
      <c r="G5322" s="675"/>
      <c r="H5322" s="675"/>
      <c r="I5322" s="675"/>
      <c r="J5322" s="675"/>
      <c r="K5322" s="675"/>
      <c r="L5322" s="675"/>
      <c r="M5322" s="675"/>
    </row>
    <row r="5323" spans="1:13" x14ac:dyDescent="0.25">
      <c r="A5323" s="675" t="s">
        <v>5227</v>
      </c>
      <c r="B5323" s="675" t="s">
        <v>564</v>
      </c>
      <c r="C5323" s="676" t="s">
        <v>5250</v>
      </c>
      <c r="D5323" s="675"/>
      <c r="E5323" s="675"/>
      <c r="G5323" s="675"/>
      <c r="H5323" s="675"/>
      <c r="I5323" s="675"/>
      <c r="J5323" s="675"/>
      <c r="K5323" s="675"/>
      <c r="L5323" s="675"/>
      <c r="M5323" s="675"/>
    </row>
    <row r="5324" spans="1:13" x14ac:dyDescent="0.25">
      <c r="A5324" s="675" t="s">
        <v>5227</v>
      </c>
      <c r="B5324" s="675" t="s">
        <v>564</v>
      </c>
      <c r="C5324" s="676" t="s">
        <v>5251</v>
      </c>
      <c r="D5324" s="675"/>
      <c r="E5324" s="675"/>
      <c r="G5324" s="675"/>
      <c r="H5324" s="675"/>
      <c r="I5324" s="675"/>
      <c r="J5324" s="675"/>
      <c r="K5324" s="675"/>
      <c r="L5324" s="675"/>
      <c r="M5324" s="675"/>
    </row>
    <row r="5325" spans="1:13" x14ac:dyDescent="0.25">
      <c r="A5325" s="675" t="s">
        <v>5227</v>
      </c>
      <c r="B5325" s="675" t="s">
        <v>564</v>
      </c>
      <c r="C5325" s="676" t="s">
        <v>5252</v>
      </c>
      <c r="D5325" s="675"/>
      <c r="E5325" s="675"/>
      <c r="G5325" s="675"/>
      <c r="H5325" s="675"/>
      <c r="I5325" s="675"/>
      <c r="J5325" s="675"/>
      <c r="K5325" s="675"/>
      <c r="L5325" s="675"/>
      <c r="M5325" s="675"/>
    </row>
    <row r="5326" spans="1:13" x14ac:dyDescent="0.25">
      <c r="A5326" s="675" t="s">
        <v>5227</v>
      </c>
      <c r="B5326" s="675" t="s">
        <v>564</v>
      </c>
      <c r="C5326" s="676" t="s">
        <v>5253</v>
      </c>
      <c r="D5326" s="675"/>
      <c r="E5326" s="675"/>
      <c r="G5326" s="675"/>
      <c r="H5326" s="675"/>
      <c r="I5326" s="675"/>
      <c r="J5326" s="675"/>
      <c r="K5326" s="675"/>
      <c r="L5326" s="675"/>
      <c r="M5326" s="675"/>
    </row>
    <row r="5327" spans="1:13" x14ac:dyDescent="0.25">
      <c r="A5327" s="675" t="s">
        <v>5227</v>
      </c>
      <c r="B5327" s="675" t="s">
        <v>564</v>
      </c>
      <c r="C5327" s="676" t="s">
        <v>5254</v>
      </c>
      <c r="D5327" s="675"/>
      <c r="E5327" s="675"/>
      <c r="G5327" s="675"/>
      <c r="H5327" s="675"/>
      <c r="I5327" s="675"/>
      <c r="J5327" s="675"/>
      <c r="K5327" s="675"/>
      <c r="L5327" s="675"/>
      <c r="M5327" s="675"/>
    </row>
    <row r="5328" spans="1:13" x14ac:dyDescent="0.25">
      <c r="A5328" s="675" t="s">
        <v>5227</v>
      </c>
      <c r="B5328" s="675" t="s">
        <v>564</v>
      </c>
      <c r="C5328" s="676" t="s">
        <v>5255</v>
      </c>
      <c r="D5328" s="675"/>
      <c r="E5328" s="675"/>
      <c r="G5328" s="675"/>
      <c r="H5328" s="675"/>
      <c r="I5328" s="675"/>
      <c r="J5328" s="675"/>
      <c r="K5328" s="675"/>
      <c r="L5328" s="675"/>
      <c r="M5328" s="675"/>
    </row>
    <row r="5329" spans="1:13" x14ac:dyDescent="0.25">
      <c r="A5329" s="675" t="s">
        <v>5227</v>
      </c>
      <c r="B5329" s="675" t="s">
        <v>564</v>
      </c>
      <c r="C5329" s="676" t="s">
        <v>5256</v>
      </c>
      <c r="D5329" s="675"/>
      <c r="E5329" s="675"/>
      <c r="G5329" s="675"/>
      <c r="H5329" s="675"/>
      <c r="I5329" s="675"/>
      <c r="J5329" s="675"/>
      <c r="K5329" s="675"/>
      <c r="L5329" s="675"/>
      <c r="M5329" s="675"/>
    </row>
    <row r="5330" spans="1:13" x14ac:dyDescent="0.25">
      <c r="A5330" s="675" t="s">
        <v>5227</v>
      </c>
      <c r="B5330" s="675" t="s">
        <v>564</v>
      </c>
      <c r="C5330" s="676" t="s">
        <v>5257</v>
      </c>
      <c r="D5330" s="675"/>
      <c r="E5330" s="675"/>
      <c r="G5330" s="675"/>
      <c r="H5330" s="675"/>
      <c r="I5330" s="675"/>
      <c r="J5330" s="675"/>
      <c r="K5330" s="675"/>
      <c r="L5330" s="675"/>
      <c r="M5330" s="675"/>
    </row>
    <row r="5331" spans="1:13" x14ac:dyDescent="0.25">
      <c r="A5331" s="675" t="s">
        <v>5227</v>
      </c>
      <c r="B5331" s="675" t="s">
        <v>512</v>
      </c>
      <c r="C5331" s="675" t="s">
        <v>5258</v>
      </c>
      <c r="D5331" s="675"/>
      <c r="E5331" s="675"/>
      <c r="G5331" s="675"/>
      <c r="H5331" s="675"/>
      <c r="I5331" s="675"/>
      <c r="J5331" s="675"/>
      <c r="K5331" s="675"/>
      <c r="L5331" s="675"/>
      <c r="M5331" s="675"/>
    </row>
    <row r="5332" spans="1:13" x14ac:dyDescent="0.25">
      <c r="A5332" s="675" t="s">
        <v>5227</v>
      </c>
      <c r="B5332" s="675" t="s">
        <v>512</v>
      </c>
      <c r="C5332" s="675" t="s">
        <v>5259</v>
      </c>
      <c r="D5332" s="675"/>
      <c r="E5332" s="675"/>
      <c r="G5332" s="675"/>
      <c r="H5332" s="675"/>
      <c r="I5332" s="675"/>
      <c r="J5332" s="675"/>
      <c r="K5332" s="675"/>
      <c r="L5332" s="675"/>
      <c r="M5332" s="675"/>
    </row>
    <row r="5333" spans="1:13" x14ac:dyDescent="0.25">
      <c r="A5333" s="675" t="s">
        <v>5227</v>
      </c>
      <c r="B5333" s="675" t="s">
        <v>512</v>
      </c>
      <c r="C5333" s="675" t="s">
        <v>5260</v>
      </c>
      <c r="D5333" s="675"/>
      <c r="E5333" s="675"/>
      <c r="G5333" s="675"/>
      <c r="H5333" s="675"/>
      <c r="I5333" s="675"/>
      <c r="J5333" s="675"/>
      <c r="K5333" s="675"/>
      <c r="L5333" s="675"/>
      <c r="M5333" s="675"/>
    </row>
    <row r="5334" spans="1:13" x14ac:dyDescent="0.25">
      <c r="A5334" s="675" t="s">
        <v>5227</v>
      </c>
      <c r="B5334" s="675" t="s">
        <v>512</v>
      </c>
      <c r="C5334" s="675" t="s">
        <v>5261</v>
      </c>
      <c r="D5334" s="675"/>
      <c r="E5334" s="675"/>
      <c r="G5334" s="675"/>
      <c r="H5334" s="675"/>
      <c r="I5334" s="675"/>
      <c r="J5334" s="675"/>
      <c r="K5334" s="675"/>
      <c r="L5334" s="675"/>
      <c r="M5334" s="675"/>
    </row>
    <row r="5335" spans="1:13" x14ac:dyDescent="0.25">
      <c r="A5335" s="675" t="s">
        <v>5227</v>
      </c>
      <c r="B5335" s="675" t="s">
        <v>512</v>
      </c>
      <c r="C5335" s="675" t="s">
        <v>5262</v>
      </c>
      <c r="D5335" s="675"/>
      <c r="E5335" s="675"/>
      <c r="G5335" s="675"/>
      <c r="H5335" s="675"/>
      <c r="I5335" s="675"/>
      <c r="J5335" s="675"/>
      <c r="K5335" s="675"/>
      <c r="L5335" s="675"/>
      <c r="M5335" s="675"/>
    </row>
    <row r="5336" spans="1:13" x14ac:dyDescent="0.25">
      <c r="A5336" s="675" t="s">
        <v>5227</v>
      </c>
      <c r="B5336" s="675" t="s">
        <v>512</v>
      </c>
      <c r="C5336" s="675" t="s">
        <v>5263</v>
      </c>
      <c r="D5336" s="675"/>
      <c r="E5336" s="675"/>
      <c r="G5336" s="675"/>
      <c r="H5336" s="675"/>
      <c r="I5336" s="675"/>
      <c r="J5336" s="675"/>
      <c r="K5336" s="675"/>
      <c r="L5336" s="675"/>
      <c r="M5336" s="675"/>
    </row>
    <row r="5337" spans="1:13" x14ac:dyDescent="0.25">
      <c r="A5337" s="675" t="s">
        <v>5227</v>
      </c>
      <c r="B5337" s="675" t="s">
        <v>512</v>
      </c>
      <c r="C5337" s="675" t="s">
        <v>5264</v>
      </c>
      <c r="D5337" s="675"/>
      <c r="E5337" s="675"/>
      <c r="G5337" s="675"/>
      <c r="H5337" s="675"/>
      <c r="I5337" s="675"/>
      <c r="J5337" s="675"/>
      <c r="K5337" s="675"/>
      <c r="L5337" s="675"/>
      <c r="M5337" s="675"/>
    </row>
    <row r="5338" spans="1:13" x14ac:dyDescent="0.25">
      <c r="A5338" s="675" t="s">
        <v>5227</v>
      </c>
      <c r="B5338" s="675" t="s">
        <v>512</v>
      </c>
      <c r="C5338" s="675" t="s">
        <v>5265</v>
      </c>
      <c r="D5338" s="675"/>
      <c r="E5338" s="675"/>
      <c r="G5338" s="675"/>
      <c r="H5338" s="675"/>
      <c r="I5338" s="675"/>
      <c r="J5338" s="675"/>
      <c r="K5338" s="675"/>
      <c r="L5338" s="675"/>
      <c r="M5338" s="675"/>
    </row>
    <row r="5339" spans="1:13" x14ac:dyDescent="0.25">
      <c r="A5339" s="675" t="s">
        <v>5227</v>
      </c>
      <c r="B5339" s="675" t="s">
        <v>512</v>
      </c>
      <c r="C5339" s="675" t="s">
        <v>5266</v>
      </c>
      <c r="D5339" s="675"/>
      <c r="E5339" s="675"/>
      <c r="G5339" s="675"/>
      <c r="H5339" s="675"/>
      <c r="I5339" s="675"/>
      <c r="J5339" s="675"/>
      <c r="K5339" s="675"/>
      <c r="L5339" s="675"/>
      <c r="M5339" s="675"/>
    </row>
    <row r="5340" spans="1:13" x14ac:dyDescent="0.25">
      <c r="A5340" s="675" t="s">
        <v>5227</v>
      </c>
      <c r="B5340" s="675" t="s">
        <v>512</v>
      </c>
      <c r="C5340" s="675" t="s">
        <v>5267</v>
      </c>
      <c r="D5340" s="675"/>
      <c r="E5340" s="675"/>
      <c r="G5340" s="675"/>
      <c r="H5340" s="675"/>
      <c r="I5340" s="675"/>
      <c r="J5340" s="675"/>
      <c r="K5340" s="675"/>
      <c r="L5340" s="675"/>
      <c r="M5340" s="675"/>
    </row>
    <row r="5341" spans="1:13" x14ac:dyDescent="0.25">
      <c r="A5341" s="675" t="s">
        <v>5227</v>
      </c>
      <c r="B5341" s="675" t="s">
        <v>512</v>
      </c>
      <c r="C5341" s="675" t="s">
        <v>5268</v>
      </c>
      <c r="D5341" s="675"/>
      <c r="E5341" s="675"/>
      <c r="G5341" s="675"/>
      <c r="H5341" s="675"/>
      <c r="I5341" s="675"/>
      <c r="J5341" s="675"/>
      <c r="K5341" s="675"/>
      <c r="L5341" s="675"/>
      <c r="M5341" s="675"/>
    </row>
    <row r="5342" spans="1:13" x14ac:dyDescent="0.25">
      <c r="A5342" s="675" t="s">
        <v>5227</v>
      </c>
      <c r="B5342" s="675" t="s">
        <v>512</v>
      </c>
      <c r="C5342" s="675" t="s">
        <v>5269</v>
      </c>
      <c r="D5342" s="675"/>
      <c r="E5342" s="675"/>
      <c r="G5342" s="675"/>
      <c r="H5342" s="675"/>
      <c r="I5342" s="675"/>
      <c r="J5342" s="675"/>
      <c r="K5342" s="675"/>
      <c r="L5342" s="675"/>
      <c r="M5342" s="675"/>
    </row>
    <row r="5343" spans="1:13" x14ac:dyDescent="0.25">
      <c r="A5343" s="675" t="s">
        <v>5227</v>
      </c>
      <c r="B5343" s="675" t="s">
        <v>512</v>
      </c>
      <c r="C5343" s="675" t="s">
        <v>5270</v>
      </c>
      <c r="D5343" s="675"/>
      <c r="E5343" s="675"/>
      <c r="G5343" s="675"/>
      <c r="H5343" s="675"/>
      <c r="I5343" s="675"/>
      <c r="J5343" s="675"/>
      <c r="K5343" s="675"/>
      <c r="L5343" s="675"/>
      <c r="M5343" s="675"/>
    </row>
    <row r="5344" spans="1:13" x14ac:dyDescent="0.25">
      <c r="A5344" s="675" t="s">
        <v>5227</v>
      </c>
      <c r="B5344" s="675" t="s">
        <v>512</v>
      </c>
      <c r="C5344" s="675" t="s">
        <v>5271</v>
      </c>
      <c r="D5344" s="675"/>
      <c r="E5344" s="675"/>
      <c r="G5344" s="675"/>
      <c r="H5344" s="675"/>
      <c r="I5344" s="675"/>
      <c r="J5344" s="675"/>
      <c r="K5344" s="675"/>
      <c r="L5344" s="675"/>
      <c r="M5344" s="675"/>
    </row>
    <row r="5345" spans="1:13" x14ac:dyDescent="0.25">
      <c r="A5345" s="675" t="s">
        <v>5227</v>
      </c>
      <c r="B5345" s="675" t="s">
        <v>512</v>
      </c>
      <c r="C5345" s="675" t="s">
        <v>5272</v>
      </c>
      <c r="D5345" s="675"/>
      <c r="E5345" s="675"/>
      <c r="G5345" s="675"/>
      <c r="H5345" s="675"/>
      <c r="I5345" s="675"/>
      <c r="J5345" s="675"/>
      <c r="K5345" s="675"/>
      <c r="L5345" s="675"/>
      <c r="M5345" s="675"/>
    </row>
    <row r="5346" spans="1:13" x14ac:dyDescent="0.25">
      <c r="A5346" s="675" t="s">
        <v>5273</v>
      </c>
      <c r="B5346" s="675" t="s">
        <v>545</v>
      </c>
      <c r="C5346" s="676" t="s">
        <v>5274</v>
      </c>
      <c r="D5346" s="675"/>
      <c r="E5346" s="675"/>
      <c r="G5346" s="675"/>
      <c r="H5346" s="675"/>
      <c r="I5346" s="675"/>
      <c r="J5346" s="675"/>
      <c r="K5346" s="675"/>
      <c r="L5346" s="675"/>
      <c r="M5346" s="675"/>
    </row>
    <row r="5347" spans="1:13" x14ac:dyDescent="0.25">
      <c r="A5347" s="675" t="s">
        <v>5273</v>
      </c>
      <c r="B5347" s="675" t="s">
        <v>545</v>
      </c>
      <c r="C5347" s="676" t="s">
        <v>5275</v>
      </c>
      <c r="D5347" s="675"/>
      <c r="E5347" s="675"/>
      <c r="G5347" s="675"/>
      <c r="H5347" s="675"/>
      <c r="I5347" s="675"/>
      <c r="J5347" s="675"/>
      <c r="K5347" s="675"/>
      <c r="L5347" s="675"/>
      <c r="M5347" s="675"/>
    </row>
    <row r="5348" spans="1:13" x14ac:dyDescent="0.25">
      <c r="A5348" s="675" t="s">
        <v>5273</v>
      </c>
      <c r="B5348" s="675" t="s">
        <v>545</v>
      </c>
      <c r="C5348" s="676" t="s">
        <v>5276</v>
      </c>
      <c r="D5348" s="675"/>
      <c r="E5348" s="675"/>
      <c r="G5348" s="675"/>
      <c r="H5348" s="675"/>
      <c r="I5348" s="675"/>
      <c r="J5348" s="675"/>
      <c r="K5348" s="675"/>
      <c r="L5348" s="675"/>
      <c r="M5348" s="675"/>
    </row>
    <row r="5349" spans="1:13" x14ac:dyDescent="0.25">
      <c r="A5349" s="675" t="s">
        <v>5273</v>
      </c>
      <c r="B5349" s="675" t="s">
        <v>545</v>
      </c>
      <c r="C5349" s="676" t="s">
        <v>5277</v>
      </c>
      <c r="D5349" s="675"/>
      <c r="E5349" s="675"/>
      <c r="G5349" s="675"/>
      <c r="H5349" s="675"/>
      <c r="I5349" s="675"/>
      <c r="J5349" s="675"/>
      <c r="K5349" s="675"/>
      <c r="L5349" s="675"/>
      <c r="M5349" s="675"/>
    </row>
    <row r="5350" spans="1:13" x14ac:dyDescent="0.25">
      <c r="A5350" s="675" t="s">
        <v>5273</v>
      </c>
      <c r="B5350" s="675" t="s">
        <v>545</v>
      </c>
      <c r="C5350" s="676" t="s">
        <v>5278</v>
      </c>
      <c r="D5350" s="675"/>
      <c r="E5350" s="675"/>
      <c r="G5350" s="675"/>
      <c r="H5350" s="675"/>
      <c r="I5350" s="675"/>
      <c r="J5350" s="675"/>
      <c r="K5350" s="675"/>
      <c r="L5350" s="675"/>
      <c r="M5350" s="675"/>
    </row>
    <row r="5351" spans="1:13" x14ac:dyDescent="0.25">
      <c r="A5351" s="675" t="s">
        <v>5273</v>
      </c>
      <c r="B5351" s="675" t="s">
        <v>545</v>
      </c>
      <c r="C5351" s="676" t="s">
        <v>5279</v>
      </c>
      <c r="D5351" s="675"/>
      <c r="E5351" s="675"/>
      <c r="G5351" s="675"/>
      <c r="H5351" s="675"/>
      <c r="I5351" s="675"/>
      <c r="J5351" s="675"/>
      <c r="K5351" s="675"/>
      <c r="L5351" s="675"/>
      <c r="M5351" s="675"/>
    </row>
    <row r="5352" spans="1:13" x14ac:dyDescent="0.25">
      <c r="A5352" s="675" t="s">
        <v>5273</v>
      </c>
      <c r="B5352" s="675" t="s">
        <v>545</v>
      </c>
      <c r="C5352" s="676" t="s">
        <v>5280</v>
      </c>
      <c r="D5352" s="675"/>
      <c r="E5352" s="675"/>
      <c r="G5352" s="675"/>
      <c r="H5352" s="675"/>
      <c r="I5352" s="675"/>
      <c r="J5352" s="675"/>
      <c r="K5352" s="675"/>
      <c r="L5352" s="675"/>
      <c r="M5352" s="675"/>
    </row>
    <row r="5353" spans="1:13" x14ac:dyDescent="0.25">
      <c r="A5353" s="675" t="s">
        <v>5273</v>
      </c>
      <c r="B5353" s="675" t="s">
        <v>545</v>
      </c>
      <c r="C5353" s="676" t="s">
        <v>5281</v>
      </c>
      <c r="D5353" s="675"/>
      <c r="E5353" s="675"/>
      <c r="G5353" s="675"/>
      <c r="H5353" s="675"/>
      <c r="I5353" s="675"/>
      <c r="J5353" s="675"/>
      <c r="K5353" s="675"/>
      <c r="L5353" s="675"/>
      <c r="M5353" s="675"/>
    </row>
    <row r="5354" spans="1:13" x14ac:dyDescent="0.25">
      <c r="A5354" s="675" t="s">
        <v>5273</v>
      </c>
      <c r="B5354" s="675" t="s">
        <v>545</v>
      </c>
      <c r="C5354" s="676" t="s">
        <v>5282</v>
      </c>
      <c r="D5354" s="675"/>
      <c r="E5354" s="675"/>
      <c r="G5354" s="675"/>
      <c r="H5354" s="675"/>
      <c r="I5354" s="675"/>
      <c r="J5354" s="675"/>
      <c r="K5354" s="675"/>
      <c r="L5354" s="675"/>
      <c r="M5354" s="675"/>
    </row>
    <row r="5355" spans="1:13" x14ac:dyDescent="0.25">
      <c r="A5355" s="675" t="s">
        <v>5273</v>
      </c>
      <c r="B5355" s="675" t="s">
        <v>545</v>
      </c>
      <c r="C5355" s="676" t="s">
        <v>5283</v>
      </c>
      <c r="D5355" s="675"/>
      <c r="E5355" s="675"/>
      <c r="G5355" s="675"/>
      <c r="H5355" s="675"/>
      <c r="I5355" s="675"/>
      <c r="J5355" s="675"/>
      <c r="K5355" s="675"/>
      <c r="L5355" s="675"/>
      <c r="M5355" s="675"/>
    </row>
    <row r="5356" spans="1:13" x14ac:dyDescent="0.25">
      <c r="A5356" s="675" t="s">
        <v>5273</v>
      </c>
      <c r="B5356" s="675" t="s">
        <v>545</v>
      </c>
      <c r="C5356" s="676" t="s">
        <v>5284</v>
      </c>
      <c r="D5356" s="675"/>
      <c r="E5356" s="675"/>
      <c r="G5356" s="675"/>
      <c r="H5356" s="675"/>
      <c r="I5356" s="675"/>
      <c r="J5356" s="675"/>
      <c r="K5356" s="675"/>
      <c r="L5356" s="675"/>
      <c r="M5356" s="675"/>
    </row>
    <row r="5357" spans="1:13" x14ac:dyDescent="0.25">
      <c r="A5357" s="675" t="s">
        <v>5273</v>
      </c>
      <c r="B5357" s="675" t="s">
        <v>545</v>
      </c>
      <c r="C5357" s="676" t="s">
        <v>5285</v>
      </c>
      <c r="D5357" s="675"/>
      <c r="E5357" s="675"/>
      <c r="G5357" s="675"/>
      <c r="H5357" s="675"/>
      <c r="I5357" s="675"/>
      <c r="J5357" s="675"/>
      <c r="K5357" s="675"/>
      <c r="L5357" s="675"/>
      <c r="M5357" s="675"/>
    </row>
    <row r="5358" spans="1:13" x14ac:dyDescent="0.25">
      <c r="A5358" s="675" t="s">
        <v>5273</v>
      </c>
      <c r="B5358" s="675" t="s">
        <v>545</v>
      </c>
      <c r="C5358" s="676" t="s">
        <v>5286</v>
      </c>
      <c r="D5358" s="675"/>
      <c r="E5358" s="675"/>
      <c r="G5358" s="675"/>
      <c r="H5358" s="675"/>
      <c r="I5358" s="675"/>
      <c r="J5358" s="675"/>
      <c r="K5358" s="675"/>
      <c r="L5358" s="675"/>
      <c r="M5358" s="675"/>
    </row>
    <row r="5359" spans="1:13" x14ac:dyDescent="0.25">
      <c r="A5359" s="675" t="s">
        <v>5273</v>
      </c>
      <c r="B5359" s="675" t="s">
        <v>545</v>
      </c>
      <c r="C5359" s="676" t="s">
        <v>5287</v>
      </c>
      <c r="D5359" s="675"/>
      <c r="E5359" s="675"/>
      <c r="G5359" s="675"/>
      <c r="H5359" s="675"/>
      <c r="I5359" s="675"/>
      <c r="J5359" s="675"/>
      <c r="K5359" s="675"/>
      <c r="L5359" s="675"/>
      <c r="M5359" s="675"/>
    </row>
    <row r="5360" spans="1:13" x14ac:dyDescent="0.25">
      <c r="A5360" s="675" t="s">
        <v>5273</v>
      </c>
      <c r="B5360" s="675" t="s">
        <v>545</v>
      </c>
      <c r="C5360" s="676" t="s">
        <v>5288</v>
      </c>
      <c r="D5360" s="675"/>
      <c r="E5360" s="675"/>
      <c r="G5360" s="675"/>
      <c r="H5360" s="675"/>
      <c r="I5360" s="675"/>
      <c r="J5360" s="675"/>
      <c r="K5360" s="675"/>
      <c r="L5360" s="675"/>
      <c r="M5360" s="675"/>
    </row>
    <row r="5361" spans="1:13" x14ac:dyDescent="0.25">
      <c r="A5361" s="675" t="s">
        <v>5273</v>
      </c>
      <c r="B5361" s="675" t="s">
        <v>564</v>
      </c>
      <c r="C5361" s="676" t="s">
        <v>5289</v>
      </c>
      <c r="D5361" s="675"/>
      <c r="E5361" s="675"/>
      <c r="G5361" s="675"/>
      <c r="H5361" s="675"/>
      <c r="I5361" s="675"/>
      <c r="J5361" s="675"/>
      <c r="K5361" s="675"/>
      <c r="L5361" s="675"/>
      <c r="M5361" s="675"/>
    </row>
    <row r="5362" spans="1:13" x14ac:dyDescent="0.25">
      <c r="A5362" s="675" t="s">
        <v>5273</v>
      </c>
      <c r="B5362" s="675" t="s">
        <v>564</v>
      </c>
      <c r="C5362" s="676" t="s">
        <v>5290</v>
      </c>
      <c r="D5362" s="675"/>
      <c r="E5362" s="675"/>
      <c r="G5362" s="675"/>
      <c r="H5362" s="675"/>
      <c r="I5362" s="675"/>
      <c r="J5362" s="675"/>
      <c r="K5362" s="675"/>
      <c r="L5362" s="675"/>
      <c r="M5362" s="675"/>
    </row>
    <row r="5363" spans="1:13" x14ac:dyDescent="0.25">
      <c r="A5363" s="675" t="s">
        <v>5273</v>
      </c>
      <c r="B5363" s="675" t="s">
        <v>564</v>
      </c>
      <c r="C5363" s="676" t="s">
        <v>5291</v>
      </c>
      <c r="D5363" s="675"/>
      <c r="E5363" s="675"/>
      <c r="G5363" s="675"/>
      <c r="H5363" s="675"/>
      <c r="I5363" s="675"/>
      <c r="J5363" s="675"/>
      <c r="K5363" s="675"/>
      <c r="L5363" s="675"/>
      <c r="M5363" s="675"/>
    </row>
    <row r="5364" spans="1:13" x14ac:dyDescent="0.25">
      <c r="A5364" s="675" t="s">
        <v>5273</v>
      </c>
      <c r="B5364" s="675" t="s">
        <v>564</v>
      </c>
      <c r="C5364" s="676" t="s">
        <v>5292</v>
      </c>
      <c r="D5364" s="675"/>
      <c r="E5364" s="675"/>
      <c r="G5364" s="675"/>
      <c r="H5364" s="675"/>
      <c r="I5364" s="675"/>
      <c r="J5364" s="675"/>
      <c r="K5364" s="675"/>
      <c r="L5364" s="675"/>
      <c r="M5364" s="675"/>
    </row>
    <row r="5365" spans="1:13" x14ac:dyDescent="0.25">
      <c r="A5365" s="675" t="s">
        <v>5273</v>
      </c>
      <c r="B5365" s="675" t="s">
        <v>564</v>
      </c>
      <c r="C5365" s="676" t="s">
        <v>5293</v>
      </c>
      <c r="D5365" s="675"/>
      <c r="E5365" s="675"/>
      <c r="G5365" s="675"/>
      <c r="H5365" s="675"/>
      <c r="I5365" s="675"/>
      <c r="J5365" s="675"/>
      <c r="K5365" s="675"/>
      <c r="L5365" s="675"/>
      <c r="M5365" s="675"/>
    </row>
    <row r="5366" spans="1:13" x14ac:dyDescent="0.25">
      <c r="A5366" s="675" t="s">
        <v>5273</v>
      </c>
      <c r="B5366" s="675" t="s">
        <v>564</v>
      </c>
      <c r="C5366" s="676" t="s">
        <v>5294</v>
      </c>
      <c r="D5366" s="675"/>
      <c r="E5366" s="675"/>
      <c r="G5366" s="675"/>
      <c r="H5366" s="675"/>
      <c r="I5366" s="675"/>
      <c r="J5366" s="675"/>
      <c r="K5366" s="675"/>
      <c r="L5366" s="675"/>
      <c r="M5366" s="675"/>
    </row>
    <row r="5367" spans="1:13" x14ac:dyDescent="0.25">
      <c r="A5367" s="675" t="s">
        <v>5273</v>
      </c>
      <c r="B5367" s="675" t="s">
        <v>564</v>
      </c>
      <c r="C5367" s="676" t="s">
        <v>5295</v>
      </c>
      <c r="D5367" s="675"/>
      <c r="E5367" s="675"/>
      <c r="G5367" s="675"/>
      <c r="H5367" s="675"/>
      <c r="I5367" s="675"/>
      <c r="J5367" s="675"/>
      <c r="K5367" s="675"/>
      <c r="L5367" s="675"/>
      <c r="M5367" s="675"/>
    </row>
    <row r="5368" spans="1:13" x14ac:dyDescent="0.25">
      <c r="A5368" s="675" t="s">
        <v>5273</v>
      </c>
      <c r="B5368" s="675" t="s">
        <v>564</v>
      </c>
      <c r="C5368" s="676" t="s">
        <v>5296</v>
      </c>
      <c r="D5368" s="675"/>
      <c r="E5368" s="675"/>
      <c r="G5368" s="675"/>
      <c r="H5368" s="675"/>
      <c r="I5368" s="675"/>
      <c r="J5368" s="675"/>
      <c r="K5368" s="675"/>
      <c r="L5368" s="675"/>
      <c r="M5368" s="675"/>
    </row>
    <row r="5369" spans="1:13" x14ac:dyDescent="0.25">
      <c r="A5369" s="675" t="s">
        <v>5273</v>
      </c>
      <c r="B5369" s="675" t="s">
        <v>564</v>
      </c>
      <c r="C5369" s="676" t="s">
        <v>5297</v>
      </c>
      <c r="D5369" s="675"/>
      <c r="E5369" s="675"/>
      <c r="G5369" s="675"/>
      <c r="H5369" s="675"/>
      <c r="I5369" s="675"/>
      <c r="J5369" s="675"/>
      <c r="K5369" s="675"/>
      <c r="L5369" s="675"/>
      <c r="M5369" s="675"/>
    </row>
    <row r="5370" spans="1:13" x14ac:dyDescent="0.25">
      <c r="A5370" s="675" t="s">
        <v>5273</v>
      </c>
      <c r="B5370" s="675" t="s">
        <v>564</v>
      </c>
      <c r="C5370" s="676" t="s">
        <v>5298</v>
      </c>
      <c r="D5370" s="675"/>
      <c r="E5370" s="675"/>
      <c r="G5370" s="675"/>
      <c r="H5370" s="675"/>
      <c r="I5370" s="675"/>
      <c r="J5370" s="675"/>
      <c r="K5370" s="675"/>
      <c r="L5370" s="675"/>
      <c r="M5370" s="675"/>
    </row>
    <row r="5371" spans="1:13" x14ac:dyDescent="0.25">
      <c r="A5371" s="675" t="s">
        <v>5273</v>
      </c>
      <c r="B5371" s="675" t="s">
        <v>564</v>
      </c>
      <c r="C5371" s="676" t="s">
        <v>5299</v>
      </c>
      <c r="D5371" s="675"/>
      <c r="E5371" s="675"/>
      <c r="G5371" s="675"/>
      <c r="H5371" s="675"/>
      <c r="I5371" s="675"/>
      <c r="J5371" s="675"/>
      <c r="K5371" s="675"/>
      <c r="L5371" s="675"/>
      <c r="M5371" s="675"/>
    </row>
    <row r="5372" spans="1:13" x14ac:dyDescent="0.25">
      <c r="A5372" s="675" t="s">
        <v>5273</v>
      </c>
      <c r="B5372" s="675" t="s">
        <v>564</v>
      </c>
      <c r="C5372" s="676" t="s">
        <v>5300</v>
      </c>
      <c r="D5372" s="675"/>
      <c r="E5372" s="675"/>
      <c r="G5372" s="675"/>
      <c r="H5372" s="675"/>
      <c r="I5372" s="675"/>
      <c r="J5372" s="675"/>
      <c r="K5372" s="675"/>
      <c r="L5372" s="675"/>
      <c r="M5372" s="675"/>
    </row>
    <row r="5373" spans="1:13" x14ac:dyDescent="0.25">
      <c r="A5373" s="675" t="s">
        <v>5273</v>
      </c>
      <c r="B5373" s="675" t="s">
        <v>564</v>
      </c>
      <c r="C5373" s="676" t="s">
        <v>5301</v>
      </c>
      <c r="D5373" s="675"/>
      <c r="E5373" s="675"/>
      <c r="G5373" s="675"/>
      <c r="H5373" s="675"/>
      <c r="I5373" s="675"/>
      <c r="J5373" s="675"/>
      <c r="K5373" s="675"/>
      <c r="L5373" s="675"/>
      <c r="M5373" s="675"/>
    </row>
    <row r="5374" spans="1:13" x14ac:dyDescent="0.25">
      <c r="A5374" s="675" t="s">
        <v>5273</v>
      </c>
      <c r="B5374" s="675" t="s">
        <v>564</v>
      </c>
      <c r="C5374" s="676" t="s">
        <v>5302</v>
      </c>
      <c r="D5374" s="675"/>
      <c r="E5374" s="675"/>
      <c r="G5374" s="675"/>
      <c r="H5374" s="675"/>
      <c r="I5374" s="675"/>
      <c r="J5374" s="675"/>
      <c r="K5374" s="675"/>
      <c r="L5374" s="675"/>
      <c r="M5374" s="675"/>
    </row>
    <row r="5375" spans="1:13" x14ac:dyDescent="0.25">
      <c r="A5375" s="675" t="s">
        <v>5273</v>
      </c>
      <c r="B5375" s="675" t="s">
        <v>564</v>
      </c>
      <c r="C5375" s="676" t="s">
        <v>5303</v>
      </c>
      <c r="D5375" s="675"/>
      <c r="E5375" s="675"/>
      <c r="G5375" s="675"/>
      <c r="H5375" s="675"/>
      <c r="I5375" s="675"/>
      <c r="J5375" s="675"/>
      <c r="K5375" s="675"/>
      <c r="L5375" s="675"/>
      <c r="M5375" s="675"/>
    </row>
    <row r="5376" spans="1:13" x14ac:dyDescent="0.25">
      <c r="A5376" s="675" t="s">
        <v>5273</v>
      </c>
      <c r="B5376" s="675" t="s">
        <v>512</v>
      </c>
      <c r="C5376" s="675" t="s">
        <v>5304</v>
      </c>
      <c r="D5376" s="675"/>
      <c r="E5376" s="675"/>
      <c r="G5376" s="675"/>
      <c r="H5376" s="675"/>
      <c r="I5376" s="675"/>
      <c r="J5376" s="675"/>
      <c r="K5376" s="675"/>
      <c r="L5376" s="675"/>
      <c r="M5376" s="675"/>
    </row>
    <row r="5377" spans="1:13" x14ac:dyDescent="0.25">
      <c r="A5377" s="675" t="s">
        <v>5273</v>
      </c>
      <c r="B5377" s="675" t="s">
        <v>512</v>
      </c>
      <c r="C5377" s="675" t="s">
        <v>5305</v>
      </c>
      <c r="D5377" s="675"/>
      <c r="E5377" s="675"/>
      <c r="G5377" s="675"/>
      <c r="H5377" s="675"/>
      <c r="I5377" s="675"/>
      <c r="J5377" s="675"/>
      <c r="K5377" s="675"/>
      <c r="L5377" s="675"/>
      <c r="M5377" s="675"/>
    </row>
    <row r="5378" spans="1:13" x14ac:dyDescent="0.25">
      <c r="A5378" s="675" t="s">
        <v>5273</v>
      </c>
      <c r="B5378" s="675" t="s">
        <v>512</v>
      </c>
      <c r="C5378" s="675" t="s">
        <v>5306</v>
      </c>
      <c r="D5378" s="675"/>
      <c r="E5378" s="675"/>
      <c r="G5378" s="675"/>
      <c r="H5378" s="675"/>
      <c r="I5378" s="675"/>
      <c r="J5378" s="675"/>
      <c r="K5378" s="675"/>
      <c r="L5378" s="675"/>
      <c r="M5378" s="675"/>
    </row>
    <row r="5379" spans="1:13" x14ac:dyDescent="0.25">
      <c r="A5379" s="675" t="s">
        <v>5273</v>
      </c>
      <c r="B5379" s="675" t="s">
        <v>512</v>
      </c>
      <c r="C5379" s="675" t="s">
        <v>5307</v>
      </c>
      <c r="D5379" s="675"/>
      <c r="E5379" s="675"/>
      <c r="G5379" s="675"/>
      <c r="H5379" s="675"/>
      <c r="I5379" s="675"/>
      <c r="J5379" s="675"/>
      <c r="K5379" s="675"/>
      <c r="L5379" s="675"/>
      <c r="M5379" s="675"/>
    </row>
    <row r="5380" spans="1:13" x14ac:dyDescent="0.25">
      <c r="A5380" s="675" t="s">
        <v>5273</v>
      </c>
      <c r="B5380" s="675" t="s">
        <v>512</v>
      </c>
      <c r="C5380" s="675" t="s">
        <v>5308</v>
      </c>
      <c r="D5380" s="675"/>
      <c r="E5380" s="675"/>
      <c r="G5380" s="675"/>
      <c r="H5380" s="675"/>
      <c r="I5380" s="675"/>
      <c r="J5380" s="675"/>
      <c r="K5380" s="675"/>
      <c r="L5380" s="675"/>
      <c r="M5380" s="675"/>
    </row>
    <row r="5381" spans="1:13" x14ac:dyDescent="0.25">
      <c r="A5381" s="675" t="s">
        <v>5273</v>
      </c>
      <c r="B5381" s="675" t="s">
        <v>512</v>
      </c>
      <c r="C5381" s="675" t="s">
        <v>5309</v>
      </c>
      <c r="D5381" s="675"/>
      <c r="E5381" s="675"/>
      <c r="G5381" s="675"/>
      <c r="H5381" s="675"/>
      <c r="I5381" s="675"/>
      <c r="J5381" s="675"/>
      <c r="K5381" s="675"/>
      <c r="L5381" s="675"/>
      <c r="M5381" s="675"/>
    </row>
    <row r="5382" spans="1:13" x14ac:dyDescent="0.25">
      <c r="A5382" s="675" t="s">
        <v>5273</v>
      </c>
      <c r="B5382" s="675" t="s">
        <v>512</v>
      </c>
      <c r="C5382" s="675" t="s">
        <v>5310</v>
      </c>
      <c r="D5382" s="675"/>
      <c r="E5382" s="675"/>
      <c r="G5382" s="675"/>
      <c r="H5382" s="675"/>
      <c r="I5382" s="675"/>
      <c r="J5382" s="675"/>
      <c r="K5382" s="675"/>
      <c r="L5382" s="675"/>
      <c r="M5382" s="675"/>
    </row>
    <row r="5383" spans="1:13" x14ac:dyDescent="0.25">
      <c r="A5383" s="675" t="s">
        <v>5273</v>
      </c>
      <c r="B5383" s="675" t="s">
        <v>512</v>
      </c>
      <c r="C5383" s="675" t="s">
        <v>5311</v>
      </c>
      <c r="D5383" s="675"/>
      <c r="E5383" s="675"/>
      <c r="G5383" s="675"/>
      <c r="H5383" s="675"/>
      <c r="I5383" s="675"/>
      <c r="J5383" s="675"/>
      <c r="K5383" s="675"/>
      <c r="L5383" s="675"/>
      <c r="M5383" s="675"/>
    </row>
    <row r="5384" spans="1:13" x14ac:dyDescent="0.25">
      <c r="A5384" s="675" t="s">
        <v>5273</v>
      </c>
      <c r="B5384" s="675" t="s">
        <v>512</v>
      </c>
      <c r="C5384" s="675" t="s">
        <v>5312</v>
      </c>
      <c r="D5384" s="675"/>
      <c r="E5384" s="675"/>
      <c r="G5384" s="675"/>
      <c r="H5384" s="675"/>
      <c r="I5384" s="675"/>
      <c r="J5384" s="675"/>
      <c r="K5384" s="675"/>
      <c r="L5384" s="675"/>
      <c r="M5384" s="675"/>
    </row>
    <row r="5385" spans="1:13" x14ac:dyDescent="0.25">
      <c r="A5385" s="675" t="s">
        <v>5273</v>
      </c>
      <c r="B5385" s="675" t="s">
        <v>512</v>
      </c>
      <c r="C5385" s="675" t="s">
        <v>5313</v>
      </c>
      <c r="D5385" s="675"/>
      <c r="E5385" s="675"/>
      <c r="G5385" s="675"/>
      <c r="H5385" s="675"/>
      <c r="I5385" s="675"/>
      <c r="J5385" s="675"/>
      <c r="K5385" s="675"/>
      <c r="L5385" s="675"/>
      <c r="M5385" s="675"/>
    </row>
    <row r="5386" spans="1:13" x14ac:dyDescent="0.25">
      <c r="A5386" s="675" t="s">
        <v>5273</v>
      </c>
      <c r="B5386" s="675" t="s">
        <v>512</v>
      </c>
      <c r="C5386" s="675" t="s">
        <v>5314</v>
      </c>
      <c r="D5386" s="675"/>
      <c r="E5386" s="675"/>
      <c r="G5386" s="675"/>
      <c r="H5386" s="675"/>
      <c r="I5386" s="675"/>
      <c r="J5386" s="675"/>
      <c r="K5386" s="675"/>
      <c r="L5386" s="675"/>
      <c r="M5386" s="675"/>
    </row>
    <row r="5387" spans="1:13" x14ac:dyDescent="0.25">
      <c r="A5387" s="675" t="s">
        <v>5273</v>
      </c>
      <c r="B5387" s="675" t="s">
        <v>512</v>
      </c>
      <c r="C5387" s="675" t="s">
        <v>5315</v>
      </c>
      <c r="D5387" s="675"/>
      <c r="E5387" s="675"/>
      <c r="G5387" s="675"/>
      <c r="H5387" s="675"/>
      <c r="I5387" s="675"/>
      <c r="J5387" s="675"/>
      <c r="K5387" s="675"/>
      <c r="L5387" s="675"/>
      <c r="M5387" s="675"/>
    </row>
    <row r="5388" spans="1:13" x14ac:dyDescent="0.25">
      <c r="A5388" s="675" t="s">
        <v>5273</v>
      </c>
      <c r="B5388" s="675" t="s">
        <v>512</v>
      </c>
      <c r="C5388" s="675" t="s">
        <v>5316</v>
      </c>
      <c r="D5388" s="675"/>
      <c r="E5388" s="675"/>
      <c r="G5388" s="675"/>
      <c r="H5388" s="675"/>
      <c r="I5388" s="675"/>
      <c r="J5388" s="675"/>
      <c r="K5388" s="675"/>
      <c r="L5388" s="675"/>
      <c r="M5388" s="675"/>
    </row>
    <row r="5389" spans="1:13" x14ac:dyDescent="0.25">
      <c r="A5389" s="675" t="s">
        <v>5273</v>
      </c>
      <c r="B5389" s="675" t="s">
        <v>512</v>
      </c>
      <c r="C5389" s="675" t="s">
        <v>5317</v>
      </c>
      <c r="D5389" s="675"/>
      <c r="E5389" s="675"/>
      <c r="G5389" s="675"/>
      <c r="H5389" s="675"/>
      <c r="I5389" s="675"/>
      <c r="J5389" s="675"/>
      <c r="K5389" s="675"/>
      <c r="L5389" s="675"/>
      <c r="M5389" s="675"/>
    </row>
    <row r="5390" spans="1:13" x14ac:dyDescent="0.25">
      <c r="A5390" s="675" t="s">
        <v>5273</v>
      </c>
      <c r="B5390" s="675" t="s">
        <v>512</v>
      </c>
      <c r="C5390" s="675" t="s">
        <v>5318</v>
      </c>
      <c r="D5390" s="675"/>
      <c r="E5390" s="675"/>
      <c r="G5390" s="675"/>
      <c r="H5390" s="675"/>
      <c r="I5390" s="675"/>
      <c r="J5390" s="675"/>
      <c r="K5390" s="675"/>
      <c r="L5390" s="675"/>
      <c r="M5390" s="675"/>
    </row>
    <row r="5391" spans="1:13" x14ac:dyDescent="0.25">
      <c r="A5391" s="675" t="s">
        <v>5319</v>
      </c>
      <c r="B5391" s="675" t="s">
        <v>545</v>
      </c>
      <c r="C5391" s="676" t="s">
        <v>5320</v>
      </c>
      <c r="D5391" s="675"/>
      <c r="E5391" s="675"/>
      <c r="G5391" s="675"/>
      <c r="H5391" s="675"/>
      <c r="I5391" s="675"/>
      <c r="J5391" s="675"/>
      <c r="K5391" s="675"/>
      <c r="L5391" s="675"/>
      <c r="M5391" s="675"/>
    </row>
    <row r="5392" spans="1:13" x14ac:dyDescent="0.25">
      <c r="A5392" s="675" t="s">
        <v>5319</v>
      </c>
      <c r="B5392" s="675" t="s">
        <v>545</v>
      </c>
      <c r="C5392" s="676" t="s">
        <v>5321</v>
      </c>
      <c r="D5392" s="675"/>
      <c r="E5392" s="675"/>
      <c r="G5392" s="675"/>
      <c r="H5392" s="675"/>
      <c r="I5392" s="675"/>
      <c r="J5392" s="675"/>
      <c r="K5392" s="675"/>
      <c r="L5392" s="675"/>
      <c r="M5392" s="675"/>
    </row>
    <row r="5393" spans="1:13" x14ac:dyDescent="0.25">
      <c r="A5393" s="675" t="s">
        <v>5319</v>
      </c>
      <c r="B5393" s="675" t="s">
        <v>545</v>
      </c>
      <c r="C5393" s="676" t="s">
        <v>5322</v>
      </c>
      <c r="D5393" s="675"/>
      <c r="E5393" s="675"/>
      <c r="G5393" s="675"/>
      <c r="H5393" s="675"/>
      <c r="I5393" s="675"/>
      <c r="J5393" s="675"/>
      <c r="K5393" s="675"/>
      <c r="L5393" s="675"/>
      <c r="M5393" s="675"/>
    </row>
    <row r="5394" spans="1:13" x14ac:dyDescent="0.25">
      <c r="A5394" s="675" t="s">
        <v>5319</v>
      </c>
      <c r="B5394" s="675" t="s">
        <v>545</v>
      </c>
      <c r="C5394" s="676" t="s">
        <v>5323</v>
      </c>
      <c r="D5394" s="675"/>
      <c r="E5394" s="675"/>
      <c r="G5394" s="675"/>
      <c r="H5394" s="675"/>
      <c r="I5394" s="675"/>
      <c r="J5394" s="675"/>
      <c r="K5394" s="675"/>
      <c r="L5394" s="675"/>
      <c r="M5394" s="675"/>
    </row>
    <row r="5395" spans="1:13" x14ac:dyDescent="0.25">
      <c r="A5395" s="675" t="s">
        <v>5319</v>
      </c>
      <c r="B5395" s="675" t="s">
        <v>545</v>
      </c>
      <c r="C5395" s="676" t="s">
        <v>5324</v>
      </c>
      <c r="D5395" s="675"/>
      <c r="E5395" s="675"/>
      <c r="G5395" s="675"/>
      <c r="H5395" s="675"/>
      <c r="I5395" s="675"/>
      <c r="J5395" s="675"/>
      <c r="K5395" s="675"/>
      <c r="L5395" s="675"/>
      <c r="M5395" s="675"/>
    </row>
    <row r="5396" spans="1:13" x14ac:dyDescent="0.25">
      <c r="A5396" s="675" t="s">
        <v>5319</v>
      </c>
      <c r="B5396" s="675" t="s">
        <v>545</v>
      </c>
      <c r="C5396" s="676" t="s">
        <v>5325</v>
      </c>
      <c r="D5396" s="675"/>
      <c r="E5396" s="675"/>
      <c r="G5396" s="675"/>
      <c r="H5396" s="675"/>
      <c r="I5396" s="675"/>
      <c r="J5396" s="675"/>
      <c r="K5396" s="675"/>
      <c r="L5396" s="675"/>
      <c r="M5396" s="675"/>
    </row>
    <row r="5397" spans="1:13" x14ac:dyDescent="0.25">
      <c r="A5397" s="675" t="s">
        <v>5319</v>
      </c>
      <c r="B5397" s="675" t="s">
        <v>545</v>
      </c>
      <c r="C5397" s="676" t="s">
        <v>5326</v>
      </c>
      <c r="D5397" s="675"/>
      <c r="E5397" s="675"/>
      <c r="G5397" s="675"/>
      <c r="H5397" s="675"/>
      <c r="I5397" s="675"/>
      <c r="J5397" s="675"/>
      <c r="K5397" s="675"/>
      <c r="L5397" s="675"/>
      <c r="M5397" s="675"/>
    </row>
    <row r="5398" spans="1:13" x14ac:dyDescent="0.25">
      <c r="A5398" s="675" t="s">
        <v>5319</v>
      </c>
      <c r="B5398" s="675" t="s">
        <v>545</v>
      </c>
      <c r="C5398" s="676" t="s">
        <v>5327</v>
      </c>
      <c r="D5398" s="675"/>
      <c r="E5398" s="675"/>
      <c r="G5398" s="675"/>
      <c r="H5398" s="675"/>
      <c r="I5398" s="675"/>
      <c r="J5398" s="675"/>
      <c r="K5398" s="675"/>
      <c r="L5398" s="675"/>
      <c r="M5398" s="675"/>
    </row>
    <row r="5399" spans="1:13" x14ac:dyDescent="0.25">
      <c r="A5399" s="675" t="s">
        <v>5319</v>
      </c>
      <c r="B5399" s="675" t="s">
        <v>545</v>
      </c>
      <c r="C5399" s="676" t="s">
        <v>5328</v>
      </c>
      <c r="D5399" s="675"/>
      <c r="E5399" s="675"/>
      <c r="G5399" s="675"/>
      <c r="H5399" s="675"/>
      <c r="I5399" s="675"/>
      <c r="J5399" s="675"/>
      <c r="K5399" s="675"/>
      <c r="L5399" s="675"/>
      <c r="M5399" s="675"/>
    </row>
    <row r="5400" spans="1:13" x14ac:dyDescent="0.25">
      <c r="A5400" s="675" t="s">
        <v>5319</v>
      </c>
      <c r="B5400" s="675" t="s">
        <v>545</v>
      </c>
      <c r="C5400" s="676" t="s">
        <v>5329</v>
      </c>
      <c r="D5400" s="675"/>
      <c r="E5400" s="675"/>
      <c r="G5400" s="675"/>
      <c r="H5400" s="675"/>
      <c r="I5400" s="675"/>
      <c r="J5400" s="675"/>
      <c r="K5400" s="675"/>
      <c r="L5400" s="675"/>
      <c r="M5400" s="675"/>
    </row>
    <row r="5401" spans="1:13" x14ac:dyDescent="0.25">
      <c r="A5401" s="675" t="s">
        <v>5319</v>
      </c>
      <c r="B5401" s="675" t="s">
        <v>545</v>
      </c>
      <c r="C5401" s="676" t="s">
        <v>5330</v>
      </c>
      <c r="D5401" s="675"/>
      <c r="E5401" s="675"/>
      <c r="G5401" s="675"/>
      <c r="H5401" s="675"/>
      <c r="I5401" s="675"/>
      <c r="J5401" s="675"/>
      <c r="K5401" s="675"/>
      <c r="L5401" s="675"/>
      <c r="M5401" s="675"/>
    </row>
    <row r="5402" spans="1:13" x14ac:dyDescent="0.25">
      <c r="A5402" s="675" t="s">
        <v>5319</v>
      </c>
      <c r="B5402" s="675" t="s">
        <v>545</v>
      </c>
      <c r="C5402" s="676" t="s">
        <v>5331</v>
      </c>
      <c r="D5402" s="675"/>
      <c r="E5402" s="675"/>
      <c r="G5402" s="675"/>
      <c r="H5402" s="675"/>
      <c r="I5402" s="675"/>
      <c r="J5402" s="675"/>
      <c r="K5402" s="675"/>
      <c r="L5402" s="675"/>
      <c r="M5402" s="675"/>
    </row>
    <row r="5403" spans="1:13" x14ac:dyDescent="0.25">
      <c r="A5403" s="675" t="s">
        <v>5319</v>
      </c>
      <c r="B5403" s="675" t="s">
        <v>545</v>
      </c>
      <c r="C5403" s="676" t="s">
        <v>5332</v>
      </c>
      <c r="D5403" s="675"/>
      <c r="E5403" s="675"/>
      <c r="G5403" s="675"/>
      <c r="H5403" s="675"/>
      <c r="I5403" s="675"/>
      <c r="J5403" s="675"/>
      <c r="K5403" s="675"/>
      <c r="L5403" s="675"/>
      <c r="M5403" s="675"/>
    </row>
    <row r="5404" spans="1:13" x14ac:dyDescent="0.25">
      <c r="A5404" s="675" t="s">
        <v>5319</v>
      </c>
      <c r="B5404" s="675" t="s">
        <v>545</v>
      </c>
      <c r="C5404" s="676" t="s">
        <v>5333</v>
      </c>
      <c r="D5404" s="675"/>
      <c r="E5404" s="675"/>
      <c r="G5404" s="675"/>
      <c r="H5404" s="675"/>
      <c r="I5404" s="675"/>
      <c r="J5404" s="675"/>
      <c r="K5404" s="675"/>
      <c r="L5404" s="675"/>
      <c r="M5404" s="675"/>
    </row>
    <row r="5405" spans="1:13" x14ac:dyDescent="0.25">
      <c r="A5405" s="675" t="s">
        <v>5319</v>
      </c>
      <c r="B5405" s="675" t="s">
        <v>545</v>
      </c>
      <c r="C5405" s="676" t="s">
        <v>5334</v>
      </c>
      <c r="D5405" s="675"/>
      <c r="E5405" s="675"/>
      <c r="G5405" s="675"/>
      <c r="H5405" s="675"/>
      <c r="I5405" s="675"/>
      <c r="J5405" s="675"/>
      <c r="K5405" s="675"/>
      <c r="L5405" s="675"/>
      <c r="M5405" s="675"/>
    </row>
    <row r="5406" spans="1:13" x14ac:dyDescent="0.25">
      <c r="A5406" s="675" t="s">
        <v>5319</v>
      </c>
      <c r="B5406" s="675" t="s">
        <v>564</v>
      </c>
      <c r="C5406" s="675" t="s">
        <v>5335</v>
      </c>
      <c r="D5406" s="675"/>
      <c r="E5406" s="675"/>
      <c r="G5406" s="675"/>
      <c r="H5406" s="675"/>
      <c r="I5406" s="675"/>
      <c r="J5406" s="675"/>
      <c r="K5406" s="675"/>
      <c r="L5406" s="675"/>
      <c r="M5406" s="675"/>
    </row>
    <row r="5407" spans="1:13" x14ac:dyDescent="0.25">
      <c r="A5407" s="675" t="s">
        <v>5319</v>
      </c>
      <c r="B5407" s="675" t="s">
        <v>564</v>
      </c>
      <c r="C5407" s="675" t="s">
        <v>5336</v>
      </c>
      <c r="D5407" s="675"/>
      <c r="E5407" s="675"/>
      <c r="G5407" s="675"/>
      <c r="H5407" s="675"/>
      <c r="I5407" s="675"/>
      <c r="J5407" s="675"/>
      <c r="K5407" s="675"/>
      <c r="L5407" s="675"/>
      <c r="M5407" s="675"/>
    </row>
    <row r="5408" spans="1:13" x14ac:dyDescent="0.25">
      <c r="A5408" s="675" t="s">
        <v>5319</v>
      </c>
      <c r="B5408" s="675" t="s">
        <v>564</v>
      </c>
      <c r="C5408" s="675" t="s">
        <v>5337</v>
      </c>
      <c r="D5408" s="675"/>
      <c r="E5408" s="675"/>
      <c r="G5408" s="675"/>
      <c r="H5408" s="675"/>
      <c r="I5408" s="675"/>
      <c r="J5408" s="675"/>
      <c r="K5408" s="675"/>
      <c r="L5408" s="675"/>
      <c r="M5408" s="675"/>
    </row>
    <row r="5409" spans="1:13" x14ac:dyDescent="0.25">
      <c r="A5409" s="675" t="s">
        <v>5319</v>
      </c>
      <c r="B5409" s="675" t="s">
        <v>564</v>
      </c>
      <c r="C5409" s="675" t="s">
        <v>5338</v>
      </c>
      <c r="D5409" s="675"/>
      <c r="E5409" s="675"/>
      <c r="G5409" s="675"/>
      <c r="H5409" s="675"/>
      <c r="I5409" s="675"/>
      <c r="J5409" s="675"/>
      <c r="K5409" s="675"/>
      <c r="L5409" s="675"/>
      <c r="M5409" s="675"/>
    </row>
    <row r="5410" spans="1:13" x14ac:dyDescent="0.25">
      <c r="A5410" s="675" t="s">
        <v>5319</v>
      </c>
      <c r="B5410" s="675" t="s">
        <v>564</v>
      </c>
      <c r="C5410" s="675" t="s">
        <v>5339</v>
      </c>
      <c r="D5410" s="675"/>
      <c r="E5410" s="675"/>
      <c r="G5410" s="675"/>
      <c r="H5410" s="675"/>
      <c r="I5410" s="675"/>
      <c r="J5410" s="675"/>
      <c r="K5410" s="675"/>
      <c r="L5410" s="675"/>
      <c r="M5410" s="675"/>
    </row>
    <row r="5411" spans="1:13" x14ac:dyDescent="0.25">
      <c r="A5411" s="675" t="s">
        <v>5319</v>
      </c>
      <c r="B5411" s="675" t="s">
        <v>564</v>
      </c>
      <c r="C5411" s="675" t="s">
        <v>5340</v>
      </c>
      <c r="D5411" s="675"/>
      <c r="E5411" s="675"/>
      <c r="G5411" s="675"/>
      <c r="H5411" s="675"/>
      <c r="I5411" s="675"/>
      <c r="J5411" s="675"/>
      <c r="K5411" s="675"/>
      <c r="L5411" s="675"/>
      <c r="M5411" s="675"/>
    </row>
    <row r="5412" spans="1:13" x14ac:dyDescent="0.25">
      <c r="A5412" s="675" t="s">
        <v>5319</v>
      </c>
      <c r="B5412" s="675" t="s">
        <v>564</v>
      </c>
      <c r="C5412" s="675" t="s">
        <v>5341</v>
      </c>
      <c r="D5412" s="675"/>
      <c r="E5412" s="675"/>
      <c r="G5412" s="675"/>
      <c r="H5412" s="675"/>
      <c r="I5412" s="675"/>
      <c r="J5412" s="675"/>
      <c r="K5412" s="675"/>
      <c r="L5412" s="675"/>
      <c r="M5412" s="675"/>
    </row>
    <row r="5413" spans="1:13" x14ac:dyDescent="0.25">
      <c r="A5413" s="675" t="s">
        <v>5319</v>
      </c>
      <c r="B5413" s="675" t="s">
        <v>564</v>
      </c>
      <c r="C5413" s="675" t="s">
        <v>5342</v>
      </c>
      <c r="D5413" s="675"/>
      <c r="E5413" s="675"/>
      <c r="G5413" s="675"/>
      <c r="H5413" s="675"/>
      <c r="I5413" s="675"/>
      <c r="J5413" s="675"/>
      <c r="K5413" s="675"/>
      <c r="L5413" s="675"/>
      <c r="M5413" s="675"/>
    </row>
    <row r="5414" spans="1:13" x14ac:dyDescent="0.25">
      <c r="A5414" s="675" t="s">
        <v>5319</v>
      </c>
      <c r="B5414" s="675" t="s">
        <v>564</v>
      </c>
      <c r="C5414" s="675" t="s">
        <v>5343</v>
      </c>
      <c r="D5414" s="675"/>
      <c r="E5414" s="675"/>
      <c r="G5414" s="675"/>
      <c r="H5414" s="675"/>
      <c r="I5414" s="675"/>
      <c r="J5414" s="675"/>
      <c r="K5414" s="675"/>
      <c r="L5414" s="675"/>
      <c r="M5414" s="675"/>
    </row>
    <row r="5415" spans="1:13" x14ac:dyDescent="0.25">
      <c r="A5415" s="675" t="s">
        <v>5319</v>
      </c>
      <c r="B5415" s="675" t="s">
        <v>564</v>
      </c>
      <c r="C5415" s="675" t="s">
        <v>5344</v>
      </c>
      <c r="D5415" s="675"/>
      <c r="E5415" s="675"/>
      <c r="G5415" s="675"/>
      <c r="H5415" s="675"/>
      <c r="I5415" s="675"/>
      <c r="J5415" s="675"/>
      <c r="K5415" s="675"/>
      <c r="L5415" s="675"/>
      <c r="M5415" s="675"/>
    </row>
    <row r="5416" spans="1:13" x14ac:dyDescent="0.25">
      <c r="A5416" s="675" t="s">
        <v>5319</v>
      </c>
      <c r="B5416" s="675" t="s">
        <v>564</v>
      </c>
      <c r="C5416" s="675" t="s">
        <v>5345</v>
      </c>
      <c r="D5416" s="675"/>
      <c r="E5416" s="675"/>
      <c r="G5416" s="675"/>
      <c r="H5416" s="675"/>
      <c r="I5416" s="675"/>
      <c r="J5416" s="675"/>
      <c r="K5416" s="675"/>
      <c r="L5416" s="675"/>
      <c r="M5416" s="675"/>
    </row>
    <row r="5417" spans="1:13" x14ac:dyDescent="0.25">
      <c r="A5417" s="675" t="s">
        <v>5319</v>
      </c>
      <c r="B5417" s="675" t="s">
        <v>564</v>
      </c>
      <c r="C5417" s="675" t="s">
        <v>5346</v>
      </c>
      <c r="D5417" s="675"/>
      <c r="E5417" s="675"/>
      <c r="G5417" s="675"/>
      <c r="H5417" s="675"/>
      <c r="I5417" s="675"/>
      <c r="J5417" s="675"/>
      <c r="K5417" s="675"/>
      <c r="L5417" s="675"/>
      <c r="M5417" s="675"/>
    </row>
    <row r="5418" spans="1:13" x14ac:dyDescent="0.25">
      <c r="A5418" s="675" t="s">
        <v>5319</v>
      </c>
      <c r="B5418" s="675" t="s">
        <v>564</v>
      </c>
      <c r="C5418" s="675" t="s">
        <v>5347</v>
      </c>
      <c r="D5418" s="675"/>
      <c r="E5418" s="675"/>
      <c r="G5418" s="675"/>
      <c r="H5418" s="675"/>
      <c r="I5418" s="675"/>
      <c r="J5418" s="675"/>
      <c r="K5418" s="675"/>
      <c r="L5418" s="675"/>
      <c r="M5418" s="675"/>
    </row>
    <row r="5419" spans="1:13" x14ac:dyDescent="0.25">
      <c r="A5419" s="675" t="s">
        <v>5319</v>
      </c>
      <c r="B5419" s="675" t="s">
        <v>564</v>
      </c>
      <c r="C5419" s="675" t="s">
        <v>5348</v>
      </c>
      <c r="D5419" s="675"/>
      <c r="E5419" s="675"/>
      <c r="G5419" s="675"/>
      <c r="H5419" s="675"/>
      <c r="I5419" s="675"/>
      <c r="J5419" s="675"/>
      <c r="K5419" s="675"/>
      <c r="L5419" s="675"/>
      <c r="M5419" s="675"/>
    </row>
    <row r="5420" spans="1:13" x14ac:dyDescent="0.25">
      <c r="A5420" s="675" t="s">
        <v>5319</v>
      </c>
      <c r="B5420" s="675" t="s">
        <v>564</v>
      </c>
      <c r="C5420" s="675" t="s">
        <v>5349</v>
      </c>
      <c r="D5420" s="675"/>
      <c r="E5420" s="675"/>
      <c r="G5420" s="675"/>
      <c r="H5420" s="675"/>
      <c r="I5420" s="675"/>
      <c r="J5420" s="675"/>
      <c r="K5420" s="675"/>
      <c r="L5420" s="675"/>
      <c r="M5420" s="675"/>
    </row>
    <row r="5421" spans="1:13" x14ac:dyDescent="0.25">
      <c r="A5421" s="675" t="s">
        <v>5319</v>
      </c>
      <c r="B5421" s="675" t="s">
        <v>512</v>
      </c>
      <c r="C5421" s="675" t="s">
        <v>5350</v>
      </c>
      <c r="D5421" s="675"/>
      <c r="E5421" s="675"/>
      <c r="G5421" s="675"/>
      <c r="H5421" s="675"/>
      <c r="I5421" s="675"/>
      <c r="J5421" s="675"/>
      <c r="K5421" s="675"/>
      <c r="L5421" s="675"/>
      <c r="M5421" s="675"/>
    </row>
    <row r="5422" spans="1:13" x14ac:dyDescent="0.25">
      <c r="A5422" s="675" t="s">
        <v>5319</v>
      </c>
      <c r="B5422" s="675" t="s">
        <v>512</v>
      </c>
      <c r="C5422" s="675" t="s">
        <v>5351</v>
      </c>
      <c r="D5422" s="675"/>
      <c r="E5422" s="675"/>
      <c r="G5422" s="675"/>
      <c r="H5422" s="675"/>
      <c r="I5422" s="675"/>
      <c r="J5422" s="675"/>
      <c r="K5422" s="675"/>
      <c r="L5422" s="675"/>
      <c r="M5422" s="675"/>
    </row>
    <row r="5423" spans="1:13" x14ac:dyDescent="0.25">
      <c r="A5423" s="675" t="s">
        <v>5319</v>
      </c>
      <c r="B5423" s="675" t="s">
        <v>512</v>
      </c>
      <c r="C5423" s="675" t="s">
        <v>5352</v>
      </c>
      <c r="D5423" s="675"/>
      <c r="E5423" s="675"/>
      <c r="G5423" s="675"/>
      <c r="H5423" s="675"/>
      <c r="I5423" s="675"/>
      <c r="J5423" s="675"/>
      <c r="K5423" s="675"/>
      <c r="L5423" s="675"/>
      <c r="M5423" s="675"/>
    </row>
    <row r="5424" spans="1:13" x14ac:dyDescent="0.25">
      <c r="A5424" s="675" t="s">
        <v>5319</v>
      </c>
      <c r="B5424" s="675" t="s">
        <v>512</v>
      </c>
      <c r="C5424" s="675" t="s">
        <v>5353</v>
      </c>
      <c r="D5424" s="675"/>
      <c r="E5424" s="675"/>
      <c r="G5424" s="675"/>
      <c r="H5424" s="675"/>
      <c r="I5424" s="675"/>
      <c r="J5424" s="675"/>
      <c r="K5424" s="675"/>
      <c r="L5424" s="675"/>
      <c r="M5424" s="675"/>
    </row>
    <row r="5425" spans="1:13" x14ac:dyDescent="0.25">
      <c r="A5425" s="675" t="s">
        <v>5319</v>
      </c>
      <c r="B5425" s="675" t="s">
        <v>512</v>
      </c>
      <c r="C5425" s="675" t="s">
        <v>5354</v>
      </c>
      <c r="D5425" s="675"/>
      <c r="E5425" s="675"/>
      <c r="G5425" s="675"/>
      <c r="H5425" s="675"/>
      <c r="I5425" s="675"/>
      <c r="J5425" s="675"/>
      <c r="K5425" s="675"/>
      <c r="L5425" s="675"/>
      <c r="M5425" s="675"/>
    </row>
    <row r="5426" spans="1:13" x14ac:dyDescent="0.25">
      <c r="A5426" s="675" t="s">
        <v>5319</v>
      </c>
      <c r="B5426" s="675" t="s">
        <v>512</v>
      </c>
      <c r="C5426" s="675" t="s">
        <v>5355</v>
      </c>
      <c r="D5426" s="675"/>
      <c r="E5426" s="675"/>
      <c r="G5426" s="675"/>
      <c r="H5426" s="675"/>
      <c r="I5426" s="675"/>
      <c r="J5426" s="675"/>
      <c r="K5426" s="675"/>
      <c r="L5426" s="675"/>
      <c r="M5426" s="675"/>
    </row>
    <row r="5427" spans="1:13" x14ac:dyDescent="0.25">
      <c r="A5427" s="675" t="s">
        <v>5319</v>
      </c>
      <c r="B5427" s="675" t="s">
        <v>512</v>
      </c>
      <c r="C5427" s="675" t="s">
        <v>5356</v>
      </c>
      <c r="D5427" s="675"/>
      <c r="E5427" s="675"/>
      <c r="G5427" s="675"/>
      <c r="H5427" s="675"/>
      <c r="I5427" s="675"/>
      <c r="J5427" s="675"/>
      <c r="K5427" s="675"/>
      <c r="L5427" s="675"/>
      <c r="M5427" s="675"/>
    </row>
    <row r="5428" spans="1:13" x14ac:dyDescent="0.25">
      <c r="A5428" s="675" t="s">
        <v>5319</v>
      </c>
      <c r="B5428" s="675" t="s">
        <v>512</v>
      </c>
      <c r="C5428" s="675" t="s">
        <v>5357</v>
      </c>
      <c r="D5428" s="675"/>
      <c r="E5428" s="675"/>
      <c r="G5428" s="675"/>
      <c r="H5428" s="675"/>
      <c r="I5428" s="675"/>
      <c r="J5428" s="675"/>
      <c r="K5428" s="675"/>
      <c r="L5428" s="675"/>
      <c r="M5428" s="675"/>
    </row>
    <row r="5429" spans="1:13" x14ac:dyDescent="0.25">
      <c r="A5429" s="675" t="s">
        <v>5319</v>
      </c>
      <c r="B5429" s="675" t="s">
        <v>512</v>
      </c>
      <c r="C5429" s="675" t="s">
        <v>5358</v>
      </c>
      <c r="D5429" s="675"/>
      <c r="E5429" s="675"/>
      <c r="G5429" s="675"/>
      <c r="H5429" s="675"/>
      <c r="I5429" s="675"/>
      <c r="J5429" s="675"/>
      <c r="K5429" s="675"/>
      <c r="L5429" s="675"/>
      <c r="M5429" s="675"/>
    </row>
    <row r="5430" spans="1:13" x14ac:dyDescent="0.25">
      <c r="A5430" s="675" t="s">
        <v>5319</v>
      </c>
      <c r="B5430" s="675" t="s">
        <v>512</v>
      </c>
      <c r="C5430" s="675" t="s">
        <v>5359</v>
      </c>
      <c r="D5430" s="675"/>
      <c r="E5430" s="675"/>
      <c r="G5430" s="675"/>
      <c r="H5430" s="675"/>
      <c r="I5430" s="675"/>
      <c r="J5430" s="675"/>
      <c r="K5430" s="675"/>
      <c r="L5430" s="675"/>
      <c r="M5430" s="675"/>
    </row>
    <row r="5431" spans="1:13" x14ac:dyDescent="0.25">
      <c r="A5431" s="675" t="s">
        <v>5319</v>
      </c>
      <c r="B5431" s="675" t="s">
        <v>512</v>
      </c>
      <c r="C5431" s="675" t="s">
        <v>5360</v>
      </c>
      <c r="D5431" s="675"/>
      <c r="E5431" s="675"/>
      <c r="G5431" s="675"/>
      <c r="H5431" s="675"/>
      <c r="I5431" s="675"/>
      <c r="J5431" s="675"/>
      <c r="K5431" s="675"/>
      <c r="L5431" s="675"/>
      <c r="M5431" s="675"/>
    </row>
    <row r="5432" spans="1:13" x14ac:dyDescent="0.25">
      <c r="A5432" s="675" t="s">
        <v>5319</v>
      </c>
      <c r="B5432" s="675" t="s">
        <v>512</v>
      </c>
      <c r="C5432" s="675" t="s">
        <v>5361</v>
      </c>
      <c r="D5432" s="675"/>
      <c r="E5432" s="675"/>
      <c r="G5432" s="675"/>
      <c r="H5432" s="675"/>
      <c r="I5432" s="675"/>
      <c r="J5432" s="675"/>
      <c r="K5432" s="675"/>
      <c r="L5432" s="675"/>
      <c r="M5432" s="675"/>
    </row>
    <row r="5433" spans="1:13" x14ac:dyDescent="0.25">
      <c r="A5433" s="675" t="s">
        <v>5319</v>
      </c>
      <c r="B5433" s="675" t="s">
        <v>512</v>
      </c>
      <c r="C5433" s="675" t="s">
        <v>5362</v>
      </c>
      <c r="D5433" s="675"/>
      <c r="E5433" s="675"/>
      <c r="G5433" s="675"/>
      <c r="H5433" s="675"/>
      <c r="I5433" s="675"/>
      <c r="J5433" s="675"/>
      <c r="K5433" s="675"/>
      <c r="L5433" s="675"/>
      <c r="M5433" s="675"/>
    </row>
    <row r="5434" spans="1:13" x14ac:dyDescent="0.25">
      <c r="A5434" s="675" t="s">
        <v>5319</v>
      </c>
      <c r="B5434" s="675" t="s">
        <v>512</v>
      </c>
      <c r="C5434" s="675" t="s">
        <v>5363</v>
      </c>
      <c r="D5434" s="675"/>
      <c r="E5434" s="675"/>
      <c r="G5434" s="675"/>
      <c r="H5434" s="675"/>
      <c r="I5434" s="675"/>
      <c r="J5434" s="675"/>
      <c r="K5434" s="675"/>
      <c r="L5434" s="675"/>
      <c r="M5434" s="675"/>
    </row>
    <row r="5435" spans="1:13" x14ac:dyDescent="0.25">
      <c r="A5435" s="675" t="s">
        <v>5319</v>
      </c>
      <c r="B5435" s="675" t="s">
        <v>512</v>
      </c>
      <c r="C5435" s="675" t="s">
        <v>5364</v>
      </c>
      <c r="D5435" s="675"/>
      <c r="E5435" s="675"/>
      <c r="G5435" s="675"/>
      <c r="H5435" s="675"/>
      <c r="I5435" s="675"/>
      <c r="J5435" s="675"/>
      <c r="K5435" s="675"/>
      <c r="L5435" s="675"/>
      <c r="M5435" s="675"/>
    </row>
    <row r="5436" spans="1:13" x14ac:dyDescent="0.25">
      <c r="A5436" s="675" t="s">
        <v>5365</v>
      </c>
      <c r="B5436" s="675" t="s">
        <v>545</v>
      </c>
      <c r="C5436" s="676" t="s">
        <v>5366</v>
      </c>
      <c r="D5436" s="675"/>
      <c r="E5436" s="675"/>
      <c r="G5436" s="675"/>
      <c r="H5436" s="675"/>
      <c r="I5436" s="675"/>
      <c r="J5436" s="675"/>
      <c r="K5436" s="675"/>
      <c r="L5436" s="675"/>
      <c r="M5436" s="675"/>
    </row>
    <row r="5437" spans="1:13" x14ac:dyDescent="0.25">
      <c r="A5437" s="675" t="s">
        <v>5365</v>
      </c>
      <c r="B5437" s="675" t="s">
        <v>545</v>
      </c>
      <c r="C5437" s="676" t="s">
        <v>5367</v>
      </c>
      <c r="D5437" s="675"/>
      <c r="E5437" s="675"/>
      <c r="G5437" s="675"/>
      <c r="H5437" s="675"/>
      <c r="I5437" s="675"/>
      <c r="J5437" s="675"/>
      <c r="K5437" s="675"/>
      <c r="L5437" s="675"/>
      <c r="M5437" s="675"/>
    </row>
    <row r="5438" spans="1:13" x14ac:dyDescent="0.25">
      <c r="A5438" s="675" t="s">
        <v>5365</v>
      </c>
      <c r="B5438" s="675" t="s">
        <v>545</v>
      </c>
      <c r="C5438" s="676" t="s">
        <v>5368</v>
      </c>
      <c r="D5438" s="675"/>
      <c r="E5438" s="675"/>
      <c r="G5438" s="675"/>
      <c r="H5438" s="675"/>
      <c r="I5438" s="675"/>
      <c r="J5438" s="675"/>
      <c r="K5438" s="675"/>
      <c r="L5438" s="675"/>
      <c r="M5438" s="675"/>
    </row>
    <row r="5439" spans="1:13" x14ac:dyDescent="0.25">
      <c r="A5439" s="675" t="s">
        <v>5365</v>
      </c>
      <c r="B5439" s="675" t="s">
        <v>545</v>
      </c>
      <c r="C5439" s="676" t="s">
        <v>5369</v>
      </c>
      <c r="D5439" s="675"/>
      <c r="E5439" s="675"/>
      <c r="G5439" s="675"/>
      <c r="H5439" s="675"/>
      <c r="I5439" s="675"/>
      <c r="J5439" s="675"/>
      <c r="K5439" s="675"/>
      <c r="L5439" s="675"/>
      <c r="M5439" s="675"/>
    </row>
    <row r="5440" spans="1:13" x14ac:dyDescent="0.25">
      <c r="A5440" s="675" t="s">
        <v>5365</v>
      </c>
      <c r="B5440" s="675" t="s">
        <v>545</v>
      </c>
      <c r="C5440" s="676" t="s">
        <v>5370</v>
      </c>
      <c r="D5440" s="675"/>
      <c r="E5440" s="675"/>
      <c r="G5440" s="675"/>
      <c r="H5440" s="675"/>
      <c r="I5440" s="675"/>
      <c r="J5440" s="675"/>
      <c r="K5440" s="675"/>
      <c r="L5440" s="675"/>
      <c r="M5440" s="675"/>
    </row>
    <row r="5441" spans="1:13" x14ac:dyDescent="0.25">
      <c r="A5441" s="675" t="s">
        <v>5365</v>
      </c>
      <c r="B5441" s="675" t="s">
        <v>545</v>
      </c>
      <c r="C5441" s="676" t="s">
        <v>5371</v>
      </c>
      <c r="D5441" s="675"/>
      <c r="E5441" s="675"/>
      <c r="G5441" s="675"/>
      <c r="H5441" s="675"/>
      <c r="I5441" s="675"/>
      <c r="J5441" s="675"/>
      <c r="K5441" s="675"/>
      <c r="L5441" s="675"/>
      <c r="M5441" s="675"/>
    </row>
    <row r="5442" spans="1:13" x14ac:dyDescent="0.25">
      <c r="A5442" s="675" t="s">
        <v>5365</v>
      </c>
      <c r="B5442" s="675" t="s">
        <v>545</v>
      </c>
      <c r="C5442" s="676" t="s">
        <v>5372</v>
      </c>
      <c r="D5442" s="675"/>
      <c r="E5442" s="675"/>
      <c r="G5442" s="675"/>
      <c r="H5442" s="675"/>
      <c r="I5442" s="675"/>
      <c r="J5442" s="675"/>
      <c r="K5442" s="675"/>
      <c r="L5442" s="675"/>
      <c r="M5442" s="675"/>
    </row>
    <row r="5443" spans="1:13" x14ac:dyDescent="0.25">
      <c r="A5443" s="675" t="s">
        <v>5365</v>
      </c>
      <c r="B5443" s="675" t="s">
        <v>545</v>
      </c>
      <c r="C5443" s="676" t="s">
        <v>5373</v>
      </c>
      <c r="D5443" s="675"/>
      <c r="E5443" s="675"/>
      <c r="G5443" s="675"/>
      <c r="H5443" s="675"/>
      <c r="I5443" s="675"/>
      <c r="J5443" s="675"/>
      <c r="K5443" s="675"/>
      <c r="L5443" s="675"/>
      <c r="M5443" s="675"/>
    </row>
    <row r="5444" spans="1:13" x14ac:dyDescent="0.25">
      <c r="A5444" s="675" t="s">
        <v>5365</v>
      </c>
      <c r="B5444" s="675" t="s">
        <v>545</v>
      </c>
      <c r="C5444" s="676" t="s">
        <v>5374</v>
      </c>
      <c r="D5444" s="675"/>
      <c r="E5444" s="675"/>
      <c r="G5444" s="675"/>
      <c r="H5444" s="675"/>
      <c r="I5444" s="675"/>
      <c r="J5444" s="675"/>
      <c r="K5444" s="675"/>
      <c r="L5444" s="675"/>
      <c r="M5444" s="675"/>
    </row>
    <row r="5445" spans="1:13" x14ac:dyDescent="0.25">
      <c r="A5445" s="675" t="s">
        <v>5365</v>
      </c>
      <c r="B5445" s="675" t="s">
        <v>545</v>
      </c>
      <c r="C5445" s="676" t="s">
        <v>5375</v>
      </c>
      <c r="D5445" s="675"/>
      <c r="E5445" s="675"/>
      <c r="G5445" s="675"/>
      <c r="H5445" s="675"/>
      <c r="I5445" s="675"/>
      <c r="J5445" s="675"/>
      <c r="K5445" s="675"/>
      <c r="L5445" s="675"/>
      <c r="M5445" s="675"/>
    </row>
    <row r="5446" spans="1:13" x14ac:dyDescent="0.25">
      <c r="A5446" s="675" t="s">
        <v>5365</v>
      </c>
      <c r="B5446" s="675" t="s">
        <v>545</v>
      </c>
      <c r="C5446" s="676" t="s">
        <v>5376</v>
      </c>
      <c r="D5446" s="675"/>
      <c r="E5446" s="675"/>
      <c r="G5446" s="675"/>
      <c r="H5446" s="675"/>
      <c r="I5446" s="675"/>
      <c r="J5446" s="675"/>
      <c r="K5446" s="675"/>
      <c r="L5446" s="675"/>
      <c r="M5446" s="675"/>
    </row>
    <row r="5447" spans="1:13" x14ac:dyDescent="0.25">
      <c r="A5447" s="675" t="s">
        <v>5365</v>
      </c>
      <c r="B5447" s="675" t="s">
        <v>545</v>
      </c>
      <c r="C5447" s="676" t="s">
        <v>5377</v>
      </c>
      <c r="D5447" s="675"/>
      <c r="E5447" s="675"/>
      <c r="G5447" s="675"/>
      <c r="H5447" s="675"/>
      <c r="I5447" s="675"/>
      <c r="J5447" s="675"/>
      <c r="K5447" s="675"/>
      <c r="L5447" s="675"/>
      <c r="M5447" s="675"/>
    </row>
    <row r="5448" spans="1:13" x14ac:dyDescent="0.25">
      <c r="A5448" s="675" t="s">
        <v>5365</v>
      </c>
      <c r="B5448" s="675" t="s">
        <v>545</v>
      </c>
      <c r="C5448" s="676" t="s">
        <v>5378</v>
      </c>
      <c r="D5448" s="675"/>
      <c r="E5448" s="675"/>
      <c r="G5448" s="675"/>
      <c r="H5448" s="675"/>
      <c r="I5448" s="675"/>
      <c r="J5448" s="675"/>
      <c r="K5448" s="675"/>
      <c r="L5448" s="675"/>
      <c r="M5448" s="675"/>
    </row>
    <row r="5449" spans="1:13" x14ac:dyDescent="0.25">
      <c r="A5449" s="675" t="s">
        <v>5365</v>
      </c>
      <c r="B5449" s="675" t="s">
        <v>545</v>
      </c>
      <c r="C5449" s="676" t="s">
        <v>5379</v>
      </c>
      <c r="D5449" s="675"/>
      <c r="E5449" s="675"/>
      <c r="G5449" s="675"/>
      <c r="H5449" s="675"/>
      <c r="I5449" s="675"/>
      <c r="J5449" s="675"/>
      <c r="K5449" s="675"/>
      <c r="L5449" s="675"/>
      <c r="M5449" s="675"/>
    </row>
    <row r="5450" spans="1:13" x14ac:dyDescent="0.25">
      <c r="A5450" s="675" t="s">
        <v>5365</v>
      </c>
      <c r="B5450" s="675" t="s">
        <v>545</v>
      </c>
      <c r="C5450" s="676" t="s">
        <v>5380</v>
      </c>
      <c r="D5450" s="675"/>
      <c r="E5450" s="675"/>
      <c r="G5450" s="675"/>
      <c r="H5450" s="675"/>
      <c r="I5450" s="675"/>
      <c r="J5450" s="675"/>
      <c r="K5450" s="675"/>
      <c r="L5450" s="675"/>
      <c r="M5450" s="675"/>
    </row>
    <row r="5451" spans="1:13" x14ac:dyDescent="0.25">
      <c r="A5451" s="675" t="s">
        <v>5365</v>
      </c>
      <c r="B5451" s="675" t="s">
        <v>564</v>
      </c>
      <c r="C5451" s="675" t="s">
        <v>5381</v>
      </c>
      <c r="D5451" s="675"/>
      <c r="E5451" s="675"/>
      <c r="G5451" s="675"/>
      <c r="H5451" s="675"/>
      <c r="I5451" s="675"/>
      <c r="J5451" s="675"/>
      <c r="K5451" s="675"/>
      <c r="L5451" s="675"/>
      <c r="M5451" s="675"/>
    </row>
    <row r="5452" spans="1:13" x14ac:dyDescent="0.25">
      <c r="A5452" s="675" t="s">
        <v>5365</v>
      </c>
      <c r="B5452" s="675" t="s">
        <v>564</v>
      </c>
      <c r="C5452" s="675" t="s">
        <v>5382</v>
      </c>
      <c r="D5452" s="675"/>
      <c r="E5452" s="675"/>
      <c r="G5452" s="675"/>
      <c r="H5452" s="675"/>
      <c r="I5452" s="675"/>
      <c r="J5452" s="675"/>
      <c r="K5452" s="675"/>
      <c r="L5452" s="675"/>
      <c r="M5452" s="675"/>
    </row>
    <row r="5453" spans="1:13" x14ac:dyDescent="0.25">
      <c r="A5453" s="675" t="s">
        <v>5365</v>
      </c>
      <c r="B5453" s="675" t="s">
        <v>564</v>
      </c>
      <c r="C5453" s="675" t="s">
        <v>5383</v>
      </c>
      <c r="D5453" s="675"/>
      <c r="E5453" s="675"/>
      <c r="G5453" s="675"/>
      <c r="H5453" s="675"/>
      <c r="I5453" s="675"/>
      <c r="J5453" s="675"/>
      <c r="K5453" s="675"/>
      <c r="L5453" s="675"/>
      <c r="M5453" s="675"/>
    </row>
    <row r="5454" spans="1:13" x14ac:dyDescent="0.25">
      <c r="A5454" s="675" t="s">
        <v>5365</v>
      </c>
      <c r="B5454" s="675" t="s">
        <v>564</v>
      </c>
      <c r="C5454" s="675" t="s">
        <v>5384</v>
      </c>
      <c r="D5454" s="675"/>
      <c r="E5454" s="675"/>
      <c r="G5454" s="675"/>
      <c r="H5454" s="675"/>
      <c r="I5454" s="675"/>
      <c r="J5454" s="675"/>
      <c r="K5454" s="675"/>
      <c r="L5454" s="675"/>
      <c r="M5454" s="675"/>
    </row>
    <row r="5455" spans="1:13" x14ac:dyDescent="0.25">
      <c r="A5455" s="675" t="s">
        <v>5365</v>
      </c>
      <c r="B5455" s="675" t="s">
        <v>564</v>
      </c>
      <c r="C5455" s="675" t="s">
        <v>5385</v>
      </c>
      <c r="D5455" s="675"/>
      <c r="E5455" s="675"/>
      <c r="G5455" s="675"/>
      <c r="H5455" s="675"/>
      <c r="I5455" s="675"/>
      <c r="J5455" s="675"/>
      <c r="K5455" s="675"/>
      <c r="L5455" s="675"/>
      <c r="M5455" s="675"/>
    </row>
    <row r="5456" spans="1:13" x14ac:dyDescent="0.25">
      <c r="A5456" s="675" t="s">
        <v>5365</v>
      </c>
      <c r="B5456" s="675" t="s">
        <v>564</v>
      </c>
      <c r="C5456" s="675" t="s">
        <v>5386</v>
      </c>
      <c r="D5456" s="675"/>
      <c r="E5456" s="675"/>
      <c r="G5456" s="675"/>
      <c r="H5456" s="675"/>
      <c r="I5456" s="675"/>
      <c r="J5456" s="675"/>
      <c r="K5456" s="675"/>
      <c r="L5456" s="675"/>
      <c r="M5456" s="675"/>
    </row>
    <row r="5457" spans="1:13" x14ac:dyDescent="0.25">
      <c r="A5457" s="675" t="s">
        <v>5365</v>
      </c>
      <c r="B5457" s="675" t="s">
        <v>564</v>
      </c>
      <c r="C5457" s="675" t="s">
        <v>5387</v>
      </c>
      <c r="D5457" s="675"/>
      <c r="E5457" s="675"/>
      <c r="G5457" s="675"/>
      <c r="H5457" s="675"/>
      <c r="I5457" s="675"/>
      <c r="J5457" s="675"/>
      <c r="K5457" s="675"/>
      <c r="L5457" s="675"/>
      <c r="M5457" s="675"/>
    </row>
    <row r="5458" spans="1:13" x14ac:dyDescent="0.25">
      <c r="A5458" s="675" t="s">
        <v>5365</v>
      </c>
      <c r="B5458" s="675" t="s">
        <v>564</v>
      </c>
      <c r="C5458" s="675" t="s">
        <v>5388</v>
      </c>
      <c r="D5458" s="675"/>
      <c r="E5458" s="675"/>
      <c r="G5458" s="675"/>
      <c r="H5458" s="675"/>
      <c r="I5458" s="675"/>
      <c r="J5458" s="675"/>
      <c r="K5458" s="675"/>
      <c r="L5458" s="675"/>
      <c r="M5458" s="675"/>
    </row>
    <row r="5459" spans="1:13" x14ac:dyDescent="0.25">
      <c r="A5459" s="675" t="s">
        <v>5365</v>
      </c>
      <c r="B5459" s="675" t="s">
        <v>564</v>
      </c>
      <c r="C5459" s="675" t="s">
        <v>5389</v>
      </c>
      <c r="D5459" s="675"/>
      <c r="E5459" s="675"/>
      <c r="G5459" s="675"/>
      <c r="H5459" s="675"/>
      <c r="I5459" s="675"/>
      <c r="J5459" s="675"/>
      <c r="K5459" s="675"/>
      <c r="L5459" s="675"/>
      <c r="M5459" s="675"/>
    </row>
    <row r="5460" spans="1:13" x14ac:dyDescent="0.25">
      <c r="A5460" s="675" t="s">
        <v>5365</v>
      </c>
      <c r="B5460" s="675" t="s">
        <v>564</v>
      </c>
      <c r="C5460" s="675" t="s">
        <v>5390</v>
      </c>
      <c r="D5460" s="675"/>
      <c r="E5460" s="675"/>
      <c r="G5460" s="675"/>
      <c r="H5460" s="675"/>
      <c r="I5460" s="675"/>
      <c r="J5460" s="675"/>
      <c r="K5460" s="675"/>
      <c r="L5460" s="675"/>
      <c r="M5460" s="675"/>
    </row>
    <row r="5461" spans="1:13" x14ac:dyDescent="0.25">
      <c r="A5461" s="675" t="s">
        <v>5365</v>
      </c>
      <c r="B5461" s="675" t="s">
        <v>564</v>
      </c>
      <c r="C5461" s="675" t="s">
        <v>5391</v>
      </c>
      <c r="D5461" s="675"/>
      <c r="E5461" s="675"/>
      <c r="G5461" s="675"/>
      <c r="H5461" s="675"/>
      <c r="I5461" s="675"/>
      <c r="J5461" s="675"/>
      <c r="K5461" s="675"/>
      <c r="L5461" s="675"/>
      <c r="M5461" s="675"/>
    </row>
    <row r="5462" spans="1:13" x14ac:dyDescent="0.25">
      <c r="A5462" s="675" t="s">
        <v>5365</v>
      </c>
      <c r="B5462" s="675" t="s">
        <v>564</v>
      </c>
      <c r="C5462" s="675" t="s">
        <v>5392</v>
      </c>
      <c r="D5462" s="675"/>
      <c r="E5462" s="675"/>
      <c r="G5462" s="675"/>
      <c r="H5462" s="675"/>
      <c r="I5462" s="675"/>
      <c r="J5462" s="675"/>
      <c r="K5462" s="675"/>
      <c r="L5462" s="675"/>
      <c r="M5462" s="675"/>
    </row>
    <row r="5463" spans="1:13" x14ac:dyDescent="0.25">
      <c r="A5463" s="675" t="s">
        <v>5365</v>
      </c>
      <c r="B5463" s="675" t="s">
        <v>564</v>
      </c>
      <c r="C5463" s="675" t="s">
        <v>5393</v>
      </c>
      <c r="D5463" s="675"/>
      <c r="E5463" s="675"/>
      <c r="G5463" s="675"/>
      <c r="H5463" s="675"/>
      <c r="I5463" s="675"/>
      <c r="J5463" s="675"/>
      <c r="K5463" s="675"/>
      <c r="L5463" s="675"/>
      <c r="M5463" s="675"/>
    </row>
    <row r="5464" spans="1:13" x14ac:dyDescent="0.25">
      <c r="A5464" s="675" t="s">
        <v>5365</v>
      </c>
      <c r="B5464" s="675" t="s">
        <v>564</v>
      </c>
      <c r="C5464" s="675" t="s">
        <v>5394</v>
      </c>
      <c r="D5464" s="675"/>
      <c r="E5464" s="675"/>
      <c r="G5464" s="675"/>
      <c r="H5464" s="675"/>
      <c r="I5464" s="675"/>
      <c r="J5464" s="675"/>
      <c r="K5464" s="675"/>
      <c r="L5464" s="675"/>
      <c r="M5464" s="675"/>
    </row>
    <row r="5465" spans="1:13" x14ac:dyDescent="0.25">
      <c r="A5465" s="675" t="s">
        <v>5365</v>
      </c>
      <c r="B5465" s="675" t="s">
        <v>564</v>
      </c>
      <c r="C5465" s="675" t="s">
        <v>5395</v>
      </c>
      <c r="D5465" s="675"/>
      <c r="E5465" s="675"/>
      <c r="G5465" s="675"/>
      <c r="H5465" s="675"/>
      <c r="I5465" s="675"/>
      <c r="J5465" s="675"/>
      <c r="K5465" s="675"/>
      <c r="L5465" s="675"/>
      <c r="M5465" s="675"/>
    </row>
    <row r="5466" spans="1:13" x14ac:dyDescent="0.25">
      <c r="A5466" s="675" t="s">
        <v>5365</v>
      </c>
      <c r="B5466" s="675" t="s">
        <v>512</v>
      </c>
      <c r="C5466" s="675" t="s">
        <v>5396</v>
      </c>
      <c r="D5466" s="675"/>
      <c r="E5466" s="675"/>
      <c r="G5466" s="675"/>
      <c r="H5466" s="675"/>
      <c r="I5466" s="675"/>
      <c r="J5466" s="675"/>
      <c r="K5466" s="675"/>
      <c r="L5466" s="675"/>
      <c r="M5466" s="675"/>
    </row>
    <row r="5467" spans="1:13" x14ac:dyDescent="0.25">
      <c r="A5467" s="675" t="s">
        <v>5365</v>
      </c>
      <c r="B5467" s="675" t="s">
        <v>512</v>
      </c>
      <c r="C5467" s="675" t="s">
        <v>5397</v>
      </c>
      <c r="D5467" s="675"/>
      <c r="E5467" s="675"/>
      <c r="G5467" s="675"/>
      <c r="H5467" s="675"/>
      <c r="I5467" s="675"/>
      <c r="J5467" s="675"/>
      <c r="K5467" s="675"/>
      <c r="L5467" s="675"/>
      <c r="M5467" s="675"/>
    </row>
    <row r="5468" spans="1:13" x14ac:dyDescent="0.25">
      <c r="A5468" s="675" t="s">
        <v>5365</v>
      </c>
      <c r="B5468" s="675" t="s">
        <v>512</v>
      </c>
      <c r="C5468" s="675" t="s">
        <v>5398</v>
      </c>
      <c r="D5468" s="675"/>
      <c r="E5468" s="675"/>
      <c r="G5468" s="675"/>
      <c r="H5468" s="675"/>
      <c r="I5468" s="675"/>
      <c r="J5468" s="675"/>
      <c r="K5468" s="675"/>
      <c r="L5468" s="675"/>
      <c r="M5468" s="675"/>
    </row>
    <row r="5469" spans="1:13" x14ac:dyDescent="0.25">
      <c r="A5469" s="675" t="s">
        <v>5365</v>
      </c>
      <c r="B5469" s="675" t="s">
        <v>512</v>
      </c>
      <c r="C5469" s="675" t="s">
        <v>5399</v>
      </c>
      <c r="D5469" s="675"/>
      <c r="E5469" s="675"/>
      <c r="G5469" s="675"/>
      <c r="H5469" s="675"/>
      <c r="I5469" s="675"/>
      <c r="J5469" s="675"/>
      <c r="K5469" s="675"/>
      <c r="L5469" s="675"/>
      <c r="M5469" s="675"/>
    </row>
    <row r="5470" spans="1:13" x14ac:dyDescent="0.25">
      <c r="A5470" s="675" t="s">
        <v>5365</v>
      </c>
      <c r="B5470" s="675" t="s">
        <v>512</v>
      </c>
      <c r="C5470" s="675" t="s">
        <v>5400</v>
      </c>
      <c r="D5470" s="675"/>
      <c r="E5470" s="675"/>
      <c r="G5470" s="675"/>
      <c r="H5470" s="675"/>
      <c r="I5470" s="675"/>
      <c r="J5470" s="675"/>
      <c r="K5470" s="675"/>
      <c r="L5470" s="675"/>
      <c r="M5470" s="675"/>
    </row>
    <row r="5471" spans="1:13" x14ac:dyDescent="0.25">
      <c r="A5471" s="675" t="s">
        <v>5365</v>
      </c>
      <c r="B5471" s="675" t="s">
        <v>512</v>
      </c>
      <c r="C5471" s="675" t="s">
        <v>5401</v>
      </c>
      <c r="D5471" s="675"/>
      <c r="E5471" s="675"/>
      <c r="G5471" s="675"/>
      <c r="H5471" s="675"/>
      <c r="I5471" s="675"/>
      <c r="J5471" s="675"/>
      <c r="K5471" s="675"/>
      <c r="L5471" s="675"/>
      <c r="M5471" s="675"/>
    </row>
    <row r="5472" spans="1:13" x14ac:dyDescent="0.25">
      <c r="A5472" s="675" t="s">
        <v>5365</v>
      </c>
      <c r="B5472" s="675" t="s">
        <v>512</v>
      </c>
      <c r="C5472" s="675" t="s">
        <v>5402</v>
      </c>
      <c r="D5472" s="675"/>
      <c r="E5472" s="675"/>
      <c r="G5472" s="675"/>
      <c r="H5472" s="675"/>
      <c r="I5472" s="675"/>
      <c r="J5472" s="675"/>
      <c r="K5472" s="675"/>
      <c r="L5472" s="675"/>
      <c r="M5472" s="675"/>
    </row>
    <row r="5473" spans="1:13" x14ac:dyDescent="0.25">
      <c r="A5473" s="675" t="s">
        <v>5365</v>
      </c>
      <c r="B5473" s="675" t="s">
        <v>512</v>
      </c>
      <c r="C5473" s="675" t="s">
        <v>5403</v>
      </c>
      <c r="D5473" s="675"/>
      <c r="E5473" s="675"/>
      <c r="G5473" s="675"/>
      <c r="H5473" s="675"/>
      <c r="I5473" s="675"/>
      <c r="J5473" s="675"/>
      <c r="K5473" s="675"/>
      <c r="L5473" s="675"/>
      <c r="M5473" s="675"/>
    </row>
    <row r="5474" spans="1:13" x14ac:dyDescent="0.25">
      <c r="A5474" s="675" t="s">
        <v>5365</v>
      </c>
      <c r="B5474" s="675" t="s">
        <v>512</v>
      </c>
      <c r="C5474" s="675" t="s">
        <v>5404</v>
      </c>
      <c r="D5474" s="675"/>
      <c r="E5474" s="675"/>
      <c r="G5474" s="675"/>
      <c r="H5474" s="675"/>
      <c r="I5474" s="675"/>
      <c r="J5474" s="675"/>
      <c r="K5474" s="675"/>
      <c r="L5474" s="675"/>
      <c r="M5474" s="675"/>
    </row>
    <row r="5475" spans="1:13" x14ac:dyDescent="0.25">
      <c r="A5475" s="675" t="s">
        <v>5365</v>
      </c>
      <c r="B5475" s="675" t="s">
        <v>512</v>
      </c>
      <c r="C5475" s="675" t="s">
        <v>5405</v>
      </c>
      <c r="D5475" s="675"/>
      <c r="E5475" s="675"/>
      <c r="G5475" s="675"/>
      <c r="H5475" s="675"/>
      <c r="I5475" s="675"/>
      <c r="J5475" s="675"/>
      <c r="K5475" s="675"/>
      <c r="L5475" s="675"/>
      <c r="M5475" s="675"/>
    </row>
    <row r="5476" spans="1:13" x14ac:dyDescent="0.25">
      <c r="A5476" s="675" t="s">
        <v>5365</v>
      </c>
      <c r="B5476" s="675" t="s">
        <v>512</v>
      </c>
      <c r="C5476" s="675" t="s">
        <v>5406</v>
      </c>
      <c r="D5476" s="675"/>
      <c r="E5476" s="675"/>
      <c r="G5476" s="675"/>
      <c r="H5476" s="675"/>
      <c r="I5476" s="675"/>
      <c r="J5476" s="675"/>
      <c r="K5476" s="675"/>
      <c r="L5476" s="675"/>
      <c r="M5476" s="675"/>
    </row>
    <row r="5477" spans="1:13" x14ac:dyDescent="0.25">
      <c r="A5477" s="675" t="s">
        <v>5365</v>
      </c>
      <c r="B5477" s="675" t="s">
        <v>512</v>
      </c>
      <c r="C5477" s="675" t="s">
        <v>5407</v>
      </c>
      <c r="D5477" s="675"/>
      <c r="E5477" s="675"/>
      <c r="G5477" s="675"/>
      <c r="H5477" s="675"/>
      <c r="I5477" s="675"/>
      <c r="J5477" s="675"/>
      <c r="K5477" s="675"/>
      <c r="L5477" s="675"/>
      <c r="M5477" s="675"/>
    </row>
    <row r="5478" spans="1:13" x14ac:dyDescent="0.25">
      <c r="A5478" s="675" t="s">
        <v>5365</v>
      </c>
      <c r="B5478" s="675" t="s">
        <v>512</v>
      </c>
      <c r="C5478" s="675" t="s">
        <v>5408</v>
      </c>
      <c r="D5478" s="675"/>
      <c r="E5478" s="675"/>
      <c r="G5478" s="675"/>
      <c r="H5478" s="675"/>
      <c r="I5478" s="675"/>
      <c r="J5478" s="675"/>
      <c r="K5478" s="675"/>
      <c r="L5478" s="675"/>
      <c r="M5478" s="675"/>
    </row>
    <row r="5479" spans="1:13" x14ac:dyDescent="0.25">
      <c r="A5479" s="675" t="s">
        <v>5365</v>
      </c>
      <c r="B5479" s="675" t="s">
        <v>512</v>
      </c>
      <c r="C5479" s="675" t="s">
        <v>5409</v>
      </c>
      <c r="D5479" s="675"/>
      <c r="E5479" s="675"/>
      <c r="G5479" s="675"/>
      <c r="H5479" s="675"/>
      <c r="I5479" s="675"/>
      <c r="J5479" s="675"/>
      <c r="K5479" s="675"/>
      <c r="L5479" s="675"/>
      <c r="M5479" s="675"/>
    </row>
    <row r="5480" spans="1:13" x14ac:dyDescent="0.25">
      <c r="A5480" s="675" t="s">
        <v>5365</v>
      </c>
      <c r="B5480" s="675" t="s">
        <v>512</v>
      </c>
      <c r="C5480" s="675" t="s">
        <v>5410</v>
      </c>
      <c r="D5480" s="675"/>
      <c r="E5480" s="675"/>
      <c r="G5480" s="675"/>
      <c r="H5480" s="675"/>
      <c r="I5480" s="675"/>
      <c r="J5480" s="675"/>
      <c r="K5480" s="675"/>
      <c r="L5480" s="675"/>
      <c r="M5480" s="675"/>
    </row>
    <row r="5481" spans="1:13" x14ac:dyDescent="0.25">
      <c r="A5481" s="675" t="s">
        <v>5411</v>
      </c>
      <c r="B5481" s="675" t="s">
        <v>545</v>
      </c>
      <c r="C5481" s="675" t="s">
        <v>5412</v>
      </c>
      <c r="D5481" s="675"/>
      <c r="E5481" s="675"/>
      <c r="G5481" s="675"/>
      <c r="H5481" s="675"/>
      <c r="I5481" s="675"/>
      <c r="J5481" s="675"/>
      <c r="K5481" s="675"/>
      <c r="L5481" s="675"/>
      <c r="M5481" s="675"/>
    </row>
    <row r="5482" spans="1:13" x14ac:dyDescent="0.25">
      <c r="A5482" s="675" t="s">
        <v>5411</v>
      </c>
      <c r="B5482" s="675" t="s">
        <v>545</v>
      </c>
      <c r="C5482" s="675" t="s">
        <v>5413</v>
      </c>
      <c r="D5482" s="675"/>
      <c r="E5482" s="675"/>
      <c r="G5482" s="675"/>
      <c r="H5482" s="675"/>
      <c r="I5482" s="675"/>
      <c r="J5482" s="675"/>
      <c r="K5482" s="675"/>
      <c r="L5482" s="675"/>
      <c r="M5482" s="675"/>
    </row>
    <row r="5483" spans="1:13" x14ac:dyDescent="0.25">
      <c r="A5483" s="675" t="s">
        <v>5411</v>
      </c>
      <c r="B5483" s="675" t="s">
        <v>545</v>
      </c>
      <c r="C5483" s="675" t="s">
        <v>5414</v>
      </c>
      <c r="D5483" s="675"/>
      <c r="E5483" s="675"/>
      <c r="G5483" s="675"/>
      <c r="H5483" s="675"/>
      <c r="I5483" s="675"/>
      <c r="J5483" s="675"/>
      <c r="K5483" s="675"/>
      <c r="L5483" s="675"/>
      <c r="M5483" s="675"/>
    </row>
    <row r="5484" spans="1:13" x14ac:dyDescent="0.25">
      <c r="A5484" s="675" t="s">
        <v>5411</v>
      </c>
      <c r="B5484" s="675" t="s">
        <v>545</v>
      </c>
      <c r="C5484" s="675" t="s">
        <v>5415</v>
      </c>
      <c r="D5484" s="675"/>
      <c r="E5484" s="675"/>
      <c r="G5484" s="675"/>
      <c r="H5484" s="675"/>
      <c r="I5484" s="675"/>
      <c r="J5484" s="675"/>
      <c r="K5484" s="675"/>
      <c r="L5484" s="675"/>
      <c r="M5484" s="675"/>
    </row>
    <row r="5485" spans="1:13" x14ac:dyDescent="0.25">
      <c r="A5485" s="675" t="s">
        <v>5411</v>
      </c>
      <c r="B5485" s="675" t="s">
        <v>545</v>
      </c>
      <c r="C5485" s="675" t="s">
        <v>5416</v>
      </c>
      <c r="D5485" s="675"/>
      <c r="E5485" s="675"/>
      <c r="G5485" s="675"/>
      <c r="H5485" s="675"/>
      <c r="I5485" s="675"/>
      <c r="J5485" s="675"/>
      <c r="K5485" s="675"/>
      <c r="L5485" s="675"/>
      <c r="M5485" s="675"/>
    </row>
    <row r="5486" spans="1:13" x14ac:dyDescent="0.25">
      <c r="A5486" s="675" t="s">
        <v>5411</v>
      </c>
      <c r="B5486" s="675" t="s">
        <v>564</v>
      </c>
      <c r="C5486" s="675" t="s">
        <v>5417</v>
      </c>
      <c r="D5486" s="675"/>
      <c r="E5486" s="675"/>
      <c r="G5486" s="675"/>
      <c r="H5486" s="675"/>
      <c r="I5486" s="675"/>
      <c r="J5486" s="675"/>
      <c r="K5486" s="675"/>
      <c r="L5486" s="675"/>
      <c r="M5486" s="675"/>
    </row>
    <row r="5487" spans="1:13" x14ac:dyDescent="0.25">
      <c r="A5487" s="675" t="s">
        <v>5411</v>
      </c>
      <c r="B5487" s="675" t="s">
        <v>564</v>
      </c>
      <c r="C5487" s="675" t="s">
        <v>5418</v>
      </c>
      <c r="D5487" s="675"/>
      <c r="E5487" s="675"/>
      <c r="G5487" s="675"/>
      <c r="H5487" s="675"/>
      <c r="I5487" s="675"/>
      <c r="J5487" s="675"/>
      <c r="K5487" s="675"/>
      <c r="L5487" s="675"/>
      <c r="M5487" s="675"/>
    </row>
    <row r="5488" spans="1:13" x14ac:dyDescent="0.25">
      <c r="A5488" s="675" t="s">
        <v>5411</v>
      </c>
      <c r="B5488" s="675" t="s">
        <v>564</v>
      </c>
      <c r="C5488" s="675" t="s">
        <v>5419</v>
      </c>
      <c r="D5488" s="675"/>
      <c r="E5488" s="675"/>
      <c r="G5488" s="675"/>
      <c r="H5488" s="675"/>
      <c r="I5488" s="675"/>
      <c r="J5488" s="675"/>
      <c r="K5488" s="675"/>
      <c r="L5488" s="675"/>
      <c r="M5488" s="675"/>
    </row>
    <row r="5489" spans="1:13" x14ac:dyDescent="0.25">
      <c r="A5489" s="675" t="s">
        <v>5411</v>
      </c>
      <c r="B5489" s="675" t="s">
        <v>564</v>
      </c>
      <c r="C5489" s="675" t="s">
        <v>5420</v>
      </c>
      <c r="D5489" s="675"/>
      <c r="E5489" s="675"/>
      <c r="G5489" s="675"/>
      <c r="H5489" s="675"/>
      <c r="I5489" s="675"/>
      <c r="J5489" s="675"/>
      <c r="K5489" s="675"/>
      <c r="L5489" s="675"/>
      <c r="M5489" s="675"/>
    </row>
    <row r="5490" spans="1:13" x14ac:dyDescent="0.25">
      <c r="A5490" s="675" t="s">
        <v>5411</v>
      </c>
      <c r="B5490" s="675" t="s">
        <v>564</v>
      </c>
      <c r="C5490" s="675" t="s">
        <v>5421</v>
      </c>
      <c r="D5490" s="675"/>
      <c r="E5490" s="675"/>
      <c r="G5490" s="675"/>
      <c r="H5490" s="675"/>
      <c r="I5490" s="675"/>
      <c r="J5490" s="675"/>
      <c r="K5490" s="675"/>
      <c r="L5490" s="675"/>
      <c r="M5490" s="675"/>
    </row>
    <row r="5491" spans="1:13" x14ac:dyDescent="0.25">
      <c r="A5491" s="675" t="s">
        <v>5411</v>
      </c>
      <c r="B5491" s="675" t="s">
        <v>512</v>
      </c>
      <c r="C5491" s="675" t="s">
        <v>5422</v>
      </c>
      <c r="D5491" s="675"/>
      <c r="E5491" s="675"/>
      <c r="G5491" s="675"/>
      <c r="H5491" s="675"/>
      <c r="I5491" s="675"/>
      <c r="J5491" s="675"/>
      <c r="K5491" s="675"/>
      <c r="L5491" s="675"/>
      <c r="M5491" s="675"/>
    </row>
    <row r="5492" spans="1:13" x14ac:dyDescent="0.25">
      <c r="A5492" s="675" t="s">
        <v>5411</v>
      </c>
      <c r="B5492" s="675" t="s">
        <v>512</v>
      </c>
      <c r="C5492" s="675" t="s">
        <v>5423</v>
      </c>
      <c r="D5492" s="675"/>
      <c r="E5492" s="675"/>
      <c r="G5492" s="675"/>
      <c r="H5492" s="675"/>
      <c r="I5492" s="675"/>
      <c r="J5492" s="675"/>
      <c r="K5492" s="675"/>
      <c r="L5492" s="675"/>
      <c r="M5492" s="675"/>
    </row>
    <row r="5493" spans="1:13" x14ac:dyDescent="0.25">
      <c r="A5493" s="675" t="s">
        <v>5411</v>
      </c>
      <c r="B5493" s="675" t="s">
        <v>512</v>
      </c>
      <c r="C5493" s="675" t="s">
        <v>5424</v>
      </c>
      <c r="D5493" s="675"/>
      <c r="E5493" s="675"/>
      <c r="G5493" s="675"/>
      <c r="H5493" s="675"/>
      <c r="I5493" s="675"/>
      <c r="J5493" s="675"/>
      <c r="K5493" s="675"/>
      <c r="L5493" s="675"/>
      <c r="M5493" s="675"/>
    </row>
    <row r="5494" spans="1:13" x14ac:dyDescent="0.25">
      <c r="A5494" s="675" t="s">
        <v>5411</v>
      </c>
      <c r="B5494" s="675" t="s">
        <v>512</v>
      </c>
      <c r="C5494" s="675" t="s">
        <v>5425</v>
      </c>
      <c r="D5494" s="675"/>
      <c r="E5494" s="675"/>
      <c r="G5494" s="675"/>
      <c r="H5494" s="675"/>
      <c r="I5494" s="675"/>
      <c r="J5494" s="675"/>
      <c r="K5494" s="675"/>
      <c r="L5494" s="675"/>
      <c r="M5494" s="675"/>
    </row>
    <row r="5495" spans="1:13" x14ac:dyDescent="0.25">
      <c r="A5495" s="675" t="s">
        <v>5411</v>
      </c>
      <c r="B5495" s="675" t="s">
        <v>512</v>
      </c>
      <c r="C5495" s="675" t="s">
        <v>5426</v>
      </c>
      <c r="D5495" s="675"/>
      <c r="E5495" s="675"/>
      <c r="G5495" s="675"/>
      <c r="H5495" s="675"/>
      <c r="I5495" s="675"/>
      <c r="J5495" s="675"/>
      <c r="K5495" s="675"/>
      <c r="L5495" s="675"/>
      <c r="M5495" s="675"/>
    </row>
    <row r="5496" spans="1:13" x14ac:dyDescent="0.25">
      <c r="A5496" s="675" t="s">
        <v>5427</v>
      </c>
      <c r="B5496" s="675" t="s">
        <v>545</v>
      </c>
      <c r="C5496" s="675" t="s">
        <v>5428</v>
      </c>
      <c r="D5496" s="675"/>
      <c r="E5496" s="675"/>
      <c r="G5496" s="675"/>
      <c r="H5496" s="675"/>
      <c r="I5496" s="675"/>
      <c r="J5496" s="675"/>
      <c r="K5496" s="675"/>
      <c r="L5496" s="675"/>
      <c r="M5496" s="675"/>
    </row>
    <row r="5497" spans="1:13" x14ac:dyDescent="0.25">
      <c r="A5497" s="675" t="s">
        <v>5427</v>
      </c>
      <c r="B5497" s="675" t="s">
        <v>545</v>
      </c>
      <c r="C5497" s="675" t="s">
        <v>5429</v>
      </c>
      <c r="D5497" s="675"/>
      <c r="E5497" s="675"/>
      <c r="G5497" s="675"/>
      <c r="H5497" s="675"/>
      <c r="I5497" s="675"/>
      <c r="J5497" s="675"/>
      <c r="K5497" s="675"/>
      <c r="L5497" s="675"/>
      <c r="M5497" s="675"/>
    </row>
    <row r="5498" spans="1:13" x14ac:dyDescent="0.25">
      <c r="A5498" s="675" t="s">
        <v>5427</v>
      </c>
      <c r="B5498" s="675" t="s">
        <v>545</v>
      </c>
      <c r="C5498" s="675" t="s">
        <v>5430</v>
      </c>
      <c r="D5498" s="675"/>
      <c r="E5498" s="675"/>
      <c r="G5498" s="675"/>
      <c r="H5498" s="675"/>
      <c r="I5498" s="675"/>
      <c r="J5498" s="675"/>
      <c r="K5498" s="675"/>
      <c r="L5498" s="675"/>
      <c r="M5498" s="675"/>
    </row>
    <row r="5499" spans="1:13" x14ac:dyDescent="0.25">
      <c r="A5499" s="675" t="s">
        <v>5427</v>
      </c>
      <c r="B5499" s="675" t="s">
        <v>545</v>
      </c>
      <c r="C5499" s="675" t="s">
        <v>5431</v>
      </c>
      <c r="D5499" s="675"/>
      <c r="E5499" s="675"/>
      <c r="G5499" s="675"/>
      <c r="H5499" s="675"/>
      <c r="I5499" s="675"/>
      <c r="J5499" s="675"/>
      <c r="K5499" s="675"/>
      <c r="L5499" s="675"/>
      <c r="M5499" s="675"/>
    </row>
    <row r="5500" spans="1:13" x14ac:dyDescent="0.25">
      <c r="A5500" s="675" t="s">
        <v>5427</v>
      </c>
      <c r="B5500" s="675" t="s">
        <v>545</v>
      </c>
      <c r="C5500" s="675" t="s">
        <v>5432</v>
      </c>
      <c r="D5500" s="675"/>
      <c r="E5500" s="675"/>
      <c r="G5500" s="675"/>
      <c r="H5500" s="675"/>
      <c r="I5500" s="675"/>
      <c r="J5500" s="675"/>
      <c r="K5500" s="675"/>
      <c r="L5500" s="675"/>
      <c r="M5500" s="675"/>
    </row>
    <row r="5501" spans="1:13" x14ac:dyDescent="0.25">
      <c r="A5501" s="675" t="s">
        <v>5427</v>
      </c>
      <c r="B5501" s="675" t="s">
        <v>564</v>
      </c>
      <c r="C5501" s="675" t="s">
        <v>5433</v>
      </c>
      <c r="D5501" s="675"/>
      <c r="E5501" s="675"/>
      <c r="G5501" s="675"/>
      <c r="H5501" s="675"/>
      <c r="I5501" s="675"/>
      <c r="J5501" s="675"/>
      <c r="K5501" s="675"/>
      <c r="L5501" s="675"/>
      <c r="M5501" s="675"/>
    </row>
    <row r="5502" spans="1:13" x14ac:dyDescent="0.25">
      <c r="A5502" s="675" t="s">
        <v>5427</v>
      </c>
      <c r="B5502" s="675" t="s">
        <v>564</v>
      </c>
      <c r="C5502" s="675" t="s">
        <v>5434</v>
      </c>
      <c r="D5502" s="675"/>
      <c r="E5502" s="675"/>
      <c r="G5502" s="675"/>
      <c r="H5502" s="675"/>
      <c r="I5502" s="675"/>
      <c r="J5502" s="675"/>
      <c r="K5502" s="675"/>
      <c r="L5502" s="675"/>
      <c r="M5502" s="675"/>
    </row>
    <row r="5503" spans="1:13" x14ac:dyDescent="0.25">
      <c r="A5503" s="675" t="s">
        <v>5427</v>
      </c>
      <c r="B5503" s="675" t="s">
        <v>564</v>
      </c>
      <c r="C5503" s="675" t="s">
        <v>5435</v>
      </c>
      <c r="D5503" s="675"/>
      <c r="E5503" s="675"/>
      <c r="G5503" s="675"/>
      <c r="H5503" s="675"/>
      <c r="I5503" s="675"/>
      <c r="J5503" s="675"/>
      <c r="K5503" s="675"/>
      <c r="L5503" s="675"/>
      <c r="M5503" s="675"/>
    </row>
    <row r="5504" spans="1:13" x14ac:dyDescent="0.25">
      <c r="A5504" s="675" t="s">
        <v>5427</v>
      </c>
      <c r="B5504" s="675" t="s">
        <v>564</v>
      </c>
      <c r="C5504" s="675" t="s">
        <v>5436</v>
      </c>
      <c r="D5504" s="675"/>
      <c r="E5504" s="675"/>
      <c r="G5504" s="675"/>
      <c r="H5504" s="675"/>
      <c r="I5504" s="675"/>
      <c r="J5504" s="675"/>
      <c r="K5504" s="675"/>
      <c r="L5504" s="675"/>
      <c r="M5504" s="675"/>
    </row>
    <row r="5505" spans="1:13" x14ac:dyDescent="0.25">
      <c r="A5505" s="675" t="s">
        <v>5427</v>
      </c>
      <c r="B5505" s="675" t="s">
        <v>564</v>
      </c>
      <c r="C5505" s="675" t="s">
        <v>5437</v>
      </c>
      <c r="D5505" s="675"/>
      <c r="E5505" s="675"/>
      <c r="G5505" s="675"/>
      <c r="H5505" s="675"/>
      <c r="I5505" s="675"/>
      <c r="J5505" s="675"/>
      <c r="K5505" s="675"/>
      <c r="L5505" s="675"/>
      <c r="M5505" s="675"/>
    </row>
    <row r="5506" spans="1:13" x14ac:dyDescent="0.25">
      <c r="A5506" s="675" t="s">
        <v>5427</v>
      </c>
      <c r="B5506" s="675" t="s">
        <v>512</v>
      </c>
      <c r="C5506" s="675" t="s">
        <v>5438</v>
      </c>
      <c r="D5506" s="675"/>
      <c r="E5506" s="675"/>
      <c r="G5506" s="675"/>
      <c r="H5506" s="675"/>
      <c r="I5506" s="675"/>
      <c r="J5506" s="675"/>
      <c r="K5506" s="675"/>
      <c r="L5506" s="675"/>
      <c r="M5506" s="675"/>
    </row>
    <row r="5507" spans="1:13" x14ac:dyDescent="0.25">
      <c r="A5507" s="675" t="s">
        <v>5427</v>
      </c>
      <c r="B5507" s="675" t="s">
        <v>512</v>
      </c>
      <c r="C5507" s="675" t="s">
        <v>5439</v>
      </c>
      <c r="D5507" s="675"/>
      <c r="E5507" s="675"/>
      <c r="G5507" s="675"/>
      <c r="H5507" s="675"/>
      <c r="I5507" s="675"/>
      <c r="J5507" s="675"/>
      <c r="K5507" s="675"/>
      <c r="L5507" s="675"/>
      <c r="M5507" s="675"/>
    </row>
    <row r="5508" spans="1:13" x14ac:dyDescent="0.25">
      <c r="A5508" s="675" t="s">
        <v>5427</v>
      </c>
      <c r="B5508" s="675" t="s">
        <v>512</v>
      </c>
      <c r="C5508" s="675" t="s">
        <v>5440</v>
      </c>
      <c r="D5508" s="675"/>
      <c r="E5508" s="675"/>
      <c r="G5508" s="675"/>
      <c r="H5508" s="675"/>
      <c r="I5508" s="675"/>
      <c r="J5508" s="675"/>
      <c r="K5508" s="675"/>
      <c r="L5508" s="675"/>
      <c r="M5508" s="675"/>
    </row>
    <row r="5509" spans="1:13" x14ac:dyDescent="0.25">
      <c r="A5509" s="675" t="s">
        <v>5427</v>
      </c>
      <c r="B5509" s="675" t="s">
        <v>512</v>
      </c>
      <c r="C5509" s="675" t="s">
        <v>5441</v>
      </c>
      <c r="D5509" s="675"/>
      <c r="E5509" s="675"/>
      <c r="G5509" s="675"/>
      <c r="H5509" s="675"/>
      <c r="I5509" s="675"/>
      <c r="J5509" s="675"/>
      <c r="K5509" s="675"/>
      <c r="L5509" s="675"/>
      <c r="M5509" s="675"/>
    </row>
    <row r="5510" spans="1:13" x14ac:dyDescent="0.25">
      <c r="A5510" s="675" t="s">
        <v>5427</v>
      </c>
      <c r="B5510" s="675" t="s">
        <v>512</v>
      </c>
      <c r="C5510" s="675" t="s">
        <v>5442</v>
      </c>
      <c r="D5510" s="675"/>
      <c r="E5510" s="675"/>
      <c r="G5510" s="675"/>
      <c r="H5510" s="675"/>
      <c r="I5510" s="675"/>
      <c r="J5510" s="675"/>
      <c r="K5510" s="675"/>
      <c r="L5510" s="675"/>
      <c r="M5510" s="675"/>
    </row>
    <row r="5511" spans="1:13" x14ac:dyDescent="0.25">
      <c r="A5511" s="675" t="s">
        <v>5443</v>
      </c>
      <c r="B5511" s="675" t="s">
        <v>545</v>
      </c>
      <c r="C5511" s="676" t="s">
        <v>5444</v>
      </c>
      <c r="D5511" s="675"/>
      <c r="E5511" s="675"/>
      <c r="G5511" s="675"/>
      <c r="H5511" s="675"/>
      <c r="I5511" s="675"/>
      <c r="J5511" s="675"/>
      <c r="K5511" s="675"/>
      <c r="L5511" s="675"/>
      <c r="M5511" s="675"/>
    </row>
    <row r="5512" spans="1:13" ht="30" x14ac:dyDescent="0.25">
      <c r="A5512" s="675" t="s">
        <v>5443</v>
      </c>
      <c r="B5512" s="675" t="s">
        <v>545</v>
      </c>
      <c r="C5512" s="676" t="s">
        <v>5445</v>
      </c>
      <c r="D5512" s="675"/>
      <c r="E5512" s="675"/>
      <c r="G5512" s="675"/>
      <c r="H5512" s="675"/>
      <c r="I5512" s="675"/>
      <c r="J5512" s="675"/>
      <c r="K5512" s="675"/>
      <c r="L5512" s="675"/>
      <c r="M5512" s="675"/>
    </row>
    <row r="5513" spans="1:13" x14ac:dyDescent="0.25">
      <c r="A5513" s="675" t="s">
        <v>5443</v>
      </c>
      <c r="B5513" s="675" t="s">
        <v>545</v>
      </c>
      <c r="C5513" s="676" t="s">
        <v>5446</v>
      </c>
      <c r="D5513" s="675"/>
      <c r="E5513" s="675"/>
      <c r="G5513" s="675"/>
      <c r="H5513" s="675"/>
      <c r="I5513" s="675"/>
      <c r="J5513" s="675"/>
      <c r="K5513" s="675"/>
      <c r="L5513" s="675"/>
      <c r="M5513" s="675"/>
    </row>
    <row r="5514" spans="1:13" x14ac:dyDescent="0.25">
      <c r="A5514" s="675" t="s">
        <v>5443</v>
      </c>
      <c r="B5514" s="675" t="s">
        <v>545</v>
      </c>
      <c r="C5514" s="676" t="s">
        <v>5447</v>
      </c>
      <c r="D5514" s="675"/>
      <c r="E5514" s="675"/>
      <c r="G5514" s="675"/>
      <c r="H5514" s="675"/>
      <c r="I5514" s="675"/>
      <c r="J5514" s="675"/>
      <c r="K5514" s="675"/>
      <c r="L5514" s="675"/>
      <c r="M5514" s="675"/>
    </row>
    <row r="5515" spans="1:13" x14ac:dyDescent="0.25">
      <c r="A5515" s="675" t="s">
        <v>5443</v>
      </c>
      <c r="B5515" s="675" t="s">
        <v>545</v>
      </c>
      <c r="C5515" s="676" t="s">
        <v>5448</v>
      </c>
      <c r="D5515" s="675"/>
      <c r="E5515" s="675"/>
      <c r="G5515" s="675"/>
      <c r="H5515" s="675"/>
      <c r="I5515" s="675"/>
      <c r="J5515" s="675"/>
      <c r="K5515" s="675"/>
      <c r="L5515" s="675"/>
      <c r="M5515" s="675"/>
    </row>
    <row r="5516" spans="1:13" x14ac:dyDescent="0.25">
      <c r="A5516" s="675" t="s">
        <v>5443</v>
      </c>
      <c r="B5516" s="675" t="s">
        <v>564</v>
      </c>
      <c r="C5516" s="675" t="s">
        <v>5449</v>
      </c>
      <c r="D5516" s="675"/>
      <c r="E5516" s="675"/>
      <c r="G5516" s="675"/>
      <c r="H5516" s="675"/>
      <c r="I5516" s="675"/>
      <c r="J5516" s="675"/>
      <c r="K5516" s="675"/>
      <c r="L5516" s="675"/>
      <c r="M5516" s="675"/>
    </row>
    <row r="5517" spans="1:13" x14ac:dyDescent="0.25">
      <c r="A5517" s="675" t="s">
        <v>5443</v>
      </c>
      <c r="B5517" s="675" t="s">
        <v>564</v>
      </c>
      <c r="C5517" s="675" t="s">
        <v>5450</v>
      </c>
      <c r="D5517" s="675"/>
      <c r="E5517" s="675"/>
      <c r="G5517" s="675"/>
      <c r="H5517" s="675"/>
      <c r="I5517" s="675"/>
      <c r="J5517" s="675"/>
      <c r="K5517" s="675"/>
      <c r="L5517" s="675"/>
      <c r="M5517" s="675"/>
    </row>
    <row r="5518" spans="1:13" x14ac:dyDescent="0.25">
      <c r="A5518" s="675" t="s">
        <v>5443</v>
      </c>
      <c r="B5518" s="675" t="s">
        <v>564</v>
      </c>
      <c r="C5518" s="675" t="s">
        <v>5451</v>
      </c>
      <c r="D5518" s="675"/>
      <c r="E5518" s="675"/>
      <c r="G5518" s="675"/>
      <c r="H5518" s="675"/>
      <c r="I5518" s="675"/>
      <c r="J5518" s="675"/>
      <c r="K5518" s="675"/>
      <c r="L5518" s="675"/>
      <c r="M5518" s="675"/>
    </row>
    <row r="5519" spans="1:13" x14ac:dyDescent="0.25">
      <c r="A5519" s="675" t="s">
        <v>5443</v>
      </c>
      <c r="B5519" s="675" t="s">
        <v>564</v>
      </c>
      <c r="C5519" s="675" t="s">
        <v>5452</v>
      </c>
      <c r="D5519" s="675"/>
      <c r="E5519" s="675"/>
      <c r="G5519" s="675"/>
      <c r="H5519" s="675"/>
      <c r="I5519" s="675"/>
      <c r="J5519" s="675"/>
      <c r="K5519" s="675"/>
      <c r="L5519" s="675"/>
      <c r="M5519" s="675"/>
    </row>
    <row r="5520" spans="1:13" x14ac:dyDescent="0.25">
      <c r="A5520" s="675" t="s">
        <v>5443</v>
      </c>
      <c r="B5520" s="675" t="s">
        <v>564</v>
      </c>
      <c r="C5520" s="675" t="s">
        <v>5453</v>
      </c>
      <c r="D5520" s="675"/>
      <c r="E5520" s="675"/>
      <c r="G5520" s="675"/>
      <c r="H5520" s="675"/>
      <c r="I5520" s="675"/>
      <c r="J5520" s="675"/>
      <c r="K5520" s="675"/>
      <c r="L5520" s="675"/>
      <c r="M5520" s="675"/>
    </row>
    <row r="5521" spans="1:13" x14ac:dyDescent="0.25">
      <c r="A5521" s="675" t="s">
        <v>5443</v>
      </c>
      <c r="B5521" s="675" t="s">
        <v>512</v>
      </c>
      <c r="C5521" s="675" t="s">
        <v>5454</v>
      </c>
      <c r="D5521" s="675"/>
      <c r="E5521" s="675"/>
      <c r="G5521" s="675"/>
      <c r="H5521" s="675"/>
      <c r="I5521" s="675"/>
      <c r="J5521" s="675"/>
      <c r="K5521" s="675"/>
      <c r="L5521" s="675"/>
      <c r="M5521" s="675"/>
    </row>
    <row r="5522" spans="1:13" x14ac:dyDescent="0.25">
      <c r="A5522" s="675" t="s">
        <v>5443</v>
      </c>
      <c r="B5522" s="675" t="s">
        <v>512</v>
      </c>
      <c r="C5522" s="675" t="s">
        <v>5455</v>
      </c>
      <c r="D5522" s="675"/>
      <c r="E5522" s="675"/>
      <c r="G5522" s="675"/>
      <c r="H5522" s="675"/>
      <c r="I5522" s="675"/>
      <c r="J5522" s="675"/>
      <c r="K5522" s="675"/>
      <c r="L5522" s="675"/>
      <c r="M5522" s="675"/>
    </row>
    <row r="5523" spans="1:13" x14ac:dyDescent="0.25">
      <c r="A5523" s="675" t="s">
        <v>5443</v>
      </c>
      <c r="B5523" s="675" t="s">
        <v>512</v>
      </c>
      <c r="C5523" s="675" t="s">
        <v>5456</v>
      </c>
      <c r="D5523" s="675"/>
      <c r="E5523" s="675"/>
      <c r="G5523" s="675"/>
      <c r="H5523" s="675"/>
      <c r="I5523" s="675"/>
      <c r="J5523" s="675"/>
      <c r="K5523" s="675"/>
      <c r="L5523" s="675"/>
      <c r="M5523" s="675"/>
    </row>
    <row r="5524" spans="1:13" x14ac:dyDescent="0.25">
      <c r="A5524" s="675" t="s">
        <v>5443</v>
      </c>
      <c r="B5524" s="675" t="s">
        <v>512</v>
      </c>
      <c r="C5524" s="675" t="s">
        <v>5457</v>
      </c>
      <c r="D5524" s="675"/>
      <c r="E5524" s="675"/>
      <c r="G5524" s="675"/>
      <c r="H5524" s="675"/>
      <c r="I5524" s="675"/>
      <c r="J5524" s="675"/>
      <c r="K5524" s="675"/>
      <c r="L5524" s="675"/>
      <c r="M5524" s="675"/>
    </row>
    <row r="5525" spans="1:13" x14ac:dyDescent="0.25">
      <c r="A5525" s="675" t="s">
        <v>5443</v>
      </c>
      <c r="B5525" s="675" t="s">
        <v>512</v>
      </c>
      <c r="C5525" s="675" t="s">
        <v>5458</v>
      </c>
      <c r="D5525" s="675"/>
      <c r="E5525" s="675"/>
      <c r="G5525" s="675"/>
      <c r="H5525" s="675"/>
      <c r="I5525" s="675"/>
      <c r="J5525" s="675"/>
      <c r="K5525" s="675"/>
      <c r="L5525" s="675"/>
      <c r="M5525" s="675"/>
    </row>
    <row r="5526" spans="1:13" x14ac:dyDescent="0.25">
      <c r="A5526" s="675" t="s">
        <v>5459</v>
      </c>
      <c r="B5526" s="675" t="s">
        <v>545</v>
      </c>
      <c r="C5526" s="676" t="s">
        <v>5460</v>
      </c>
      <c r="D5526" s="675"/>
      <c r="E5526" s="675"/>
      <c r="G5526" s="675"/>
      <c r="H5526" s="675"/>
      <c r="I5526" s="675"/>
      <c r="J5526" s="675"/>
      <c r="K5526" s="675"/>
      <c r="L5526" s="675"/>
      <c r="M5526" s="675"/>
    </row>
    <row r="5527" spans="1:13" x14ac:dyDescent="0.25">
      <c r="A5527" s="675" t="s">
        <v>5459</v>
      </c>
      <c r="B5527" s="675" t="s">
        <v>545</v>
      </c>
      <c r="C5527" s="676" t="s">
        <v>5461</v>
      </c>
      <c r="D5527" s="675"/>
      <c r="E5527" s="675"/>
      <c r="G5527" s="675"/>
      <c r="H5527" s="675"/>
      <c r="I5527" s="675"/>
      <c r="J5527" s="675"/>
      <c r="K5527" s="675"/>
      <c r="L5527" s="675"/>
      <c r="M5527" s="675"/>
    </row>
    <row r="5528" spans="1:13" x14ac:dyDescent="0.25">
      <c r="A5528" s="675" t="s">
        <v>5459</v>
      </c>
      <c r="B5528" s="675" t="s">
        <v>545</v>
      </c>
      <c r="C5528" s="676" t="s">
        <v>5462</v>
      </c>
      <c r="D5528" s="675"/>
      <c r="E5528" s="675"/>
      <c r="G5528" s="675"/>
      <c r="H5528" s="675"/>
      <c r="I5528" s="675"/>
      <c r="J5528" s="675"/>
      <c r="K5528" s="675"/>
      <c r="L5528" s="675"/>
      <c r="M5528" s="675"/>
    </row>
    <row r="5529" spans="1:13" x14ac:dyDescent="0.25">
      <c r="A5529" s="675" t="s">
        <v>5459</v>
      </c>
      <c r="B5529" s="675" t="s">
        <v>545</v>
      </c>
      <c r="C5529" s="676" t="s">
        <v>5463</v>
      </c>
      <c r="D5529" s="675"/>
      <c r="E5529" s="675"/>
      <c r="G5529" s="675"/>
      <c r="H5529" s="675"/>
      <c r="I5529" s="675"/>
      <c r="J5529" s="675"/>
      <c r="K5529" s="675"/>
      <c r="L5529" s="675"/>
      <c r="M5529" s="675"/>
    </row>
    <row r="5530" spans="1:13" x14ac:dyDescent="0.25">
      <c r="A5530" s="675" t="s">
        <v>5459</v>
      </c>
      <c r="B5530" s="675" t="s">
        <v>545</v>
      </c>
      <c r="C5530" s="676" t="s">
        <v>5464</v>
      </c>
      <c r="D5530" s="675"/>
      <c r="E5530" s="675"/>
      <c r="G5530" s="675"/>
      <c r="H5530" s="675"/>
      <c r="I5530" s="675"/>
      <c r="J5530" s="675"/>
      <c r="K5530" s="675"/>
      <c r="L5530" s="675"/>
      <c r="M5530" s="675"/>
    </row>
    <row r="5531" spans="1:13" x14ac:dyDescent="0.25">
      <c r="A5531" s="675" t="s">
        <v>5459</v>
      </c>
      <c r="B5531" s="675" t="s">
        <v>545</v>
      </c>
      <c r="C5531" s="676" t="s">
        <v>5465</v>
      </c>
      <c r="D5531" s="675"/>
      <c r="E5531" s="675"/>
      <c r="G5531" s="675"/>
      <c r="H5531" s="675"/>
      <c r="I5531" s="675"/>
      <c r="J5531" s="675"/>
      <c r="K5531" s="675"/>
      <c r="L5531" s="675"/>
      <c r="M5531" s="675"/>
    </row>
    <row r="5532" spans="1:13" x14ac:dyDescent="0.25">
      <c r="A5532" s="675" t="s">
        <v>5459</v>
      </c>
      <c r="B5532" s="675" t="s">
        <v>545</v>
      </c>
      <c r="C5532" s="676" t="s">
        <v>5466</v>
      </c>
      <c r="D5532" s="675"/>
      <c r="E5532" s="675"/>
      <c r="G5532" s="675"/>
      <c r="H5532" s="675"/>
      <c r="I5532" s="675"/>
      <c r="J5532" s="675"/>
      <c r="K5532" s="675"/>
      <c r="L5532" s="675"/>
      <c r="M5532" s="675"/>
    </row>
    <row r="5533" spans="1:13" x14ac:dyDescent="0.25">
      <c r="A5533" s="675" t="s">
        <v>5459</v>
      </c>
      <c r="B5533" s="675" t="s">
        <v>545</v>
      </c>
      <c r="C5533" s="676" t="s">
        <v>5467</v>
      </c>
      <c r="D5533" s="675"/>
      <c r="E5533" s="675"/>
      <c r="G5533" s="675"/>
      <c r="H5533" s="675"/>
      <c r="I5533" s="675"/>
      <c r="J5533" s="675"/>
      <c r="K5533" s="675"/>
      <c r="L5533" s="675"/>
      <c r="M5533" s="675"/>
    </row>
    <row r="5534" spans="1:13" x14ac:dyDescent="0.25">
      <c r="A5534" s="675" t="s">
        <v>5459</v>
      </c>
      <c r="B5534" s="675" t="s">
        <v>545</v>
      </c>
      <c r="C5534" s="676" t="s">
        <v>5468</v>
      </c>
      <c r="D5534" s="675"/>
      <c r="E5534" s="675"/>
      <c r="G5534" s="675"/>
      <c r="H5534" s="675"/>
      <c r="I5534" s="675"/>
      <c r="J5534" s="675"/>
      <c r="K5534" s="675"/>
      <c r="L5534" s="675"/>
      <c r="M5534" s="675"/>
    </row>
    <row r="5535" spans="1:13" x14ac:dyDescent="0.25">
      <c r="A5535" s="675" t="s">
        <v>5459</v>
      </c>
      <c r="B5535" s="675" t="s">
        <v>545</v>
      </c>
      <c r="C5535" s="676" t="s">
        <v>5469</v>
      </c>
      <c r="D5535" s="675"/>
      <c r="E5535" s="675"/>
      <c r="G5535" s="675"/>
      <c r="H5535" s="675"/>
      <c r="I5535" s="675"/>
      <c r="J5535" s="675"/>
      <c r="K5535" s="675"/>
      <c r="L5535" s="675"/>
      <c r="M5535" s="675"/>
    </row>
    <row r="5536" spans="1:13" x14ac:dyDescent="0.25">
      <c r="A5536" s="675" t="s">
        <v>5459</v>
      </c>
      <c r="B5536" s="675" t="s">
        <v>564</v>
      </c>
      <c r="C5536" s="675" t="s">
        <v>5470</v>
      </c>
      <c r="D5536" s="675"/>
      <c r="E5536" s="675"/>
      <c r="G5536" s="675"/>
      <c r="H5536" s="675"/>
      <c r="I5536" s="675"/>
      <c r="J5536" s="675"/>
      <c r="K5536" s="675"/>
      <c r="L5536" s="675"/>
      <c r="M5536" s="675"/>
    </row>
    <row r="5537" spans="1:13" x14ac:dyDescent="0.25">
      <c r="A5537" s="675" t="s">
        <v>5459</v>
      </c>
      <c r="B5537" s="675" t="s">
        <v>564</v>
      </c>
      <c r="C5537" s="675" t="s">
        <v>5471</v>
      </c>
      <c r="D5537" s="675"/>
      <c r="E5537" s="675"/>
      <c r="G5537" s="675"/>
      <c r="H5537" s="675"/>
      <c r="I5537" s="675"/>
      <c r="J5537" s="675"/>
      <c r="K5537" s="675"/>
      <c r="L5537" s="675"/>
      <c r="M5537" s="675"/>
    </row>
    <row r="5538" spans="1:13" x14ac:dyDescent="0.25">
      <c r="A5538" s="675" t="s">
        <v>5459</v>
      </c>
      <c r="B5538" s="675" t="s">
        <v>564</v>
      </c>
      <c r="C5538" s="675" t="s">
        <v>5472</v>
      </c>
      <c r="D5538" s="675"/>
      <c r="E5538" s="675"/>
      <c r="G5538" s="675"/>
      <c r="H5538" s="675"/>
      <c r="I5538" s="675"/>
      <c r="J5538" s="675"/>
      <c r="K5538" s="675"/>
      <c r="L5538" s="675"/>
      <c r="M5538" s="675"/>
    </row>
    <row r="5539" spans="1:13" x14ac:dyDescent="0.25">
      <c r="A5539" s="675" t="s">
        <v>5459</v>
      </c>
      <c r="B5539" s="675" t="s">
        <v>564</v>
      </c>
      <c r="C5539" s="675" t="s">
        <v>5473</v>
      </c>
      <c r="D5539" s="675"/>
      <c r="E5539" s="675"/>
      <c r="G5539" s="675"/>
      <c r="H5539" s="675"/>
      <c r="I5539" s="675"/>
      <c r="J5539" s="675"/>
      <c r="K5539" s="675"/>
      <c r="L5539" s="675"/>
      <c r="M5539" s="675"/>
    </row>
    <row r="5540" spans="1:13" x14ac:dyDescent="0.25">
      <c r="A5540" s="675" t="s">
        <v>5459</v>
      </c>
      <c r="B5540" s="675" t="s">
        <v>564</v>
      </c>
      <c r="C5540" s="675" t="s">
        <v>5474</v>
      </c>
      <c r="D5540" s="675"/>
      <c r="E5540" s="675"/>
      <c r="G5540" s="675"/>
      <c r="H5540" s="675"/>
      <c r="I5540" s="675"/>
      <c r="J5540" s="675"/>
      <c r="K5540" s="675"/>
      <c r="L5540" s="675"/>
      <c r="M5540" s="675"/>
    </row>
    <row r="5541" spans="1:13" x14ac:dyDescent="0.25">
      <c r="A5541" s="675" t="s">
        <v>5459</v>
      </c>
      <c r="B5541" s="675" t="s">
        <v>564</v>
      </c>
      <c r="C5541" s="675" t="s">
        <v>5475</v>
      </c>
      <c r="D5541" s="675"/>
      <c r="E5541" s="675"/>
      <c r="G5541" s="675"/>
      <c r="H5541" s="675"/>
      <c r="I5541" s="675"/>
      <c r="J5541" s="675"/>
      <c r="K5541" s="675"/>
      <c r="L5541" s="675"/>
      <c r="M5541" s="675"/>
    </row>
    <row r="5542" spans="1:13" x14ac:dyDescent="0.25">
      <c r="A5542" s="675" t="s">
        <v>5459</v>
      </c>
      <c r="B5542" s="675" t="s">
        <v>564</v>
      </c>
      <c r="C5542" s="675" t="s">
        <v>5476</v>
      </c>
      <c r="D5542" s="675"/>
      <c r="E5542" s="675"/>
      <c r="G5542" s="675"/>
      <c r="H5542" s="675"/>
      <c r="I5542" s="675"/>
      <c r="J5542" s="675"/>
      <c r="K5542" s="675"/>
      <c r="L5542" s="675"/>
      <c r="M5542" s="675"/>
    </row>
    <row r="5543" spans="1:13" x14ac:dyDescent="0.25">
      <c r="A5543" s="675" t="s">
        <v>5459</v>
      </c>
      <c r="B5543" s="675" t="s">
        <v>564</v>
      </c>
      <c r="C5543" s="675" t="s">
        <v>5477</v>
      </c>
      <c r="D5543" s="675"/>
      <c r="E5543" s="675"/>
      <c r="G5543" s="675"/>
      <c r="H5543" s="675"/>
      <c r="I5543" s="675"/>
      <c r="J5543" s="675"/>
      <c r="K5543" s="675"/>
      <c r="L5543" s="675"/>
      <c r="M5543" s="675"/>
    </row>
    <row r="5544" spans="1:13" x14ac:dyDescent="0.25">
      <c r="A5544" s="675" t="s">
        <v>5459</v>
      </c>
      <c r="B5544" s="675" t="s">
        <v>564</v>
      </c>
      <c r="C5544" s="675" t="s">
        <v>5478</v>
      </c>
      <c r="D5544" s="675"/>
      <c r="E5544" s="675"/>
      <c r="G5544" s="675"/>
      <c r="H5544" s="675"/>
      <c r="I5544" s="675"/>
      <c r="J5544" s="675"/>
      <c r="K5544" s="675"/>
      <c r="L5544" s="675"/>
      <c r="M5544" s="675"/>
    </row>
    <row r="5545" spans="1:13" x14ac:dyDescent="0.25">
      <c r="A5545" s="675" t="s">
        <v>5459</v>
      </c>
      <c r="B5545" s="675" t="s">
        <v>564</v>
      </c>
      <c r="C5545" s="675" t="s">
        <v>5479</v>
      </c>
      <c r="D5545" s="675"/>
      <c r="E5545" s="675"/>
      <c r="G5545" s="675"/>
      <c r="H5545" s="675"/>
      <c r="I5545" s="675"/>
      <c r="J5545" s="675"/>
      <c r="K5545" s="675"/>
      <c r="L5545" s="675"/>
      <c r="M5545" s="675"/>
    </row>
    <row r="5546" spans="1:13" x14ac:dyDescent="0.25">
      <c r="A5546" s="675" t="s">
        <v>5459</v>
      </c>
      <c r="B5546" s="675" t="s">
        <v>512</v>
      </c>
      <c r="C5546" s="676" t="s">
        <v>5480</v>
      </c>
      <c r="D5546" s="675"/>
      <c r="E5546" s="675"/>
      <c r="G5546" s="675"/>
      <c r="H5546" s="675"/>
      <c r="I5546" s="675"/>
      <c r="J5546" s="675"/>
      <c r="K5546" s="675"/>
      <c r="L5546" s="675"/>
      <c r="M5546" s="675"/>
    </row>
    <row r="5547" spans="1:13" x14ac:dyDescent="0.25">
      <c r="A5547" s="675" t="s">
        <v>5459</v>
      </c>
      <c r="B5547" s="675" t="s">
        <v>512</v>
      </c>
      <c r="C5547" s="676" t="s">
        <v>5481</v>
      </c>
      <c r="D5547" s="675"/>
      <c r="E5547" s="675"/>
      <c r="G5547" s="675"/>
      <c r="H5547" s="675"/>
      <c r="I5547" s="675"/>
      <c r="J5547" s="675"/>
      <c r="K5547" s="675"/>
      <c r="L5547" s="675"/>
      <c r="M5547" s="675"/>
    </row>
    <row r="5548" spans="1:13" x14ac:dyDescent="0.25">
      <c r="A5548" s="675" t="s">
        <v>5459</v>
      </c>
      <c r="B5548" s="675" t="s">
        <v>512</v>
      </c>
      <c r="C5548" s="676" t="s">
        <v>5482</v>
      </c>
      <c r="D5548" s="675"/>
      <c r="E5548" s="675"/>
      <c r="G5548" s="675"/>
      <c r="H5548" s="675"/>
      <c r="I5548" s="675"/>
      <c r="J5548" s="675"/>
      <c r="K5548" s="675"/>
      <c r="L5548" s="675"/>
      <c r="M5548" s="675"/>
    </row>
    <row r="5549" spans="1:13" x14ac:dyDescent="0.25">
      <c r="A5549" s="675" t="s">
        <v>5459</v>
      </c>
      <c r="B5549" s="675" t="s">
        <v>512</v>
      </c>
      <c r="C5549" s="676" t="s">
        <v>5483</v>
      </c>
      <c r="D5549" s="675"/>
      <c r="E5549" s="675"/>
      <c r="G5549" s="675"/>
      <c r="H5549" s="675"/>
      <c r="I5549" s="675"/>
      <c r="J5549" s="675"/>
      <c r="K5549" s="675"/>
      <c r="L5549" s="675"/>
      <c r="M5549" s="675"/>
    </row>
    <row r="5550" spans="1:13" x14ac:dyDescent="0.25">
      <c r="A5550" s="675" t="s">
        <v>5459</v>
      </c>
      <c r="B5550" s="675" t="s">
        <v>512</v>
      </c>
      <c r="C5550" s="676" t="s">
        <v>5484</v>
      </c>
      <c r="D5550" s="675"/>
      <c r="E5550" s="675"/>
      <c r="G5550" s="675"/>
      <c r="H5550" s="675"/>
      <c r="I5550" s="675"/>
      <c r="J5550" s="675"/>
      <c r="K5550" s="675"/>
      <c r="L5550" s="675"/>
      <c r="M5550" s="675"/>
    </row>
    <row r="5551" spans="1:13" x14ac:dyDescent="0.25">
      <c r="A5551" s="675" t="s">
        <v>5459</v>
      </c>
      <c r="B5551" s="675" t="s">
        <v>512</v>
      </c>
      <c r="C5551" s="676" t="s">
        <v>5485</v>
      </c>
      <c r="D5551" s="675"/>
      <c r="E5551" s="675"/>
      <c r="G5551" s="675"/>
      <c r="H5551" s="675"/>
      <c r="I5551" s="675"/>
      <c r="J5551" s="675"/>
      <c r="K5551" s="675"/>
      <c r="L5551" s="675"/>
      <c r="M5551" s="675"/>
    </row>
    <row r="5552" spans="1:13" x14ac:dyDescent="0.25">
      <c r="A5552" s="675" t="s">
        <v>5459</v>
      </c>
      <c r="B5552" s="675" t="s">
        <v>512</v>
      </c>
      <c r="C5552" s="676" t="s">
        <v>5486</v>
      </c>
      <c r="D5552" s="675"/>
      <c r="E5552" s="675"/>
      <c r="G5552" s="675"/>
      <c r="H5552" s="675"/>
      <c r="I5552" s="675"/>
      <c r="J5552" s="675"/>
      <c r="K5552" s="675"/>
      <c r="L5552" s="675"/>
      <c r="M5552" s="675"/>
    </row>
    <row r="5553" spans="1:13" x14ac:dyDescent="0.25">
      <c r="A5553" s="675" t="s">
        <v>5459</v>
      </c>
      <c r="B5553" s="675" t="s">
        <v>512</v>
      </c>
      <c r="C5553" s="676" t="s">
        <v>5487</v>
      </c>
      <c r="D5553" s="675"/>
      <c r="E5553" s="675"/>
      <c r="G5553" s="675"/>
      <c r="H5553" s="675"/>
      <c r="I5553" s="675"/>
      <c r="J5553" s="675"/>
      <c r="K5553" s="675"/>
      <c r="L5553" s="675"/>
      <c r="M5553" s="675"/>
    </row>
    <row r="5554" spans="1:13" x14ac:dyDescent="0.25">
      <c r="A5554" s="675" t="s">
        <v>5459</v>
      </c>
      <c r="B5554" s="675" t="s">
        <v>512</v>
      </c>
      <c r="C5554" s="676" t="s">
        <v>5488</v>
      </c>
      <c r="D5554" s="675"/>
      <c r="E5554" s="675"/>
      <c r="G5554" s="675"/>
      <c r="H5554" s="675"/>
      <c r="I5554" s="675"/>
      <c r="J5554" s="675"/>
      <c r="K5554" s="675"/>
      <c r="L5554" s="675"/>
      <c r="M5554" s="675"/>
    </row>
    <row r="5555" spans="1:13" x14ac:dyDescent="0.25">
      <c r="A5555" s="675" t="s">
        <v>5459</v>
      </c>
      <c r="B5555" s="675" t="s">
        <v>512</v>
      </c>
      <c r="C5555" s="676" t="s">
        <v>5489</v>
      </c>
      <c r="D5555" s="675"/>
      <c r="E5555" s="675"/>
      <c r="G5555" s="675"/>
      <c r="H5555" s="675"/>
      <c r="I5555" s="675"/>
      <c r="J5555" s="675"/>
      <c r="K5555" s="675"/>
      <c r="L5555" s="675"/>
      <c r="M5555" s="675"/>
    </row>
    <row r="5556" spans="1:13" x14ac:dyDescent="0.25">
      <c r="A5556" s="675" t="s">
        <v>5490</v>
      </c>
      <c r="B5556" s="675" t="s">
        <v>545</v>
      </c>
      <c r="C5556" s="676" t="s">
        <v>5491</v>
      </c>
      <c r="D5556" s="675"/>
      <c r="E5556" s="675"/>
      <c r="G5556" s="675"/>
      <c r="H5556" s="675"/>
      <c r="I5556" s="675"/>
      <c r="J5556" s="675"/>
      <c r="K5556" s="675"/>
      <c r="L5556" s="675"/>
      <c r="M5556" s="675"/>
    </row>
    <row r="5557" spans="1:13" x14ac:dyDescent="0.25">
      <c r="A5557" s="675" t="s">
        <v>5490</v>
      </c>
      <c r="B5557" s="675" t="s">
        <v>545</v>
      </c>
      <c r="C5557" s="676" t="s">
        <v>5492</v>
      </c>
      <c r="D5557" s="675"/>
      <c r="E5557" s="675"/>
      <c r="G5557" s="675"/>
      <c r="H5557" s="675"/>
      <c r="I5557" s="675"/>
      <c r="J5557" s="675"/>
      <c r="K5557" s="675"/>
      <c r="L5557" s="675"/>
      <c r="M5557" s="675"/>
    </row>
    <row r="5558" spans="1:13" x14ac:dyDescent="0.25">
      <c r="A5558" s="675" t="s">
        <v>5490</v>
      </c>
      <c r="B5558" s="675" t="s">
        <v>545</v>
      </c>
      <c r="C5558" s="676" t="s">
        <v>5493</v>
      </c>
      <c r="D5558" s="675"/>
      <c r="E5558" s="675"/>
      <c r="G5558" s="675"/>
      <c r="H5558" s="675"/>
      <c r="I5558" s="675"/>
      <c r="J5558" s="675"/>
      <c r="K5558" s="675"/>
      <c r="L5558" s="675"/>
      <c r="M5558" s="675"/>
    </row>
    <row r="5559" spans="1:13" x14ac:dyDescent="0.25">
      <c r="A5559" s="675" t="s">
        <v>5490</v>
      </c>
      <c r="B5559" s="675" t="s">
        <v>545</v>
      </c>
      <c r="C5559" s="676" t="s">
        <v>5494</v>
      </c>
      <c r="D5559" s="675"/>
      <c r="E5559" s="675"/>
      <c r="G5559" s="675"/>
      <c r="H5559" s="675"/>
      <c r="I5559" s="675"/>
      <c r="J5559" s="675"/>
      <c r="K5559" s="675"/>
      <c r="L5559" s="675"/>
      <c r="M5559" s="675"/>
    </row>
    <row r="5560" spans="1:13" x14ac:dyDescent="0.25">
      <c r="A5560" s="675" t="s">
        <v>5490</v>
      </c>
      <c r="B5560" s="675" t="s">
        <v>545</v>
      </c>
      <c r="C5560" s="676" t="s">
        <v>5495</v>
      </c>
      <c r="D5560" s="675"/>
      <c r="E5560" s="675"/>
      <c r="G5560" s="675"/>
      <c r="H5560" s="675"/>
      <c r="I5560" s="675"/>
      <c r="J5560" s="675"/>
      <c r="K5560" s="675"/>
      <c r="L5560" s="675"/>
      <c r="M5560" s="675"/>
    </row>
    <row r="5561" spans="1:13" x14ac:dyDescent="0.25">
      <c r="A5561" s="675" t="s">
        <v>5490</v>
      </c>
      <c r="B5561" s="675" t="s">
        <v>545</v>
      </c>
      <c r="C5561" s="676" t="s">
        <v>5496</v>
      </c>
      <c r="D5561" s="675"/>
      <c r="E5561" s="675"/>
      <c r="G5561" s="675"/>
      <c r="H5561" s="675"/>
      <c r="I5561" s="675"/>
      <c r="J5561" s="675"/>
      <c r="K5561" s="675"/>
      <c r="L5561" s="675"/>
      <c r="M5561" s="675"/>
    </row>
    <row r="5562" spans="1:13" x14ac:dyDescent="0.25">
      <c r="A5562" s="675" t="s">
        <v>5490</v>
      </c>
      <c r="B5562" s="675" t="s">
        <v>545</v>
      </c>
      <c r="C5562" s="676" t="s">
        <v>5497</v>
      </c>
      <c r="D5562" s="675"/>
      <c r="E5562" s="675"/>
      <c r="G5562" s="675"/>
      <c r="H5562" s="675"/>
      <c r="I5562" s="675"/>
      <c r="J5562" s="675"/>
      <c r="K5562" s="675"/>
      <c r="L5562" s="675"/>
      <c r="M5562" s="675"/>
    </row>
    <row r="5563" spans="1:13" x14ac:dyDescent="0.25">
      <c r="A5563" s="675" t="s">
        <v>5490</v>
      </c>
      <c r="B5563" s="675" t="s">
        <v>545</v>
      </c>
      <c r="C5563" s="676" t="s">
        <v>5498</v>
      </c>
      <c r="D5563" s="675"/>
      <c r="E5563" s="675"/>
      <c r="G5563" s="675"/>
      <c r="H5563" s="675"/>
      <c r="I5563" s="675"/>
      <c r="J5563" s="675"/>
      <c r="K5563" s="675"/>
      <c r="L5563" s="675"/>
      <c r="M5563" s="675"/>
    </row>
    <row r="5564" spans="1:13" x14ac:dyDescent="0.25">
      <c r="A5564" s="675" t="s">
        <v>5490</v>
      </c>
      <c r="B5564" s="675" t="s">
        <v>545</v>
      </c>
      <c r="C5564" s="676" t="s">
        <v>5499</v>
      </c>
      <c r="D5564" s="675"/>
      <c r="E5564" s="675"/>
      <c r="G5564" s="675"/>
      <c r="H5564" s="675"/>
      <c r="I5564" s="675"/>
      <c r="J5564" s="675"/>
      <c r="K5564" s="675"/>
      <c r="L5564" s="675"/>
      <c r="M5564" s="675"/>
    </row>
    <row r="5565" spans="1:13" x14ac:dyDescent="0.25">
      <c r="A5565" s="675" t="s">
        <v>5490</v>
      </c>
      <c r="B5565" s="675" t="s">
        <v>545</v>
      </c>
      <c r="C5565" s="676" t="s">
        <v>5500</v>
      </c>
      <c r="D5565" s="675"/>
      <c r="E5565" s="675"/>
      <c r="G5565" s="675"/>
      <c r="H5565" s="675"/>
      <c r="I5565" s="675"/>
      <c r="J5565" s="675"/>
      <c r="K5565" s="675"/>
      <c r="L5565" s="675"/>
      <c r="M5565" s="675"/>
    </row>
    <row r="5566" spans="1:13" x14ac:dyDescent="0.25">
      <c r="A5566" s="675" t="s">
        <v>5490</v>
      </c>
      <c r="B5566" s="675" t="s">
        <v>564</v>
      </c>
      <c r="C5566" s="675" t="s">
        <v>5501</v>
      </c>
      <c r="D5566" s="675"/>
      <c r="E5566" s="675"/>
      <c r="G5566" s="675"/>
      <c r="H5566" s="675"/>
      <c r="I5566" s="675"/>
      <c r="J5566" s="675"/>
      <c r="K5566" s="675"/>
      <c r="L5566" s="675"/>
      <c r="M5566" s="675"/>
    </row>
    <row r="5567" spans="1:13" x14ac:dyDescent="0.25">
      <c r="A5567" s="675" t="s">
        <v>5490</v>
      </c>
      <c r="B5567" s="675" t="s">
        <v>564</v>
      </c>
      <c r="C5567" s="675" t="s">
        <v>5502</v>
      </c>
      <c r="D5567" s="675"/>
      <c r="E5567" s="675"/>
      <c r="G5567" s="675"/>
      <c r="H5567" s="675"/>
      <c r="I5567" s="675"/>
      <c r="J5567" s="675"/>
      <c r="K5567" s="675"/>
      <c r="L5567" s="675"/>
      <c r="M5567" s="675"/>
    </row>
    <row r="5568" spans="1:13" x14ac:dyDescent="0.25">
      <c r="A5568" s="675" t="s">
        <v>5490</v>
      </c>
      <c r="B5568" s="675" t="s">
        <v>564</v>
      </c>
      <c r="C5568" s="675" t="s">
        <v>5503</v>
      </c>
      <c r="D5568" s="675"/>
      <c r="E5568" s="675"/>
      <c r="G5568" s="675"/>
      <c r="H5568" s="675"/>
      <c r="I5568" s="675"/>
      <c r="J5568" s="675"/>
      <c r="K5568" s="675"/>
      <c r="L5568" s="675"/>
      <c r="M5568" s="675"/>
    </row>
    <row r="5569" spans="1:13" x14ac:dyDescent="0.25">
      <c r="A5569" s="675" t="s">
        <v>5490</v>
      </c>
      <c r="B5569" s="675" t="s">
        <v>564</v>
      </c>
      <c r="C5569" s="675" t="s">
        <v>5504</v>
      </c>
      <c r="D5569" s="675"/>
      <c r="E5569" s="675"/>
      <c r="G5569" s="675"/>
      <c r="H5569" s="675"/>
      <c r="I5569" s="675"/>
      <c r="J5569" s="675"/>
      <c r="K5569" s="675"/>
      <c r="L5569" s="675"/>
      <c r="M5569" s="675"/>
    </row>
    <row r="5570" spans="1:13" x14ac:dyDescent="0.25">
      <c r="A5570" s="675" t="s">
        <v>5490</v>
      </c>
      <c r="B5570" s="675" t="s">
        <v>564</v>
      </c>
      <c r="C5570" s="675" t="s">
        <v>5505</v>
      </c>
      <c r="D5570" s="675"/>
      <c r="E5570" s="675"/>
      <c r="G5570" s="675"/>
      <c r="H5570" s="675"/>
      <c r="I5570" s="675"/>
      <c r="J5570" s="675"/>
      <c r="K5570" s="675"/>
      <c r="L5570" s="675"/>
      <c r="M5570" s="675"/>
    </row>
    <row r="5571" spans="1:13" x14ac:dyDescent="0.25">
      <c r="A5571" s="675" t="s">
        <v>5490</v>
      </c>
      <c r="B5571" s="675" t="s">
        <v>564</v>
      </c>
      <c r="C5571" s="675" t="s">
        <v>5506</v>
      </c>
      <c r="D5571" s="675"/>
      <c r="E5571" s="675"/>
      <c r="G5571" s="675"/>
      <c r="H5571" s="675"/>
      <c r="I5571" s="675"/>
      <c r="J5571" s="675"/>
      <c r="K5571" s="675"/>
      <c r="L5571" s="675"/>
      <c r="M5571" s="675"/>
    </row>
    <row r="5572" spans="1:13" x14ac:dyDescent="0.25">
      <c r="A5572" s="675" t="s">
        <v>5490</v>
      </c>
      <c r="B5572" s="675" t="s">
        <v>564</v>
      </c>
      <c r="C5572" s="675" t="s">
        <v>5507</v>
      </c>
      <c r="D5572" s="675"/>
      <c r="E5572" s="675"/>
      <c r="G5572" s="675"/>
      <c r="H5572" s="675"/>
      <c r="I5572" s="675"/>
      <c r="J5572" s="675"/>
      <c r="K5572" s="675"/>
      <c r="L5572" s="675"/>
      <c r="M5572" s="675"/>
    </row>
    <row r="5573" spans="1:13" x14ac:dyDescent="0.25">
      <c r="A5573" s="675" t="s">
        <v>5490</v>
      </c>
      <c r="B5573" s="675" t="s">
        <v>564</v>
      </c>
      <c r="C5573" s="675" t="s">
        <v>5508</v>
      </c>
      <c r="D5573" s="675"/>
      <c r="E5573" s="675"/>
      <c r="G5573" s="675"/>
      <c r="H5573" s="675"/>
      <c r="I5573" s="675"/>
      <c r="J5573" s="675"/>
      <c r="K5573" s="675"/>
      <c r="L5573" s="675"/>
      <c r="M5573" s="675"/>
    </row>
    <row r="5574" spans="1:13" x14ac:dyDescent="0.25">
      <c r="A5574" s="675" t="s">
        <v>5490</v>
      </c>
      <c r="B5574" s="675" t="s">
        <v>564</v>
      </c>
      <c r="C5574" s="675" t="s">
        <v>5509</v>
      </c>
      <c r="D5574" s="675"/>
      <c r="E5574" s="675"/>
      <c r="G5574" s="675"/>
      <c r="H5574" s="675"/>
      <c r="I5574" s="675"/>
      <c r="J5574" s="675"/>
      <c r="K5574" s="675"/>
      <c r="L5574" s="675"/>
      <c r="M5574" s="675"/>
    </row>
    <row r="5575" spans="1:13" x14ac:dyDescent="0.25">
      <c r="A5575" s="675" t="s">
        <v>5490</v>
      </c>
      <c r="B5575" s="675" t="s">
        <v>564</v>
      </c>
      <c r="C5575" s="675" t="s">
        <v>5510</v>
      </c>
      <c r="D5575" s="675"/>
      <c r="E5575" s="675"/>
      <c r="G5575" s="675"/>
      <c r="H5575" s="675"/>
      <c r="I5575" s="675"/>
      <c r="J5575" s="675"/>
      <c r="K5575" s="675"/>
      <c r="L5575" s="675"/>
      <c r="M5575" s="675"/>
    </row>
    <row r="5576" spans="1:13" x14ac:dyDescent="0.25">
      <c r="A5576" s="675" t="s">
        <v>5490</v>
      </c>
      <c r="B5576" s="675" t="s">
        <v>512</v>
      </c>
      <c r="C5576" s="675" t="s">
        <v>5511</v>
      </c>
      <c r="D5576" s="675"/>
      <c r="E5576" s="675"/>
      <c r="G5576" s="675"/>
      <c r="H5576" s="675"/>
      <c r="I5576" s="675"/>
      <c r="J5576" s="675"/>
      <c r="K5576" s="675"/>
      <c r="L5576" s="675"/>
      <c r="M5576" s="675"/>
    </row>
    <row r="5577" spans="1:13" x14ac:dyDescent="0.25">
      <c r="A5577" s="675" t="s">
        <v>5490</v>
      </c>
      <c r="B5577" s="675" t="s">
        <v>512</v>
      </c>
      <c r="C5577" s="675" t="s">
        <v>5512</v>
      </c>
      <c r="D5577" s="675"/>
      <c r="E5577" s="675"/>
      <c r="G5577" s="675"/>
      <c r="H5577" s="675"/>
      <c r="I5577" s="675"/>
      <c r="J5577" s="675"/>
      <c r="K5577" s="675"/>
      <c r="L5577" s="675"/>
      <c r="M5577" s="675"/>
    </row>
    <row r="5578" spans="1:13" x14ac:dyDescent="0.25">
      <c r="A5578" s="675" t="s">
        <v>5490</v>
      </c>
      <c r="B5578" s="675" t="s">
        <v>512</v>
      </c>
      <c r="C5578" s="675" t="s">
        <v>5513</v>
      </c>
      <c r="D5578" s="675"/>
      <c r="E5578" s="675"/>
      <c r="G5578" s="675"/>
      <c r="H5578" s="675"/>
      <c r="I5578" s="675"/>
      <c r="J5578" s="675"/>
      <c r="K5578" s="675"/>
      <c r="L5578" s="675"/>
      <c r="M5578" s="675"/>
    </row>
    <row r="5579" spans="1:13" x14ac:dyDescent="0.25">
      <c r="A5579" s="675" t="s">
        <v>5490</v>
      </c>
      <c r="B5579" s="675" t="s">
        <v>512</v>
      </c>
      <c r="C5579" s="675" t="s">
        <v>5514</v>
      </c>
      <c r="D5579" s="675"/>
      <c r="E5579" s="675"/>
      <c r="G5579" s="675"/>
      <c r="H5579" s="675"/>
      <c r="I5579" s="675"/>
      <c r="J5579" s="675"/>
      <c r="K5579" s="675"/>
      <c r="L5579" s="675"/>
      <c r="M5579" s="675"/>
    </row>
    <row r="5580" spans="1:13" x14ac:dyDescent="0.25">
      <c r="A5580" s="675" t="s">
        <v>5490</v>
      </c>
      <c r="B5580" s="675" t="s">
        <v>512</v>
      </c>
      <c r="C5580" s="675" t="s">
        <v>5515</v>
      </c>
      <c r="D5580" s="675"/>
      <c r="E5580" s="675"/>
      <c r="G5580" s="675"/>
      <c r="H5580" s="675"/>
      <c r="I5580" s="675"/>
      <c r="J5580" s="675"/>
      <c r="K5580" s="675"/>
      <c r="L5580" s="675"/>
      <c r="M5580" s="675"/>
    </row>
    <row r="5581" spans="1:13" x14ac:dyDescent="0.25">
      <c r="A5581" s="675" t="s">
        <v>5490</v>
      </c>
      <c r="B5581" s="675" t="s">
        <v>512</v>
      </c>
      <c r="C5581" s="675" t="s">
        <v>5516</v>
      </c>
      <c r="D5581" s="675"/>
      <c r="E5581" s="675"/>
      <c r="G5581" s="675"/>
      <c r="H5581" s="675"/>
      <c r="I5581" s="675"/>
      <c r="J5581" s="675"/>
      <c r="K5581" s="675"/>
      <c r="L5581" s="675"/>
      <c r="M5581" s="675"/>
    </row>
    <row r="5582" spans="1:13" x14ac:dyDescent="0.25">
      <c r="A5582" s="675" t="s">
        <v>5490</v>
      </c>
      <c r="B5582" s="675" t="s">
        <v>512</v>
      </c>
      <c r="C5582" s="675" t="s">
        <v>5517</v>
      </c>
      <c r="D5582" s="675"/>
      <c r="E5582" s="675"/>
      <c r="G5582" s="675"/>
      <c r="H5582" s="675"/>
      <c r="I5582" s="675"/>
      <c r="J5582" s="675"/>
      <c r="K5582" s="675"/>
      <c r="L5582" s="675"/>
      <c r="M5582" s="675"/>
    </row>
    <row r="5583" spans="1:13" x14ac:dyDescent="0.25">
      <c r="A5583" s="675" t="s">
        <v>5490</v>
      </c>
      <c r="B5583" s="675" t="s">
        <v>512</v>
      </c>
      <c r="C5583" s="675" t="s">
        <v>5518</v>
      </c>
      <c r="D5583" s="675"/>
      <c r="E5583" s="675"/>
      <c r="G5583" s="675"/>
      <c r="H5583" s="675"/>
      <c r="I5583" s="675"/>
      <c r="J5583" s="675"/>
      <c r="K5583" s="675"/>
      <c r="L5583" s="675"/>
      <c r="M5583" s="675"/>
    </row>
    <row r="5584" spans="1:13" x14ac:dyDescent="0.25">
      <c r="A5584" s="675" t="s">
        <v>5490</v>
      </c>
      <c r="B5584" s="675" t="s">
        <v>512</v>
      </c>
      <c r="C5584" s="675" t="s">
        <v>5519</v>
      </c>
      <c r="D5584" s="675"/>
      <c r="E5584" s="675"/>
      <c r="G5584" s="675"/>
      <c r="H5584" s="675"/>
      <c r="I5584" s="675"/>
      <c r="J5584" s="675"/>
      <c r="K5584" s="675"/>
      <c r="L5584" s="675"/>
      <c r="M5584" s="675"/>
    </row>
    <row r="5585" spans="1:13" x14ac:dyDescent="0.25">
      <c r="A5585" s="675" t="s">
        <v>5490</v>
      </c>
      <c r="B5585" s="675" t="s">
        <v>512</v>
      </c>
      <c r="C5585" s="675" t="s">
        <v>4767</v>
      </c>
      <c r="D5585" s="675"/>
      <c r="E5585" s="675"/>
      <c r="G5585" s="675"/>
      <c r="H5585" s="675"/>
      <c r="I5585" s="675"/>
      <c r="J5585" s="675"/>
      <c r="K5585" s="675"/>
      <c r="L5585" s="675"/>
      <c r="M5585" s="675"/>
    </row>
    <row r="5586" spans="1:13" x14ac:dyDescent="0.25">
      <c r="A5586" s="675" t="s">
        <v>5520</v>
      </c>
      <c r="B5586" s="675" t="s">
        <v>545</v>
      </c>
      <c r="C5586" s="675" t="s">
        <v>5521</v>
      </c>
      <c r="D5586" s="675"/>
      <c r="E5586" s="675"/>
      <c r="G5586" s="675"/>
      <c r="H5586" s="675"/>
      <c r="I5586" s="675"/>
      <c r="J5586" s="675"/>
      <c r="K5586" s="675"/>
      <c r="L5586" s="675"/>
      <c r="M5586" s="675"/>
    </row>
    <row r="5587" spans="1:13" x14ac:dyDescent="0.25">
      <c r="A5587" s="675" t="s">
        <v>5520</v>
      </c>
      <c r="B5587" s="675" t="s">
        <v>545</v>
      </c>
      <c r="C5587" s="675" t="s">
        <v>5522</v>
      </c>
      <c r="D5587" s="675"/>
      <c r="E5587" s="675"/>
      <c r="G5587" s="675"/>
      <c r="H5587" s="675"/>
      <c r="I5587" s="675"/>
      <c r="J5587" s="675"/>
      <c r="K5587" s="675"/>
      <c r="L5587" s="675"/>
      <c r="M5587" s="675"/>
    </row>
    <row r="5588" spans="1:13" x14ac:dyDescent="0.25">
      <c r="A5588" s="675" t="s">
        <v>5520</v>
      </c>
      <c r="B5588" s="675" t="s">
        <v>545</v>
      </c>
      <c r="C5588" s="675" t="s">
        <v>5523</v>
      </c>
      <c r="D5588" s="675"/>
      <c r="E5588" s="675"/>
      <c r="G5588" s="675"/>
      <c r="H5588" s="675"/>
      <c r="I5588" s="675"/>
      <c r="J5588" s="675"/>
      <c r="K5588" s="675"/>
      <c r="L5588" s="675"/>
      <c r="M5588" s="675"/>
    </row>
    <row r="5589" spans="1:13" x14ac:dyDescent="0.25">
      <c r="A5589" s="675" t="s">
        <v>5520</v>
      </c>
      <c r="B5589" s="675" t="s">
        <v>545</v>
      </c>
      <c r="C5589" s="675" t="s">
        <v>5524</v>
      </c>
      <c r="D5589" s="675"/>
      <c r="E5589" s="675"/>
      <c r="G5589" s="675"/>
      <c r="H5589" s="675"/>
      <c r="I5589" s="675"/>
      <c r="J5589" s="675"/>
      <c r="K5589" s="675"/>
      <c r="L5589" s="675"/>
      <c r="M5589" s="675"/>
    </row>
    <row r="5590" spans="1:13" x14ac:dyDescent="0.25">
      <c r="A5590" s="675" t="s">
        <v>5520</v>
      </c>
      <c r="B5590" s="675" t="s">
        <v>545</v>
      </c>
      <c r="C5590" s="675" t="s">
        <v>5525</v>
      </c>
      <c r="D5590" s="675"/>
      <c r="E5590" s="675"/>
      <c r="G5590" s="675"/>
      <c r="H5590" s="675"/>
      <c r="I5590" s="675"/>
      <c r="J5590" s="675"/>
      <c r="K5590" s="675"/>
      <c r="L5590" s="675"/>
      <c r="M5590" s="675"/>
    </row>
    <row r="5591" spans="1:13" x14ac:dyDescent="0.25">
      <c r="A5591" s="675" t="s">
        <v>5520</v>
      </c>
      <c r="B5591" s="675" t="s">
        <v>545</v>
      </c>
      <c r="C5591" s="675" t="s">
        <v>5526</v>
      </c>
      <c r="D5591" s="675"/>
      <c r="E5591" s="675"/>
      <c r="G5591" s="675"/>
      <c r="H5591" s="675"/>
      <c r="I5591" s="675"/>
      <c r="J5591" s="675"/>
      <c r="K5591" s="675"/>
      <c r="L5591" s="675"/>
      <c r="M5591" s="675"/>
    </row>
    <row r="5592" spans="1:13" x14ac:dyDescent="0.25">
      <c r="A5592" s="675" t="s">
        <v>5520</v>
      </c>
      <c r="B5592" s="675" t="s">
        <v>545</v>
      </c>
      <c r="C5592" s="675" t="s">
        <v>5527</v>
      </c>
      <c r="D5592" s="675"/>
      <c r="E5592" s="675"/>
      <c r="G5592" s="675"/>
      <c r="H5592" s="675"/>
      <c r="I5592" s="675"/>
      <c r="J5592" s="675"/>
      <c r="K5592" s="675"/>
      <c r="L5592" s="675"/>
      <c r="M5592" s="675"/>
    </row>
    <row r="5593" spans="1:13" x14ac:dyDescent="0.25">
      <c r="A5593" s="675" t="s">
        <v>5520</v>
      </c>
      <c r="B5593" s="675" t="s">
        <v>545</v>
      </c>
      <c r="C5593" s="675" t="s">
        <v>5528</v>
      </c>
      <c r="D5593" s="675"/>
      <c r="E5593" s="675"/>
      <c r="G5593" s="675"/>
      <c r="H5593" s="675"/>
      <c r="I5593" s="675"/>
      <c r="J5593" s="675"/>
      <c r="K5593" s="675"/>
      <c r="L5593" s="675"/>
      <c r="M5593" s="675"/>
    </row>
    <row r="5594" spans="1:13" x14ac:dyDescent="0.25">
      <c r="A5594" s="675" t="s">
        <v>5520</v>
      </c>
      <c r="B5594" s="675" t="s">
        <v>545</v>
      </c>
      <c r="C5594" s="675" t="s">
        <v>5529</v>
      </c>
      <c r="D5594" s="675"/>
      <c r="E5594" s="675"/>
      <c r="G5594" s="675"/>
      <c r="H5594" s="675"/>
      <c r="I5594" s="675"/>
      <c r="J5594" s="675"/>
      <c r="K5594" s="675"/>
      <c r="L5594" s="675"/>
      <c r="M5594" s="675"/>
    </row>
    <row r="5595" spans="1:13" x14ac:dyDescent="0.25">
      <c r="A5595" s="675" t="s">
        <v>5520</v>
      </c>
      <c r="B5595" s="675" t="s">
        <v>545</v>
      </c>
      <c r="C5595" s="675" t="s">
        <v>5530</v>
      </c>
      <c r="D5595" s="675"/>
      <c r="E5595" s="675"/>
      <c r="G5595" s="675"/>
      <c r="H5595" s="675"/>
      <c r="I5595" s="675"/>
      <c r="J5595" s="675"/>
      <c r="K5595" s="675"/>
      <c r="L5595" s="675"/>
      <c r="M5595" s="675"/>
    </row>
    <row r="5596" spans="1:13" x14ac:dyDescent="0.25">
      <c r="A5596" s="675" t="s">
        <v>5520</v>
      </c>
      <c r="B5596" s="675" t="s">
        <v>564</v>
      </c>
      <c r="C5596" s="675" t="s">
        <v>5531</v>
      </c>
      <c r="D5596" s="675"/>
      <c r="E5596" s="675"/>
      <c r="G5596" s="675"/>
      <c r="H5596" s="675"/>
      <c r="I5596" s="675"/>
      <c r="J5596" s="675"/>
      <c r="K5596" s="675"/>
      <c r="L5596" s="675"/>
      <c r="M5596" s="675"/>
    </row>
    <row r="5597" spans="1:13" x14ac:dyDescent="0.25">
      <c r="A5597" s="675" t="s">
        <v>5520</v>
      </c>
      <c r="B5597" s="675" t="s">
        <v>564</v>
      </c>
      <c r="C5597" s="675" t="s">
        <v>5532</v>
      </c>
      <c r="D5597" s="675"/>
      <c r="E5597" s="675"/>
      <c r="G5597" s="675"/>
      <c r="H5597" s="675"/>
      <c r="I5597" s="675"/>
      <c r="J5597" s="675"/>
      <c r="K5597" s="675"/>
      <c r="L5597" s="675"/>
      <c r="M5597" s="675"/>
    </row>
    <row r="5598" spans="1:13" x14ac:dyDescent="0.25">
      <c r="A5598" s="675" t="s">
        <v>5520</v>
      </c>
      <c r="B5598" s="675" t="s">
        <v>564</v>
      </c>
      <c r="C5598" s="675" t="s">
        <v>5533</v>
      </c>
      <c r="D5598" s="675"/>
      <c r="E5598" s="675"/>
      <c r="G5598" s="675"/>
      <c r="H5598" s="675"/>
      <c r="I5598" s="675"/>
      <c r="J5598" s="675"/>
      <c r="K5598" s="675"/>
      <c r="L5598" s="675"/>
      <c r="M5598" s="675"/>
    </row>
    <row r="5599" spans="1:13" x14ac:dyDescent="0.25">
      <c r="A5599" s="675" t="s">
        <v>5520</v>
      </c>
      <c r="B5599" s="675" t="s">
        <v>564</v>
      </c>
      <c r="C5599" s="675" t="s">
        <v>5534</v>
      </c>
      <c r="D5599" s="675"/>
      <c r="E5599" s="675"/>
      <c r="G5599" s="675"/>
      <c r="H5599" s="675"/>
      <c r="I5599" s="675"/>
      <c r="J5599" s="675"/>
      <c r="K5599" s="675"/>
      <c r="L5599" s="675"/>
      <c r="M5599" s="675"/>
    </row>
    <row r="5600" spans="1:13" x14ac:dyDescent="0.25">
      <c r="A5600" s="675" t="s">
        <v>5520</v>
      </c>
      <c r="B5600" s="675" t="s">
        <v>564</v>
      </c>
      <c r="C5600" s="675" t="s">
        <v>5535</v>
      </c>
      <c r="D5600" s="675"/>
      <c r="E5600" s="675"/>
      <c r="G5600" s="675"/>
      <c r="H5600" s="675"/>
      <c r="I5600" s="675"/>
      <c r="J5600" s="675"/>
      <c r="K5600" s="675"/>
      <c r="L5600" s="675"/>
      <c r="M5600" s="675"/>
    </row>
    <row r="5601" spans="1:13" x14ac:dyDescent="0.25">
      <c r="A5601" s="675" t="s">
        <v>5520</v>
      </c>
      <c r="B5601" s="675" t="s">
        <v>564</v>
      </c>
      <c r="C5601" s="675" t="s">
        <v>5536</v>
      </c>
      <c r="D5601" s="675"/>
      <c r="E5601" s="675"/>
      <c r="G5601" s="675"/>
      <c r="H5601" s="675"/>
      <c r="I5601" s="675"/>
      <c r="J5601" s="675"/>
      <c r="K5601" s="675"/>
      <c r="L5601" s="675"/>
      <c r="M5601" s="675"/>
    </row>
    <row r="5602" spans="1:13" x14ac:dyDescent="0.25">
      <c r="A5602" s="675" t="s">
        <v>5520</v>
      </c>
      <c r="B5602" s="675" t="s">
        <v>564</v>
      </c>
      <c r="C5602" s="675" t="s">
        <v>5537</v>
      </c>
      <c r="D5602" s="675"/>
      <c r="E5602" s="675"/>
      <c r="G5602" s="675"/>
      <c r="H5602" s="675"/>
      <c r="I5602" s="675"/>
      <c r="J5602" s="675"/>
      <c r="K5602" s="675"/>
      <c r="L5602" s="675"/>
      <c r="M5602" s="675"/>
    </row>
    <row r="5603" spans="1:13" x14ac:dyDescent="0.25">
      <c r="A5603" s="675" t="s">
        <v>5520</v>
      </c>
      <c r="B5603" s="675" t="s">
        <v>564</v>
      </c>
      <c r="C5603" s="675" t="s">
        <v>5538</v>
      </c>
      <c r="D5603" s="675"/>
      <c r="E5603" s="675"/>
      <c r="G5603" s="675"/>
      <c r="H5603" s="675"/>
      <c r="I5603" s="675"/>
      <c r="J5603" s="675"/>
      <c r="K5603" s="675"/>
      <c r="L5603" s="675"/>
      <c r="M5603" s="675"/>
    </row>
    <row r="5604" spans="1:13" x14ac:dyDescent="0.25">
      <c r="A5604" s="675" t="s">
        <v>5520</v>
      </c>
      <c r="B5604" s="675" t="s">
        <v>564</v>
      </c>
      <c r="C5604" s="675" t="s">
        <v>5539</v>
      </c>
      <c r="D5604" s="675"/>
      <c r="E5604" s="675"/>
      <c r="G5604" s="675"/>
      <c r="H5604" s="675"/>
      <c r="I5604" s="675"/>
      <c r="J5604" s="675"/>
      <c r="K5604" s="675"/>
      <c r="L5604" s="675"/>
      <c r="M5604" s="675"/>
    </row>
    <row r="5605" spans="1:13" x14ac:dyDescent="0.25">
      <c r="A5605" s="675" t="s">
        <v>5520</v>
      </c>
      <c r="B5605" s="675" t="s">
        <v>564</v>
      </c>
      <c r="C5605" s="675" t="s">
        <v>5540</v>
      </c>
      <c r="D5605" s="675"/>
      <c r="E5605" s="675"/>
      <c r="G5605" s="675"/>
      <c r="H5605" s="675"/>
      <c r="I5605" s="675"/>
      <c r="J5605" s="675"/>
      <c r="K5605" s="675"/>
      <c r="L5605" s="675"/>
      <c r="M5605" s="675"/>
    </row>
    <row r="5606" spans="1:13" x14ac:dyDescent="0.25">
      <c r="A5606" s="675" t="s">
        <v>5520</v>
      </c>
      <c r="B5606" s="675" t="s">
        <v>512</v>
      </c>
      <c r="C5606" s="675" t="s">
        <v>5541</v>
      </c>
      <c r="D5606" s="675"/>
      <c r="E5606" s="675"/>
      <c r="G5606" s="675"/>
      <c r="H5606" s="675"/>
      <c r="I5606" s="675"/>
      <c r="J5606" s="675"/>
      <c r="K5606" s="675"/>
      <c r="L5606" s="675"/>
      <c r="M5606" s="675"/>
    </row>
    <row r="5607" spans="1:13" x14ac:dyDescent="0.25">
      <c r="A5607" s="675" t="s">
        <v>5520</v>
      </c>
      <c r="B5607" s="675" t="s">
        <v>512</v>
      </c>
      <c r="C5607" s="675" t="s">
        <v>5542</v>
      </c>
      <c r="D5607" s="675"/>
      <c r="E5607" s="675"/>
      <c r="G5607" s="675"/>
      <c r="H5607" s="675"/>
      <c r="I5607" s="675"/>
      <c r="J5607" s="675"/>
      <c r="K5607" s="675"/>
      <c r="L5607" s="675"/>
      <c r="M5607" s="675"/>
    </row>
    <row r="5608" spans="1:13" x14ac:dyDescent="0.25">
      <c r="A5608" s="675" t="s">
        <v>5520</v>
      </c>
      <c r="B5608" s="675" t="s">
        <v>512</v>
      </c>
      <c r="C5608" s="675" t="s">
        <v>5543</v>
      </c>
      <c r="D5608" s="675"/>
      <c r="E5608" s="675"/>
      <c r="G5608" s="675"/>
      <c r="H5608" s="675"/>
      <c r="I5608" s="675"/>
      <c r="J5608" s="675"/>
      <c r="K5608" s="675"/>
      <c r="L5608" s="675"/>
      <c r="M5608" s="675"/>
    </row>
    <row r="5609" spans="1:13" x14ac:dyDescent="0.25">
      <c r="A5609" s="675" t="s">
        <v>5520</v>
      </c>
      <c r="B5609" s="675" t="s">
        <v>512</v>
      </c>
      <c r="C5609" s="675" t="s">
        <v>5544</v>
      </c>
      <c r="D5609" s="675"/>
      <c r="E5609" s="675"/>
      <c r="G5609" s="675"/>
      <c r="H5609" s="675"/>
      <c r="I5609" s="675"/>
      <c r="J5609" s="675"/>
      <c r="K5609" s="675"/>
      <c r="L5609" s="675"/>
      <c r="M5609" s="675"/>
    </row>
    <row r="5610" spans="1:13" x14ac:dyDescent="0.25">
      <c r="A5610" s="675" t="s">
        <v>5520</v>
      </c>
      <c r="B5610" s="675" t="s">
        <v>512</v>
      </c>
      <c r="C5610" s="675" t="s">
        <v>5545</v>
      </c>
      <c r="D5610" s="675"/>
      <c r="E5610" s="675"/>
      <c r="G5610" s="675"/>
      <c r="H5610" s="675"/>
      <c r="I5610" s="675"/>
      <c r="J5610" s="675"/>
      <c r="K5610" s="675"/>
      <c r="L5610" s="675"/>
      <c r="M5610" s="675"/>
    </row>
    <row r="5611" spans="1:13" x14ac:dyDescent="0.25">
      <c r="A5611" s="675" t="s">
        <v>5520</v>
      </c>
      <c r="B5611" s="675" t="s">
        <v>512</v>
      </c>
      <c r="C5611" s="675" t="s">
        <v>5546</v>
      </c>
      <c r="D5611" s="675"/>
      <c r="E5611" s="675"/>
      <c r="G5611" s="675"/>
      <c r="H5611" s="675"/>
      <c r="I5611" s="675"/>
      <c r="J5611" s="675"/>
      <c r="K5611" s="675"/>
      <c r="L5611" s="675"/>
      <c r="M5611" s="675"/>
    </row>
    <row r="5612" spans="1:13" x14ac:dyDescent="0.25">
      <c r="A5612" s="675" t="s">
        <v>5520</v>
      </c>
      <c r="B5612" s="675" t="s">
        <v>512</v>
      </c>
      <c r="C5612" s="675" t="s">
        <v>5547</v>
      </c>
      <c r="D5612" s="675"/>
      <c r="E5612" s="675"/>
      <c r="G5612" s="675"/>
      <c r="H5612" s="675"/>
      <c r="I5612" s="675"/>
      <c r="J5612" s="675"/>
      <c r="K5612" s="675"/>
      <c r="L5612" s="675"/>
      <c r="M5612" s="675"/>
    </row>
    <row r="5613" spans="1:13" x14ac:dyDescent="0.25">
      <c r="A5613" s="675" t="s">
        <v>5520</v>
      </c>
      <c r="B5613" s="675" t="s">
        <v>512</v>
      </c>
      <c r="C5613" s="675" t="s">
        <v>5548</v>
      </c>
      <c r="D5613" s="675"/>
      <c r="E5613" s="675"/>
      <c r="G5613" s="675"/>
      <c r="H5613" s="675"/>
      <c r="I5613" s="675"/>
      <c r="J5613" s="675"/>
      <c r="K5613" s="675"/>
      <c r="L5613" s="675"/>
      <c r="M5613" s="675"/>
    </row>
    <row r="5614" spans="1:13" x14ac:dyDescent="0.25">
      <c r="A5614" s="675" t="s">
        <v>5520</v>
      </c>
      <c r="B5614" s="675" t="s">
        <v>512</v>
      </c>
      <c r="C5614" s="675" t="s">
        <v>5549</v>
      </c>
      <c r="D5614" s="675"/>
      <c r="E5614" s="675"/>
      <c r="G5614" s="675"/>
      <c r="H5614" s="675"/>
      <c r="I5614" s="675"/>
      <c r="J5614" s="675"/>
      <c r="K5614" s="675"/>
      <c r="L5614" s="675"/>
      <c r="M5614" s="675"/>
    </row>
    <row r="5615" spans="1:13" x14ac:dyDescent="0.25">
      <c r="A5615" s="675" t="s">
        <v>5520</v>
      </c>
      <c r="B5615" s="675" t="s">
        <v>512</v>
      </c>
      <c r="C5615" s="675" t="s">
        <v>5550</v>
      </c>
      <c r="D5615" s="675"/>
      <c r="E5615" s="675"/>
      <c r="G5615" s="675"/>
      <c r="H5615" s="675"/>
      <c r="I5615" s="675"/>
      <c r="J5615" s="675"/>
      <c r="K5615" s="675"/>
      <c r="L5615" s="675"/>
      <c r="M5615" s="675"/>
    </row>
    <row r="5616" spans="1:13" x14ac:dyDescent="0.25">
      <c r="A5616" s="675" t="s">
        <v>5551</v>
      </c>
      <c r="B5616" s="675" t="s">
        <v>545</v>
      </c>
      <c r="C5616" s="675" t="s">
        <v>5552</v>
      </c>
      <c r="D5616" s="675"/>
      <c r="E5616" s="675"/>
      <c r="G5616" s="675"/>
      <c r="H5616" s="675"/>
      <c r="I5616" s="675"/>
      <c r="J5616" s="675"/>
      <c r="K5616" s="675"/>
      <c r="L5616" s="675"/>
      <c r="M5616" s="675"/>
    </row>
    <row r="5617" spans="1:13" x14ac:dyDescent="0.25">
      <c r="A5617" s="675" t="s">
        <v>5551</v>
      </c>
      <c r="B5617" s="675" t="s">
        <v>545</v>
      </c>
      <c r="C5617" s="675" t="s">
        <v>5553</v>
      </c>
      <c r="D5617" s="675"/>
      <c r="E5617" s="675"/>
      <c r="G5617" s="675"/>
      <c r="H5617" s="675"/>
      <c r="I5617" s="675"/>
      <c r="J5617" s="675"/>
      <c r="K5617" s="675"/>
      <c r="L5617" s="675"/>
      <c r="M5617" s="675"/>
    </row>
    <row r="5618" spans="1:13" x14ac:dyDescent="0.25">
      <c r="A5618" s="675" t="s">
        <v>5551</v>
      </c>
      <c r="B5618" s="675" t="s">
        <v>545</v>
      </c>
      <c r="C5618" s="675" t="s">
        <v>5554</v>
      </c>
      <c r="D5618" s="675"/>
      <c r="E5618" s="675"/>
      <c r="G5618" s="675"/>
      <c r="H5618" s="675"/>
      <c r="I5618" s="675"/>
      <c r="J5618" s="675"/>
      <c r="K5618" s="675"/>
      <c r="L5618" s="675"/>
      <c r="M5618" s="675"/>
    </row>
    <row r="5619" spans="1:13" x14ac:dyDescent="0.25">
      <c r="A5619" s="675" t="s">
        <v>5551</v>
      </c>
      <c r="B5619" s="675" t="s">
        <v>545</v>
      </c>
      <c r="C5619" s="675" t="s">
        <v>5555</v>
      </c>
      <c r="D5619" s="675"/>
      <c r="E5619" s="675"/>
      <c r="G5619" s="675"/>
      <c r="H5619" s="675"/>
      <c r="I5619" s="675"/>
      <c r="J5619" s="675"/>
      <c r="K5619" s="675"/>
      <c r="L5619" s="675"/>
      <c r="M5619" s="675"/>
    </row>
    <row r="5620" spans="1:13" x14ac:dyDescent="0.25">
      <c r="A5620" s="675" t="s">
        <v>5551</v>
      </c>
      <c r="B5620" s="675" t="s">
        <v>545</v>
      </c>
      <c r="C5620" s="675" t="s">
        <v>5556</v>
      </c>
      <c r="D5620" s="675"/>
      <c r="E5620" s="675"/>
      <c r="G5620" s="675"/>
      <c r="H5620" s="675"/>
      <c r="I5620" s="675"/>
      <c r="J5620" s="675"/>
      <c r="K5620" s="675"/>
      <c r="L5620" s="675"/>
      <c r="M5620" s="675"/>
    </row>
    <row r="5621" spans="1:13" x14ac:dyDescent="0.25">
      <c r="A5621" s="675" t="s">
        <v>5551</v>
      </c>
      <c r="B5621" s="675" t="s">
        <v>545</v>
      </c>
      <c r="C5621" s="675" t="s">
        <v>5557</v>
      </c>
      <c r="D5621" s="675"/>
      <c r="E5621" s="675"/>
      <c r="G5621" s="675"/>
      <c r="H5621" s="675"/>
      <c r="I5621" s="675"/>
      <c r="J5621" s="675"/>
      <c r="K5621" s="675"/>
      <c r="L5621" s="675"/>
      <c r="M5621" s="675"/>
    </row>
    <row r="5622" spans="1:13" x14ac:dyDescent="0.25">
      <c r="A5622" s="675" t="s">
        <v>5551</v>
      </c>
      <c r="B5622" s="675" t="s">
        <v>545</v>
      </c>
      <c r="C5622" s="675" t="s">
        <v>5558</v>
      </c>
      <c r="D5622" s="675"/>
      <c r="E5622" s="675"/>
      <c r="G5622" s="675"/>
      <c r="H5622" s="675"/>
      <c r="I5622" s="675"/>
      <c r="J5622" s="675"/>
      <c r="K5622" s="675"/>
      <c r="L5622" s="675"/>
      <c r="M5622" s="675"/>
    </row>
    <row r="5623" spans="1:13" x14ac:dyDescent="0.25">
      <c r="A5623" s="675" t="s">
        <v>5551</v>
      </c>
      <c r="B5623" s="675" t="s">
        <v>545</v>
      </c>
      <c r="C5623" s="675" t="s">
        <v>5559</v>
      </c>
      <c r="D5623" s="675"/>
      <c r="E5623" s="675"/>
      <c r="G5623" s="675"/>
      <c r="H5623" s="675"/>
      <c r="I5623" s="675"/>
      <c r="J5623" s="675"/>
      <c r="K5623" s="675"/>
      <c r="L5623" s="675"/>
      <c r="M5623" s="675"/>
    </row>
    <row r="5624" spans="1:13" x14ac:dyDescent="0.25">
      <c r="A5624" s="675" t="s">
        <v>5551</v>
      </c>
      <c r="B5624" s="675" t="s">
        <v>545</v>
      </c>
      <c r="C5624" s="675" t="s">
        <v>5560</v>
      </c>
      <c r="D5624" s="675"/>
      <c r="E5624" s="675"/>
      <c r="G5624" s="675"/>
      <c r="H5624" s="675"/>
      <c r="I5624" s="675"/>
      <c r="J5624" s="675"/>
      <c r="K5624" s="675"/>
      <c r="L5624" s="675"/>
      <c r="M5624" s="675"/>
    </row>
    <row r="5625" spans="1:13" x14ac:dyDescent="0.25">
      <c r="A5625" s="675" t="s">
        <v>5551</v>
      </c>
      <c r="B5625" s="675" t="s">
        <v>545</v>
      </c>
      <c r="C5625" s="675" t="s">
        <v>5561</v>
      </c>
      <c r="D5625" s="675"/>
      <c r="E5625" s="675"/>
      <c r="G5625" s="675"/>
      <c r="H5625" s="675"/>
      <c r="I5625" s="675"/>
      <c r="J5625" s="675"/>
      <c r="K5625" s="675"/>
      <c r="L5625" s="675"/>
      <c r="M5625" s="675"/>
    </row>
    <row r="5626" spans="1:13" x14ac:dyDescent="0.25">
      <c r="A5626" s="675" t="s">
        <v>5551</v>
      </c>
      <c r="B5626" s="675" t="s">
        <v>564</v>
      </c>
      <c r="C5626" s="675" t="s">
        <v>5562</v>
      </c>
      <c r="D5626" s="675"/>
      <c r="E5626" s="675"/>
      <c r="G5626" s="675"/>
      <c r="H5626" s="675"/>
      <c r="I5626" s="675"/>
      <c r="J5626" s="675"/>
      <c r="K5626" s="675"/>
      <c r="L5626" s="675"/>
      <c r="M5626" s="675"/>
    </row>
    <row r="5627" spans="1:13" x14ac:dyDescent="0.25">
      <c r="A5627" s="675" t="s">
        <v>5551</v>
      </c>
      <c r="B5627" s="675" t="s">
        <v>564</v>
      </c>
      <c r="C5627" s="675" t="s">
        <v>5563</v>
      </c>
      <c r="D5627" s="675"/>
      <c r="E5627" s="675"/>
      <c r="G5627" s="675"/>
      <c r="H5627" s="675"/>
      <c r="I5627" s="675"/>
      <c r="J5627" s="675"/>
      <c r="K5627" s="675"/>
      <c r="L5627" s="675"/>
      <c r="M5627" s="675"/>
    </row>
    <row r="5628" spans="1:13" x14ac:dyDescent="0.25">
      <c r="A5628" s="675" t="s">
        <v>5551</v>
      </c>
      <c r="B5628" s="675" t="s">
        <v>564</v>
      </c>
      <c r="C5628" s="675" t="s">
        <v>5564</v>
      </c>
      <c r="D5628" s="675"/>
      <c r="E5628" s="675"/>
      <c r="G5628" s="675"/>
      <c r="H5628" s="675"/>
      <c r="I5628" s="675"/>
      <c r="J5628" s="675"/>
      <c r="K5628" s="675"/>
      <c r="L5628" s="675"/>
      <c r="M5628" s="675"/>
    </row>
    <row r="5629" spans="1:13" x14ac:dyDescent="0.25">
      <c r="A5629" s="675" t="s">
        <v>5551</v>
      </c>
      <c r="B5629" s="675" t="s">
        <v>564</v>
      </c>
      <c r="C5629" s="675" t="s">
        <v>5565</v>
      </c>
      <c r="D5629" s="675"/>
      <c r="E5629" s="675"/>
      <c r="G5629" s="675"/>
      <c r="H5629" s="675"/>
      <c r="I5629" s="675"/>
      <c r="J5629" s="675"/>
      <c r="K5629" s="675"/>
      <c r="L5629" s="675"/>
      <c r="M5629" s="675"/>
    </row>
    <row r="5630" spans="1:13" x14ac:dyDescent="0.25">
      <c r="A5630" s="675" t="s">
        <v>5551</v>
      </c>
      <c r="B5630" s="675" t="s">
        <v>564</v>
      </c>
      <c r="C5630" s="675" t="s">
        <v>5566</v>
      </c>
      <c r="D5630" s="675"/>
      <c r="E5630" s="675"/>
      <c r="G5630" s="675"/>
      <c r="H5630" s="675"/>
      <c r="I5630" s="675"/>
      <c r="J5630" s="675"/>
      <c r="K5630" s="675"/>
      <c r="L5630" s="675"/>
      <c r="M5630" s="675"/>
    </row>
    <row r="5631" spans="1:13" x14ac:dyDescent="0.25">
      <c r="A5631" s="675" t="s">
        <v>5551</v>
      </c>
      <c r="B5631" s="675" t="s">
        <v>564</v>
      </c>
      <c r="C5631" s="675" t="s">
        <v>5567</v>
      </c>
      <c r="D5631" s="675"/>
      <c r="E5631" s="675"/>
      <c r="G5631" s="675"/>
      <c r="H5631" s="675"/>
      <c r="I5631" s="675"/>
      <c r="J5631" s="675"/>
      <c r="K5631" s="675"/>
      <c r="L5631" s="675"/>
      <c r="M5631" s="675"/>
    </row>
    <row r="5632" spans="1:13" x14ac:dyDescent="0.25">
      <c r="A5632" s="675" t="s">
        <v>5551</v>
      </c>
      <c r="B5632" s="675" t="s">
        <v>564</v>
      </c>
      <c r="C5632" s="675" t="s">
        <v>5568</v>
      </c>
      <c r="D5632" s="675"/>
      <c r="E5632" s="675"/>
      <c r="G5632" s="675"/>
      <c r="H5632" s="675"/>
      <c r="I5632" s="675"/>
      <c r="J5632" s="675"/>
      <c r="K5632" s="675"/>
      <c r="L5632" s="675"/>
      <c r="M5632" s="675"/>
    </row>
    <row r="5633" spans="1:13" x14ac:dyDescent="0.25">
      <c r="A5633" s="675" t="s">
        <v>5551</v>
      </c>
      <c r="B5633" s="675" t="s">
        <v>564</v>
      </c>
      <c r="C5633" s="675" t="s">
        <v>5569</v>
      </c>
      <c r="D5633" s="675"/>
      <c r="E5633" s="675"/>
      <c r="G5633" s="675"/>
      <c r="H5633" s="675"/>
      <c r="I5633" s="675"/>
      <c r="J5633" s="675"/>
      <c r="K5633" s="675"/>
      <c r="L5633" s="675"/>
      <c r="M5633" s="675"/>
    </row>
    <row r="5634" spans="1:13" x14ac:dyDescent="0.25">
      <c r="A5634" s="675" t="s">
        <v>5551</v>
      </c>
      <c r="B5634" s="675" t="s">
        <v>564</v>
      </c>
      <c r="C5634" s="675" t="s">
        <v>5570</v>
      </c>
      <c r="D5634" s="675"/>
      <c r="E5634" s="675"/>
      <c r="G5634" s="675"/>
      <c r="H5634" s="675"/>
      <c r="I5634" s="675"/>
      <c r="J5634" s="675"/>
      <c r="K5634" s="675"/>
      <c r="L5634" s="675"/>
      <c r="M5634" s="675"/>
    </row>
    <row r="5635" spans="1:13" x14ac:dyDescent="0.25">
      <c r="A5635" s="675" t="s">
        <v>5551</v>
      </c>
      <c r="B5635" s="675" t="s">
        <v>564</v>
      </c>
      <c r="C5635" s="675" t="s">
        <v>5571</v>
      </c>
      <c r="D5635" s="675"/>
      <c r="E5635" s="675"/>
      <c r="G5635" s="675"/>
      <c r="H5635" s="675"/>
      <c r="I5635" s="675"/>
      <c r="J5635" s="675"/>
      <c r="K5635" s="675"/>
      <c r="L5635" s="675"/>
      <c r="M5635" s="675"/>
    </row>
    <row r="5636" spans="1:13" x14ac:dyDescent="0.25">
      <c r="A5636" s="675" t="s">
        <v>5551</v>
      </c>
      <c r="B5636" s="675" t="s">
        <v>512</v>
      </c>
      <c r="C5636" s="675" t="s">
        <v>5572</v>
      </c>
      <c r="D5636" s="675"/>
      <c r="E5636" s="675"/>
      <c r="G5636" s="675"/>
      <c r="H5636" s="675"/>
      <c r="I5636" s="675"/>
      <c r="J5636" s="675"/>
      <c r="K5636" s="675"/>
      <c r="L5636" s="675"/>
      <c r="M5636" s="675"/>
    </row>
    <row r="5637" spans="1:13" x14ac:dyDescent="0.25">
      <c r="A5637" s="675" t="s">
        <v>5551</v>
      </c>
      <c r="B5637" s="675" t="s">
        <v>512</v>
      </c>
      <c r="C5637" s="675" t="s">
        <v>5573</v>
      </c>
      <c r="D5637" s="675"/>
      <c r="E5637" s="675"/>
      <c r="G5637" s="675"/>
      <c r="H5637" s="675"/>
      <c r="I5637" s="675"/>
      <c r="J5637" s="675"/>
      <c r="K5637" s="675"/>
      <c r="L5637" s="675"/>
      <c r="M5637" s="675"/>
    </row>
    <row r="5638" spans="1:13" x14ac:dyDescent="0.25">
      <c r="A5638" s="675" t="s">
        <v>5551</v>
      </c>
      <c r="B5638" s="675" t="s">
        <v>512</v>
      </c>
      <c r="C5638" s="675" t="s">
        <v>5574</v>
      </c>
      <c r="D5638" s="675"/>
      <c r="E5638" s="675"/>
      <c r="G5638" s="675"/>
      <c r="H5638" s="675"/>
      <c r="I5638" s="675"/>
      <c r="J5638" s="675"/>
      <c r="K5638" s="675"/>
      <c r="L5638" s="675"/>
      <c r="M5638" s="675"/>
    </row>
    <row r="5639" spans="1:13" x14ac:dyDescent="0.25">
      <c r="A5639" s="675" t="s">
        <v>5551</v>
      </c>
      <c r="B5639" s="675" t="s">
        <v>512</v>
      </c>
      <c r="C5639" s="675" t="s">
        <v>5575</v>
      </c>
      <c r="D5639" s="675"/>
      <c r="E5639" s="675"/>
      <c r="G5639" s="675"/>
      <c r="H5639" s="675"/>
      <c r="I5639" s="675"/>
      <c r="J5639" s="675"/>
      <c r="K5639" s="675"/>
      <c r="L5639" s="675"/>
      <c r="M5639" s="675"/>
    </row>
    <row r="5640" spans="1:13" x14ac:dyDescent="0.25">
      <c r="A5640" s="675" t="s">
        <v>5551</v>
      </c>
      <c r="B5640" s="675" t="s">
        <v>512</v>
      </c>
      <c r="C5640" s="675" t="s">
        <v>5576</v>
      </c>
      <c r="D5640" s="675"/>
      <c r="E5640" s="675"/>
      <c r="G5640" s="675"/>
      <c r="H5640" s="675"/>
      <c r="I5640" s="675"/>
      <c r="J5640" s="675"/>
      <c r="K5640" s="675"/>
      <c r="L5640" s="675"/>
      <c r="M5640" s="675"/>
    </row>
    <row r="5641" spans="1:13" x14ac:dyDescent="0.25">
      <c r="A5641" s="675" t="s">
        <v>5551</v>
      </c>
      <c r="B5641" s="675" t="s">
        <v>512</v>
      </c>
      <c r="C5641" s="675" t="s">
        <v>5577</v>
      </c>
      <c r="D5641" s="675"/>
      <c r="E5641" s="675"/>
      <c r="G5641" s="675"/>
      <c r="H5641" s="675"/>
      <c r="I5641" s="675"/>
      <c r="J5641" s="675"/>
      <c r="K5641" s="675"/>
      <c r="L5641" s="675"/>
      <c r="M5641" s="675"/>
    </row>
    <row r="5642" spans="1:13" x14ac:dyDescent="0.25">
      <c r="A5642" s="675" t="s">
        <v>5551</v>
      </c>
      <c r="B5642" s="675" t="s">
        <v>512</v>
      </c>
      <c r="C5642" s="675" t="s">
        <v>5578</v>
      </c>
      <c r="D5642" s="675"/>
      <c r="E5642" s="675"/>
      <c r="G5642" s="675"/>
      <c r="H5642" s="675"/>
      <c r="I5642" s="675"/>
      <c r="J5642" s="675"/>
      <c r="K5642" s="675"/>
      <c r="L5642" s="675"/>
      <c r="M5642" s="675"/>
    </row>
    <row r="5643" spans="1:13" x14ac:dyDescent="0.25">
      <c r="A5643" s="675" t="s">
        <v>5551</v>
      </c>
      <c r="B5643" s="675" t="s">
        <v>512</v>
      </c>
      <c r="C5643" s="675" t="s">
        <v>5579</v>
      </c>
      <c r="D5643" s="675"/>
      <c r="E5643" s="675"/>
      <c r="G5643" s="675"/>
      <c r="H5643" s="675"/>
      <c r="I5643" s="675"/>
      <c r="J5643" s="675"/>
      <c r="K5643" s="675"/>
      <c r="L5643" s="675"/>
      <c r="M5643" s="675"/>
    </row>
    <row r="5644" spans="1:13" x14ac:dyDescent="0.25">
      <c r="A5644" s="675" t="s">
        <v>5551</v>
      </c>
      <c r="B5644" s="675" t="s">
        <v>512</v>
      </c>
      <c r="C5644" s="675" t="s">
        <v>5580</v>
      </c>
      <c r="D5644" s="675"/>
      <c r="E5644" s="675"/>
      <c r="G5644" s="675"/>
      <c r="H5644" s="675"/>
      <c r="I5644" s="675"/>
      <c r="J5644" s="675"/>
      <c r="K5644" s="675"/>
      <c r="L5644" s="675"/>
      <c r="M5644" s="675"/>
    </row>
    <row r="5645" spans="1:13" x14ac:dyDescent="0.25">
      <c r="A5645" s="675" t="s">
        <v>5551</v>
      </c>
      <c r="B5645" s="675" t="s">
        <v>512</v>
      </c>
      <c r="C5645" s="675" t="s">
        <v>5581</v>
      </c>
      <c r="D5645" s="675"/>
      <c r="E5645" s="675"/>
      <c r="G5645" s="675"/>
      <c r="H5645" s="675"/>
      <c r="I5645" s="675"/>
      <c r="J5645" s="675"/>
      <c r="K5645" s="675"/>
      <c r="L5645" s="675"/>
      <c r="M5645" s="675"/>
    </row>
    <row r="5646" spans="1:13" x14ac:dyDescent="0.25">
      <c r="A5646" s="675" t="s">
        <v>5582</v>
      </c>
      <c r="B5646" s="675" t="s">
        <v>545</v>
      </c>
      <c r="C5646" s="675" t="s">
        <v>5583</v>
      </c>
      <c r="D5646" s="675"/>
      <c r="E5646" s="675"/>
      <c r="G5646" s="675"/>
      <c r="H5646" s="675"/>
      <c r="I5646" s="675"/>
      <c r="J5646" s="675"/>
      <c r="K5646" s="675"/>
      <c r="L5646" s="675"/>
      <c r="M5646" s="675"/>
    </row>
    <row r="5647" spans="1:13" x14ac:dyDescent="0.25">
      <c r="A5647" s="675" t="s">
        <v>5582</v>
      </c>
      <c r="B5647" s="675" t="s">
        <v>545</v>
      </c>
      <c r="C5647" s="675" t="s">
        <v>5584</v>
      </c>
      <c r="D5647" s="675"/>
      <c r="E5647" s="675"/>
      <c r="G5647" s="675"/>
      <c r="H5647" s="675"/>
      <c r="I5647" s="675"/>
      <c r="J5647" s="675"/>
      <c r="K5647" s="675"/>
      <c r="L5647" s="675"/>
      <c r="M5647" s="675"/>
    </row>
    <row r="5648" spans="1:13" x14ac:dyDescent="0.25">
      <c r="A5648" s="675" t="s">
        <v>5582</v>
      </c>
      <c r="B5648" s="675" t="s">
        <v>545</v>
      </c>
      <c r="C5648" s="675" t="s">
        <v>5585</v>
      </c>
      <c r="D5648" s="675"/>
      <c r="E5648" s="675"/>
      <c r="G5648" s="675"/>
      <c r="H5648" s="675"/>
      <c r="I5648" s="675"/>
      <c r="J5648" s="675"/>
      <c r="K5648" s="675"/>
      <c r="L5648" s="675"/>
      <c r="M5648" s="675"/>
    </row>
    <row r="5649" spans="1:13" x14ac:dyDescent="0.25">
      <c r="A5649" s="675" t="s">
        <v>5582</v>
      </c>
      <c r="B5649" s="675" t="s">
        <v>545</v>
      </c>
      <c r="C5649" s="675" t="s">
        <v>5586</v>
      </c>
      <c r="D5649" s="675"/>
      <c r="E5649" s="675"/>
      <c r="G5649" s="675"/>
      <c r="H5649" s="675"/>
      <c r="I5649" s="675"/>
      <c r="J5649" s="675"/>
      <c r="K5649" s="675"/>
      <c r="L5649" s="675"/>
      <c r="M5649" s="675"/>
    </row>
    <row r="5650" spans="1:13" x14ac:dyDescent="0.25">
      <c r="A5650" s="675" t="s">
        <v>5582</v>
      </c>
      <c r="B5650" s="675" t="s">
        <v>545</v>
      </c>
      <c r="C5650" s="675" t="s">
        <v>5587</v>
      </c>
      <c r="D5650" s="675"/>
      <c r="E5650" s="675"/>
      <c r="G5650" s="675"/>
      <c r="H5650" s="675"/>
      <c r="I5650" s="675"/>
      <c r="J5650" s="675"/>
      <c r="K5650" s="675"/>
      <c r="L5650" s="675"/>
      <c r="M5650" s="675"/>
    </row>
    <row r="5651" spans="1:13" x14ac:dyDescent="0.25">
      <c r="A5651" s="675" t="s">
        <v>5582</v>
      </c>
      <c r="B5651" s="675" t="s">
        <v>545</v>
      </c>
      <c r="C5651" s="675" t="s">
        <v>5588</v>
      </c>
      <c r="D5651" s="675"/>
      <c r="E5651" s="675"/>
      <c r="G5651" s="675"/>
      <c r="H5651" s="675"/>
      <c r="I5651" s="675"/>
      <c r="J5651" s="675"/>
      <c r="K5651" s="675"/>
      <c r="L5651" s="675"/>
      <c r="M5651" s="675"/>
    </row>
    <row r="5652" spans="1:13" x14ac:dyDescent="0.25">
      <c r="A5652" s="675" t="s">
        <v>5582</v>
      </c>
      <c r="B5652" s="675" t="s">
        <v>545</v>
      </c>
      <c r="C5652" s="675" t="s">
        <v>5589</v>
      </c>
      <c r="D5652" s="675"/>
      <c r="E5652" s="675"/>
      <c r="G5652" s="675"/>
      <c r="H5652" s="675"/>
      <c r="I5652" s="675"/>
      <c r="J5652" s="675"/>
      <c r="K5652" s="675"/>
      <c r="L5652" s="675"/>
      <c r="M5652" s="675"/>
    </row>
    <row r="5653" spans="1:13" x14ac:dyDescent="0.25">
      <c r="A5653" s="675" t="s">
        <v>5582</v>
      </c>
      <c r="B5653" s="675" t="s">
        <v>545</v>
      </c>
      <c r="C5653" s="675" t="s">
        <v>5590</v>
      </c>
      <c r="D5653" s="675"/>
      <c r="E5653" s="675"/>
      <c r="G5653" s="675"/>
      <c r="H5653" s="675"/>
      <c r="I5653" s="675"/>
      <c r="J5653" s="675"/>
      <c r="K5653" s="675"/>
      <c r="L5653" s="675"/>
      <c r="M5653" s="675"/>
    </row>
    <row r="5654" spans="1:13" x14ac:dyDescent="0.25">
      <c r="A5654" s="675" t="s">
        <v>5582</v>
      </c>
      <c r="B5654" s="675" t="s">
        <v>545</v>
      </c>
      <c r="C5654" s="675" t="s">
        <v>5591</v>
      </c>
      <c r="D5654" s="675"/>
      <c r="E5654" s="675"/>
      <c r="G5654" s="675"/>
      <c r="H5654" s="675"/>
      <c r="I5654" s="675"/>
      <c r="J5654" s="675"/>
      <c r="K5654" s="675"/>
      <c r="L5654" s="675"/>
      <c r="M5654" s="675"/>
    </row>
    <row r="5655" spans="1:13" x14ac:dyDescent="0.25">
      <c r="A5655" s="675" t="s">
        <v>5582</v>
      </c>
      <c r="B5655" s="675" t="s">
        <v>545</v>
      </c>
      <c r="C5655" s="675" t="s">
        <v>5592</v>
      </c>
      <c r="D5655" s="675"/>
      <c r="E5655" s="675"/>
      <c r="G5655" s="675"/>
      <c r="H5655" s="675"/>
      <c r="I5655" s="675"/>
      <c r="J5655" s="675"/>
      <c r="K5655" s="675"/>
      <c r="L5655" s="675"/>
      <c r="M5655" s="675"/>
    </row>
    <row r="5656" spans="1:13" x14ac:dyDescent="0.25">
      <c r="A5656" s="675" t="s">
        <v>5582</v>
      </c>
      <c r="B5656" s="675" t="s">
        <v>564</v>
      </c>
      <c r="C5656" s="675" t="s">
        <v>5593</v>
      </c>
      <c r="D5656" s="675"/>
      <c r="E5656" s="675"/>
      <c r="G5656" s="675"/>
      <c r="H5656" s="675"/>
      <c r="I5656" s="675"/>
      <c r="J5656" s="675"/>
      <c r="K5656" s="675"/>
      <c r="L5656" s="675"/>
      <c r="M5656" s="675"/>
    </row>
    <row r="5657" spans="1:13" x14ac:dyDescent="0.25">
      <c r="A5657" s="675" t="s">
        <v>5582</v>
      </c>
      <c r="B5657" s="675" t="s">
        <v>564</v>
      </c>
      <c r="C5657" s="675" t="s">
        <v>5594</v>
      </c>
      <c r="D5657" s="675"/>
      <c r="E5657" s="675"/>
      <c r="G5657" s="675"/>
      <c r="H5657" s="675"/>
      <c r="I5657" s="675"/>
      <c r="J5657" s="675"/>
      <c r="K5657" s="675"/>
      <c r="L5657" s="675"/>
      <c r="M5657" s="675"/>
    </row>
    <row r="5658" spans="1:13" x14ac:dyDescent="0.25">
      <c r="A5658" s="675" t="s">
        <v>5582</v>
      </c>
      <c r="B5658" s="675" t="s">
        <v>564</v>
      </c>
      <c r="C5658" s="675" t="s">
        <v>5595</v>
      </c>
      <c r="D5658" s="675"/>
      <c r="E5658" s="675"/>
      <c r="G5658" s="675"/>
      <c r="H5658" s="675"/>
      <c r="I5658" s="675"/>
      <c r="J5658" s="675"/>
      <c r="K5658" s="675"/>
      <c r="L5658" s="675"/>
      <c r="M5658" s="675"/>
    </row>
    <row r="5659" spans="1:13" x14ac:dyDescent="0.25">
      <c r="A5659" s="675" t="s">
        <v>5582</v>
      </c>
      <c r="B5659" s="675" t="s">
        <v>564</v>
      </c>
      <c r="C5659" s="675" t="s">
        <v>5596</v>
      </c>
      <c r="D5659" s="675"/>
      <c r="E5659" s="675"/>
      <c r="G5659" s="675"/>
      <c r="H5659" s="675"/>
      <c r="I5659" s="675"/>
      <c r="J5659" s="675"/>
      <c r="K5659" s="675"/>
      <c r="L5659" s="675"/>
      <c r="M5659" s="675"/>
    </row>
    <row r="5660" spans="1:13" x14ac:dyDescent="0.25">
      <c r="A5660" s="675" t="s">
        <v>5582</v>
      </c>
      <c r="B5660" s="675" t="s">
        <v>564</v>
      </c>
      <c r="C5660" s="675" t="s">
        <v>5597</v>
      </c>
      <c r="D5660" s="675"/>
      <c r="E5660" s="675"/>
      <c r="G5660" s="675"/>
      <c r="H5660" s="675"/>
      <c r="I5660" s="675"/>
      <c r="J5660" s="675"/>
      <c r="K5660" s="675"/>
      <c r="L5660" s="675"/>
      <c r="M5660" s="675"/>
    </row>
    <row r="5661" spans="1:13" x14ac:dyDescent="0.25">
      <c r="A5661" s="675" t="s">
        <v>5582</v>
      </c>
      <c r="B5661" s="675" t="s">
        <v>564</v>
      </c>
      <c r="C5661" s="675" t="s">
        <v>5598</v>
      </c>
      <c r="D5661" s="675"/>
      <c r="E5661" s="675"/>
      <c r="G5661" s="675"/>
      <c r="H5661" s="675"/>
      <c r="I5661" s="675"/>
      <c r="J5661" s="675"/>
      <c r="K5661" s="675"/>
      <c r="L5661" s="675"/>
      <c r="M5661" s="675"/>
    </row>
    <row r="5662" spans="1:13" x14ac:dyDescent="0.25">
      <c r="A5662" s="675" t="s">
        <v>5582</v>
      </c>
      <c r="B5662" s="675" t="s">
        <v>564</v>
      </c>
      <c r="C5662" s="675" t="s">
        <v>5599</v>
      </c>
      <c r="D5662" s="675"/>
      <c r="E5662" s="675"/>
      <c r="G5662" s="675"/>
      <c r="H5662" s="675"/>
      <c r="I5662" s="675"/>
      <c r="J5662" s="675"/>
      <c r="K5662" s="675"/>
      <c r="L5662" s="675"/>
      <c r="M5662" s="675"/>
    </row>
    <row r="5663" spans="1:13" x14ac:dyDescent="0.25">
      <c r="A5663" s="675" t="s">
        <v>5582</v>
      </c>
      <c r="B5663" s="675" t="s">
        <v>564</v>
      </c>
      <c r="C5663" s="675" t="s">
        <v>5600</v>
      </c>
      <c r="D5663" s="675"/>
      <c r="E5663" s="675"/>
      <c r="G5663" s="675"/>
      <c r="H5663" s="675"/>
      <c r="I5663" s="675"/>
      <c r="J5663" s="675"/>
      <c r="K5663" s="675"/>
      <c r="L5663" s="675"/>
      <c r="M5663" s="675"/>
    </row>
    <row r="5664" spans="1:13" x14ac:dyDescent="0.25">
      <c r="A5664" s="675" t="s">
        <v>5582</v>
      </c>
      <c r="B5664" s="675" t="s">
        <v>564</v>
      </c>
      <c r="C5664" s="675" t="s">
        <v>5601</v>
      </c>
      <c r="D5664" s="675"/>
      <c r="E5664" s="675"/>
      <c r="G5664" s="675"/>
      <c r="H5664" s="675"/>
      <c r="I5664" s="675"/>
      <c r="J5664" s="675"/>
      <c r="K5664" s="675"/>
      <c r="L5664" s="675"/>
      <c r="M5664" s="675"/>
    </row>
    <row r="5665" spans="1:13" x14ac:dyDescent="0.25">
      <c r="A5665" s="675" t="s">
        <v>5582</v>
      </c>
      <c r="B5665" s="675" t="s">
        <v>564</v>
      </c>
      <c r="C5665" s="675" t="s">
        <v>5602</v>
      </c>
      <c r="D5665" s="675"/>
      <c r="E5665" s="675"/>
      <c r="G5665" s="675"/>
      <c r="H5665" s="675"/>
      <c r="I5665" s="675"/>
      <c r="J5665" s="675"/>
      <c r="K5665" s="675"/>
      <c r="L5665" s="675"/>
      <c r="M5665" s="675"/>
    </row>
    <row r="5666" spans="1:13" x14ac:dyDescent="0.25">
      <c r="A5666" s="675" t="s">
        <v>5582</v>
      </c>
      <c r="B5666" s="675" t="s">
        <v>512</v>
      </c>
      <c r="C5666" s="676" t="s">
        <v>5603</v>
      </c>
      <c r="D5666" s="675"/>
      <c r="E5666" s="675"/>
      <c r="G5666" s="675"/>
      <c r="H5666" s="675"/>
      <c r="I5666" s="675"/>
      <c r="J5666" s="675"/>
      <c r="K5666" s="675"/>
      <c r="L5666" s="675"/>
      <c r="M5666" s="675"/>
    </row>
    <row r="5667" spans="1:13" x14ac:dyDescent="0.25">
      <c r="A5667" s="675" t="s">
        <v>5582</v>
      </c>
      <c r="B5667" s="675" t="s">
        <v>512</v>
      </c>
      <c r="C5667" s="676" t="s">
        <v>5604</v>
      </c>
      <c r="D5667" s="675"/>
      <c r="E5667" s="675"/>
      <c r="G5667" s="675"/>
      <c r="H5667" s="675"/>
      <c r="I5667" s="675"/>
      <c r="J5667" s="675"/>
      <c r="K5667" s="675"/>
      <c r="L5667" s="675"/>
      <c r="M5667" s="675"/>
    </row>
    <row r="5668" spans="1:13" x14ac:dyDescent="0.25">
      <c r="A5668" s="675" t="s">
        <v>5582</v>
      </c>
      <c r="B5668" s="675" t="s">
        <v>512</v>
      </c>
      <c r="C5668" s="676" t="s">
        <v>5605</v>
      </c>
      <c r="D5668" s="675"/>
      <c r="E5668" s="675"/>
      <c r="G5668" s="675"/>
      <c r="H5668" s="675"/>
      <c r="I5668" s="675"/>
      <c r="J5668" s="675"/>
      <c r="K5668" s="675"/>
      <c r="L5668" s="675"/>
      <c r="M5668" s="675"/>
    </row>
    <row r="5669" spans="1:13" x14ac:dyDescent="0.25">
      <c r="A5669" s="675" t="s">
        <v>5582</v>
      </c>
      <c r="B5669" s="675" t="s">
        <v>512</v>
      </c>
      <c r="C5669" s="676" t="s">
        <v>5606</v>
      </c>
      <c r="D5669" s="675"/>
      <c r="E5669" s="675"/>
      <c r="G5669" s="675"/>
      <c r="H5669" s="675"/>
      <c r="I5669" s="675"/>
      <c r="J5669" s="675"/>
      <c r="K5669" s="675"/>
      <c r="L5669" s="675"/>
      <c r="M5669" s="675"/>
    </row>
    <row r="5670" spans="1:13" x14ac:dyDescent="0.25">
      <c r="A5670" s="675" t="s">
        <v>5582</v>
      </c>
      <c r="B5670" s="675" t="s">
        <v>512</v>
      </c>
      <c r="C5670" s="676" t="s">
        <v>5607</v>
      </c>
      <c r="D5670" s="675"/>
      <c r="E5670" s="675"/>
      <c r="G5670" s="675"/>
      <c r="H5670" s="675"/>
      <c r="I5670" s="675"/>
      <c r="J5670" s="675"/>
      <c r="K5670" s="675"/>
      <c r="L5670" s="675"/>
      <c r="M5670" s="675"/>
    </row>
    <row r="5671" spans="1:13" x14ac:dyDescent="0.25">
      <c r="A5671" s="675" t="s">
        <v>5582</v>
      </c>
      <c r="B5671" s="675" t="s">
        <v>512</v>
      </c>
      <c r="C5671" s="676" t="s">
        <v>5608</v>
      </c>
      <c r="D5671" s="675"/>
      <c r="E5671" s="675"/>
      <c r="G5671" s="675"/>
      <c r="H5671" s="675"/>
      <c r="I5671" s="675"/>
      <c r="J5671" s="675"/>
      <c r="K5671" s="675"/>
      <c r="L5671" s="675"/>
      <c r="M5671" s="675"/>
    </row>
    <row r="5672" spans="1:13" x14ac:dyDescent="0.25">
      <c r="A5672" s="675" t="s">
        <v>5582</v>
      </c>
      <c r="B5672" s="675" t="s">
        <v>512</v>
      </c>
      <c r="C5672" s="676" t="s">
        <v>5609</v>
      </c>
      <c r="D5672" s="675"/>
      <c r="E5672" s="675"/>
      <c r="G5672" s="675"/>
      <c r="H5672" s="675"/>
      <c r="I5672" s="675"/>
      <c r="J5672" s="675"/>
      <c r="K5672" s="675"/>
      <c r="L5672" s="675"/>
      <c r="M5672" s="675"/>
    </row>
    <row r="5673" spans="1:13" x14ac:dyDescent="0.25">
      <c r="A5673" s="675" t="s">
        <v>5582</v>
      </c>
      <c r="B5673" s="675" t="s">
        <v>512</v>
      </c>
      <c r="C5673" s="676" t="s">
        <v>5610</v>
      </c>
      <c r="D5673" s="675"/>
      <c r="E5673" s="675"/>
      <c r="G5673" s="675"/>
      <c r="H5673" s="675"/>
      <c r="I5673" s="675"/>
      <c r="J5673" s="675"/>
      <c r="K5673" s="675"/>
      <c r="L5673" s="675"/>
      <c r="M5673" s="675"/>
    </row>
    <row r="5674" spans="1:13" x14ac:dyDescent="0.25">
      <c r="A5674" s="675" t="s">
        <v>5582</v>
      </c>
      <c r="B5674" s="675" t="s">
        <v>512</v>
      </c>
      <c r="C5674" s="676" t="s">
        <v>5611</v>
      </c>
      <c r="D5674" s="675"/>
      <c r="E5674" s="675"/>
      <c r="G5674" s="675"/>
      <c r="H5674" s="675"/>
      <c r="I5674" s="675"/>
      <c r="J5674" s="675"/>
      <c r="K5674" s="675"/>
      <c r="L5674" s="675"/>
      <c r="M5674" s="675"/>
    </row>
    <row r="5675" spans="1:13" x14ac:dyDescent="0.25">
      <c r="A5675" s="675" t="s">
        <v>5582</v>
      </c>
      <c r="B5675" s="675" t="s">
        <v>512</v>
      </c>
      <c r="C5675" s="676" t="s">
        <v>5612</v>
      </c>
      <c r="D5675" s="675"/>
      <c r="E5675" s="675"/>
      <c r="G5675" s="675"/>
      <c r="H5675" s="675"/>
      <c r="I5675" s="675"/>
      <c r="J5675" s="675"/>
      <c r="K5675" s="675"/>
      <c r="L5675" s="675"/>
      <c r="M5675" s="675"/>
    </row>
    <row r="5676" spans="1:13" x14ac:dyDescent="0.25">
      <c r="A5676" s="675" t="s">
        <v>5613</v>
      </c>
      <c r="B5676" s="675" t="s">
        <v>545</v>
      </c>
      <c r="C5676" s="675" t="s">
        <v>5614</v>
      </c>
      <c r="D5676" s="675"/>
      <c r="E5676" s="675"/>
      <c r="G5676" s="675"/>
      <c r="H5676" s="675"/>
      <c r="I5676" s="675"/>
      <c r="J5676" s="675"/>
      <c r="K5676" s="675"/>
      <c r="L5676" s="675"/>
      <c r="M5676" s="675"/>
    </row>
    <row r="5677" spans="1:13" x14ac:dyDescent="0.25">
      <c r="A5677" s="675" t="s">
        <v>5613</v>
      </c>
      <c r="B5677" s="675" t="s">
        <v>545</v>
      </c>
      <c r="C5677" s="675" t="s">
        <v>5615</v>
      </c>
      <c r="D5677" s="675"/>
      <c r="E5677" s="675"/>
      <c r="G5677" s="675"/>
      <c r="H5677" s="675"/>
      <c r="I5677" s="675"/>
      <c r="J5677" s="675"/>
      <c r="K5677" s="675"/>
      <c r="L5677" s="675"/>
      <c r="M5677" s="675"/>
    </row>
    <row r="5678" spans="1:13" x14ac:dyDescent="0.25">
      <c r="A5678" s="675" t="s">
        <v>5613</v>
      </c>
      <c r="B5678" s="675" t="s">
        <v>545</v>
      </c>
      <c r="C5678" s="675" t="s">
        <v>5616</v>
      </c>
      <c r="D5678" s="675"/>
      <c r="E5678" s="675"/>
      <c r="G5678" s="675"/>
      <c r="H5678" s="675"/>
      <c r="I5678" s="675"/>
      <c r="J5678" s="675"/>
      <c r="K5678" s="675"/>
      <c r="L5678" s="675"/>
      <c r="M5678" s="675"/>
    </row>
    <row r="5679" spans="1:13" x14ac:dyDescent="0.25">
      <c r="A5679" s="675" t="s">
        <v>5613</v>
      </c>
      <c r="B5679" s="675" t="s">
        <v>545</v>
      </c>
      <c r="C5679" s="675" t="s">
        <v>5617</v>
      </c>
      <c r="D5679" s="675"/>
      <c r="E5679" s="675"/>
      <c r="G5679" s="675"/>
      <c r="H5679" s="675"/>
      <c r="I5679" s="675"/>
      <c r="J5679" s="675"/>
      <c r="K5679" s="675"/>
      <c r="L5679" s="675"/>
      <c r="M5679" s="675"/>
    </row>
    <row r="5680" spans="1:13" x14ac:dyDescent="0.25">
      <c r="A5680" s="675" t="s">
        <v>5613</v>
      </c>
      <c r="B5680" s="675" t="s">
        <v>545</v>
      </c>
      <c r="C5680" s="675" t="s">
        <v>5618</v>
      </c>
      <c r="D5680" s="675"/>
      <c r="E5680" s="675"/>
      <c r="G5680" s="675"/>
      <c r="H5680" s="675"/>
      <c r="I5680" s="675"/>
      <c r="J5680" s="675"/>
      <c r="K5680" s="675"/>
      <c r="L5680" s="675"/>
      <c r="M5680" s="675"/>
    </row>
    <row r="5681" spans="1:13" x14ac:dyDescent="0.25">
      <c r="A5681" s="675" t="s">
        <v>5613</v>
      </c>
      <c r="B5681" s="675" t="s">
        <v>564</v>
      </c>
      <c r="C5681" s="675" t="s">
        <v>5619</v>
      </c>
      <c r="D5681" s="675"/>
      <c r="E5681" s="675"/>
      <c r="G5681" s="675"/>
      <c r="H5681" s="675"/>
      <c r="I5681" s="675"/>
      <c r="J5681" s="675"/>
      <c r="K5681" s="675"/>
      <c r="L5681" s="675"/>
      <c r="M5681" s="675"/>
    </row>
    <row r="5682" spans="1:13" x14ac:dyDescent="0.25">
      <c r="A5682" s="675" t="s">
        <v>5613</v>
      </c>
      <c r="B5682" s="675" t="s">
        <v>564</v>
      </c>
      <c r="C5682" s="675" t="s">
        <v>5620</v>
      </c>
      <c r="D5682" s="675"/>
      <c r="E5682" s="675"/>
      <c r="G5682" s="675"/>
      <c r="H5682" s="675"/>
      <c r="I5682" s="675"/>
      <c r="J5682" s="675"/>
      <c r="K5682" s="675"/>
      <c r="L5682" s="675"/>
      <c r="M5682" s="675"/>
    </row>
    <row r="5683" spans="1:13" x14ac:dyDescent="0.25">
      <c r="A5683" s="675" t="s">
        <v>5613</v>
      </c>
      <c r="B5683" s="675" t="s">
        <v>564</v>
      </c>
      <c r="C5683" s="675" t="s">
        <v>5621</v>
      </c>
      <c r="D5683" s="675"/>
      <c r="E5683" s="675"/>
      <c r="G5683" s="675"/>
      <c r="H5683" s="675"/>
      <c r="I5683" s="675"/>
      <c r="J5683" s="675"/>
      <c r="K5683" s="675"/>
      <c r="L5683" s="675"/>
      <c r="M5683" s="675"/>
    </row>
    <row r="5684" spans="1:13" x14ac:dyDescent="0.25">
      <c r="A5684" s="675" t="s">
        <v>5613</v>
      </c>
      <c r="B5684" s="675" t="s">
        <v>564</v>
      </c>
      <c r="C5684" s="675" t="s">
        <v>5622</v>
      </c>
      <c r="D5684" s="675"/>
      <c r="E5684" s="675"/>
      <c r="G5684" s="675"/>
      <c r="H5684" s="675"/>
      <c r="I5684" s="675"/>
      <c r="J5684" s="675"/>
      <c r="K5684" s="675"/>
      <c r="L5684" s="675"/>
      <c r="M5684" s="675"/>
    </row>
    <row r="5685" spans="1:13" x14ac:dyDescent="0.25">
      <c r="A5685" s="675" t="s">
        <v>5613</v>
      </c>
      <c r="B5685" s="675" t="s">
        <v>564</v>
      </c>
      <c r="C5685" s="675" t="s">
        <v>5623</v>
      </c>
      <c r="D5685" s="675"/>
      <c r="E5685" s="675"/>
      <c r="G5685" s="675"/>
      <c r="H5685" s="675"/>
      <c r="I5685" s="675"/>
      <c r="J5685" s="675"/>
      <c r="K5685" s="675"/>
      <c r="L5685" s="675"/>
      <c r="M5685" s="675"/>
    </row>
    <row r="5686" spans="1:13" x14ac:dyDescent="0.25">
      <c r="A5686" s="675" t="s">
        <v>5613</v>
      </c>
      <c r="B5686" s="675" t="s">
        <v>512</v>
      </c>
      <c r="C5686" s="675" t="s">
        <v>5624</v>
      </c>
      <c r="D5686" s="675"/>
      <c r="E5686" s="675"/>
      <c r="G5686" s="675"/>
      <c r="H5686" s="675"/>
      <c r="I5686" s="675"/>
      <c r="J5686" s="675"/>
      <c r="K5686" s="675"/>
      <c r="L5686" s="675"/>
      <c r="M5686" s="675"/>
    </row>
    <row r="5687" spans="1:13" x14ac:dyDescent="0.25">
      <c r="A5687" s="675" t="s">
        <v>5613</v>
      </c>
      <c r="B5687" s="675" t="s">
        <v>512</v>
      </c>
      <c r="C5687" s="675" t="s">
        <v>5625</v>
      </c>
      <c r="D5687" s="675"/>
      <c r="E5687" s="675"/>
      <c r="G5687" s="675"/>
      <c r="H5687" s="675"/>
      <c r="I5687" s="675"/>
      <c r="J5687" s="675"/>
      <c r="K5687" s="675"/>
      <c r="L5687" s="675"/>
      <c r="M5687" s="675"/>
    </row>
    <row r="5688" spans="1:13" x14ac:dyDescent="0.25">
      <c r="A5688" s="675" t="s">
        <v>5613</v>
      </c>
      <c r="B5688" s="675" t="s">
        <v>512</v>
      </c>
      <c r="C5688" s="675" t="s">
        <v>5626</v>
      </c>
      <c r="D5688" s="675"/>
      <c r="E5688" s="675"/>
      <c r="G5688" s="675"/>
      <c r="H5688" s="675"/>
      <c r="I5688" s="675"/>
      <c r="J5688" s="675"/>
      <c r="K5688" s="675"/>
      <c r="L5688" s="675"/>
      <c r="M5688" s="675"/>
    </row>
    <row r="5689" spans="1:13" x14ac:dyDescent="0.25">
      <c r="A5689" s="675" t="s">
        <v>5613</v>
      </c>
      <c r="B5689" s="675" t="s">
        <v>512</v>
      </c>
      <c r="C5689" s="675" t="s">
        <v>5627</v>
      </c>
      <c r="D5689" s="675"/>
      <c r="E5689" s="675"/>
      <c r="G5689" s="675"/>
      <c r="H5689" s="675"/>
      <c r="I5689" s="675"/>
      <c r="J5689" s="675"/>
      <c r="K5689" s="675"/>
      <c r="L5689" s="675"/>
      <c r="M5689" s="675"/>
    </row>
    <row r="5690" spans="1:13" x14ac:dyDescent="0.25">
      <c r="A5690" s="675" t="s">
        <v>5613</v>
      </c>
      <c r="B5690" s="675" t="s">
        <v>512</v>
      </c>
      <c r="C5690" s="675" t="s">
        <v>5628</v>
      </c>
      <c r="D5690" s="675"/>
      <c r="E5690" s="675"/>
      <c r="G5690" s="675"/>
      <c r="H5690" s="675"/>
      <c r="I5690" s="675"/>
      <c r="J5690" s="675"/>
      <c r="K5690" s="675"/>
      <c r="L5690" s="675"/>
      <c r="M5690" s="675"/>
    </row>
    <row r="5691" spans="1:13" x14ac:dyDescent="0.25">
      <c r="A5691" s="675" t="s">
        <v>5629</v>
      </c>
      <c r="B5691" s="675" t="s">
        <v>545</v>
      </c>
      <c r="C5691" s="676" t="s">
        <v>5630</v>
      </c>
      <c r="D5691" s="675"/>
      <c r="E5691" s="675"/>
      <c r="G5691" s="675"/>
      <c r="H5691" s="675"/>
      <c r="I5691" s="675"/>
      <c r="J5691" s="675"/>
      <c r="K5691" s="675"/>
      <c r="L5691" s="675"/>
      <c r="M5691" s="675"/>
    </row>
    <row r="5692" spans="1:13" x14ac:dyDescent="0.25">
      <c r="A5692" s="675" t="s">
        <v>5629</v>
      </c>
      <c r="B5692" s="675" t="s">
        <v>545</v>
      </c>
      <c r="C5692" s="676" t="s">
        <v>5631</v>
      </c>
      <c r="D5692" s="675"/>
      <c r="E5692" s="675"/>
      <c r="G5692" s="675"/>
      <c r="H5692" s="675"/>
      <c r="I5692" s="675"/>
      <c r="J5692" s="675"/>
      <c r="K5692" s="675"/>
      <c r="L5692" s="675"/>
      <c r="M5692" s="675"/>
    </row>
    <row r="5693" spans="1:13" x14ac:dyDescent="0.25">
      <c r="A5693" s="675" t="s">
        <v>5629</v>
      </c>
      <c r="B5693" s="675" t="s">
        <v>545</v>
      </c>
      <c r="C5693" s="676" t="s">
        <v>5632</v>
      </c>
      <c r="D5693" s="675"/>
      <c r="E5693" s="675"/>
      <c r="G5693" s="675"/>
      <c r="H5693" s="675"/>
      <c r="I5693" s="675"/>
      <c r="J5693" s="675"/>
      <c r="K5693" s="675"/>
      <c r="L5693" s="675"/>
      <c r="M5693" s="675"/>
    </row>
    <row r="5694" spans="1:13" x14ac:dyDescent="0.25">
      <c r="A5694" s="675" t="s">
        <v>5629</v>
      </c>
      <c r="B5694" s="675" t="s">
        <v>545</v>
      </c>
      <c r="C5694" s="676" t="s">
        <v>5633</v>
      </c>
      <c r="D5694" s="675"/>
      <c r="E5694" s="675"/>
      <c r="G5694" s="675"/>
      <c r="H5694" s="675"/>
      <c r="I5694" s="675"/>
      <c r="J5694" s="675"/>
      <c r="K5694" s="675"/>
      <c r="L5694" s="675"/>
      <c r="M5694" s="675"/>
    </row>
    <row r="5695" spans="1:13" x14ac:dyDescent="0.25">
      <c r="A5695" s="675" t="s">
        <v>5629</v>
      </c>
      <c r="B5695" s="675" t="s">
        <v>545</v>
      </c>
      <c r="C5695" s="676" t="s">
        <v>5634</v>
      </c>
      <c r="D5695" s="675"/>
      <c r="E5695" s="675"/>
      <c r="G5695" s="675"/>
      <c r="H5695" s="675"/>
      <c r="I5695" s="675"/>
      <c r="J5695" s="675"/>
      <c r="K5695" s="675"/>
      <c r="L5695" s="675"/>
      <c r="M5695" s="675"/>
    </row>
    <row r="5696" spans="1:13" x14ac:dyDescent="0.25">
      <c r="A5696" s="675" t="s">
        <v>5629</v>
      </c>
      <c r="B5696" s="675" t="s">
        <v>564</v>
      </c>
      <c r="C5696" s="676" t="s">
        <v>5635</v>
      </c>
      <c r="D5696" s="675"/>
      <c r="E5696" s="675"/>
      <c r="G5696" s="675"/>
      <c r="H5696" s="675"/>
      <c r="I5696" s="675"/>
      <c r="J5696" s="675"/>
      <c r="K5696" s="675"/>
      <c r="L5696" s="675"/>
      <c r="M5696" s="675"/>
    </row>
    <row r="5697" spans="1:13" x14ac:dyDescent="0.25">
      <c r="A5697" s="675" t="s">
        <v>5629</v>
      </c>
      <c r="B5697" s="675" t="s">
        <v>564</v>
      </c>
      <c r="C5697" s="676" t="s">
        <v>5636</v>
      </c>
      <c r="D5697" s="675"/>
      <c r="E5697" s="675"/>
      <c r="G5697" s="675"/>
      <c r="H5697" s="675"/>
      <c r="I5697" s="675"/>
      <c r="J5697" s="675"/>
      <c r="K5697" s="675"/>
      <c r="L5697" s="675"/>
      <c r="M5697" s="675"/>
    </row>
    <row r="5698" spans="1:13" x14ac:dyDescent="0.25">
      <c r="A5698" s="675" t="s">
        <v>5629</v>
      </c>
      <c r="B5698" s="675" t="s">
        <v>564</v>
      </c>
      <c r="C5698" s="676" t="s">
        <v>5637</v>
      </c>
      <c r="D5698" s="675"/>
      <c r="E5698" s="675"/>
      <c r="G5698" s="675"/>
      <c r="H5698" s="675"/>
      <c r="I5698" s="675"/>
      <c r="J5698" s="675"/>
      <c r="K5698" s="675"/>
      <c r="L5698" s="675"/>
      <c r="M5698" s="675"/>
    </row>
    <row r="5699" spans="1:13" x14ac:dyDescent="0.25">
      <c r="A5699" s="675" t="s">
        <v>5629</v>
      </c>
      <c r="B5699" s="675" t="s">
        <v>564</v>
      </c>
      <c r="C5699" s="676" t="s">
        <v>5638</v>
      </c>
      <c r="D5699" s="675"/>
      <c r="E5699" s="675"/>
      <c r="G5699" s="675"/>
      <c r="H5699" s="675"/>
      <c r="I5699" s="675"/>
      <c r="J5699" s="675"/>
      <c r="K5699" s="675"/>
      <c r="L5699" s="675"/>
      <c r="M5699" s="675"/>
    </row>
    <row r="5700" spans="1:13" x14ac:dyDescent="0.25">
      <c r="A5700" s="675" t="s">
        <v>5629</v>
      </c>
      <c r="B5700" s="675" t="s">
        <v>564</v>
      </c>
      <c r="C5700" s="676" t="s">
        <v>5639</v>
      </c>
      <c r="D5700" s="675"/>
      <c r="E5700" s="675"/>
      <c r="G5700" s="675"/>
      <c r="H5700" s="675"/>
      <c r="I5700" s="675"/>
      <c r="J5700" s="675"/>
      <c r="K5700" s="675"/>
      <c r="L5700" s="675"/>
      <c r="M5700" s="675"/>
    </row>
    <row r="5701" spans="1:13" x14ac:dyDescent="0.25">
      <c r="A5701" s="675" t="s">
        <v>5629</v>
      </c>
      <c r="B5701" s="675" t="s">
        <v>512</v>
      </c>
      <c r="C5701" s="676" t="s">
        <v>5640</v>
      </c>
      <c r="D5701" s="675"/>
      <c r="E5701" s="675"/>
      <c r="G5701" s="675"/>
      <c r="H5701" s="675"/>
      <c r="I5701" s="675"/>
      <c r="J5701" s="675"/>
      <c r="K5701" s="675"/>
      <c r="L5701" s="675"/>
      <c r="M5701" s="675"/>
    </row>
    <row r="5702" spans="1:13" x14ac:dyDescent="0.25">
      <c r="A5702" s="675" t="s">
        <v>5629</v>
      </c>
      <c r="B5702" s="675" t="s">
        <v>512</v>
      </c>
      <c r="C5702" s="676" t="s">
        <v>5641</v>
      </c>
      <c r="D5702" s="675"/>
      <c r="E5702" s="675"/>
      <c r="G5702" s="675"/>
      <c r="H5702" s="675"/>
      <c r="I5702" s="675"/>
      <c r="J5702" s="675"/>
      <c r="K5702" s="675"/>
      <c r="L5702" s="675"/>
      <c r="M5702" s="675"/>
    </row>
    <row r="5703" spans="1:13" x14ac:dyDescent="0.25">
      <c r="A5703" s="675" t="s">
        <v>5629</v>
      </c>
      <c r="B5703" s="675" t="s">
        <v>512</v>
      </c>
      <c r="C5703" s="676" t="s">
        <v>5642</v>
      </c>
      <c r="D5703" s="675"/>
      <c r="E5703" s="675"/>
      <c r="G5703" s="675"/>
      <c r="H5703" s="675"/>
      <c r="I5703" s="675"/>
      <c r="J5703" s="675"/>
      <c r="K5703" s="675"/>
      <c r="L5703" s="675"/>
      <c r="M5703" s="675"/>
    </row>
    <row r="5704" spans="1:13" x14ac:dyDescent="0.25">
      <c r="A5704" s="675" t="s">
        <v>5629</v>
      </c>
      <c r="B5704" s="675" t="s">
        <v>512</v>
      </c>
      <c r="C5704" s="676" t="s">
        <v>5643</v>
      </c>
      <c r="D5704" s="675"/>
      <c r="E5704" s="675"/>
      <c r="G5704" s="675"/>
      <c r="H5704" s="675"/>
      <c r="I5704" s="675"/>
      <c r="J5704" s="675"/>
      <c r="K5704" s="675"/>
      <c r="L5704" s="675"/>
      <c r="M5704" s="675"/>
    </row>
    <row r="5705" spans="1:13" x14ac:dyDescent="0.25">
      <c r="A5705" s="675" t="s">
        <v>5629</v>
      </c>
      <c r="B5705" s="675" t="s">
        <v>512</v>
      </c>
      <c r="C5705" s="676" t="s">
        <v>5644</v>
      </c>
      <c r="D5705" s="675"/>
      <c r="E5705" s="675"/>
      <c r="G5705" s="675"/>
      <c r="H5705" s="675"/>
      <c r="I5705" s="675"/>
      <c r="J5705" s="675"/>
      <c r="K5705" s="675"/>
      <c r="L5705" s="675"/>
      <c r="M5705" s="675"/>
    </row>
    <row r="5706" spans="1:13" x14ac:dyDescent="0.25">
      <c r="A5706" s="675" t="s">
        <v>5645</v>
      </c>
      <c r="B5706" s="675" t="s">
        <v>545</v>
      </c>
      <c r="C5706" s="676" t="s">
        <v>5646</v>
      </c>
      <c r="D5706" s="675"/>
      <c r="E5706" s="675"/>
      <c r="G5706" s="675"/>
      <c r="H5706" s="675"/>
      <c r="I5706" s="675"/>
      <c r="J5706" s="675"/>
      <c r="K5706" s="675"/>
      <c r="L5706" s="675"/>
      <c r="M5706" s="675"/>
    </row>
    <row r="5707" spans="1:13" x14ac:dyDescent="0.25">
      <c r="A5707" s="675" t="s">
        <v>5645</v>
      </c>
      <c r="B5707" s="675" t="s">
        <v>545</v>
      </c>
      <c r="C5707" s="676" t="s">
        <v>5647</v>
      </c>
      <c r="D5707" s="675"/>
      <c r="E5707" s="675"/>
      <c r="G5707" s="675"/>
      <c r="H5707" s="675"/>
      <c r="I5707" s="675"/>
      <c r="J5707" s="675"/>
      <c r="K5707" s="675"/>
      <c r="L5707" s="675"/>
      <c r="M5707" s="675"/>
    </row>
    <row r="5708" spans="1:13" x14ac:dyDescent="0.25">
      <c r="A5708" s="675" t="s">
        <v>5645</v>
      </c>
      <c r="B5708" s="675" t="s">
        <v>545</v>
      </c>
      <c r="C5708" s="676" t="s">
        <v>5648</v>
      </c>
      <c r="D5708" s="675"/>
      <c r="E5708" s="675"/>
      <c r="G5708" s="675"/>
      <c r="H5708" s="675"/>
      <c r="I5708" s="675"/>
      <c r="J5708" s="675"/>
      <c r="K5708" s="675"/>
      <c r="L5708" s="675"/>
      <c r="M5708" s="675"/>
    </row>
    <row r="5709" spans="1:13" x14ac:dyDescent="0.25">
      <c r="A5709" s="675" t="s">
        <v>5645</v>
      </c>
      <c r="B5709" s="675" t="s">
        <v>545</v>
      </c>
      <c r="C5709" s="676" t="s">
        <v>5649</v>
      </c>
      <c r="D5709" s="675"/>
      <c r="E5709" s="675"/>
      <c r="G5709" s="675"/>
      <c r="H5709" s="675"/>
      <c r="I5709" s="675"/>
      <c r="J5709" s="675"/>
      <c r="K5709" s="675"/>
      <c r="L5709" s="675"/>
      <c r="M5709" s="675"/>
    </row>
    <row r="5710" spans="1:13" x14ac:dyDescent="0.25">
      <c r="A5710" s="675" t="s">
        <v>5645</v>
      </c>
      <c r="B5710" s="675" t="s">
        <v>545</v>
      </c>
      <c r="C5710" s="676" t="s">
        <v>5650</v>
      </c>
      <c r="D5710" s="675"/>
      <c r="E5710" s="675"/>
      <c r="G5710" s="675"/>
      <c r="H5710" s="675"/>
      <c r="I5710" s="675"/>
      <c r="J5710" s="675"/>
      <c r="K5710" s="675"/>
      <c r="L5710" s="675"/>
      <c r="M5710" s="675"/>
    </row>
    <row r="5711" spans="1:13" ht="30" x14ac:dyDescent="0.25">
      <c r="A5711" s="675" t="s">
        <v>5645</v>
      </c>
      <c r="B5711" s="675" t="s">
        <v>564</v>
      </c>
      <c r="C5711" s="676" t="s">
        <v>5651</v>
      </c>
      <c r="D5711" s="675"/>
      <c r="E5711" s="675"/>
      <c r="G5711" s="675"/>
      <c r="H5711" s="675"/>
      <c r="I5711" s="675"/>
      <c r="J5711" s="675"/>
      <c r="K5711" s="675"/>
      <c r="L5711" s="675"/>
      <c r="M5711" s="675"/>
    </row>
    <row r="5712" spans="1:13" x14ac:dyDescent="0.25">
      <c r="A5712" s="675" t="s">
        <v>5645</v>
      </c>
      <c r="B5712" s="675" t="s">
        <v>564</v>
      </c>
      <c r="C5712" s="676" t="s">
        <v>5652</v>
      </c>
      <c r="D5712" s="675"/>
      <c r="E5712" s="675"/>
      <c r="G5712" s="675"/>
      <c r="H5712" s="675"/>
      <c r="I5712" s="675"/>
      <c r="J5712" s="675"/>
      <c r="K5712" s="675"/>
      <c r="L5712" s="675"/>
      <c r="M5712" s="675"/>
    </row>
    <row r="5713" spans="1:13" x14ac:dyDescent="0.25">
      <c r="A5713" s="675" t="s">
        <v>5645</v>
      </c>
      <c r="B5713" s="675" t="s">
        <v>564</v>
      </c>
      <c r="C5713" s="676" t="s">
        <v>5653</v>
      </c>
      <c r="D5713" s="675"/>
      <c r="E5713" s="675"/>
      <c r="G5713" s="675"/>
      <c r="H5713" s="675"/>
      <c r="I5713" s="675"/>
      <c r="J5713" s="675"/>
      <c r="K5713" s="675"/>
      <c r="L5713" s="675"/>
      <c r="M5713" s="675"/>
    </row>
    <row r="5714" spans="1:13" x14ac:dyDescent="0.25">
      <c r="A5714" s="675" t="s">
        <v>5645</v>
      </c>
      <c r="B5714" s="675" t="s">
        <v>564</v>
      </c>
      <c r="C5714" s="676" t="s">
        <v>5654</v>
      </c>
      <c r="D5714" s="675"/>
      <c r="E5714" s="675"/>
      <c r="G5714" s="675"/>
      <c r="H5714" s="675"/>
      <c r="I5714" s="675"/>
      <c r="J5714" s="675"/>
      <c r="K5714" s="675"/>
      <c r="L5714" s="675"/>
      <c r="M5714" s="675"/>
    </row>
    <row r="5715" spans="1:13" x14ac:dyDescent="0.25">
      <c r="A5715" s="675" t="s">
        <v>5645</v>
      </c>
      <c r="B5715" s="675" t="s">
        <v>564</v>
      </c>
      <c r="C5715" s="676" t="s">
        <v>5655</v>
      </c>
      <c r="D5715" s="675"/>
      <c r="E5715" s="675"/>
      <c r="G5715" s="675"/>
      <c r="H5715" s="675"/>
      <c r="I5715" s="675"/>
      <c r="J5715" s="675"/>
      <c r="K5715" s="675"/>
      <c r="L5715" s="675"/>
      <c r="M5715" s="675"/>
    </row>
    <row r="5716" spans="1:13" x14ac:dyDescent="0.25">
      <c r="A5716" s="675" t="s">
        <v>5645</v>
      </c>
      <c r="B5716" s="675" t="s">
        <v>512</v>
      </c>
      <c r="C5716" s="676" t="s">
        <v>5656</v>
      </c>
      <c r="D5716" s="675"/>
      <c r="E5716" s="675"/>
      <c r="G5716" s="675"/>
      <c r="H5716" s="675"/>
      <c r="I5716" s="675"/>
      <c r="J5716" s="675"/>
      <c r="K5716" s="675"/>
      <c r="L5716" s="675"/>
      <c r="M5716" s="675"/>
    </row>
    <row r="5717" spans="1:13" x14ac:dyDescent="0.25">
      <c r="A5717" s="675" t="s">
        <v>5645</v>
      </c>
      <c r="B5717" s="675" t="s">
        <v>512</v>
      </c>
      <c r="C5717" s="676" t="s">
        <v>5657</v>
      </c>
      <c r="D5717" s="675"/>
      <c r="E5717" s="675"/>
      <c r="G5717" s="675"/>
      <c r="H5717" s="675"/>
      <c r="I5717" s="675"/>
      <c r="J5717" s="675"/>
      <c r="K5717" s="675"/>
      <c r="L5717" s="675"/>
      <c r="M5717" s="675"/>
    </row>
    <row r="5718" spans="1:13" x14ac:dyDescent="0.25">
      <c r="A5718" s="675" t="s">
        <v>5645</v>
      </c>
      <c r="B5718" s="675" t="s">
        <v>512</v>
      </c>
      <c r="C5718" s="676" t="s">
        <v>5658</v>
      </c>
      <c r="D5718" s="675"/>
      <c r="E5718" s="675"/>
      <c r="G5718" s="675"/>
      <c r="H5718" s="675"/>
      <c r="I5718" s="675"/>
      <c r="J5718" s="675"/>
      <c r="K5718" s="675"/>
      <c r="L5718" s="675"/>
      <c r="M5718" s="675"/>
    </row>
    <row r="5719" spans="1:13" x14ac:dyDescent="0.25">
      <c r="A5719" s="675" t="s">
        <v>5645</v>
      </c>
      <c r="B5719" s="675" t="s">
        <v>512</v>
      </c>
      <c r="C5719" s="676" t="s">
        <v>5659</v>
      </c>
      <c r="D5719" s="675"/>
      <c r="E5719" s="675"/>
      <c r="G5719" s="675"/>
      <c r="H5719" s="675"/>
      <c r="I5719" s="675"/>
      <c r="J5719" s="675"/>
      <c r="K5719" s="675"/>
      <c r="L5719" s="675"/>
      <c r="M5719" s="675"/>
    </row>
    <row r="5720" spans="1:13" x14ac:dyDescent="0.25">
      <c r="A5720" s="675" t="s">
        <v>5645</v>
      </c>
      <c r="B5720" s="675" t="s">
        <v>512</v>
      </c>
      <c r="C5720" s="676" t="s">
        <v>5660</v>
      </c>
      <c r="D5720" s="675"/>
      <c r="E5720" s="675"/>
      <c r="G5720" s="675"/>
      <c r="H5720" s="675"/>
      <c r="I5720" s="675"/>
      <c r="J5720" s="675"/>
      <c r="K5720" s="675"/>
      <c r="L5720" s="675"/>
      <c r="M5720" s="675"/>
    </row>
    <row r="5721" spans="1:13" x14ac:dyDescent="0.25">
      <c r="A5721" s="675" t="s">
        <v>5661</v>
      </c>
      <c r="B5721" s="675" t="s">
        <v>545</v>
      </c>
      <c r="C5721" s="676" t="s">
        <v>5662</v>
      </c>
      <c r="D5721" s="675"/>
      <c r="E5721" s="675"/>
      <c r="G5721" s="675"/>
      <c r="H5721" s="675"/>
      <c r="I5721" s="675"/>
      <c r="J5721" s="675"/>
      <c r="K5721" s="675"/>
      <c r="L5721" s="675"/>
      <c r="M5721" s="675"/>
    </row>
    <row r="5722" spans="1:13" x14ac:dyDescent="0.25">
      <c r="A5722" s="675" t="s">
        <v>5661</v>
      </c>
      <c r="B5722" s="675" t="s">
        <v>545</v>
      </c>
      <c r="C5722" s="676" t="s">
        <v>5663</v>
      </c>
      <c r="D5722" s="675"/>
      <c r="E5722" s="675"/>
      <c r="G5722" s="675"/>
      <c r="H5722" s="675"/>
      <c r="I5722" s="675"/>
      <c r="J5722" s="675"/>
      <c r="K5722" s="675"/>
      <c r="L5722" s="675"/>
      <c r="M5722" s="675"/>
    </row>
    <row r="5723" spans="1:13" x14ac:dyDescent="0.25">
      <c r="A5723" s="675" t="s">
        <v>5661</v>
      </c>
      <c r="B5723" s="675" t="s">
        <v>545</v>
      </c>
      <c r="C5723" s="676" t="s">
        <v>5664</v>
      </c>
      <c r="D5723" s="675"/>
      <c r="E5723" s="675"/>
      <c r="G5723" s="675"/>
      <c r="H5723" s="675"/>
      <c r="I5723" s="675"/>
      <c r="J5723" s="675"/>
      <c r="K5723" s="675"/>
      <c r="L5723" s="675"/>
      <c r="M5723" s="675"/>
    </row>
    <row r="5724" spans="1:13" x14ac:dyDescent="0.25">
      <c r="A5724" s="675" t="s">
        <v>5661</v>
      </c>
      <c r="B5724" s="675" t="s">
        <v>545</v>
      </c>
      <c r="C5724" s="676" t="s">
        <v>5665</v>
      </c>
      <c r="D5724" s="675"/>
      <c r="E5724" s="675"/>
      <c r="G5724" s="675"/>
      <c r="H5724" s="675"/>
      <c r="I5724" s="675"/>
      <c r="J5724" s="675"/>
      <c r="K5724" s="675"/>
      <c r="L5724" s="675"/>
      <c r="M5724" s="675"/>
    </row>
    <row r="5725" spans="1:13" x14ac:dyDescent="0.25">
      <c r="A5725" s="675" t="s">
        <v>5661</v>
      </c>
      <c r="B5725" s="675" t="s">
        <v>545</v>
      </c>
      <c r="C5725" s="676" t="s">
        <v>5666</v>
      </c>
      <c r="D5725" s="675"/>
      <c r="E5725" s="675"/>
      <c r="G5725" s="675"/>
      <c r="H5725" s="675"/>
      <c r="I5725" s="675"/>
      <c r="J5725" s="675"/>
      <c r="K5725" s="675"/>
      <c r="L5725" s="675"/>
      <c r="M5725" s="675"/>
    </row>
    <row r="5726" spans="1:13" x14ac:dyDescent="0.25">
      <c r="A5726" s="675" t="s">
        <v>5661</v>
      </c>
      <c r="B5726" s="675" t="s">
        <v>545</v>
      </c>
      <c r="C5726" s="676" t="s">
        <v>5667</v>
      </c>
      <c r="D5726" s="675"/>
      <c r="E5726" s="675"/>
      <c r="G5726" s="675"/>
      <c r="H5726" s="675"/>
      <c r="I5726" s="675"/>
      <c r="J5726" s="675"/>
      <c r="K5726" s="675"/>
      <c r="L5726" s="675"/>
      <c r="M5726" s="675"/>
    </row>
    <row r="5727" spans="1:13" x14ac:dyDescent="0.25">
      <c r="A5727" s="675" t="s">
        <v>5661</v>
      </c>
      <c r="B5727" s="675" t="s">
        <v>545</v>
      </c>
      <c r="C5727" s="676" t="s">
        <v>5668</v>
      </c>
      <c r="D5727" s="675"/>
      <c r="E5727" s="675"/>
      <c r="G5727" s="675"/>
      <c r="H5727" s="675"/>
      <c r="I5727" s="675"/>
      <c r="J5727" s="675"/>
      <c r="K5727" s="675"/>
      <c r="L5727" s="675"/>
      <c r="M5727" s="675"/>
    </row>
    <row r="5728" spans="1:13" x14ac:dyDescent="0.25">
      <c r="A5728" s="675" t="s">
        <v>5661</v>
      </c>
      <c r="B5728" s="675" t="s">
        <v>545</v>
      </c>
      <c r="C5728" s="676" t="s">
        <v>5669</v>
      </c>
      <c r="D5728" s="675"/>
      <c r="E5728" s="675"/>
      <c r="G5728" s="675"/>
      <c r="H5728" s="675"/>
      <c r="I5728" s="675"/>
      <c r="J5728" s="675"/>
      <c r="K5728" s="675"/>
      <c r="L5728" s="675"/>
      <c r="M5728" s="675"/>
    </row>
    <row r="5729" spans="1:13" x14ac:dyDescent="0.25">
      <c r="A5729" s="675" t="s">
        <v>5661</v>
      </c>
      <c r="B5729" s="675" t="s">
        <v>545</v>
      </c>
      <c r="C5729" s="676" t="s">
        <v>5670</v>
      </c>
      <c r="D5729" s="675"/>
      <c r="E5729" s="675"/>
      <c r="G5729" s="675"/>
      <c r="H5729" s="675"/>
      <c r="I5729" s="675"/>
      <c r="J5729" s="675"/>
      <c r="K5729" s="675"/>
      <c r="L5729" s="675"/>
      <c r="M5729" s="675"/>
    </row>
    <row r="5730" spans="1:13" ht="30" x14ac:dyDescent="0.25">
      <c r="A5730" s="675" t="s">
        <v>5661</v>
      </c>
      <c r="B5730" s="675" t="s">
        <v>545</v>
      </c>
      <c r="C5730" s="676" t="s">
        <v>5671</v>
      </c>
      <c r="D5730" s="675"/>
      <c r="E5730" s="675"/>
      <c r="G5730" s="675"/>
      <c r="H5730" s="675"/>
      <c r="I5730" s="675"/>
      <c r="J5730" s="675"/>
      <c r="K5730" s="675"/>
      <c r="L5730" s="675"/>
      <c r="M5730" s="675"/>
    </row>
    <row r="5731" spans="1:13" x14ac:dyDescent="0.25">
      <c r="A5731" s="675" t="s">
        <v>5661</v>
      </c>
      <c r="B5731" s="675" t="s">
        <v>564</v>
      </c>
      <c r="C5731" s="675" t="s">
        <v>5672</v>
      </c>
      <c r="D5731" s="675"/>
      <c r="E5731" s="675"/>
      <c r="G5731" s="675"/>
      <c r="H5731" s="675"/>
      <c r="I5731" s="675"/>
      <c r="J5731" s="675"/>
      <c r="K5731" s="675"/>
      <c r="L5731" s="675"/>
      <c r="M5731" s="675"/>
    </row>
    <row r="5732" spans="1:13" x14ac:dyDescent="0.25">
      <c r="A5732" s="675" t="s">
        <v>5661</v>
      </c>
      <c r="B5732" s="675" t="s">
        <v>564</v>
      </c>
      <c r="C5732" s="675" t="s">
        <v>5673</v>
      </c>
      <c r="D5732" s="675"/>
      <c r="E5732" s="675"/>
      <c r="G5732" s="675"/>
      <c r="H5732" s="675"/>
      <c r="I5732" s="675"/>
      <c r="J5732" s="675"/>
      <c r="K5732" s="675"/>
      <c r="L5732" s="675"/>
      <c r="M5732" s="675"/>
    </row>
    <row r="5733" spans="1:13" x14ac:dyDescent="0.25">
      <c r="A5733" s="675" t="s">
        <v>5661</v>
      </c>
      <c r="B5733" s="675" t="s">
        <v>564</v>
      </c>
      <c r="C5733" s="675" t="s">
        <v>5674</v>
      </c>
      <c r="D5733" s="675"/>
      <c r="E5733" s="675"/>
      <c r="G5733" s="675"/>
      <c r="H5733" s="675"/>
      <c r="I5733" s="675"/>
      <c r="J5733" s="675"/>
      <c r="K5733" s="675"/>
      <c r="L5733" s="675"/>
      <c r="M5733" s="675"/>
    </row>
    <row r="5734" spans="1:13" x14ac:dyDescent="0.25">
      <c r="A5734" s="675" t="s">
        <v>5661</v>
      </c>
      <c r="B5734" s="675" t="s">
        <v>564</v>
      </c>
      <c r="C5734" s="675" t="s">
        <v>5675</v>
      </c>
      <c r="D5734" s="675"/>
      <c r="E5734" s="675"/>
      <c r="G5734" s="675"/>
      <c r="H5734" s="675"/>
      <c r="I5734" s="675"/>
      <c r="J5734" s="675"/>
      <c r="K5734" s="675"/>
      <c r="L5734" s="675"/>
      <c r="M5734" s="675"/>
    </row>
    <row r="5735" spans="1:13" x14ac:dyDescent="0.25">
      <c r="A5735" s="675" t="s">
        <v>5661</v>
      </c>
      <c r="B5735" s="675" t="s">
        <v>564</v>
      </c>
      <c r="C5735" s="675" t="s">
        <v>5676</v>
      </c>
      <c r="D5735" s="675"/>
      <c r="E5735" s="675"/>
      <c r="G5735" s="675"/>
      <c r="H5735" s="675"/>
      <c r="I5735" s="675"/>
      <c r="J5735" s="675"/>
      <c r="K5735" s="675"/>
      <c r="L5735" s="675"/>
      <c r="M5735" s="675"/>
    </row>
    <row r="5736" spans="1:13" x14ac:dyDescent="0.25">
      <c r="A5736" s="675" t="s">
        <v>5661</v>
      </c>
      <c r="B5736" s="675" t="s">
        <v>564</v>
      </c>
      <c r="C5736" s="675" t="s">
        <v>5677</v>
      </c>
      <c r="D5736" s="675"/>
      <c r="E5736" s="675"/>
      <c r="G5736" s="675"/>
      <c r="H5736" s="675"/>
      <c r="I5736" s="675"/>
      <c r="J5736" s="675"/>
      <c r="K5736" s="675"/>
      <c r="L5736" s="675"/>
      <c r="M5736" s="675"/>
    </row>
    <row r="5737" spans="1:13" x14ac:dyDescent="0.25">
      <c r="A5737" s="675" t="s">
        <v>5661</v>
      </c>
      <c r="B5737" s="675" t="s">
        <v>564</v>
      </c>
      <c r="C5737" s="675" t="s">
        <v>5678</v>
      </c>
      <c r="D5737" s="675"/>
      <c r="E5737" s="675"/>
      <c r="G5737" s="675"/>
      <c r="H5737" s="675"/>
      <c r="I5737" s="675"/>
      <c r="J5737" s="675"/>
      <c r="K5737" s="675"/>
      <c r="L5737" s="675"/>
      <c r="M5737" s="675"/>
    </row>
    <row r="5738" spans="1:13" x14ac:dyDescent="0.25">
      <c r="A5738" s="675" t="s">
        <v>5661</v>
      </c>
      <c r="B5738" s="675" t="s">
        <v>564</v>
      </c>
      <c r="C5738" s="675" t="s">
        <v>5679</v>
      </c>
      <c r="D5738" s="675"/>
      <c r="E5738" s="675"/>
      <c r="G5738" s="675"/>
      <c r="H5738" s="675"/>
      <c r="I5738" s="675"/>
      <c r="J5738" s="675"/>
      <c r="K5738" s="675"/>
      <c r="L5738" s="675"/>
      <c r="M5738" s="675"/>
    </row>
    <row r="5739" spans="1:13" x14ac:dyDescent="0.25">
      <c r="A5739" s="675" t="s">
        <v>5661</v>
      </c>
      <c r="B5739" s="675" t="s">
        <v>564</v>
      </c>
      <c r="C5739" s="675" t="s">
        <v>5680</v>
      </c>
      <c r="D5739" s="675"/>
      <c r="E5739" s="675"/>
      <c r="G5739" s="675"/>
      <c r="H5739" s="675"/>
      <c r="I5739" s="675"/>
      <c r="J5739" s="675"/>
      <c r="K5739" s="675"/>
      <c r="L5739" s="675"/>
      <c r="M5739" s="675"/>
    </row>
    <row r="5740" spans="1:13" x14ac:dyDescent="0.25">
      <c r="A5740" s="675" t="s">
        <v>5661</v>
      </c>
      <c r="B5740" s="675" t="s">
        <v>564</v>
      </c>
      <c r="C5740" s="675" t="s">
        <v>5681</v>
      </c>
      <c r="D5740" s="675"/>
      <c r="E5740" s="675"/>
      <c r="G5740" s="675"/>
      <c r="H5740" s="675"/>
      <c r="I5740" s="675"/>
      <c r="J5740" s="675"/>
      <c r="K5740" s="675"/>
      <c r="L5740" s="675"/>
      <c r="M5740" s="675"/>
    </row>
    <row r="5741" spans="1:13" x14ac:dyDescent="0.25">
      <c r="A5741" s="675" t="s">
        <v>5661</v>
      </c>
      <c r="B5741" s="675" t="s">
        <v>512</v>
      </c>
      <c r="C5741" s="676" t="s">
        <v>5682</v>
      </c>
      <c r="D5741" s="675"/>
      <c r="E5741" s="675"/>
      <c r="G5741" s="675"/>
      <c r="H5741" s="675"/>
      <c r="I5741" s="675"/>
      <c r="J5741" s="675"/>
      <c r="K5741" s="675"/>
      <c r="L5741" s="675"/>
      <c r="M5741" s="675"/>
    </row>
    <row r="5742" spans="1:13" x14ac:dyDescent="0.25">
      <c r="A5742" s="675" t="s">
        <v>5661</v>
      </c>
      <c r="B5742" s="675" t="s">
        <v>512</v>
      </c>
      <c r="C5742" s="676" t="s">
        <v>5683</v>
      </c>
      <c r="D5742" s="675"/>
      <c r="E5742" s="675"/>
      <c r="G5742" s="675"/>
      <c r="H5742" s="675"/>
      <c r="I5742" s="675"/>
      <c r="J5742" s="675"/>
      <c r="K5742" s="675"/>
      <c r="L5742" s="675"/>
      <c r="M5742" s="675"/>
    </row>
    <row r="5743" spans="1:13" x14ac:dyDescent="0.25">
      <c r="A5743" s="675" t="s">
        <v>5661</v>
      </c>
      <c r="B5743" s="675" t="s">
        <v>512</v>
      </c>
      <c r="C5743" s="676" t="s">
        <v>5684</v>
      </c>
      <c r="D5743" s="675"/>
      <c r="E5743" s="675"/>
      <c r="G5743" s="675"/>
      <c r="H5743" s="675"/>
      <c r="I5743" s="675"/>
      <c r="J5743" s="675"/>
      <c r="K5743" s="675"/>
      <c r="L5743" s="675"/>
      <c r="M5743" s="675"/>
    </row>
    <row r="5744" spans="1:13" x14ac:dyDescent="0.25">
      <c r="A5744" s="675" t="s">
        <v>5661</v>
      </c>
      <c r="B5744" s="675" t="s">
        <v>512</v>
      </c>
      <c r="C5744" s="676" t="s">
        <v>5685</v>
      </c>
      <c r="D5744" s="675"/>
      <c r="E5744" s="675"/>
      <c r="G5744" s="675"/>
      <c r="H5744" s="675"/>
      <c r="I5744" s="675"/>
      <c r="J5744" s="675"/>
      <c r="K5744" s="675"/>
      <c r="L5744" s="675"/>
      <c r="M5744" s="675"/>
    </row>
    <row r="5745" spans="1:13" x14ac:dyDescent="0.25">
      <c r="A5745" s="675" t="s">
        <v>5661</v>
      </c>
      <c r="B5745" s="675" t="s">
        <v>512</v>
      </c>
      <c r="C5745" s="676" t="s">
        <v>5686</v>
      </c>
      <c r="D5745" s="675"/>
      <c r="E5745" s="675"/>
      <c r="G5745" s="675"/>
      <c r="H5745" s="675"/>
      <c r="I5745" s="675"/>
      <c r="J5745" s="675"/>
      <c r="K5745" s="675"/>
      <c r="L5745" s="675"/>
      <c r="M5745" s="675"/>
    </row>
    <row r="5746" spans="1:13" x14ac:dyDescent="0.25">
      <c r="A5746" s="675" t="s">
        <v>5661</v>
      </c>
      <c r="B5746" s="675" t="s">
        <v>512</v>
      </c>
      <c r="C5746" s="676" t="s">
        <v>5687</v>
      </c>
      <c r="D5746" s="675"/>
      <c r="E5746" s="675"/>
      <c r="G5746" s="675"/>
      <c r="H5746" s="675"/>
      <c r="I5746" s="675"/>
      <c r="J5746" s="675"/>
      <c r="K5746" s="675"/>
      <c r="L5746" s="675"/>
      <c r="M5746" s="675"/>
    </row>
    <row r="5747" spans="1:13" x14ac:dyDescent="0.25">
      <c r="A5747" s="675" t="s">
        <v>5661</v>
      </c>
      <c r="B5747" s="675" t="s">
        <v>512</v>
      </c>
      <c r="C5747" s="676" t="s">
        <v>5688</v>
      </c>
      <c r="D5747" s="675"/>
      <c r="E5747" s="675"/>
      <c r="G5747" s="675"/>
      <c r="H5747" s="675"/>
      <c r="I5747" s="675"/>
      <c r="J5747" s="675"/>
      <c r="K5747" s="675"/>
      <c r="L5747" s="675"/>
      <c r="M5747" s="675"/>
    </row>
    <row r="5748" spans="1:13" x14ac:dyDescent="0.25">
      <c r="A5748" s="675" t="s">
        <v>5661</v>
      </c>
      <c r="B5748" s="675" t="s">
        <v>512</v>
      </c>
      <c r="C5748" s="676" t="s">
        <v>5689</v>
      </c>
      <c r="D5748" s="675"/>
      <c r="E5748" s="675"/>
      <c r="G5748" s="675"/>
      <c r="H5748" s="675"/>
      <c r="I5748" s="675"/>
      <c r="J5748" s="675"/>
      <c r="K5748" s="675"/>
      <c r="L5748" s="675"/>
      <c r="M5748" s="675"/>
    </row>
    <row r="5749" spans="1:13" x14ac:dyDescent="0.25">
      <c r="A5749" s="675" t="s">
        <v>5661</v>
      </c>
      <c r="B5749" s="675" t="s">
        <v>512</v>
      </c>
      <c r="C5749" s="676" t="s">
        <v>5690</v>
      </c>
      <c r="D5749" s="675"/>
      <c r="E5749" s="675"/>
      <c r="G5749" s="675"/>
      <c r="H5749" s="675"/>
      <c r="I5749" s="675"/>
      <c r="J5749" s="675"/>
      <c r="K5749" s="675"/>
      <c r="L5749" s="675"/>
      <c r="M5749" s="675"/>
    </row>
    <row r="5750" spans="1:13" x14ac:dyDescent="0.25">
      <c r="A5750" s="675" t="s">
        <v>5661</v>
      </c>
      <c r="B5750" s="675" t="s">
        <v>512</v>
      </c>
      <c r="C5750" s="676" t="s">
        <v>5691</v>
      </c>
      <c r="D5750" s="675"/>
      <c r="E5750" s="675"/>
      <c r="G5750" s="675"/>
      <c r="H5750" s="675"/>
      <c r="I5750" s="675"/>
      <c r="J5750" s="675"/>
      <c r="K5750" s="675"/>
      <c r="L5750" s="675"/>
      <c r="M5750" s="675"/>
    </row>
    <row r="5751" spans="1:13" x14ac:dyDescent="0.25">
      <c r="A5751" s="675" t="s">
        <v>5692</v>
      </c>
      <c r="B5751" s="675" t="s">
        <v>545</v>
      </c>
      <c r="C5751" s="675" t="s">
        <v>5693</v>
      </c>
      <c r="D5751" s="675"/>
      <c r="E5751" s="675"/>
      <c r="G5751" s="675"/>
      <c r="H5751" s="675"/>
      <c r="I5751" s="675"/>
      <c r="J5751" s="675"/>
      <c r="K5751" s="675"/>
      <c r="L5751" s="675"/>
      <c r="M5751" s="675"/>
    </row>
    <row r="5752" spans="1:13" x14ac:dyDescent="0.25">
      <c r="A5752" s="675" t="s">
        <v>5692</v>
      </c>
      <c r="B5752" s="675" t="s">
        <v>545</v>
      </c>
      <c r="C5752" s="675" t="s">
        <v>5694</v>
      </c>
      <c r="D5752" s="675"/>
      <c r="E5752" s="675"/>
      <c r="G5752" s="675"/>
      <c r="H5752" s="675"/>
      <c r="I5752" s="675"/>
      <c r="J5752" s="675"/>
      <c r="K5752" s="675"/>
      <c r="L5752" s="675"/>
      <c r="M5752" s="675"/>
    </row>
    <row r="5753" spans="1:13" x14ac:dyDescent="0.25">
      <c r="A5753" s="675" t="s">
        <v>5692</v>
      </c>
      <c r="B5753" s="675" t="s">
        <v>545</v>
      </c>
      <c r="C5753" s="675" t="s">
        <v>5695</v>
      </c>
      <c r="D5753" s="675"/>
      <c r="E5753" s="675"/>
      <c r="G5753" s="675"/>
      <c r="H5753" s="675"/>
      <c r="I5753" s="675"/>
      <c r="J5753" s="675"/>
      <c r="K5753" s="675"/>
      <c r="L5753" s="675"/>
      <c r="M5753" s="675"/>
    </row>
    <row r="5754" spans="1:13" x14ac:dyDescent="0.25">
      <c r="A5754" s="675" t="s">
        <v>5692</v>
      </c>
      <c r="B5754" s="675" t="s">
        <v>545</v>
      </c>
      <c r="C5754" s="675" t="s">
        <v>5696</v>
      </c>
      <c r="D5754" s="675"/>
      <c r="E5754" s="675"/>
      <c r="G5754" s="675"/>
      <c r="H5754" s="675"/>
      <c r="I5754" s="675"/>
      <c r="J5754" s="675"/>
      <c r="K5754" s="675"/>
      <c r="L5754" s="675"/>
      <c r="M5754" s="675"/>
    </row>
    <row r="5755" spans="1:13" x14ac:dyDescent="0.25">
      <c r="A5755" s="675" t="s">
        <v>5692</v>
      </c>
      <c r="B5755" s="675" t="s">
        <v>545</v>
      </c>
      <c r="C5755" s="675" t="s">
        <v>5697</v>
      </c>
      <c r="D5755" s="675"/>
      <c r="E5755" s="675"/>
      <c r="G5755" s="675"/>
      <c r="H5755" s="675"/>
      <c r="I5755" s="675"/>
      <c r="J5755" s="675"/>
      <c r="K5755" s="675"/>
      <c r="L5755" s="675"/>
      <c r="M5755" s="675"/>
    </row>
    <row r="5756" spans="1:13" x14ac:dyDescent="0.25">
      <c r="A5756" s="675" t="s">
        <v>5692</v>
      </c>
      <c r="B5756" s="675" t="s">
        <v>545</v>
      </c>
      <c r="C5756" s="675" t="s">
        <v>5698</v>
      </c>
      <c r="D5756" s="675"/>
      <c r="E5756" s="675"/>
      <c r="G5756" s="675"/>
      <c r="H5756" s="675"/>
      <c r="I5756" s="675"/>
      <c r="J5756" s="675"/>
      <c r="K5756" s="675"/>
      <c r="L5756" s="675"/>
      <c r="M5756" s="675"/>
    </row>
    <row r="5757" spans="1:13" x14ac:dyDescent="0.25">
      <c r="A5757" s="675" t="s">
        <v>5692</v>
      </c>
      <c r="B5757" s="675" t="s">
        <v>545</v>
      </c>
      <c r="C5757" s="675" t="s">
        <v>5699</v>
      </c>
      <c r="D5757" s="675"/>
      <c r="E5757" s="675"/>
      <c r="G5757" s="675"/>
      <c r="H5757" s="675"/>
      <c r="I5757" s="675"/>
      <c r="J5757" s="675"/>
      <c r="K5757" s="675"/>
      <c r="L5757" s="675"/>
      <c r="M5757" s="675"/>
    </row>
    <row r="5758" spans="1:13" x14ac:dyDescent="0.25">
      <c r="A5758" s="675" t="s">
        <v>5692</v>
      </c>
      <c r="B5758" s="675" t="s">
        <v>545</v>
      </c>
      <c r="C5758" s="675" t="s">
        <v>5700</v>
      </c>
      <c r="D5758" s="675"/>
      <c r="E5758" s="675"/>
      <c r="G5758" s="675"/>
      <c r="H5758" s="675"/>
      <c r="I5758" s="675"/>
      <c r="J5758" s="675"/>
      <c r="K5758" s="675"/>
      <c r="L5758" s="675"/>
      <c r="M5758" s="675"/>
    </row>
    <row r="5759" spans="1:13" x14ac:dyDescent="0.25">
      <c r="A5759" s="675" t="s">
        <v>5692</v>
      </c>
      <c r="B5759" s="675" t="s">
        <v>545</v>
      </c>
      <c r="C5759" s="675" t="s">
        <v>5701</v>
      </c>
      <c r="D5759" s="675"/>
      <c r="E5759" s="675"/>
      <c r="G5759" s="675"/>
      <c r="H5759" s="675"/>
      <c r="I5759" s="675"/>
      <c r="J5759" s="675"/>
      <c r="K5759" s="675"/>
      <c r="L5759" s="675"/>
      <c r="M5759" s="675"/>
    </row>
    <row r="5760" spans="1:13" x14ac:dyDescent="0.25">
      <c r="A5760" s="675" t="s">
        <v>5692</v>
      </c>
      <c r="B5760" s="675" t="s">
        <v>545</v>
      </c>
      <c r="C5760" s="675" t="s">
        <v>5702</v>
      </c>
      <c r="D5760" s="675"/>
      <c r="E5760" s="675"/>
      <c r="G5760" s="675"/>
      <c r="H5760" s="675"/>
      <c r="I5760" s="675"/>
      <c r="J5760" s="675"/>
      <c r="K5760" s="675"/>
      <c r="L5760" s="675"/>
      <c r="M5760" s="675"/>
    </row>
    <row r="5761" spans="1:13" x14ac:dyDescent="0.25">
      <c r="A5761" s="675" t="s">
        <v>5692</v>
      </c>
      <c r="B5761" s="675" t="s">
        <v>564</v>
      </c>
      <c r="C5761" s="675" t="s">
        <v>5703</v>
      </c>
      <c r="D5761" s="675"/>
      <c r="E5761" s="675"/>
      <c r="G5761" s="675"/>
      <c r="H5761" s="675"/>
      <c r="I5761" s="675"/>
      <c r="J5761" s="675"/>
      <c r="K5761" s="675"/>
      <c r="L5761" s="675"/>
      <c r="M5761" s="675"/>
    </row>
    <row r="5762" spans="1:13" x14ac:dyDescent="0.25">
      <c r="A5762" s="675" t="s">
        <v>5692</v>
      </c>
      <c r="B5762" s="675" t="s">
        <v>564</v>
      </c>
      <c r="C5762" s="675" t="s">
        <v>5704</v>
      </c>
      <c r="D5762" s="675"/>
      <c r="E5762" s="675"/>
      <c r="G5762" s="675"/>
      <c r="H5762" s="675"/>
      <c r="I5762" s="675"/>
      <c r="J5762" s="675"/>
      <c r="K5762" s="675"/>
      <c r="L5762" s="675"/>
      <c r="M5762" s="675"/>
    </row>
    <row r="5763" spans="1:13" x14ac:dyDescent="0.25">
      <c r="A5763" s="675" t="s">
        <v>5692</v>
      </c>
      <c r="B5763" s="675" t="s">
        <v>564</v>
      </c>
      <c r="C5763" s="675" t="s">
        <v>5705</v>
      </c>
      <c r="D5763" s="675"/>
      <c r="E5763" s="675"/>
      <c r="G5763" s="675"/>
      <c r="H5763" s="675"/>
      <c r="I5763" s="675"/>
      <c r="J5763" s="675"/>
      <c r="K5763" s="675"/>
      <c r="L5763" s="675"/>
      <c r="M5763" s="675"/>
    </row>
    <row r="5764" spans="1:13" x14ac:dyDescent="0.25">
      <c r="A5764" s="675" t="s">
        <v>5692</v>
      </c>
      <c r="B5764" s="675" t="s">
        <v>564</v>
      </c>
      <c r="C5764" s="675" t="s">
        <v>5706</v>
      </c>
      <c r="D5764" s="675"/>
      <c r="E5764" s="675"/>
      <c r="G5764" s="675"/>
      <c r="H5764" s="675"/>
      <c r="I5764" s="675"/>
      <c r="J5764" s="675"/>
      <c r="K5764" s="675"/>
      <c r="L5764" s="675"/>
      <c r="M5764" s="675"/>
    </row>
    <row r="5765" spans="1:13" x14ac:dyDescent="0.25">
      <c r="A5765" s="675" t="s">
        <v>5692</v>
      </c>
      <c r="B5765" s="675" t="s">
        <v>564</v>
      </c>
      <c r="C5765" s="675" t="s">
        <v>5707</v>
      </c>
      <c r="D5765" s="675"/>
      <c r="E5765" s="675"/>
      <c r="G5765" s="675"/>
      <c r="H5765" s="675"/>
      <c r="I5765" s="675"/>
      <c r="J5765" s="675"/>
      <c r="K5765" s="675"/>
      <c r="L5765" s="675"/>
      <c r="M5765" s="675"/>
    </row>
    <row r="5766" spans="1:13" x14ac:dyDescent="0.25">
      <c r="A5766" s="675" t="s">
        <v>5692</v>
      </c>
      <c r="B5766" s="675" t="s">
        <v>564</v>
      </c>
      <c r="C5766" s="675" t="s">
        <v>5708</v>
      </c>
      <c r="D5766" s="675"/>
      <c r="E5766" s="675"/>
      <c r="G5766" s="675"/>
      <c r="H5766" s="675"/>
      <c r="I5766" s="675"/>
      <c r="J5766" s="675"/>
      <c r="K5766" s="675"/>
      <c r="L5766" s="675"/>
      <c r="M5766" s="675"/>
    </row>
    <row r="5767" spans="1:13" x14ac:dyDescent="0.25">
      <c r="A5767" s="675" t="s">
        <v>5692</v>
      </c>
      <c r="B5767" s="675" t="s">
        <v>564</v>
      </c>
      <c r="C5767" s="675" t="s">
        <v>5709</v>
      </c>
      <c r="D5767" s="675"/>
      <c r="E5767" s="675"/>
      <c r="G5767" s="675"/>
      <c r="H5767" s="675"/>
      <c r="I5767" s="675"/>
      <c r="J5767" s="675"/>
      <c r="K5767" s="675"/>
      <c r="L5767" s="675"/>
      <c r="M5767" s="675"/>
    </row>
    <row r="5768" spans="1:13" x14ac:dyDescent="0.25">
      <c r="A5768" s="675" t="s">
        <v>5692</v>
      </c>
      <c r="B5768" s="675" t="s">
        <v>564</v>
      </c>
      <c r="C5768" s="675" t="s">
        <v>5710</v>
      </c>
      <c r="D5768" s="675"/>
      <c r="E5768" s="675"/>
      <c r="G5768" s="675"/>
      <c r="H5768" s="675"/>
      <c r="I5768" s="675"/>
      <c r="J5768" s="675"/>
      <c r="K5768" s="675"/>
      <c r="L5768" s="675"/>
      <c r="M5768" s="675"/>
    </row>
    <row r="5769" spans="1:13" x14ac:dyDescent="0.25">
      <c r="A5769" s="675" t="s">
        <v>5692</v>
      </c>
      <c r="B5769" s="675" t="s">
        <v>564</v>
      </c>
      <c r="C5769" s="675" t="s">
        <v>5711</v>
      </c>
      <c r="D5769" s="675"/>
      <c r="E5769" s="675"/>
      <c r="G5769" s="675"/>
      <c r="H5769" s="675"/>
      <c r="I5769" s="675"/>
      <c r="J5769" s="675"/>
      <c r="K5769" s="675"/>
      <c r="L5769" s="675"/>
      <c r="M5769" s="675"/>
    </row>
    <row r="5770" spans="1:13" x14ac:dyDescent="0.25">
      <c r="A5770" s="675" t="s">
        <v>5692</v>
      </c>
      <c r="B5770" s="675" t="s">
        <v>564</v>
      </c>
      <c r="C5770" s="675" t="s">
        <v>5712</v>
      </c>
      <c r="D5770" s="675"/>
      <c r="E5770" s="675"/>
      <c r="G5770" s="675"/>
      <c r="H5770" s="675"/>
      <c r="I5770" s="675"/>
      <c r="J5770" s="675"/>
      <c r="K5770" s="675"/>
      <c r="L5770" s="675"/>
      <c r="M5770" s="675"/>
    </row>
    <row r="5771" spans="1:13" x14ac:dyDescent="0.25">
      <c r="A5771" s="675" t="s">
        <v>5692</v>
      </c>
      <c r="B5771" s="675" t="s">
        <v>512</v>
      </c>
      <c r="C5771" s="675" t="s">
        <v>5713</v>
      </c>
      <c r="D5771" s="675"/>
      <c r="E5771" s="675"/>
      <c r="G5771" s="675"/>
      <c r="H5771" s="675"/>
      <c r="I5771" s="675"/>
      <c r="J5771" s="675"/>
      <c r="K5771" s="675"/>
      <c r="L5771" s="675"/>
      <c r="M5771" s="675"/>
    </row>
    <row r="5772" spans="1:13" x14ac:dyDescent="0.25">
      <c r="A5772" s="675" t="s">
        <v>5692</v>
      </c>
      <c r="B5772" s="675" t="s">
        <v>512</v>
      </c>
      <c r="C5772" s="675" t="s">
        <v>5714</v>
      </c>
      <c r="D5772" s="675"/>
      <c r="E5772" s="675"/>
      <c r="G5772" s="675"/>
      <c r="H5772" s="675"/>
      <c r="I5772" s="675"/>
      <c r="J5772" s="675"/>
      <c r="K5772" s="675"/>
      <c r="L5772" s="675"/>
      <c r="M5772" s="675"/>
    </row>
    <row r="5773" spans="1:13" x14ac:dyDescent="0.25">
      <c r="A5773" s="675" t="s">
        <v>5692</v>
      </c>
      <c r="B5773" s="675" t="s">
        <v>512</v>
      </c>
      <c r="C5773" s="675" t="s">
        <v>5715</v>
      </c>
      <c r="D5773" s="675"/>
      <c r="E5773" s="675"/>
      <c r="G5773" s="675"/>
      <c r="H5773" s="675"/>
      <c r="I5773" s="675"/>
      <c r="J5773" s="675"/>
      <c r="K5773" s="675"/>
      <c r="L5773" s="675"/>
      <c r="M5773" s="675"/>
    </row>
    <row r="5774" spans="1:13" x14ac:dyDescent="0.25">
      <c r="A5774" s="675" t="s">
        <v>5692</v>
      </c>
      <c r="B5774" s="675" t="s">
        <v>512</v>
      </c>
      <c r="C5774" s="675" t="s">
        <v>5716</v>
      </c>
      <c r="D5774" s="675"/>
      <c r="E5774" s="675"/>
      <c r="G5774" s="675"/>
      <c r="H5774" s="675"/>
      <c r="I5774" s="675"/>
      <c r="J5774" s="675"/>
      <c r="K5774" s="675"/>
      <c r="L5774" s="675"/>
      <c r="M5774" s="675"/>
    </row>
    <row r="5775" spans="1:13" x14ac:dyDescent="0.25">
      <c r="A5775" s="675" t="s">
        <v>5692</v>
      </c>
      <c r="B5775" s="675" t="s">
        <v>512</v>
      </c>
      <c r="C5775" s="675" t="s">
        <v>5717</v>
      </c>
      <c r="D5775" s="675"/>
      <c r="E5775" s="675"/>
      <c r="G5775" s="675"/>
      <c r="H5775" s="675"/>
      <c r="I5775" s="675"/>
      <c r="J5775" s="675"/>
      <c r="K5775" s="675"/>
      <c r="L5775" s="675"/>
      <c r="M5775" s="675"/>
    </row>
    <row r="5776" spans="1:13" x14ac:dyDescent="0.25">
      <c r="A5776" s="675" t="s">
        <v>5692</v>
      </c>
      <c r="B5776" s="675" t="s">
        <v>512</v>
      </c>
      <c r="C5776" s="675" t="s">
        <v>5718</v>
      </c>
      <c r="D5776" s="675"/>
      <c r="E5776" s="675"/>
      <c r="G5776" s="675"/>
      <c r="H5776" s="675"/>
      <c r="I5776" s="675"/>
      <c r="J5776" s="675"/>
      <c r="K5776" s="675"/>
      <c r="L5776" s="675"/>
      <c r="M5776" s="675"/>
    </row>
    <row r="5777" spans="1:13" x14ac:dyDescent="0.25">
      <c r="A5777" s="675" t="s">
        <v>5692</v>
      </c>
      <c r="B5777" s="675" t="s">
        <v>512</v>
      </c>
      <c r="C5777" s="675" t="s">
        <v>5719</v>
      </c>
      <c r="D5777" s="675"/>
      <c r="E5777" s="675"/>
      <c r="G5777" s="675"/>
      <c r="H5777" s="675"/>
      <c r="I5777" s="675"/>
      <c r="J5777" s="675"/>
      <c r="K5777" s="675"/>
      <c r="L5777" s="675"/>
      <c r="M5777" s="675"/>
    </row>
    <row r="5778" spans="1:13" x14ac:dyDescent="0.25">
      <c r="A5778" s="675" t="s">
        <v>5692</v>
      </c>
      <c r="B5778" s="675" t="s">
        <v>512</v>
      </c>
      <c r="C5778" s="675" t="s">
        <v>5720</v>
      </c>
      <c r="D5778" s="675"/>
      <c r="E5778" s="675"/>
      <c r="G5778" s="675"/>
      <c r="H5778" s="675"/>
      <c r="I5778" s="675"/>
      <c r="J5778" s="675"/>
      <c r="K5778" s="675"/>
      <c r="L5778" s="675"/>
      <c r="M5778" s="675"/>
    </row>
    <row r="5779" spans="1:13" x14ac:dyDescent="0.25">
      <c r="A5779" s="675" t="s">
        <v>5692</v>
      </c>
      <c r="B5779" s="675" t="s">
        <v>512</v>
      </c>
      <c r="C5779" s="675" t="s">
        <v>5721</v>
      </c>
      <c r="D5779" s="675"/>
      <c r="E5779" s="675"/>
      <c r="G5779" s="675"/>
      <c r="H5779" s="675"/>
      <c r="I5779" s="675"/>
      <c r="J5779" s="675"/>
      <c r="K5779" s="675"/>
      <c r="L5779" s="675"/>
      <c r="M5779" s="675"/>
    </row>
    <row r="5780" spans="1:13" x14ac:dyDescent="0.25">
      <c r="A5780" s="675" t="s">
        <v>5692</v>
      </c>
      <c r="B5780" s="675" t="s">
        <v>512</v>
      </c>
      <c r="C5780" s="675" t="s">
        <v>5722</v>
      </c>
      <c r="D5780" s="675"/>
      <c r="E5780" s="675"/>
      <c r="G5780" s="675"/>
      <c r="H5780" s="675"/>
      <c r="I5780" s="675"/>
      <c r="J5780" s="675"/>
      <c r="K5780" s="675"/>
      <c r="L5780" s="675"/>
      <c r="M5780" s="675"/>
    </row>
    <row r="5781" spans="1:13" x14ac:dyDescent="0.25">
      <c r="A5781" s="675" t="s">
        <v>5723</v>
      </c>
      <c r="B5781" s="675" t="s">
        <v>545</v>
      </c>
      <c r="C5781" s="675" t="s">
        <v>5724</v>
      </c>
      <c r="D5781" s="675"/>
      <c r="E5781" s="675"/>
      <c r="G5781" s="675"/>
      <c r="H5781" s="675"/>
      <c r="I5781" s="675"/>
      <c r="J5781" s="675"/>
      <c r="K5781" s="675"/>
      <c r="L5781" s="675"/>
      <c r="M5781" s="675"/>
    </row>
    <row r="5782" spans="1:13" x14ac:dyDescent="0.25">
      <c r="A5782" s="675" t="s">
        <v>5723</v>
      </c>
      <c r="B5782" s="675" t="s">
        <v>545</v>
      </c>
      <c r="C5782" s="675" t="s">
        <v>5725</v>
      </c>
      <c r="D5782" s="675"/>
      <c r="E5782" s="675"/>
      <c r="G5782" s="675"/>
      <c r="H5782" s="675"/>
      <c r="I5782" s="675"/>
      <c r="J5782" s="675"/>
      <c r="K5782" s="675"/>
      <c r="L5782" s="675"/>
      <c r="M5782" s="675"/>
    </row>
    <row r="5783" spans="1:13" x14ac:dyDescent="0.25">
      <c r="A5783" s="675" t="s">
        <v>5723</v>
      </c>
      <c r="B5783" s="675" t="s">
        <v>545</v>
      </c>
      <c r="C5783" s="675" t="s">
        <v>5726</v>
      </c>
      <c r="D5783" s="675"/>
      <c r="E5783" s="675"/>
      <c r="G5783" s="675"/>
      <c r="H5783" s="675"/>
      <c r="I5783" s="675"/>
      <c r="J5783" s="675"/>
      <c r="K5783" s="675"/>
      <c r="L5783" s="675"/>
      <c r="M5783" s="675"/>
    </row>
    <row r="5784" spans="1:13" x14ac:dyDescent="0.25">
      <c r="A5784" s="675" t="s">
        <v>5723</v>
      </c>
      <c r="B5784" s="675" t="s">
        <v>545</v>
      </c>
      <c r="C5784" s="675" t="s">
        <v>5727</v>
      </c>
      <c r="D5784" s="675"/>
      <c r="E5784" s="675"/>
      <c r="G5784" s="675"/>
      <c r="H5784" s="675"/>
      <c r="I5784" s="675"/>
      <c r="J5784" s="675"/>
      <c r="K5784" s="675"/>
      <c r="L5784" s="675"/>
      <c r="M5784" s="675"/>
    </row>
    <row r="5785" spans="1:13" x14ac:dyDescent="0.25">
      <c r="A5785" s="675" t="s">
        <v>5723</v>
      </c>
      <c r="B5785" s="675" t="s">
        <v>545</v>
      </c>
      <c r="C5785" s="675" t="s">
        <v>5728</v>
      </c>
      <c r="D5785" s="675"/>
      <c r="E5785" s="675"/>
      <c r="G5785" s="675"/>
      <c r="H5785" s="675"/>
      <c r="I5785" s="675"/>
      <c r="J5785" s="675"/>
      <c r="K5785" s="675"/>
      <c r="L5785" s="675"/>
      <c r="M5785" s="675"/>
    </row>
    <row r="5786" spans="1:13" x14ac:dyDescent="0.25">
      <c r="A5786" s="675" t="s">
        <v>5723</v>
      </c>
      <c r="B5786" s="675" t="s">
        <v>545</v>
      </c>
      <c r="C5786" s="675" t="s">
        <v>5729</v>
      </c>
      <c r="D5786" s="675"/>
      <c r="E5786" s="675"/>
      <c r="G5786" s="675"/>
      <c r="H5786" s="675"/>
      <c r="I5786" s="675"/>
      <c r="J5786" s="675"/>
      <c r="K5786" s="675"/>
      <c r="L5786" s="675"/>
      <c r="M5786" s="675"/>
    </row>
    <row r="5787" spans="1:13" x14ac:dyDescent="0.25">
      <c r="A5787" s="675" t="s">
        <v>5723</v>
      </c>
      <c r="B5787" s="675" t="s">
        <v>545</v>
      </c>
      <c r="C5787" s="675" t="s">
        <v>5730</v>
      </c>
      <c r="D5787" s="675"/>
      <c r="E5787" s="675"/>
      <c r="G5787" s="675"/>
      <c r="H5787" s="675"/>
      <c r="I5787" s="675"/>
      <c r="J5787" s="675"/>
      <c r="K5787" s="675"/>
      <c r="L5787" s="675"/>
      <c r="M5787" s="675"/>
    </row>
    <row r="5788" spans="1:13" x14ac:dyDescent="0.25">
      <c r="A5788" s="675" t="s">
        <v>5723</v>
      </c>
      <c r="B5788" s="675" t="s">
        <v>545</v>
      </c>
      <c r="C5788" s="675" t="s">
        <v>5731</v>
      </c>
      <c r="D5788" s="675"/>
      <c r="E5788" s="675"/>
      <c r="G5788" s="675"/>
      <c r="H5788" s="675"/>
      <c r="I5788" s="675"/>
      <c r="J5788" s="675"/>
      <c r="K5788" s="675"/>
      <c r="L5788" s="675"/>
      <c r="M5788" s="675"/>
    </row>
    <row r="5789" spans="1:13" x14ac:dyDescent="0.25">
      <c r="A5789" s="675" t="s">
        <v>5723</v>
      </c>
      <c r="B5789" s="675" t="s">
        <v>545</v>
      </c>
      <c r="C5789" s="675" t="s">
        <v>5732</v>
      </c>
      <c r="D5789" s="675"/>
      <c r="E5789" s="675"/>
      <c r="G5789" s="675"/>
      <c r="H5789" s="675"/>
      <c r="I5789" s="675"/>
      <c r="J5789" s="675"/>
      <c r="K5789" s="675"/>
      <c r="L5789" s="675"/>
      <c r="M5789" s="675"/>
    </row>
    <row r="5790" spans="1:13" x14ac:dyDescent="0.25">
      <c r="A5790" s="675" t="s">
        <v>5723</v>
      </c>
      <c r="B5790" s="675" t="s">
        <v>545</v>
      </c>
      <c r="C5790" s="675" t="s">
        <v>5733</v>
      </c>
      <c r="D5790" s="675"/>
      <c r="E5790" s="675"/>
      <c r="G5790" s="675"/>
      <c r="H5790" s="675"/>
      <c r="I5790" s="675"/>
      <c r="J5790" s="675"/>
      <c r="K5790" s="675"/>
      <c r="L5790" s="675"/>
      <c r="M5790" s="675"/>
    </row>
    <row r="5791" spans="1:13" x14ac:dyDescent="0.25">
      <c r="A5791" s="675" t="s">
        <v>5723</v>
      </c>
      <c r="B5791" s="675" t="s">
        <v>564</v>
      </c>
      <c r="C5791" s="676" t="s">
        <v>5734</v>
      </c>
      <c r="D5791" s="675"/>
      <c r="E5791" s="675"/>
      <c r="G5791" s="675"/>
      <c r="H5791" s="675"/>
      <c r="I5791" s="675"/>
      <c r="J5791" s="675"/>
      <c r="K5791" s="675"/>
      <c r="L5791" s="675"/>
      <c r="M5791" s="675"/>
    </row>
    <row r="5792" spans="1:13" x14ac:dyDescent="0.25">
      <c r="A5792" s="675" t="s">
        <v>5723</v>
      </c>
      <c r="B5792" s="675" t="s">
        <v>564</v>
      </c>
      <c r="C5792" s="676" t="s">
        <v>5735</v>
      </c>
      <c r="D5792" s="675"/>
      <c r="E5792" s="675"/>
      <c r="G5792" s="675"/>
      <c r="H5792" s="675"/>
      <c r="I5792" s="675"/>
      <c r="J5792" s="675"/>
      <c r="K5792" s="675"/>
      <c r="L5792" s="675"/>
      <c r="M5792" s="675"/>
    </row>
    <row r="5793" spans="1:13" x14ac:dyDescent="0.25">
      <c r="A5793" s="675" t="s">
        <v>5723</v>
      </c>
      <c r="B5793" s="675" t="s">
        <v>564</v>
      </c>
      <c r="C5793" s="676" t="s">
        <v>5736</v>
      </c>
      <c r="D5793" s="675"/>
      <c r="E5793" s="675"/>
      <c r="G5793" s="675"/>
      <c r="H5793" s="675"/>
      <c r="I5793" s="675"/>
      <c r="J5793" s="675"/>
      <c r="K5793" s="675"/>
      <c r="L5793" s="675"/>
      <c r="M5793" s="675"/>
    </row>
    <row r="5794" spans="1:13" x14ac:dyDescent="0.25">
      <c r="A5794" s="675" t="s">
        <v>5723</v>
      </c>
      <c r="B5794" s="675" t="s">
        <v>564</v>
      </c>
      <c r="C5794" s="676" t="s">
        <v>5737</v>
      </c>
      <c r="D5794" s="675"/>
      <c r="E5794" s="675"/>
      <c r="G5794" s="675"/>
      <c r="H5794" s="675"/>
      <c r="I5794" s="675"/>
      <c r="J5794" s="675"/>
      <c r="K5794" s="675"/>
      <c r="L5794" s="675"/>
      <c r="M5794" s="675"/>
    </row>
    <row r="5795" spans="1:13" x14ac:dyDescent="0.25">
      <c r="A5795" s="675" t="s">
        <v>5723</v>
      </c>
      <c r="B5795" s="675" t="s">
        <v>564</v>
      </c>
      <c r="C5795" s="676" t="s">
        <v>5738</v>
      </c>
      <c r="D5795" s="675"/>
      <c r="E5795" s="675"/>
      <c r="G5795" s="675"/>
      <c r="H5795" s="675"/>
      <c r="I5795" s="675"/>
      <c r="J5795" s="675"/>
      <c r="K5795" s="675"/>
      <c r="L5795" s="675"/>
      <c r="M5795" s="675"/>
    </row>
    <row r="5796" spans="1:13" x14ac:dyDescent="0.25">
      <c r="A5796" s="675" t="s">
        <v>5723</v>
      </c>
      <c r="B5796" s="675" t="s">
        <v>564</v>
      </c>
      <c r="C5796" s="676" t="s">
        <v>5739</v>
      </c>
      <c r="D5796" s="675"/>
      <c r="E5796" s="675"/>
      <c r="G5796" s="675"/>
      <c r="H5796" s="675"/>
      <c r="I5796" s="675"/>
      <c r="J5796" s="675"/>
      <c r="K5796" s="675"/>
      <c r="L5796" s="675"/>
      <c r="M5796" s="675"/>
    </row>
    <row r="5797" spans="1:13" x14ac:dyDescent="0.25">
      <c r="A5797" s="675" t="s">
        <v>5723</v>
      </c>
      <c r="B5797" s="675" t="s">
        <v>564</v>
      </c>
      <c r="C5797" s="676" t="s">
        <v>5740</v>
      </c>
      <c r="D5797" s="675"/>
      <c r="E5797" s="675"/>
      <c r="G5797" s="675"/>
      <c r="H5797" s="675"/>
      <c r="I5797" s="675"/>
      <c r="J5797" s="675"/>
      <c r="K5797" s="675"/>
      <c r="L5797" s="675"/>
      <c r="M5797" s="675"/>
    </row>
    <row r="5798" spans="1:13" x14ac:dyDescent="0.25">
      <c r="A5798" s="675" t="s">
        <v>5723</v>
      </c>
      <c r="B5798" s="675" t="s">
        <v>564</v>
      </c>
      <c r="C5798" s="676" t="s">
        <v>5741</v>
      </c>
      <c r="D5798" s="675"/>
      <c r="E5798" s="675"/>
      <c r="G5798" s="675"/>
      <c r="H5798" s="675"/>
      <c r="I5798" s="675"/>
      <c r="J5798" s="675"/>
      <c r="K5798" s="675"/>
      <c r="L5798" s="675"/>
      <c r="M5798" s="675"/>
    </row>
    <row r="5799" spans="1:13" x14ac:dyDescent="0.25">
      <c r="A5799" s="675" t="s">
        <v>5723</v>
      </c>
      <c r="B5799" s="675" t="s">
        <v>564</v>
      </c>
      <c r="C5799" s="676" t="s">
        <v>5742</v>
      </c>
      <c r="D5799" s="675"/>
      <c r="E5799" s="675"/>
      <c r="G5799" s="675"/>
      <c r="H5799" s="675"/>
      <c r="I5799" s="675"/>
      <c r="J5799" s="675"/>
      <c r="K5799" s="675"/>
      <c r="L5799" s="675"/>
      <c r="M5799" s="675"/>
    </row>
    <row r="5800" spans="1:13" x14ac:dyDescent="0.25">
      <c r="A5800" s="675" t="s">
        <v>5723</v>
      </c>
      <c r="B5800" s="675" t="s">
        <v>564</v>
      </c>
      <c r="C5800" s="676" t="s">
        <v>5743</v>
      </c>
      <c r="D5800" s="675"/>
      <c r="E5800" s="675"/>
      <c r="G5800" s="675"/>
      <c r="H5800" s="675"/>
      <c r="I5800" s="675"/>
      <c r="J5800" s="675"/>
      <c r="K5800" s="675"/>
      <c r="L5800" s="675"/>
      <c r="M5800" s="675"/>
    </row>
    <row r="5801" spans="1:13" x14ac:dyDescent="0.25">
      <c r="A5801" s="675" t="s">
        <v>5723</v>
      </c>
      <c r="B5801" s="675" t="s">
        <v>512</v>
      </c>
      <c r="C5801" s="676" t="s">
        <v>5744</v>
      </c>
      <c r="D5801" s="675"/>
      <c r="E5801" s="675"/>
      <c r="G5801" s="675"/>
      <c r="H5801" s="675"/>
      <c r="I5801" s="675"/>
      <c r="J5801" s="675"/>
      <c r="K5801" s="675"/>
      <c r="L5801" s="675"/>
      <c r="M5801" s="675"/>
    </row>
    <row r="5802" spans="1:13" x14ac:dyDescent="0.25">
      <c r="A5802" s="675" t="s">
        <v>5723</v>
      </c>
      <c r="B5802" s="675" t="s">
        <v>512</v>
      </c>
      <c r="C5802" s="676" t="s">
        <v>5745</v>
      </c>
      <c r="D5802" s="675"/>
      <c r="E5802" s="675"/>
      <c r="G5802" s="675"/>
      <c r="H5802" s="675"/>
      <c r="I5802" s="675"/>
      <c r="J5802" s="675"/>
      <c r="K5802" s="675"/>
      <c r="L5802" s="675"/>
      <c r="M5802" s="675"/>
    </row>
    <row r="5803" spans="1:13" x14ac:dyDescent="0.25">
      <c r="A5803" s="675" t="s">
        <v>5723</v>
      </c>
      <c r="B5803" s="675" t="s">
        <v>512</v>
      </c>
      <c r="C5803" s="676" t="s">
        <v>5746</v>
      </c>
      <c r="D5803" s="675"/>
      <c r="E5803" s="675"/>
      <c r="G5803" s="675"/>
      <c r="H5803" s="675"/>
      <c r="I5803" s="675"/>
      <c r="J5803" s="675"/>
      <c r="K5803" s="675"/>
      <c r="L5803" s="675"/>
      <c r="M5803" s="675"/>
    </row>
    <row r="5804" spans="1:13" x14ac:dyDescent="0.25">
      <c r="A5804" s="675" t="s">
        <v>5723</v>
      </c>
      <c r="B5804" s="675" t="s">
        <v>512</v>
      </c>
      <c r="C5804" s="676" t="s">
        <v>5747</v>
      </c>
      <c r="D5804" s="675"/>
      <c r="E5804" s="675"/>
      <c r="G5804" s="675"/>
      <c r="H5804" s="675"/>
      <c r="I5804" s="675"/>
      <c r="J5804" s="675"/>
      <c r="K5804" s="675"/>
      <c r="L5804" s="675"/>
      <c r="M5804" s="675"/>
    </row>
    <row r="5805" spans="1:13" x14ac:dyDescent="0.25">
      <c r="A5805" s="675" t="s">
        <v>5723</v>
      </c>
      <c r="B5805" s="675" t="s">
        <v>512</v>
      </c>
      <c r="C5805" s="676" t="s">
        <v>5748</v>
      </c>
      <c r="D5805" s="675"/>
      <c r="E5805" s="675"/>
      <c r="G5805" s="675"/>
      <c r="H5805" s="675"/>
      <c r="I5805" s="675"/>
      <c r="J5805" s="675"/>
      <c r="K5805" s="675"/>
      <c r="L5805" s="675"/>
      <c r="M5805" s="675"/>
    </row>
    <row r="5806" spans="1:13" x14ac:dyDescent="0.25">
      <c r="A5806" s="675" t="s">
        <v>5723</v>
      </c>
      <c r="B5806" s="675" t="s">
        <v>512</v>
      </c>
      <c r="C5806" s="676" t="s">
        <v>5749</v>
      </c>
      <c r="D5806" s="675"/>
      <c r="E5806" s="675"/>
      <c r="G5806" s="675"/>
      <c r="H5806" s="675"/>
      <c r="I5806" s="675"/>
      <c r="J5806" s="675"/>
      <c r="K5806" s="675"/>
      <c r="L5806" s="675"/>
      <c r="M5806" s="675"/>
    </row>
    <row r="5807" spans="1:13" x14ac:dyDescent="0.25">
      <c r="A5807" s="675" t="s">
        <v>5723</v>
      </c>
      <c r="B5807" s="675" t="s">
        <v>512</v>
      </c>
      <c r="C5807" s="676" t="s">
        <v>5750</v>
      </c>
      <c r="D5807" s="675"/>
      <c r="E5807" s="675"/>
      <c r="G5807" s="675"/>
      <c r="H5807" s="675"/>
      <c r="I5807" s="675"/>
      <c r="J5807" s="675"/>
      <c r="K5807" s="675"/>
      <c r="L5807" s="675"/>
      <c r="M5807" s="675"/>
    </row>
    <row r="5808" spans="1:13" x14ac:dyDescent="0.25">
      <c r="A5808" s="675" t="s">
        <v>5723</v>
      </c>
      <c r="B5808" s="675" t="s">
        <v>512</v>
      </c>
      <c r="C5808" s="676" t="s">
        <v>5751</v>
      </c>
      <c r="D5808" s="675"/>
      <c r="E5808" s="675"/>
      <c r="G5808" s="675"/>
      <c r="H5808" s="675"/>
      <c r="I5808" s="675"/>
      <c r="J5808" s="675"/>
      <c r="K5808" s="675"/>
      <c r="L5808" s="675"/>
      <c r="M5808" s="675"/>
    </row>
    <row r="5809" spans="1:13" x14ac:dyDescent="0.25">
      <c r="A5809" s="675" t="s">
        <v>5723</v>
      </c>
      <c r="B5809" s="675" t="s">
        <v>512</v>
      </c>
      <c r="C5809" s="676" t="s">
        <v>5752</v>
      </c>
      <c r="D5809" s="675"/>
      <c r="E5809" s="675"/>
      <c r="G5809" s="675"/>
      <c r="H5809" s="675"/>
      <c r="I5809" s="675"/>
      <c r="J5809" s="675"/>
      <c r="K5809" s="675"/>
      <c r="L5809" s="675"/>
      <c r="M5809" s="675"/>
    </row>
    <row r="5810" spans="1:13" x14ac:dyDescent="0.25">
      <c r="A5810" s="675" t="s">
        <v>5723</v>
      </c>
      <c r="B5810" s="675" t="s">
        <v>512</v>
      </c>
      <c r="C5810" s="676" t="s">
        <v>5753</v>
      </c>
      <c r="D5810" s="675"/>
      <c r="E5810" s="675"/>
      <c r="G5810" s="675"/>
      <c r="H5810" s="675"/>
      <c r="I5810" s="675"/>
      <c r="J5810" s="675"/>
      <c r="K5810" s="675"/>
      <c r="L5810" s="675"/>
      <c r="M5810" s="675"/>
    </row>
    <row r="5811" spans="1:13" x14ac:dyDescent="0.25">
      <c r="A5811" s="675" t="s">
        <v>5754</v>
      </c>
      <c r="B5811" s="675" t="s">
        <v>545</v>
      </c>
      <c r="C5811" s="675" t="s">
        <v>5755</v>
      </c>
      <c r="D5811" s="675"/>
      <c r="E5811" s="675"/>
      <c r="G5811" s="675"/>
      <c r="H5811" s="675"/>
      <c r="I5811" s="675"/>
      <c r="J5811" s="675"/>
      <c r="K5811" s="675"/>
      <c r="L5811" s="675"/>
      <c r="M5811" s="675"/>
    </row>
    <row r="5812" spans="1:13" x14ac:dyDescent="0.25">
      <c r="A5812" s="675" t="s">
        <v>5754</v>
      </c>
      <c r="B5812" s="675" t="s">
        <v>545</v>
      </c>
      <c r="C5812" s="675" t="s">
        <v>5756</v>
      </c>
      <c r="D5812" s="675"/>
      <c r="E5812" s="675"/>
      <c r="G5812" s="675"/>
      <c r="H5812" s="675"/>
      <c r="I5812" s="675"/>
      <c r="J5812" s="675"/>
      <c r="K5812" s="675"/>
      <c r="L5812" s="675"/>
      <c r="M5812" s="675"/>
    </row>
    <row r="5813" spans="1:13" x14ac:dyDescent="0.25">
      <c r="A5813" s="675" t="s">
        <v>5754</v>
      </c>
      <c r="B5813" s="675" t="s">
        <v>545</v>
      </c>
      <c r="C5813" s="675" t="s">
        <v>5757</v>
      </c>
      <c r="D5813" s="675"/>
      <c r="E5813" s="675"/>
      <c r="G5813" s="675"/>
      <c r="H5813" s="675"/>
      <c r="I5813" s="675"/>
      <c r="J5813" s="675"/>
      <c r="K5813" s="675"/>
      <c r="L5813" s="675"/>
      <c r="M5813" s="675"/>
    </row>
    <row r="5814" spans="1:13" x14ac:dyDescent="0.25">
      <c r="A5814" s="675" t="s">
        <v>5754</v>
      </c>
      <c r="B5814" s="675" t="s">
        <v>545</v>
      </c>
      <c r="C5814" s="675" t="s">
        <v>5758</v>
      </c>
      <c r="D5814" s="675"/>
      <c r="E5814" s="675"/>
      <c r="G5814" s="675"/>
      <c r="H5814" s="675"/>
      <c r="I5814" s="675"/>
      <c r="J5814" s="675"/>
      <c r="K5814" s="675"/>
      <c r="L5814" s="675"/>
      <c r="M5814" s="675"/>
    </row>
    <row r="5815" spans="1:13" x14ac:dyDescent="0.25">
      <c r="A5815" s="675" t="s">
        <v>5754</v>
      </c>
      <c r="B5815" s="675" t="s">
        <v>545</v>
      </c>
      <c r="C5815" s="675" t="s">
        <v>5759</v>
      </c>
      <c r="D5815" s="675"/>
      <c r="E5815" s="675"/>
      <c r="G5815" s="675"/>
      <c r="H5815" s="675"/>
      <c r="I5815" s="675"/>
      <c r="J5815" s="675"/>
      <c r="K5815" s="675"/>
      <c r="L5815" s="675"/>
      <c r="M5815" s="675"/>
    </row>
    <row r="5816" spans="1:13" x14ac:dyDescent="0.25">
      <c r="A5816" s="675" t="s">
        <v>5754</v>
      </c>
      <c r="B5816" s="675" t="s">
        <v>545</v>
      </c>
      <c r="C5816" s="675" t="s">
        <v>5760</v>
      </c>
      <c r="D5816" s="675"/>
      <c r="E5816" s="675"/>
      <c r="G5816" s="675"/>
      <c r="H5816" s="675"/>
      <c r="I5816" s="675"/>
      <c r="J5816" s="675"/>
      <c r="K5816" s="675"/>
      <c r="L5816" s="675"/>
      <c r="M5816" s="675"/>
    </row>
    <row r="5817" spans="1:13" x14ac:dyDescent="0.25">
      <c r="A5817" s="675" t="s">
        <v>5754</v>
      </c>
      <c r="B5817" s="675" t="s">
        <v>545</v>
      </c>
      <c r="C5817" s="675" t="s">
        <v>5761</v>
      </c>
      <c r="D5817" s="675"/>
      <c r="E5817" s="675"/>
      <c r="G5817" s="675"/>
      <c r="H5817" s="675"/>
      <c r="I5817" s="675"/>
      <c r="J5817" s="675"/>
      <c r="K5817" s="675"/>
      <c r="L5817" s="675"/>
      <c r="M5817" s="675"/>
    </row>
    <row r="5818" spans="1:13" x14ac:dyDescent="0.25">
      <c r="A5818" s="675" t="s">
        <v>5754</v>
      </c>
      <c r="B5818" s="675" t="s">
        <v>545</v>
      </c>
      <c r="C5818" s="675" t="s">
        <v>5762</v>
      </c>
      <c r="D5818" s="675"/>
      <c r="E5818" s="675"/>
      <c r="G5818" s="675"/>
      <c r="H5818" s="675"/>
      <c r="I5818" s="675"/>
      <c r="J5818" s="675"/>
      <c r="K5818" s="675"/>
      <c r="L5818" s="675"/>
      <c r="M5818" s="675"/>
    </row>
    <row r="5819" spans="1:13" x14ac:dyDescent="0.25">
      <c r="A5819" s="675" t="s">
        <v>5754</v>
      </c>
      <c r="B5819" s="675" t="s">
        <v>545</v>
      </c>
      <c r="C5819" s="675" t="s">
        <v>5763</v>
      </c>
      <c r="D5819" s="675"/>
      <c r="E5819" s="675"/>
      <c r="G5819" s="675"/>
      <c r="H5819" s="675"/>
      <c r="I5819" s="675"/>
      <c r="J5819" s="675"/>
      <c r="K5819" s="675"/>
      <c r="L5819" s="675"/>
      <c r="M5819" s="675"/>
    </row>
    <row r="5820" spans="1:13" x14ac:dyDescent="0.25">
      <c r="A5820" s="675" t="s">
        <v>5754</v>
      </c>
      <c r="B5820" s="675" t="s">
        <v>545</v>
      </c>
      <c r="C5820" s="675" t="s">
        <v>5764</v>
      </c>
      <c r="D5820" s="675"/>
      <c r="E5820" s="675"/>
      <c r="G5820" s="675"/>
      <c r="H5820" s="675"/>
      <c r="I5820" s="675"/>
      <c r="J5820" s="675"/>
      <c r="K5820" s="675"/>
      <c r="L5820" s="675"/>
      <c r="M5820" s="675"/>
    </row>
    <row r="5821" spans="1:13" x14ac:dyDescent="0.25">
      <c r="A5821" s="675" t="s">
        <v>5754</v>
      </c>
      <c r="B5821" s="675" t="s">
        <v>564</v>
      </c>
      <c r="C5821" s="675" t="s">
        <v>5765</v>
      </c>
      <c r="D5821" s="675"/>
      <c r="E5821" s="675"/>
      <c r="G5821" s="675"/>
      <c r="H5821" s="675"/>
      <c r="I5821" s="675"/>
      <c r="J5821" s="675"/>
      <c r="K5821" s="675"/>
      <c r="L5821" s="675"/>
      <c r="M5821" s="675"/>
    </row>
    <row r="5822" spans="1:13" x14ac:dyDescent="0.25">
      <c r="A5822" s="675" t="s">
        <v>5754</v>
      </c>
      <c r="B5822" s="675" t="s">
        <v>564</v>
      </c>
      <c r="C5822" s="675" t="s">
        <v>5766</v>
      </c>
      <c r="D5822" s="675"/>
      <c r="E5822" s="675"/>
      <c r="G5822" s="675"/>
      <c r="H5822" s="675"/>
      <c r="I5822" s="675"/>
      <c r="J5822" s="675"/>
      <c r="K5822" s="675"/>
      <c r="L5822" s="675"/>
      <c r="M5822" s="675"/>
    </row>
    <row r="5823" spans="1:13" x14ac:dyDescent="0.25">
      <c r="A5823" s="675" t="s">
        <v>5754</v>
      </c>
      <c r="B5823" s="675" t="s">
        <v>564</v>
      </c>
      <c r="C5823" s="675" t="s">
        <v>5767</v>
      </c>
      <c r="D5823" s="675"/>
      <c r="E5823" s="675"/>
      <c r="G5823" s="675"/>
      <c r="H5823" s="675"/>
      <c r="I5823" s="675"/>
      <c r="J5823" s="675"/>
      <c r="K5823" s="675"/>
      <c r="L5823" s="675"/>
      <c r="M5823" s="675"/>
    </row>
    <row r="5824" spans="1:13" x14ac:dyDescent="0.25">
      <c r="A5824" s="675" t="s">
        <v>5754</v>
      </c>
      <c r="B5824" s="675" t="s">
        <v>564</v>
      </c>
      <c r="C5824" s="675" t="s">
        <v>5768</v>
      </c>
      <c r="D5824" s="675"/>
      <c r="E5824" s="675"/>
      <c r="G5824" s="675"/>
      <c r="H5824" s="675"/>
      <c r="I5824" s="675"/>
      <c r="J5824" s="675"/>
      <c r="K5824" s="675"/>
      <c r="L5824" s="675"/>
      <c r="M5824" s="675"/>
    </row>
    <row r="5825" spans="1:13" x14ac:dyDescent="0.25">
      <c r="A5825" s="675" t="s">
        <v>5754</v>
      </c>
      <c r="B5825" s="675" t="s">
        <v>564</v>
      </c>
      <c r="C5825" s="675" t="s">
        <v>5769</v>
      </c>
      <c r="D5825" s="675"/>
      <c r="E5825" s="675"/>
      <c r="G5825" s="675"/>
      <c r="H5825" s="675"/>
      <c r="I5825" s="675"/>
      <c r="J5825" s="675"/>
      <c r="K5825" s="675"/>
      <c r="L5825" s="675"/>
      <c r="M5825" s="675"/>
    </row>
    <row r="5826" spans="1:13" x14ac:dyDescent="0.25">
      <c r="A5826" s="675" t="s">
        <v>5754</v>
      </c>
      <c r="B5826" s="675" t="s">
        <v>564</v>
      </c>
      <c r="C5826" s="675" t="s">
        <v>5770</v>
      </c>
      <c r="D5826" s="675"/>
      <c r="E5826" s="675"/>
      <c r="G5826" s="675"/>
      <c r="H5826" s="675"/>
      <c r="I5826" s="675"/>
      <c r="J5826" s="675"/>
      <c r="K5826" s="675"/>
      <c r="L5826" s="675"/>
      <c r="M5826" s="675"/>
    </row>
    <row r="5827" spans="1:13" x14ac:dyDescent="0.25">
      <c r="A5827" s="675" t="s">
        <v>5754</v>
      </c>
      <c r="B5827" s="675" t="s">
        <v>564</v>
      </c>
      <c r="C5827" s="675" t="s">
        <v>5771</v>
      </c>
      <c r="D5827" s="675"/>
      <c r="E5827" s="675"/>
      <c r="G5827" s="675"/>
      <c r="H5827" s="675"/>
      <c r="I5827" s="675"/>
      <c r="J5827" s="675"/>
      <c r="K5827" s="675"/>
      <c r="L5827" s="675"/>
      <c r="M5827" s="675"/>
    </row>
    <row r="5828" spans="1:13" x14ac:dyDescent="0.25">
      <c r="A5828" s="675" t="s">
        <v>5754</v>
      </c>
      <c r="B5828" s="675" t="s">
        <v>564</v>
      </c>
      <c r="C5828" s="675" t="s">
        <v>5772</v>
      </c>
      <c r="D5828" s="675"/>
      <c r="E5828" s="675"/>
      <c r="G5828" s="675"/>
      <c r="H5828" s="675"/>
      <c r="I5828" s="675"/>
      <c r="J5828" s="675"/>
      <c r="K5828" s="675"/>
      <c r="L5828" s="675"/>
      <c r="M5828" s="675"/>
    </row>
    <row r="5829" spans="1:13" x14ac:dyDescent="0.25">
      <c r="A5829" s="675" t="s">
        <v>5754</v>
      </c>
      <c r="B5829" s="675" t="s">
        <v>564</v>
      </c>
      <c r="C5829" s="675" t="s">
        <v>5773</v>
      </c>
      <c r="D5829" s="675"/>
      <c r="E5829" s="675"/>
      <c r="G5829" s="675"/>
      <c r="H5829" s="675"/>
      <c r="I5829" s="675"/>
      <c r="J5829" s="675"/>
      <c r="K5829" s="675"/>
      <c r="L5829" s="675"/>
      <c r="M5829" s="675"/>
    </row>
    <row r="5830" spans="1:13" x14ac:dyDescent="0.25">
      <c r="A5830" s="675" t="s">
        <v>5754</v>
      </c>
      <c r="B5830" s="675" t="s">
        <v>564</v>
      </c>
      <c r="C5830" s="675" t="s">
        <v>5774</v>
      </c>
      <c r="D5830" s="675"/>
      <c r="E5830" s="675"/>
      <c r="G5830" s="675"/>
      <c r="H5830" s="675"/>
      <c r="I5830" s="675"/>
      <c r="J5830" s="675"/>
      <c r="K5830" s="675"/>
      <c r="L5830" s="675"/>
      <c r="M5830" s="675"/>
    </row>
    <row r="5831" spans="1:13" x14ac:dyDescent="0.25">
      <c r="A5831" s="675" t="s">
        <v>5754</v>
      </c>
      <c r="B5831" s="675" t="s">
        <v>512</v>
      </c>
      <c r="C5831" s="675" t="s">
        <v>5775</v>
      </c>
      <c r="D5831" s="675"/>
      <c r="E5831" s="675"/>
      <c r="G5831" s="675"/>
      <c r="H5831" s="675"/>
      <c r="I5831" s="675"/>
      <c r="J5831" s="675"/>
      <c r="K5831" s="675"/>
      <c r="L5831" s="675"/>
      <c r="M5831" s="675"/>
    </row>
    <row r="5832" spans="1:13" x14ac:dyDescent="0.25">
      <c r="A5832" s="675" t="s">
        <v>5754</v>
      </c>
      <c r="B5832" s="675" t="s">
        <v>512</v>
      </c>
      <c r="C5832" s="675" t="s">
        <v>5776</v>
      </c>
      <c r="D5832" s="675"/>
      <c r="E5832" s="675"/>
      <c r="G5832" s="675"/>
      <c r="H5832" s="675"/>
      <c r="I5832" s="675"/>
      <c r="J5832" s="675"/>
      <c r="K5832" s="675"/>
      <c r="L5832" s="675"/>
      <c r="M5832" s="675"/>
    </row>
    <row r="5833" spans="1:13" x14ac:dyDescent="0.25">
      <c r="A5833" s="675" t="s">
        <v>5754</v>
      </c>
      <c r="B5833" s="675" t="s">
        <v>512</v>
      </c>
      <c r="C5833" s="675" t="s">
        <v>5777</v>
      </c>
      <c r="D5833" s="675"/>
      <c r="E5833" s="675"/>
      <c r="G5833" s="675"/>
      <c r="H5833" s="675"/>
      <c r="I5833" s="675"/>
      <c r="J5833" s="675"/>
      <c r="K5833" s="675"/>
      <c r="L5833" s="675"/>
      <c r="M5833" s="675"/>
    </row>
    <row r="5834" spans="1:13" x14ac:dyDescent="0.25">
      <c r="A5834" s="675" t="s">
        <v>5754</v>
      </c>
      <c r="B5834" s="675" t="s">
        <v>512</v>
      </c>
      <c r="C5834" s="675" t="s">
        <v>5778</v>
      </c>
      <c r="D5834" s="675"/>
      <c r="E5834" s="675"/>
      <c r="G5834" s="675"/>
      <c r="H5834" s="675"/>
      <c r="I5834" s="675"/>
      <c r="J5834" s="675"/>
      <c r="K5834" s="675"/>
      <c r="L5834" s="675"/>
      <c r="M5834" s="675"/>
    </row>
    <row r="5835" spans="1:13" x14ac:dyDescent="0.25">
      <c r="A5835" s="675" t="s">
        <v>5754</v>
      </c>
      <c r="B5835" s="675" t="s">
        <v>512</v>
      </c>
      <c r="C5835" s="675" t="s">
        <v>5779</v>
      </c>
      <c r="D5835" s="675"/>
      <c r="E5835" s="675"/>
      <c r="G5835" s="675"/>
      <c r="H5835" s="675"/>
      <c r="I5835" s="675"/>
      <c r="J5835" s="675"/>
      <c r="K5835" s="675"/>
      <c r="L5835" s="675"/>
      <c r="M5835" s="675"/>
    </row>
    <row r="5836" spans="1:13" x14ac:dyDescent="0.25">
      <c r="A5836" s="675" t="s">
        <v>5754</v>
      </c>
      <c r="B5836" s="675" t="s">
        <v>512</v>
      </c>
      <c r="C5836" s="675" t="s">
        <v>5780</v>
      </c>
      <c r="D5836" s="675"/>
      <c r="E5836" s="675"/>
      <c r="G5836" s="675"/>
      <c r="H5836" s="675"/>
      <c r="I5836" s="675"/>
      <c r="J5836" s="675"/>
      <c r="K5836" s="675"/>
      <c r="L5836" s="675"/>
      <c r="M5836" s="675"/>
    </row>
    <row r="5837" spans="1:13" x14ac:dyDescent="0.25">
      <c r="A5837" s="675" t="s">
        <v>5754</v>
      </c>
      <c r="B5837" s="675" t="s">
        <v>512</v>
      </c>
      <c r="C5837" s="675" t="s">
        <v>5781</v>
      </c>
      <c r="D5837" s="675"/>
      <c r="E5837" s="675"/>
      <c r="G5837" s="675"/>
      <c r="H5837" s="675"/>
      <c r="I5837" s="675"/>
      <c r="J5837" s="675"/>
      <c r="K5837" s="675"/>
      <c r="L5837" s="675"/>
      <c r="M5837" s="675"/>
    </row>
    <row r="5838" spans="1:13" x14ac:dyDescent="0.25">
      <c r="A5838" s="675" t="s">
        <v>5754</v>
      </c>
      <c r="B5838" s="675" t="s">
        <v>512</v>
      </c>
      <c r="C5838" s="675" t="s">
        <v>5782</v>
      </c>
      <c r="D5838" s="675"/>
      <c r="E5838" s="675"/>
      <c r="G5838" s="675"/>
      <c r="H5838" s="675"/>
      <c r="I5838" s="675"/>
      <c r="J5838" s="675"/>
      <c r="K5838" s="675"/>
      <c r="L5838" s="675"/>
      <c r="M5838" s="675"/>
    </row>
    <row r="5839" spans="1:13" x14ac:dyDescent="0.25">
      <c r="A5839" s="675" t="s">
        <v>5754</v>
      </c>
      <c r="B5839" s="675" t="s">
        <v>512</v>
      </c>
      <c r="C5839" s="675" t="s">
        <v>5783</v>
      </c>
      <c r="D5839" s="675"/>
      <c r="E5839" s="675"/>
      <c r="G5839" s="675"/>
      <c r="H5839" s="675"/>
      <c r="I5839" s="675"/>
      <c r="J5839" s="675"/>
      <c r="K5839" s="675"/>
      <c r="L5839" s="675"/>
      <c r="M5839" s="675"/>
    </row>
    <row r="5840" spans="1:13" x14ac:dyDescent="0.25">
      <c r="A5840" s="675" t="s">
        <v>5754</v>
      </c>
      <c r="B5840" s="675" t="s">
        <v>512</v>
      </c>
      <c r="C5840" s="675" t="s">
        <v>5784</v>
      </c>
      <c r="D5840" s="675"/>
      <c r="E5840" s="675"/>
      <c r="G5840" s="675"/>
      <c r="H5840" s="675"/>
      <c r="I5840" s="675"/>
      <c r="J5840" s="675"/>
      <c r="K5840" s="675"/>
      <c r="L5840" s="675"/>
      <c r="M5840" s="675"/>
    </row>
    <row r="5841" spans="1:13" x14ac:dyDescent="0.25">
      <c r="A5841" s="675" t="s">
        <v>789</v>
      </c>
      <c r="B5841" s="675" t="s">
        <v>545</v>
      </c>
      <c r="C5841" s="675" t="s">
        <v>5785</v>
      </c>
      <c r="D5841" s="675"/>
      <c r="E5841" s="675"/>
      <c r="G5841" s="675"/>
      <c r="H5841" s="675"/>
      <c r="I5841" s="675"/>
      <c r="J5841" s="675"/>
      <c r="K5841" s="675"/>
      <c r="L5841" s="675"/>
      <c r="M5841" s="675"/>
    </row>
    <row r="5842" spans="1:13" x14ac:dyDescent="0.25">
      <c r="A5842" s="675" t="s">
        <v>789</v>
      </c>
      <c r="B5842" s="675" t="s">
        <v>545</v>
      </c>
      <c r="C5842" s="675" t="s">
        <v>5786</v>
      </c>
      <c r="D5842" s="675"/>
      <c r="E5842" s="675"/>
      <c r="G5842" s="675"/>
      <c r="H5842" s="675"/>
      <c r="I5842" s="675"/>
      <c r="J5842" s="675"/>
      <c r="K5842" s="675"/>
      <c r="L5842" s="675"/>
      <c r="M5842" s="675"/>
    </row>
    <row r="5843" spans="1:13" x14ac:dyDescent="0.25">
      <c r="A5843" s="675" t="s">
        <v>789</v>
      </c>
      <c r="B5843" s="675" t="s">
        <v>545</v>
      </c>
      <c r="C5843" s="675" t="s">
        <v>5787</v>
      </c>
      <c r="D5843" s="675"/>
      <c r="E5843" s="675"/>
      <c r="G5843" s="675"/>
      <c r="H5843" s="675"/>
      <c r="I5843" s="675"/>
      <c r="J5843" s="675"/>
      <c r="K5843" s="675"/>
      <c r="L5843" s="675"/>
      <c r="M5843" s="675"/>
    </row>
    <row r="5844" spans="1:13" x14ac:dyDescent="0.25">
      <c r="A5844" s="675" t="s">
        <v>789</v>
      </c>
      <c r="B5844" s="675" t="s">
        <v>545</v>
      </c>
      <c r="C5844" s="675" t="s">
        <v>5788</v>
      </c>
      <c r="D5844" s="675"/>
      <c r="E5844" s="675"/>
      <c r="G5844" s="675"/>
      <c r="H5844" s="675"/>
      <c r="I5844" s="675"/>
      <c r="J5844" s="675"/>
      <c r="K5844" s="675"/>
      <c r="L5844" s="675"/>
      <c r="M5844" s="675"/>
    </row>
    <row r="5845" spans="1:13" x14ac:dyDescent="0.25">
      <c r="A5845" s="675" t="s">
        <v>789</v>
      </c>
      <c r="B5845" s="675" t="s">
        <v>545</v>
      </c>
      <c r="C5845" s="675" t="s">
        <v>5789</v>
      </c>
      <c r="D5845" s="675"/>
      <c r="E5845" s="675"/>
      <c r="G5845" s="675"/>
      <c r="H5845" s="675"/>
      <c r="I5845" s="675"/>
      <c r="J5845" s="675"/>
      <c r="K5845" s="675"/>
      <c r="L5845" s="675"/>
      <c r="M5845" s="675"/>
    </row>
    <row r="5846" spans="1:13" x14ac:dyDescent="0.25">
      <c r="A5846" s="675" t="s">
        <v>789</v>
      </c>
      <c r="B5846" s="675" t="s">
        <v>545</v>
      </c>
      <c r="C5846" s="675" t="s">
        <v>5790</v>
      </c>
      <c r="D5846" s="675"/>
      <c r="E5846" s="675"/>
      <c r="G5846" s="675"/>
      <c r="H5846" s="675"/>
      <c r="I5846" s="675"/>
      <c r="J5846" s="675"/>
      <c r="K5846" s="675"/>
      <c r="L5846" s="675"/>
      <c r="M5846" s="675"/>
    </row>
    <row r="5847" spans="1:13" x14ac:dyDescent="0.25">
      <c r="A5847" s="675" t="s">
        <v>789</v>
      </c>
      <c r="B5847" s="675" t="s">
        <v>545</v>
      </c>
      <c r="C5847" s="675" t="s">
        <v>5791</v>
      </c>
      <c r="D5847" s="675"/>
      <c r="E5847" s="675"/>
      <c r="G5847" s="675"/>
      <c r="H5847" s="675"/>
      <c r="I5847" s="675"/>
      <c r="J5847" s="675"/>
      <c r="K5847" s="675"/>
      <c r="L5847" s="675"/>
      <c r="M5847" s="675"/>
    </row>
    <row r="5848" spans="1:13" x14ac:dyDescent="0.25">
      <c r="A5848" s="675" t="s">
        <v>789</v>
      </c>
      <c r="B5848" s="675" t="s">
        <v>545</v>
      </c>
      <c r="C5848" s="675" t="s">
        <v>5792</v>
      </c>
      <c r="D5848" s="675"/>
      <c r="E5848" s="675"/>
      <c r="G5848" s="675"/>
      <c r="H5848" s="675"/>
      <c r="I5848" s="675"/>
      <c r="J5848" s="675"/>
      <c r="K5848" s="675"/>
      <c r="L5848" s="675"/>
      <c r="M5848" s="675"/>
    </row>
    <row r="5849" spans="1:13" x14ac:dyDescent="0.25">
      <c r="A5849" s="675" t="s">
        <v>789</v>
      </c>
      <c r="B5849" s="675" t="s">
        <v>545</v>
      </c>
      <c r="C5849" s="675" t="s">
        <v>5793</v>
      </c>
      <c r="D5849" s="675"/>
      <c r="E5849" s="675"/>
      <c r="G5849" s="675"/>
      <c r="H5849" s="675"/>
      <c r="I5849" s="675"/>
      <c r="J5849" s="675"/>
      <c r="K5849" s="675"/>
      <c r="L5849" s="675"/>
      <c r="M5849" s="675"/>
    </row>
    <row r="5850" spans="1:13" x14ac:dyDescent="0.25">
      <c r="A5850" s="675" t="s">
        <v>789</v>
      </c>
      <c r="B5850" s="675" t="s">
        <v>545</v>
      </c>
      <c r="C5850" s="675" t="s">
        <v>5794</v>
      </c>
      <c r="D5850" s="675"/>
      <c r="E5850" s="675"/>
      <c r="G5850" s="675"/>
      <c r="H5850" s="675"/>
      <c r="I5850" s="675"/>
      <c r="J5850" s="675"/>
      <c r="K5850" s="675"/>
      <c r="L5850" s="675"/>
      <c r="M5850" s="675"/>
    </row>
    <row r="5851" spans="1:13" x14ac:dyDescent="0.25">
      <c r="A5851" s="675" t="s">
        <v>789</v>
      </c>
      <c r="B5851" s="675" t="s">
        <v>564</v>
      </c>
      <c r="C5851" s="675" t="s">
        <v>5795</v>
      </c>
      <c r="D5851" s="675"/>
      <c r="E5851" s="675"/>
      <c r="G5851" s="675"/>
      <c r="H5851" s="675"/>
      <c r="I5851" s="675"/>
      <c r="J5851" s="675"/>
      <c r="K5851" s="675"/>
      <c r="L5851" s="675"/>
      <c r="M5851" s="675"/>
    </row>
    <row r="5852" spans="1:13" x14ac:dyDescent="0.25">
      <c r="A5852" s="675" t="s">
        <v>789</v>
      </c>
      <c r="B5852" s="675" t="s">
        <v>564</v>
      </c>
      <c r="C5852" s="675" t="s">
        <v>5796</v>
      </c>
      <c r="D5852" s="675"/>
      <c r="E5852" s="675"/>
      <c r="G5852" s="675"/>
      <c r="H5852" s="675"/>
      <c r="I5852" s="675"/>
      <c r="J5852" s="675"/>
      <c r="K5852" s="675"/>
      <c r="L5852" s="675"/>
      <c r="M5852" s="675"/>
    </row>
    <row r="5853" spans="1:13" x14ac:dyDescent="0.25">
      <c r="A5853" s="675" t="s">
        <v>789</v>
      </c>
      <c r="B5853" s="675" t="s">
        <v>564</v>
      </c>
      <c r="C5853" s="675" t="s">
        <v>5797</v>
      </c>
      <c r="D5853" s="675"/>
      <c r="E5853" s="675"/>
      <c r="G5853" s="675"/>
      <c r="H5853" s="675"/>
      <c r="I5853" s="675"/>
      <c r="J5853" s="675"/>
      <c r="K5853" s="675"/>
      <c r="L5853" s="675"/>
      <c r="M5853" s="675"/>
    </row>
    <row r="5854" spans="1:13" x14ac:dyDescent="0.25">
      <c r="A5854" s="675" t="s">
        <v>789</v>
      </c>
      <c r="B5854" s="675" t="s">
        <v>564</v>
      </c>
      <c r="C5854" s="675" t="s">
        <v>5798</v>
      </c>
      <c r="D5854" s="675"/>
      <c r="E5854" s="675"/>
      <c r="G5854" s="675"/>
      <c r="H5854" s="675"/>
      <c r="I5854" s="675"/>
      <c r="J5854" s="675"/>
      <c r="K5854" s="675"/>
      <c r="L5854" s="675"/>
      <c r="M5854" s="675"/>
    </row>
    <row r="5855" spans="1:13" x14ac:dyDescent="0.25">
      <c r="A5855" s="675" t="s">
        <v>789</v>
      </c>
      <c r="B5855" s="675" t="s">
        <v>564</v>
      </c>
      <c r="C5855" s="675" t="s">
        <v>5799</v>
      </c>
      <c r="D5855" s="675"/>
      <c r="E5855" s="675"/>
      <c r="G5855" s="675"/>
      <c r="H5855" s="675"/>
      <c r="I5855" s="675"/>
      <c r="J5855" s="675"/>
      <c r="K5855" s="675"/>
      <c r="L5855" s="675"/>
      <c r="M5855" s="675"/>
    </row>
    <row r="5856" spans="1:13" x14ac:dyDescent="0.25">
      <c r="A5856" s="675" t="s">
        <v>789</v>
      </c>
      <c r="B5856" s="675" t="s">
        <v>564</v>
      </c>
      <c r="C5856" s="675" t="s">
        <v>5800</v>
      </c>
      <c r="D5856" s="675"/>
      <c r="E5856" s="675"/>
      <c r="G5856" s="675"/>
      <c r="H5856" s="675"/>
      <c r="I5856" s="675"/>
      <c r="J5856" s="675"/>
      <c r="K5856" s="675"/>
      <c r="L5856" s="675"/>
      <c r="M5856" s="675"/>
    </row>
    <row r="5857" spans="1:13" x14ac:dyDescent="0.25">
      <c r="A5857" s="675" t="s">
        <v>789</v>
      </c>
      <c r="B5857" s="675" t="s">
        <v>564</v>
      </c>
      <c r="C5857" s="675" t="s">
        <v>5801</v>
      </c>
      <c r="D5857" s="675"/>
      <c r="E5857" s="675"/>
      <c r="G5857" s="675"/>
      <c r="H5857" s="675"/>
      <c r="I5857" s="675"/>
      <c r="J5857" s="675"/>
      <c r="K5857" s="675"/>
      <c r="L5857" s="675"/>
      <c r="M5857" s="675"/>
    </row>
    <row r="5858" spans="1:13" x14ac:dyDescent="0.25">
      <c r="A5858" s="675" t="s">
        <v>789</v>
      </c>
      <c r="B5858" s="675" t="s">
        <v>564</v>
      </c>
      <c r="C5858" s="675" t="s">
        <v>5802</v>
      </c>
      <c r="D5858" s="675"/>
      <c r="E5858" s="675"/>
      <c r="G5858" s="675"/>
      <c r="H5858" s="675"/>
      <c r="I5858" s="675"/>
      <c r="J5858" s="675"/>
      <c r="K5858" s="675"/>
      <c r="L5858" s="675"/>
      <c r="M5858" s="675"/>
    </row>
    <row r="5859" spans="1:13" x14ac:dyDescent="0.25">
      <c r="A5859" s="675" t="s">
        <v>789</v>
      </c>
      <c r="B5859" s="675" t="s">
        <v>564</v>
      </c>
      <c r="C5859" s="675" t="s">
        <v>5803</v>
      </c>
      <c r="D5859" s="675"/>
      <c r="E5859" s="675"/>
      <c r="G5859" s="675"/>
      <c r="H5859" s="675"/>
      <c r="I5859" s="675"/>
      <c r="J5859" s="675"/>
      <c r="K5859" s="675"/>
      <c r="L5859" s="675"/>
      <c r="M5859" s="675"/>
    </row>
    <row r="5860" spans="1:13" x14ac:dyDescent="0.25">
      <c r="A5860" s="675" t="s">
        <v>789</v>
      </c>
      <c r="B5860" s="675" t="s">
        <v>564</v>
      </c>
      <c r="C5860" s="675" t="s">
        <v>5804</v>
      </c>
      <c r="D5860" s="675"/>
      <c r="E5860" s="675"/>
      <c r="G5860" s="675"/>
      <c r="H5860" s="675"/>
      <c r="I5860" s="675"/>
      <c r="J5860" s="675"/>
      <c r="K5860" s="675"/>
      <c r="L5860" s="675"/>
      <c r="M5860" s="675"/>
    </row>
    <row r="5861" spans="1:13" x14ac:dyDescent="0.25">
      <c r="A5861" s="675" t="s">
        <v>789</v>
      </c>
      <c r="B5861" s="675" t="s">
        <v>512</v>
      </c>
      <c r="C5861" s="675" t="s">
        <v>5805</v>
      </c>
      <c r="D5861" s="675"/>
      <c r="E5861" s="675"/>
      <c r="G5861" s="675"/>
      <c r="H5861" s="675"/>
      <c r="I5861" s="675"/>
      <c r="J5861" s="675"/>
      <c r="K5861" s="675"/>
      <c r="L5861" s="675"/>
      <c r="M5861" s="675"/>
    </row>
    <row r="5862" spans="1:13" x14ac:dyDescent="0.25">
      <c r="A5862" s="675" t="s">
        <v>789</v>
      </c>
      <c r="B5862" s="675" t="s">
        <v>512</v>
      </c>
      <c r="C5862" s="675" t="s">
        <v>5806</v>
      </c>
      <c r="D5862" s="675"/>
      <c r="E5862" s="675"/>
      <c r="G5862" s="675"/>
      <c r="H5862" s="675"/>
      <c r="I5862" s="675"/>
      <c r="J5862" s="675"/>
      <c r="K5862" s="675"/>
      <c r="L5862" s="675"/>
      <c r="M5862" s="675"/>
    </row>
    <row r="5863" spans="1:13" x14ac:dyDescent="0.25">
      <c r="A5863" s="675" t="s">
        <v>789</v>
      </c>
      <c r="B5863" s="675" t="s">
        <v>512</v>
      </c>
      <c r="C5863" s="675" t="s">
        <v>5807</v>
      </c>
      <c r="D5863" s="675"/>
      <c r="E5863" s="675"/>
      <c r="G5863" s="675"/>
      <c r="H5863" s="675"/>
      <c r="I5863" s="675"/>
      <c r="J5863" s="675"/>
      <c r="K5863" s="675"/>
      <c r="L5863" s="675"/>
      <c r="M5863" s="675"/>
    </row>
    <row r="5864" spans="1:13" x14ac:dyDescent="0.25">
      <c r="A5864" s="675" t="s">
        <v>789</v>
      </c>
      <c r="B5864" s="675" t="s">
        <v>512</v>
      </c>
      <c r="C5864" s="675" t="s">
        <v>5808</v>
      </c>
      <c r="D5864" s="675"/>
      <c r="E5864" s="675"/>
      <c r="G5864" s="675"/>
      <c r="H5864" s="675"/>
      <c r="I5864" s="675"/>
      <c r="J5864" s="675"/>
      <c r="K5864" s="675"/>
      <c r="L5864" s="675"/>
      <c r="M5864" s="675"/>
    </row>
    <row r="5865" spans="1:13" x14ac:dyDescent="0.25">
      <c r="A5865" s="675" t="s">
        <v>789</v>
      </c>
      <c r="B5865" s="675" t="s">
        <v>512</v>
      </c>
      <c r="C5865" s="675" t="s">
        <v>5809</v>
      </c>
      <c r="D5865" s="675"/>
      <c r="E5865" s="675"/>
      <c r="G5865" s="675"/>
      <c r="H5865" s="675"/>
      <c r="I5865" s="675"/>
      <c r="J5865" s="675"/>
      <c r="K5865" s="675"/>
      <c r="L5865" s="675"/>
      <c r="M5865" s="675"/>
    </row>
    <row r="5866" spans="1:13" x14ac:dyDescent="0.25">
      <c r="A5866" s="675" t="s">
        <v>789</v>
      </c>
      <c r="B5866" s="675" t="s">
        <v>512</v>
      </c>
      <c r="C5866" s="675" t="s">
        <v>5810</v>
      </c>
      <c r="D5866" s="675"/>
      <c r="E5866" s="675"/>
      <c r="G5866" s="675"/>
      <c r="H5866" s="675"/>
      <c r="I5866" s="675"/>
      <c r="J5866" s="675"/>
      <c r="K5866" s="675"/>
      <c r="L5866" s="675"/>
      <c r="M5866" s="675"/>
    </row>
    <row r="5867" spans="1:13" x14ac:dyDescent="0.25">
      <c r="A5867" s="675" t="s">
        <v>789</v>
      </c>
      <c r="B5867" s="675" t="s">
        <v>512</v>
      </c>
      <c r="C5867" s="675" t="s">
        <v>5811</v>
      </c>
      <c r="D5867" s="675"/>
      <c r="E5867" s="675"/>
      <c r="G5867" s="675"/>
      <c r="H5867" s="675"/>
      <c r="I5867" s="675"/>
      <c r="J5867" s="675"/>
      <c r="K5867" s="675"/>
      <c r="L5867" s="675"/>
      <c r="M5867" s="675"/>
    </row>
    <row r="5868" spans="1:13" x14ac:dyDescent="0.25">
      <c r="A5868" s="675" t="s">
        <v>789</v>
      </c>
      <c r="B5868" s="675" t="s">
        <v>512</v>
      </c>
      <c r="C5868" s="675" t="s">
        <v>5812</v>
      </c>
      <c r="D5868" s="675"/>
      <c r="E5868" s="675"/>
      <c r="G5868" s="675"/>
      <c r="H5868" s="675"/>
      <c r="I5868" s="675"/>
      <c r="J5868" s="675"/>
      <c r="K5868" s="675"/>
      <c r="L5868" s="675"/>
      <c r="M5868" s="675"/>
    </row>
    <row r="5869" spans="1:13" x14ac:dyDescent="0.25">
      <c r="A5869" s="675" t="s">
        <v>789</v>
      </c>
      <c r="B5869" s="675" t="s">
        <v>512</v>
      </c>
      <c r="C5869" s="675" t="s">
        <v>5813</v>
      </c>
      <c r="D5869" s="675"/>
      <c r="E5869" s="675"/>
      <c r="G5869" s="675"/>
      <c r="H5869" s="675"/>
      <c r="I5869" s="675"/>
      <c r="J5869" s="675"/>
      <c r="K5869" s="675"/>
      <c r="L5869" s="675"/>
      <c r="M5869" s="675"/>
    </row>
    <row r="5870" spans="1:13" x14ac:dyDescent="0.25">
      <c r="A5870" s="675" t="s">
        <v>789</v>
      </c>
      <c r="B5870" s="675" t="s">
        <v>512</v>
      </c>
      <c r="C5870" s="675" t="s">
        <v>5814</v>
      </c>
      <c r="D5870" s="675"/>
      <c r="E5870" s="675"/>
      <c r="G5870" s="675"/>
      <c r="H5870" s="675"/>
      <c r="I5870" s="675"/>
      <c r="J5870" s="675"/>
      <c r="K5870" s="675"/>
      <c r="L5870" s="675"/>
      <c r="M5870" s="675"/>
    </row>
    <row r="5871" spans="1:13" x14ac:dyDescent="0.25">
      <c r="A5871" s="675" t="s">
        <v>5815</v>
      </c>
      <c r="B5871" s="675" t="s">
        <v>545</v>
      </c>
      <c r="C5871" s="675" t="s">
        <v>5816</v>
      </c>
      <c r="D5871" s="675"/>
      <c r="E5871" s="675"/>
      <c r="G5871" s="675"/>
      <c r="H5871" s="675"/>
      <c r="I5871" s="675"/>
      <c r="J5871" s="675"/>
      <c r="K5871" s="675"/>
      <c r="L5871" s="675"/>
      <c r="M5871" s="675"/>
    </row>
    <row r="5872" spans="1:13" x14ac:dyDescent="0.25">
      <c r="A5872" s="675" t="s">
        <v>5815</v>
      </c>
      <c r="B5872" s="675" t="s">
        <v>545</v>
      </c>
      <c r="C5872" s="675" t="s">
        <v>5817</v>
      </c>
      <c r="D5872" s="675"/>
      <c r="E5872" s="675"/>
      <c r="G5872" s="675"/>
      <c r="H5872" s="675"/>
      <c r="I5872" s="675"/>
      <c r="J5872" s="675"/>
      <c r="K5872" s="675"/>
      <c r="L5872" s="675"/>
      <c r="M5872" s="675"/>
    </row>
    <row r="5873" spans="1:13" x14ac:dyDescent="0.25">
      <c r="A5873" s="675" t="s">
        <v>5815</v>
      </c>
      <c r="B5873" s="675" t="s">
        <v>545</v>
      </c>
      <c r="C5873" s="675" t="s">
        <v>5818</v>
      </c>
      <c r="D5873" s="675"/>
      <c r="E5873" s="675"/>
      <c r="G5873" s="675"/>
      <c r="H5873" s="675"/>
      <c r="I5873" s="675"/>
      <c r="J5873" s="675"/>
      <c r="K5873" s="675"/>
      <c r="L5873" s="675"/>
      <c r="M5873" s="675"/>
    </row>
    <row r="5874" spans="1:13" x14ac:dyDescent="0.25">
      <c r="A5874" s="675" t="s">
        <v>5815</v>
      </c>
      <c r="B5874" s="675" t="s">
        <v>545</v>
      </c>
      <c r="C5874" s="675" t="s">
        <v>5819</v>
      </c>
      <c r="D5874" s="675"/>
      <c r="E5874" s="675"/>
      <c r="G5874" s="675"/>
      <c r="H5874" s="675"/>
      <c r="I5874" s="675"/>
      <c r="J5874" s="675"/>
      <c r="K5874" s="675"/>
      <c r="L5874" s="675"/>
      <c r="M5874" s="675"/>
    </row>
    <row r="5875" spans="1:13" x14ac:dyDescent="0.25">
      <c r="A5875" s="675" t="s">
        <v>5815</v>
      </c>
      <c r="B5875" s="675" t="s">
        <v>545</v>
      </c>
      <c r="C5875" s="675" t="s">
        <v>5820</v>
      </c>
      <c r="D5875" s="675"/>
      <c r="E5875" s="675"/>
      <c r="G5875" s="675"/>
      <c r="H5875" s="675"/>
      <c r="I5875" s="675"/>
      <c r="J5875" s="675"/>
      <c r="K5875" s="675"/>
      <c r="L5875" s="675"/>
      <c r="M5875" s="675"/>
    </row>
    <row r="5876" spans="1:13" x14ac:dyDescent="0.25">
      <c r="A5876" s="675" t="s">
        <v>5815</v>
      </c>
      <c r="B5876" s="675" t="s">
        <v>545</v>
      </c>
      <c r="C5876" s="675" t="s">
        <v>5821</v>
      </c>
      <c r="D5876" s="675"/>
      <c r="E5876" s="675"/>
      <c r="G5876" s="675"/>
      <c r="H5876" s="675"/>
      <c r="I5876" s="675"/>
      <c r="J5876" s="675"/>
      <c r="K5876" s="675"/>
      <c r="L5876" s="675"/>
      <c r="M5876" s="675"/>
    </row>
    <row r="5877" spans="1:13" x14ac:dyDescent="0.25">
      <c r="A5877" s="675" t="s">
        <v>5815</v>
      </c>
      <c r="B5877" s="675" t="s">
        <v>545</v>
      </c>
      <c r="C5877" s="675" t="s">
        <v>5822</v>
      </c>
      <c r="D5877" s="675"/>
      <c r="E5877" s="675"/>
      <c r="G5877" s="675"/>
      <c r="H5877" s="675"/>
      <c r="I5877" s="675"/>
      <c r="J5877" s="675"/>
      <c r="K5877" s="675"/>
      <c r="L5877" s="675"/>
      <c r="M5877" s="675"/>
    </row>
    <row r="5878" spans="1:13" x14ac:dyDescent="0.25">
      <c r="A5878" s="675" t="s">
        <v>5815</v>
      </c>
      <c r="B5878" s="675" t="s">
        <v>545</v>
      </c>
      <c r="C5878" s="675" t="s">
        <v>5823</v>
      </c>
      <c r="D5878" s="675"/>
      <c r="E5878" s="675"/>
      <c r="G5878" s="675"/>
      <c r="H5878" s="675"/>
      <c r="I5878" s="675"/>
      <c r="J5878" s="675"/>
      <c r="K5878" s="675"/>
      <c r="L5878" s="675"/>
      <c r="M5878" s="675"/>
    </row>
    <row r="5879" spans="1:13" x14ac:dyDescent="0.25">
      <c r="A5879" s="675" t="s">
        <v>5815</v>
      </c>
      <c r="B5879" s="675" t="s">
        <v>545</v>
      </c>
      <c r="C5879" s="675" t="s">
        <v>5824</v>
      </c>
      <c r="D5879" s="675"/>
      <c r="E5879" s="675"/>
      <c r="G5879" s="675"/>
      <c r="H5879" s="675"/>
      <c r="I5879" s="675"/>
      <c r="J5879" s="675"/>
      <c r="K5879" s="675"/>
      <c r="L5879" s="675"/>
      <c r="M5879" s="675"/>
    </row>
    <row r="5880" spans="1:13" x14ac:dyDescent="0.25">
      <c r="A5880" s="675" t="s">
        <v>5815</v>
      </c>
      <c r="B5880" s="675" t="s">
        <v>545</v>
      </c>
      <c r="C5880" s="675" t="s">
        <v>5825</v>
      </c>
      <c r="D5880" s="675"/>
      <c r="E5880" s="675"/>
      <c r="G5880" s="675"/>
      <c r="H5880" s="675"/>
      <c r="I5880" s="675"/>
      <c r="J5880" s="675"/>
      <c r="K5880" s="675"/>
      <c r="L5880" s="675"/>
      <c r="M5880" s="675"/>
    </row>
    <row r="5881" spans="1:13" x14ac:dyDescent="0.25">
      <c r="A5881" s="675" t="s">
        <v>5815</v>
      </c>
      <c r="B5881" s="675" t="s">
        <v>564</v>
      </c>
      <c r="C5881" s="675" t="s">
        <v>5826</v>
      </c>
      <c r="D5881" s="675"/>
      <c r="E5881" s="675"/>
      <c r="G5881" s="675"/>
      <c r="H5881" s="675"/>
      <c r="I5881" s="675"/>
      <c r="J5881" s="675"/>
      <c r="K5881" s="675"/>
      <c r="L5881" s="675"/>
      <c r="M5881" s="675"/>
    </row>
    <row r="5882" spans="1:13" x14ac:dyDescent="0.25">
      <c r="A5882" s="675" t="s">
        <v>5815</v>
      </c>
      <c r="B5882" s="675" t="s">
        <v>564</v>
      </c>
      <c r="C5882" s="675" t="s">
        <v>5827</v>
      </c>
      <c r="D5882" s="675"/>
      <c r="E5882" s="675"/>
      <c r="G5882" s="675"/>
      <c r="H5882" s="675"/>
      <c r="I5882" s="675"/>
      <c r="J5882" s="675"/>
      <c r="K5882" s="675"/>
      <c r="L5882" s="675"/>
      <c r="M5882" s="675"/>
    </row>
    <row r="5883" spans="1:13" x14ac:dyDescent="0.25">
      <c r="A5883" s="675" t="s">
        <v>5815</v>
      </c>
      <c r="B5883" s="675" t="s">
        <v>564</v>
      </c>
      <c r="C5883" s="675" t="s">
        <v>5828</v>
      </c>
      <c r="D5883" s="675"/>
      <c r="E5883" s="675"/>
      <c r="G5883" s="675"/>
      <c r="H5883" s="675"/>
      <c r="I5883" s="675"/>
      <c r="J5883" s="675"/>
      <c r="K5883" s="675"/>
      <c r="L5883" s="675"/>
      <c r="M5883" s="675"/>
    </row>
    <row r="5884" spans="1:13" x14ac:dyDescent="0.25">
      <c r="A5884" s="675" t="s">
        <v>5815</v>
      </c>
      <c r="B5884" s="675" t="s">
        <v>564</v>
      </c>
      <c r="C5884" s="675" t="s">
        <v>5829</v>
      </c>
      <c r="D5884" s="675"/>
      <c r="E5884" s="675"/>
      <c r="G5884" s="675"/>
      <c r="H5884" s="675"/>
      <c r="I5884" s="675"/>
      <c r="J5884" s="675"/>
      <c r="K5884" s="675"/>
      <c r="L5884" s="675"/>
      <c r="M5884" s="675"/>
    </row>
    <row r="5885" spans="1:13" x14ac:dyDescent="0.25">
      <c r="A5885" s="675" t="s">
        <v>5815</v>
      </c>
      <c r="B5885" s="675" t="s">
        <v>564</v>
      </c>
      <c r="C5885" s="675" t="s">
        <v>5830</v>
      </c>
      <c r="D5885" s="675"/>
      <c r="E5885" s="675"/>
      <c r="G5885" s="675"/>
      <c r="H5885" s="675"/>
      <c r="I5885" s="675"/>
      <c r="J5885" s="675"/>
      <c r="K5885" s="675"/>
      <c r="L5885" s="675"/>
      <c r="M5885" s="675"/>
    </row>
    <row r="5886" spans="1:13" x14ac:dyDescent="0.25">
      <c r="A5886" s="675" t="s">
        <v>5815</v>
      </c>
      <c r="B5886" s="675" t="s">
        <v>564</v>
      </c>
      <c r="C5886" s="675" t="s">
        <v>5831</v>
      </c>
      <c r="D5886" s="675"/>
      <c r="E5886" s="675"/>
      <c r="G5886" s="675"/>
      <c r="H5886" s="675"/>
      <c r="I5886" s="675"/>
      <c r="J5886" s="675"/>
      <c r="K5886" s="675"/>
      <c r="L5886" s="675"/>
      <c r="M5886" s="675"/>
    </row>
    <row r="5887" spans="1:13" x14ac:dyDescent="0.25">
      <c r="A5887" s="675" t="s">
        <v>5815</v>
      </c>
      <c r="B5887" s="675" t="s">
        <v>564</v>
      </c>
      <c r="C5887" s="675" t="s">
        <v>5832</v>
      </c>
      <c r="D5887" s="675"/>
      <c r="E5887" s="675"/>
      <c r="G5887" s="675"/>
      <c r="H5887" s="675"/>
      <c r="I5887" s="675"/>
      <c r="J5887" s="675"/>
      <c r="K5887" s="675"/>
      <c r="L5887" s="675"/>
      <c r="M5887" s="675"/>
    </row>
    <row r="5888" spans="1:13" x14ac:dyDescent="0.25">
      <c r="A5888" s="675" t="s">
        <v>5815</v>
      </c>
      <c r="B5888" s="675" t="s">
        <v>564</v>
      </c>
      <c r="C5888" s="675" t="s">
        <v>5833</v>
      </c>
      <c r="D5888" s="675"/>
      <c r="E5888" s="675"/>
      <c r="G5888" s="675"/>
      <c r="H5888" s="675"/>
      <c r="I5888" s="675"/>
      <c r="J5888" s="675"/>
      <c r="K5888" s="675"/>
      <c r="L5888" s="675"/>
      <c r="M5888" s="675"/>
    </row>
    <row r="5889" spans="1:13" x14ac:dyDescent="0.25">
      <c r="A5889" s="675" t="s">
        <v>5815</v>
      </c>
      <c r="B5889" s="675" t="s">
        <v>564</v>
      </c>
      <c r="C5889" s="675" t="s">
        <v>5834</v>
      </c>
      <c r="D5889" s="675"/>
      <c r="E5889" s="675"/>
      <c r="G5889" s="675"/>
      <c r="H5889" s="675"/>
      <c r="I5889" s="675"/>
      <c r="J5889" s="675"/>
      <c r="K5889" s="675"/>
      <c r="L5889" s="675"/>
      <c r="M5889" s="675"/>
    </row>
    <row r="5890" spans="1:13" x14ac:dyDescent="0.25">
      <c r="A5890" s="675" t="s">
        <v>5815</v>
      </c>
      <c r="B5890" s="675" t="s">
        <v>564</v>
      </c>
      <c r="C5890" s="675" t="s">
        <v>5835</v>
      </c>
      <c r="D5890" s="675"/>
      <c r="E5890" s="675"/>
      <c r="G5890" s="675"/>
      <c r="H5890" s="675"/>
      <c r="I5890" s="675"/>
      <c r="J5890" s="675"/>
      <c r="K5890" s="675"/>
      <c r="L5890" s="675"/>
      <c r="M5890" s="675"/>
    </row>
    <row r="5891" spans="1:13" x14ac:dyDescent="0.25">
      <c r="A5891" s="675" t="s">
        <v>5815</v>
      </c>
      <c r="B5891" s="675" t="s">
        <v>512</v>
      </c>
      <c r="C5891" s="675" t="s">
        <v>5836</v>
      </c>
      <c r="D5891" s="675"/>
      <c r="E5891" s="675"/>
      <c r="G5891" s="675"/>
      <c r="H5891" s="675"/>
      <c r="I5891" s="675"/>
      <c r="J5891" s="675"/>
      <c r="K5891" s="675"/>
      <c r="L5891" s="675"/>
      <c r="M5891" s="675"/>
    </row>
    <row r="5892" spans="1:13" x14ac:dyDescent="0.25">
      <c r="A5892" s="675" t="s">
        <v>5815</v>
      </c>
      <c r="B5892" s="675" t="s">
        <v>512</v>
      </c>
      <c r="C5892" s="675" t="s">
        <v>5837</v>
      </c>
      <c r="D5892" s="675"/>
      <c r="E5892" s="675"/>
      <c r="G5892" s="675"/>
      <c r="H5892" s="675"/>
      <c r="I5892" s="675"/>
      <c r="J5892" s="675"/>
      <c r="K5892" s="675"/>
      <c r="L5892" s="675"/>
      <c r="M5892" s="675"/>
    </row>
    <row r="5893" spans="1:13" x14ac:dyDescent="0.25">
      <c r="A5893" s="675" t="s">
        <v>5815</v>
      </c>
      <c r="B5893" s="675" t="s">
        <v>512</v>
      </c>
      <c r="C5893" s="675" t="s">
        <v>5838</v>
      </c>
      <c r="D5893" s="675"/>
      <c r="E5893" s="675"/>
      <c r="G5893" s="675"/>
      <c r="H5893" s="675"/>
      <c r="I5893" s="675"/>
      <c r="J5893" s="675"/>
      <c r="K5893" s="675"/>
      <c r="L5893" s="675"/>
      <c r="M5893" s="675"/>
    </row>
    <row r="5894" spans="1:13" x14ac:dyDescent="0.25">
      <c r="A5894" s="675" t="s">
        <v>5815</v>
      </c>
      <c r="B5894" s="675" t="s">
        <v>512</v>
      </c>
      <c r="C5894" s="675" t="s">
        <v>5839</v>
      </c>
      <c r="D5894" s="675"/>
      <c r="E5894" s="675"/>
      <c r="G5894" s="675"/>
      <c r="H5894" s="675"/>
      <c r="I5894" s="675"/>
      <c r="J5894" s="675"/>
      <c r="K5894" s="675"/>
      <c r="L5894" s="675"/>
      <c r="M5894" s="675"/>
    </row>
    <row r="5895" spans="1:13" x14ac:dyDescent="0.25">
      <c r="A5895" s="675" t="s">
        <v>5815</v>
      </c>
      <c r="B5895" s="675" t="s">
        <v>512</v>
      </c>
      <c r="C5895" s="675" t="s">
        <v>5840</v>
      </c>
      <c r="D5895" s="675"/>
      <c r="E5895" s="675"/>
      <c r="G5895" s="675"/>
      <c r="H5895" s="675"/>
      <c r="I5895" s="675"/>
      <c r="J5895" s="675"/>
      <c r="K5895" s="675"/>
      <c r="L5895" s="675"/>
      <c r="M5895" s="675"/>
    </row>
    <row r="5896" spans="1:13" x14ac:dyDescent="0.25">
      <c r="A5896" s="675" t="s">
        <v>5815</v>
      </c>
      <c r="B5896" s="675" t="s">
        <v>512</v>
      </c>
      <c r="C5896" s="675" t="s">
        <v>5841</v>
      </c>
      <c r="D5896" s="675"/>
      <c r="E5896" s="675"/>
      <c r="G5896" s="675"/>
      <c r="H5896" s="675"/>
      <c r="I5896" s="675"/>
      <c r="J5896" s="675"/>
      <c r="K5896" s="675"/>
      <c r="L5896" s="675"/>
      <c r="M5896" s="675"/>
    </row>
    <row r="5897" spans="1:13" x14ac:dyDescent="0.25">
      <c r="A5897" s="675" t="s">
        <v>5815</v>
      </c>
      <c r="B5897" s="675" t="s">
        <v>512</v>
      </c>
      <c r="C5897" s="675" t="s">
        <v>5842</v>
      </c>
      <c r="D5897" s="675"/>
      <c r="E5897" s="675"/>
      <c r="G5897" s="675"/>
      <c r="H5897" s="675"/>
      <c r="I5897" s="675"/>
      <c r="J5897" s="675"/>
      <c r="K5897" s="675"/>
      <c r="L5897" s="675"/>
      <c r="M5897" s="675"/>
    </row>
    <row r="5898" spans="1:13" x14ac:dyDescent="0.25">
      <c r="A5898" s="675" t="s">
        <v>5815</v>
      </c>
      <c r="B5898" s="675" t="s">
        <v>512</v>
      </c>
      <c r="C5898" s="675" t="s">
        <v>5843</v>
      </c>
      <c r="D5898" s="675"/>
      <c r="E5898" s="675"/>
      <c r="G5898" s="675"/>
      <c r="H5898" s="675"/>
      <c r="I5898" s="675"/>
      <c r="J5898" s="675"/>
      <c r="K5898" s="675"/>
      <c r="L5898" s="675"/>
      <c r="M5898" s="675"/>
    </row>
    <row r="5899" spans="1:13" x14ac:dyDescent="0.25">
      <c r="A5899" s="675" t="s">
        <v>5815</v>
      </c>
      <c r="B5899" s="675" t="s">
        <v>512</v>
      </c>
      <c r="C5899" s="675" t="s">
        <v>5844</v>
      </c>
      <c r="D5899" s="675"/>
      <c r="E5899" s="675"/>
      <c r="G5899" s="675"/>
      <c r="H5899" s="675"/>
      <c r="I5899" s="675"/>
      <c r="J5899" s="675"/>
      <c r="K5899" s="675"/>
      <c r="L5899" s="675"/>
      <c r="M5899" s="675"/>
    </row>
    <row r="5900" spans="1:13" x14ac:dyDescent="0.25">
      <c r="A5900" s="675" t="s">
        <v>5815</v>
      </c>
      <c r="B5900" s="675" t="s">
        <v>512</v>
      </c>
      <c r="C5900" s="675" t="s">
        <v>5845</v>
      </c>
      <c r="D5900" s="675"/>
      <c r="E5900" s="675"/>
      <c r="G5900" s="675"/>
      <c r="H5900" s="675"/>
      <c r="I5900" s="675"/>
      <c r="J5900" s="675"/>
      <c r="K5900" s="675"/>
      <c r="L5900" s="675"/>
      <c r="M5900" s="675"/>
    </row>
    <row r="5901" spans="1:13" x14ac:dyDescent="0.25">
      <c r="A5901" s="675" t="s">
        <v>857</v>
      </c>
      <c r="B5901" s="675" t="s">
        <v>545</v>
      </c>
      <c r="C5901" s="675" t="s">
        <v>5846</v>
      </c>
      <c r="D5901" s="675"/>
      <c r="E5901" s="675"/>
      <c r="G5901" s="675"/>
      <c r="H5901" s="675"/>
      <c r="I5901" s="675"/>
      <c r="J5901" s="675"/>
      <c r="K5901" s="675"/>
      <c r="L5901" s="675"/>
      <c r="M5901" s="675"/>
    </row>
    <row r="5902" spans="1:13" x14ac:dyDescent="0.25">
      <c r="A5902" s="675" t="s">
        <v>857</v>
      </c>
      <c r="B5902" s="675" t="s">
        <v>545</v>
      </c>
      <c r="C5902" s="675" t="s">
        <v>5847</v>
      </c>
      <c r="D5902" s="675"/>
      <c r="E5902" s="675"/>
      <c r="G5902" s="675"/>
      <c r="H5902" s="675"/>
      <c r="I5902" s="675"/>
      <c r="J5902" s="675"/>
      <c r="K5902" s="675"/>
      <c r="L5902" s="675"/>
      <c r="M5902" s="675"/>
    </row>
    <row r="5903" spans="1:13" x14ac:dyDescent="0.25">
      <c r="A5903" s="675" t="s">
        <v>857</v>
      </c>
      <c r="B5903" s="675" t="s">
        <v>545</v>
      </c>
      <c r="C5903" s="675" t="s">
        <v>5848</v>
      </c>
      <c r="D5903" s="675"/>
      <c r="E5903" s="675"/>
      <c r="G5903" s="675"/>
      <c r="H5903" s="675"/>
      <c r="I5903" s="675"/>
      <c r="J5903" s="675"/>
      <c r="K5903" s="675"/>
      <c r="L5903" s="675"/>
      <c r="M5903" s="675"/>
    </row>
    <row r="5904" spans="1:13" x14ac:dyDescent="0.25">
      <c r="A5904" s="675" t="s">
        <v>857</v>
      </c>
      <c r="B5904" s="675" t="s">
        <v>545</v>
      </c>
      <c r="C5904" s="675" t="s">
        <v>5849</v>
      </c>
      <c r="D5904" s="675"/>
      <c r="E5904" s="675"/>
      <c r="G5904" s="675"/>
      <c r="H5904" s="675"/>
      <c r="I5904" s="675"/>
      <c r="J5904" s="675"/>
      <c r="K5904" s="675"/>
      <c r="L5904" s="675"/>
      <c r="M5904" s="675"/>
    </row>
    <row r="5905" spans="1:13" x14ac:dyDescent="0.25">
      <c r="A5905" s="675" t="s">
        <v>857</v>
      </c>
      <c r="B5905" s="675" t="s">
        <v>545</v>
      </c>
      <c r="C5905" s="675" t="s">
        <v>5850</v>
      </c>
      <c r="D5905" s="675"/>
      <c r="E5905" s="675"/>
      <c r="G5905" s="675"/>
      <c r="H5905" s="675"/>
      <c r="I5905" s="675"/>
      <c r="J5905" s="675"/>
      <c r="K5905" s="675"/>
      <c r="L5905" s="675"/>
      <c r="M5905" s="675"/>
    </row>
    <row r="5906" spans="1:13" x14ac:dyDescent="0.25">
      <c r="A5906" s="675" t="s">
        <v>857</v>
      </c>
      <c r="B5906" s="675" t="s">
        <v>545</v>
      </c>
      <c r="C5906" s="675" t="s">
        <v>5851</v>
      </c>
      <c r="D5906" s="675"/>
      <c r="E5906" s="675"/>
      <c r="G5906" s="675"/>
      <c r="H5906" s="675"/>
      <c r="I5906" s="675"/>
      <c r="J5906" s="675"/>
      <c r="K5906" s="675"/>
      <c r="L5906" s="675"/>
      <c r="M5906" s="675"/>
    </row>
    <row r="5907" spans="1:13" x14ac:dyDescent="0.25">
      <c r="A5907" s="675" t="s">
        <v>857</v>
      </c>
      <c r="B5907" s="675" t="s">
        <v>545</v>
      </c>
      <c r="C5907" s="675" t="s">
        <v>5852</v>
      </c>
      <c r="D5907" s="675"/>
      <c r="E5907" s="675"/>
      <c r="G5907" s="675"/>
      <c r="H5907" s="675"/>
      <c r="I5907" s="675"/>
      <c r="J5907" s="675"/>
      <c r="K5907" s="675"/>
      <c r="L5907" s="675"/>
      <c r="M5907" s="675"/>
    </row>
    <row r="5908" spans="1:13" x14ac:dyDescent="0.25">
      <c r="A5908" s="675" t="s">
        <v>857</v>
      </c>
      <c r="B5908" s="675" t="s">
        <v>545</v>
      </c>
      <c r="C5908" s="675" t="s">
        <v>5853</v>
      </c>
      <c r="D5908" s="675"/>
      <c r="E5908" s="675"/>
      <c r="G5908" s="675"/>
      <c r="H5908" s="675"/>
      <c r="I5908" s="675"/>
      <c r="J5908" s="675"/>
      <c r="K5908" s="675"/>
      <c r="L5908" s="675"/>
      <c r="M5908" s="675"/>
    </row>
    <row r="5909" spans="1:13" x14ac:dyDescent="0.25">
      <c r="A5909" s="675" t="s">
        <v>857</v>
      </c>
      <c r="B5909" s="675" t="s">
        <v>545</v>
      </c>
      <c r="C5909" s="675" t="s">
        <v>5854</v>
      </c>
      <c r="D5909" s="675"/>
      <c r="E5909" s="675"/>
      <c r="G5909" s="675"/>
      <c r="H5909" s="675"/>
      <c r="I5909" s="675"/>
      <c r="J5909" s="675"/>
      <c r="K5909" s="675"/>
      <c r="L5909" s="675"/>
      <c r="M5909" s="675"/>
    </row>
    <row r="5910" spans="1:13" x14ac:dyDescent="0.25">
      <c r="A5910" s="675" t="s">
        <v>857</v>
      </c>
      <c r="B5910" s="675" t="s">
        <v>545</v>
      </c>
      <c r="C5910" s="675" t="s">
        <v>5855</v>
      </c>
      <c r="D5910" s="675"/>
      <c r="E5910" s="675"/>
      <c r="G5910" s="675"/>
      <c r="H5910" s="675"/>
      <c r="I5910" s="675"/>
      <c r="J5910" s="675"/>
      <c r="K5910" s="675"/>
      <c r="L5910" s="675"/>
      <c r="M5910" s="675"/>
    </row>
    <row r="5911" spans="1:13" x14ac:dyDescent="0.25">
      <c r="A5911" s="675" t="s">
        <v>857</v>
      </c>
      <c r="B5911" s="675" t="s">
        <v>564</v>
      </c>
      <c r="C5911" s="675" t="s">
        <v>5856</v>
      </c>
      <c r="D5911" s="675"/>
      <c r="E5911" s="675"/>
      <c r="G5911" s="675"/>
      <c r="H5911" s="675"/>
      <c r="I5911" s="675"/>
      <c r="J5911" s="675"/>
      <c r="K5911" s="675"/>
      <c r="L5911" s="675"/>
      <c r="M5911" s="675"/>
    </row>
    <row r="5912" spans="1:13" x14ac:dyDescent="0.25">
      <c r="A5912" s="675" t="s">
        <v>857</v>
      </c>
      <c r="B5912" s="675" t="s">
        <v>564</v>
      </c>
      <c r="C5912" s="675" t="s">
        <v>5857</v>
      </c>
      <c r="D5912" s="675"/>
      <c r="E5912" s="675"/>
      <c r="G5912" s="675"/>
      <c r="H5912" s="675"/>
      <c r="I5912" s="675"/>
      <c r="J5912" s="675"/>
      <c r="K5912" s="675"/>
      <c r="L5912" s="675"/>
      <c r="M5912" s="675"/>
    </row>
    <row r="5913" spans="1:13" x14ac:dyDescent="0.25">
      <c r="A5913" s="675" t="s">
        <v>857</v>
      </c>
      <c r="B5913" s="675" t="s">
        <v>564</v>
      </c>
      <c r="C5913" s="675" t="s">
        <v>5858</v>
      </c>
      <c r="D5913" s="675"/>
      <c r="E5913" s="675"/>
      <c r="G5913" s="675"/>
      <c r="H5913" s="675"/>
      <c r="I5913" s="675"/>
      <c r="J5913" s="675"/>
      <c r="K5913" s="675"/>
      <c r="L5913" s="675"/>
      <c r="M5913" s="675"/>
    </row>
    <row r="5914" spans="1:13" x14ac:dyDescent="0.25">
      <c r="A5914" s="675" t="s">
        <v>857</v>
      </c>
      <c r="B5914" s="675" t="s">
        <v>564</v>
      </c>
      <c r="C5914" s="675" t="s">
        <v>5859</v>
      </c>
      <c r="D5914" s="675"/>
      <c r="E5914" s="675"/>
      <c r="G5914" s="675"/>
      <c r="H5914" s="675"/>
      <c r="I5914" s="675"/>
      <c r="J5914" s="675"/>
      <c r="K5914" s="675"/>
      <c r="L5914" s="675"/>
      <c r="M5914" s="675"/>
    </row>
    <row r="5915" spans="1:13" x14ac:dyDescent="0.25">
      <c r="A5915" s="675" t="s">
        <v>857</v>
      </c>
      <c r="B5915" s="675" t="s">
        <v>564</v>
      </c>
      <c r="C5915" s="675" t="s">
        <v>5860</v>
      </c>
      <c r="D5915" s="675"/>
      <c r="E5915" s="675"/>
      <c r="G5915" s="675"/>
      <c r="H5915" s="675"/>
      <c r="I5915" s="675"/>
      <c r="J5915" s="675"/>
      <c r="K5915" s="675"/>
      <c r="L5915" s="675"/>
      <c r="M5915" s="675"/>
    </row>
    <row r="5916" spans="1:13" x14ac:dyDescent="0.25">
      <c r="A5916" s="675" t="s">
        <v>857</v>
      </c>
      <c r="B5916" s="675" t="s">
        <v>564</v>
      </c>
      <c r="C5916" s="675" t="s">
        <v>5861</v>
      </c>
      <c r="D5916" s="675"/>
      <c r="E5916" s="675"/>
      <c r="G5916" s="675"/>
      <c r="H5916" s="675"/>
      <c r="I5916" s="675"/>
      <c r="J5916" s="675"/>
      <c r="K5916" s="675"/>
      <c r="L5916" s="675"/>
      <c r="M5916" s="675"/>
    </row>
    <row r="5917" spans="1:13" x14ac:dyDescent="0.25">
      <c r="A5917" s="675" t="s">
        <v>857</v>
      </c>
      <c r="B5917" s="675" t="s">
        <v>564</v>
      </c>
      <c r="C5917" s="675" t="s">
        <v>5862</v>
      </c>
      <c r="D5917" s="675"/>
      <c r="E5917" s="675"/>
      <c r="G5917" s="675"/>
      <c r="H5917" s="675"/>
      <c r="I5917" s="675"/>
      <c r="J5917" s="675"/>
      <c r="K5917" s="675"/>
      <c r="L5917" s="675"/>
      <c r="M5917" s="675"/>
    </row>
    <row r="5918" spans="1:13" x14ac:dyDescent="0.25">
      <c r="A5918" s="675" t="s">
        <v>857</v>
      </c>
      <c r="B5918" s="675" t="s">
        <v>564</v>
      </c>
      <c r="C5918" s="675" t="s">
        <v>5863</v>
      </c>
      <c r="D5918" s="675"/>
      <c r="E5918" s="675"/>
      <c r="G5918" s="675"/>
      <c r="H5918" s="675"/>
      <c r="I5918" s="675"/>
      <c r="J5918" s="675"/>
      <c r="K5918" s="675"/>
      <c r="L5918" s="675"/>
      <c r="M5918" s="675"/>
    </row>
    <row r="5919" spans="1:13" x14ac:dyDescent="0.25">
      <c r="A5919" s="675" t="s">
        <v>857</v>
      </c>
      <c r="B5919" s="675" t="s">
        <v>564</v>
      </c>
      <c r="C5919" s="675" t="s">
        <v>5864</v>
      </c>
      <c r="D5919" s="675"/>
      <c r="E5919" s="675"/>
      <c r="G5919" s="675"/>
      <c r="H5919" s="675"/>
      <c r="I5919" s="675"/>
      <c r="J5919" s="675"/>
      <c r="K5919" s="675"/>
      <c r="L5919" s="675"/>
      <c r="M5919" s="675"/>
    </row>
    <row r="5920" spans="1:13" x14ac:dyDescent="0.25">
      <c r="A5920" s="675" t="s">
        <v>857</v>
      </c>
      <c r="B5920" s="675" t="s">
        <v>564</v>
      </c>
      <c r="C5920" s="675" t="s">
        <v>5865</v>
      </c>
      <c r="D5920" s="675"/>
      <c r="E5920" s="675"/>
      <c r="G5920" s="675"/>
      <c r="H5920" s="675"/>
      <c r="I5920" s="675"/>
      <c r="J5920" s="675"/>
      <c r="K5920" s="675"/>
      <c r="L5920" s="675"/>
      <c r="M5920" s="675"/>
    </row>
    <row r="5921" spans="1:13" x14ac:dyDescent="0.25">
      <c r="A5921" s="675" t="s">
        <v>857</v>
      </c>
      <c r="B5921" s="675" t="s">
        <v>512</v>
      </c>
      <c r="C5921" s="675" t="s">
        <v>5866</v>
      </c>
      <c r="D5921" s="675"/>
      <c r="E5921" s="675"/>
      <c r="G5921" s="675"/>
      <c r="H5921" s="675"/>
      <c r="I5921" s="675"/>
      <c r="J5921" s="675"/>
      <c r="K5921" s="675"/>
      <c r="L5921" s="675"/>
      <c r="M5921" s="675"/>
    </row>
    <row r="5922" spans="1:13" x14ac:dyDescent="0.25">
      <c r="A5922" s="675" t="s">
        <v>857</v>
      </c>
      <c r="B5922" s="675" t="s">
        <v>512</v>
      </c>
      <c r="C5922" s="675" t="s">
        <v>5867</v>
      </c>
      <c r="D5922" s="675"/>
      <c r="E5922" s="675"/>
      <c r="G5922" s="675"/>
      <c r="H5922" s="675"/>
      <c r="I5922" s="675"/>
      <c r="J5922" s="675"/>
      <c r="K5922" s="675"/>
      <c r="L5922" s="675"/>
      <c r="M5922" s="675"/>
    </row>
    <row r="5923" spans="1:13" x14ac:dyDescent="0.25">
      <c r="A5923" s="675" t="s">
        <v>857</v>
      </c>
      <c r="B5923" s="675" t="s">
        <v>512</v>
      </c>
      <c r="C5923" s="675" t="s">
        <v>5868</v>
      </c>
      <c r="D5923" s="675"/>
      <c r="E5923" s="675"/>
      <c r="G5923" s="675"/>
      <c r="H5923" s="675"/>
      <c r="I5923" s="675"/>
      <c r="J5923" s="675"/>
      <c r="K5923" s="675"/>
      <c r="L5923" s="675"/>
      <c r="M5923" s="675"/>
    </row>
    <row r="5924" spans="1:13" x14ac:dyDescent="0.25">
      <c r="A5924" s="675" t="s">
        <v>857</v>
      </c>
      <c r="B5924" s="675" t="s">
        <v>512</v>
      </c>
      <c r="C5924" s="675" t="s">
        <v>5869</v>
      </c>
      <c r="D5924" s="675"/>
      <c r="E5924" s="675"/>
      <c r="G5924" s="675"/>
      <c r="H5924" s="675"/>
      <c r="I5924" s="675"/>
      <c r="J5924" s="675"/>
      <c r="K5924" s="675"/>
      <c r="L5924" s="675"/>
      <c r="M5924" s="675"/>
    </row>
    <row r="5925" spans="1:13" x14ac:dyDescent="0.25">
      <c r="A5925" s="675" t="s">
        <v>857</v>
      </c>
      <c r="B5925" s="675" t="s">
        <v>512</v>
      </c>
      <c r="C5925" s="675" t="s">
        <v>5870</v>
      </c>
      <c r="D5925" s="675"/>
      <c r="E5925" s="675"/>
      <c r="G5925" s="675"/>
      <c r="H5925" s="675"/>
      <c r="I5925" s="675"/>
      <c r="J5925" s="675"/>
      <c r="K5925" s="675"/>
      <c r="L5925" s="675"/>
      <c r="M5925" s="675"/>
    </row>
    <row r="5926" spans="1:13" x14ac:dyDescent="0.25">
      <c r="A5926" s="675" t="s">
        <v>857</v>
      </c>
      <c r="B5926" s="675" t="s">
        <v>512</v>
      </c>
      <c r="C5926" s="675" t="s">
        <v>5871</v>
      </c>
      <c r="D5926" s="675"/>
      <c r="E5926" s="675"/>
      <c r="G5926" s="675"/>
      <c r="H5926" s="675"/>
      <c r="I5926" s="675"/>
      <c r="J5926" s="675"/>
      <c r="K5926" s="675"/>
      <c r="L5926" s="675"/>
      <c r="M5926" s="675"/>
    </row>
    <row r="5927" spans="1:13" x14ac:dyDescent="0.25">
      <c r="A5927" s="675" t="s">
        <v>857</v>
      </c>
      <c r="B5927" s="675" t="s">
        <v>512</v>
      </c>
      <c r="C5927" s="675" t="s">
        <v>5872</v>
      </c>
      <c r="D5927" s="675"/>
      <c r="E5927" s="675"/>
      <c r="G5927" s="675"/>
      <c r="H5927" s="675"/>
      <c r="I5927" s="675"/>
      <c r="J5927" s="675"/>
      <c r="K5927" s="675"/>
      <c r="L5927" s="675"/>
      <c r="M5927" s="675"/>
    </row>
    <row r="5928" spans="1:13" x14ac:dyDescent="0.25">
      <c r="A5928" s="675" t="s">
        <v>857</v>
      </c>
      <c r="B5928" s="675" t="s">
        <v>512</v>
      </c>
      <c r="C5928" s="675" t="s">
        <v>5873</v>
      </c>
      <c r="D5928" s="675"/>
      <c r="E5928" s="675"/>
      <c r="G5928" s="675"/>
      <c r="H5928" s="675"/>
      <c r="I5928" s="675"/>
      <c r="J5928" s="675"/>
      <c r="K5928" s="675"/>
      <c r="L5928" s="675"/>
      <c r="M5928" s="675"/>
    </row>
    <row r="5929" spans="1:13" x14ac:dyDescent="0.25">
      <c r="A5929" s="675" t="s">
        <v>857</v>
      </c>
      <c r="B5929" s="675" t="s">
        <v>512</v>
      </c>
      <c r="C5929" s="675" t="s">
        <v>5874</v>
      </c>
      <c r="D5929" s="675"/>
      <c r="E5929" s="675"/>
      <c r="G5929" s="675"/>
      <c r="H5929" s="675"/>
      <c r="I5929" s="675"/>
      <c r="J5929" s="675"/>
      <c r="K5929" s="675"/>
      <c r="L5929" s="675"/>
      <c r="M5929" s="675"/>
    </row>
    <row r="5930" spans="1:13" x14ac:dyDescent="0.25">
      <c r="A5930" s="675" t="s">
        <v>857</v>
      </c>
      <c r="B5930" s="675" t="s">
        <v>512</v>
      </c>
      <c r="C5930" s="675" t="s">
        <v>5875</v>
      </c>
      <c r="D5930" s="675"/>
      <c r="E5930" s="675"/>
      <c r="G5930" s="675"/>
      <c r="H5930" s="675"/>
      <c r="I5930" s="675"/>
      <c r="J5930" s="675"/>
      <c r="K5930" s="675"/>
      <c r="L5930" s="675"/>
      <c r="M5930" s="675"/>
    </row>
    <row r="5931" spans="1:13" x14ac:dyDescent="0.25">
      <c r="A5931" s="675" t="s">
        <v>5876</v>
      </c>
      <c r="B5931" s="675" t="s">
        <v>545</v>
      </c>
      <c r="C5931" s="675" t="s">
        <v>5877</v>
      </c>
      <c r="D5931" s="675"/>
      <c r="E5931" s="675"/>
      <c r="G5931" s="675"/>
      <c r="H5931" s="675"/>
      <c r="I5931" s="675"/>
      <c r="J5931" s="675"/>
      <c r="K5931" s="675"/>
      <c r="L5931" s="675"/>
      <c r="M5931" s="675"/>
    </row>
    <row r="5932" spans="1:13" x14ac:dyDescent="0.25">
      <c r="A5932" s="675" t="s">
        <v>5876</v>
      </c>
      <c r="B5932" s="675" t="s">
        <v>545</v>
      </c>
      <c r="C5932" s="675" t="s">
        <v>5878</v>
      </c>
      <c r="D5932" s="675"/>
      <c r="E5932" s="675"/>
      <c r="G5932" s="675"/>
      <c r="H5932" s="675"/>
      <c r="I5932" s="675"/>
      <c r="J5932" s="675"/>
      <c r="K5932" s="675"/>
      <c r="L5932" s="675"/>
      <c r="M5932" s="675"/>
    </row>
    <row r="5933" spans="1:13" x14ac:dyDescent="0.25">
      <c r="A5933" s="675" t="s">
        <v>5876</v>
      </c>
      <c r="B5933" s="675" t="s">
        <v>545</v>
      </c>
      <c r="C5933" s="675" t="s">
        <v>5879</v>
      </c>
      <c r="D5933" s="675"/>
      <c r="E5933" s="675"/>
      <c r="G5933" s="675"/>
      <c r="H5933" s="675"/>
      <c r="I5933" s="675"/>
      <c r="J5933" s="675"/>
      <c r="K5933" s="675"/>
      <c r="L5933" s="675"/>
      <c r="M5933" s="675"/>
    </row>
    <row r="5934" spans="1:13" x14ac:dyDescent="0.25">
      <c r="A5934" s="675" t="s">
        <v>5876</v>
      </c>
      <c r="B5934" s="675" t="s">
        <v>545</v>
      </c>
      <c r="C5934" s="675" t="s">
        <v>5880</v>
      </c>
      <c r="D5934" s="675"/>
      <c r="E5934" s="675"/>
      <c r="G5934" s="675"/>
      <c r="H5934" s="675"/>
      <c r="I5934" s="675"/>
      <c r="J5934" s="675"/>
      <c r="K5934" s="675"/>
      <c r="L5934" s="675"/>
      <c r="M5934" s="675"/>
    </row>
    <row r="5935" spans="1:13" x14ac:dyDescent="0.25">
      <c r="A5935" s="675" t="s">
        <v>5876</v>
      </c>
      <c r="B5935" s="675" t="s">
        <v>545</v>
      </c>
      <c r="C5935" s="675" t="s">
        <v>5881</v>
      </c>
      <c r="D5935" s="675"/>
      <c r="E5935" s="675"/>
      <c r="G5935" s="675"/>
      <c r="H5935" s="675"/>
      <c r="I5935" s="675"/>
      <c r="J5935" s="675"/>
      <c r="K5935" s="675"/>
      <c r="L5935" s="675"/>
      <c r="M5935" s="675"/>
    </row>
    <row r="5936" spans="1:13" x14ac:dyDescent="0.25">
      <c r="A5936" s="675" t="s">
        <v>5876</v>
      </c>
      <c r="B5936" s="675" t="s">
        <v>545</v>
      </c>
      <c r="C5936" s="675" t="s">
        <v>5882</v>
      </c>
      <c r="D5936" s="675"/>
      <c r="E5936" s="675"/>
      <c r="G5936" s="675"/>
      <c r="H5936" s="675"/>
      <c r="I5936" s="675"/>
      <c r="J5936" s="675"/>
      <c r="K5936" s="675"/>
      <c r="L5936" s="675"/>
      <c r="M5936" s="675"/>
    </row>
    <row r="5937" spans="1:13" x14ac:dyDescent="0.25">
      <c r="A5937" s="675" t="s">
        <v>5876</v>
      </c>
      <c r="B5937" s="675" t="s">
        <v>545</v>
      </c>
      <c r="C5937" s="675" t="s">
        <v>5883</v>
      </c>
      <c r="D5937" s="675"/>
      <c r="E5937" s="675"/>
      <c r="G5937" s="675"/>
      <c r="H5937" s="675"/>
      <c r="I5937" s="675"/>
      <c r="J5937" s="675"/>
      <c r="K5937" s="675"/>
      <c r="L5937" s="675"/>
      <c r="M5937" s="675"/>
    </row>
    <row r="5938" spans="1:13" x14ac:dyDescent="0.25">
      <c r="A5938" s="675" t="s">
        <v>5876</v>
      </c>
      <c r="B5938" s="675" t="s">
        <v>545</v>
      </c>
      <c r="C5938" s="675" t="s">
        <v>5884</v>
      </c>
      <c r="D5938" s="675"/>
      <c r="E5938" s="675"/>
      <c r="G5938" s="675"/>
      <c r="H5938" s="675"/>
      <c r="I5938" s="675"/>
      <c r="J5938" s="675"/>
      <c r="K5938" s="675"/>
      <c r="L5938" s="675"/>
      <c r="M5938" s="675"/>
    </row>
    <row r="5939" spans="1:13" x14ac:dyDescent="0.25">
      <c r="A5939" s="675" t="s">
        <v>5876</v>
      </c>
      <c r="B5939" s="675" t="s">
        <v>545</v>
      </c>
      <c r="C5939" s="675" t="s">
        <v>5885</v>
      </c>
      <c r="D5939" s="675"/>
      <c r="E5939" s="675"/>
      <c r="G5939" s="675"/>
      <c r="H5939" s="675"/>
      <c r="I5939" s="675"/>
      <c r="J5939" s="675"/>
      <c r="K5939" s="675"/>
      <c r="L5939" s="675"/>
      <c r="M5939" s="675"/>
    </row>
    <row r="5940" spans="1:13" x14ac:dyDescent="0.25">
      <c r="A5940" s="675" t="s">
        <v>5876</v>
      </c>
      <c r="B5940" s="675" t="s">
        <v>545</v>
      </c>
      <c r="C5940" s="675" t="s">
        <v>5886</v>
      </c>
      <c r="D5940" s="675"/>
      <c r="E5940" s="675"/>
      <c r="G5940" s="675"/>
      <c r="H5940" s="675"/>
      <c r="I5940" s="675"/>
      <c r="J5940" s="675"/>
      <c r="K5940" s="675"/>
      <c r="L5940" s="675"/>
      <c r="M5940" s="675"/>
    </row>
    <row r="5941" spans="1:13" x14ac:dyDescent="0.25">
      <c r="A5941" s="675" t="s">
        <v>5876</v>
      </c>
      <c r="B5941" s="675" t="s">
        <v>564</v>
      </c>
      <c r="C5941" s="675" t="s">
        <v>5887</v>
      </c>
      <c r="D5941" s="675"/>
      <c r="E5941" s="675"/>
      <c r="G5941" s="675"/>
      <c r="H5941" s="675"/>
      <c r="I5941" s="675"/>
      <c r="J5941" s="675"/>
      <c r="K5941" s="675"/>
      <c r="L5941" s="675"/>
      <c r="M5941" s="675"/>
    </row>
    <row r="5942" spans="1:13" x14ac:dyDescent="0.25">
      <c r="A5942" s="675" t="s">
        <v>5876</v>
      </c>
      <c r="B5942" s="675" t="s">
        <v>564</v>
      </c>
      <c r="C5942" s="675" t="s">
        <v>5888</v>
      </c>
      <c r="D5942" s="675"/>
      <c r="E5942" s="675"/>
      <c r="G5942" s="675"/>
      <c r="H5942" s="675"/>
      <c r="I5942" s="675"/>
      <c r="J5942" s="675"/>
      <c r="K5942" s="675"/>
      <c r="L5942" s="675"/>
      <c r="M5942" s="675"/>
    </row>
    <row r="5943" spans="1:13" x14ac:dyDescent="0.25">
      <c r="A5943" s="675" t="s">
        <v>5876</v>
      </c>
      <c r="B5943" s="675" t="s">
        <v>564</v>
      </c>
      <c r="C5943" s="675" t="s">
        <v>5889</v>
      </c>
      <c r="D5943" s="675"/>
      <c r="E5943" s="675"/>
      <c r="G5943" s="675"/>
      <c r="H5943" s="675"/>
      <c r="I5943" s="675"/>
      <c r="J5943" s="675"/>
      <c r="K5943" s="675"/>
      <c r="L5943" s="675"/>
      <c r="M5943" s="675"/>
    </row>
    <row r="5944" spans="1:13" x14ac:dyDescent="0.25">
      <c r="A5944" s="675" t="s">
        <v>5876</v>
      </c>
      <c r="B5944" s="675" t="s">
        <v>564</v>
      </c>
      <c r="C5944" s="675" t="s">
        <v>5890</v>
      </c>
      <c r="D5944" s="675"/>
      <c r="E5944" s="675"/>
      <c r="G5944" s="675"/>
      <c r="H5944" s="675"/>
      <c r="I5944" s="675"/>
      <c r="J5944" s="675"/>
      <c r="K5944" s="675"/>
      <c r="L5944" s="675"/>
      <c r="M5944" s="675"/>
    </row>
    <row r="5945" spans="1:13" x14ac:dyDescent="0.25">
      <c r="A5945" s="675" t="s">
        <v>5876</v>
      </c>
      <c r="B5945" s="675" t="s">
        <v>564</v>
      </c>
      <c r="C5945" s="675" t="s">
        <v>5891</v>
      </c>
      <c r="D5945" s="675"/>
      <c r="E5945" s="675"/>
      <c r="G5945" s="675"/>
      <c r="H5945" s="675"/>
      <c r="I5945" s="675"/>
      <c r="J5945" s="675"/>
      <c r="K5945" s="675"/>
      <c r="L5945" s="675"/>
      <c r="M5945" s="675"/>
    </row>
    <row r="5946" spans="1:13" x14ac:dyDescent="0.25">
      <c r="A5946" s="675" t="s">
        <v>5876</v>
      </c>
      <c r="B5946" s="675" t="s">
        <v>564</v>
      </c>
      <c r="C5946" s="675" t="s">
        <v>5892</v>
      </c>
      <c r="D5946" s="675"/>
      <c r="E5946" s="675"/>
      <c r="G5946" s="675"/>
      <c r="H5946" s="675"/>
      <c r="I5946" s="675"/>
      <c r="J5946" s="675"/>
      <c r="K5946" s="675"/>
      <c r="L5946" s="675"/>
      <c r="M5946" s="675"/>
    </row>
    <row r="5947" spans="1:13" x14ac:dyDescent="0.25">
      <c r="A5947" s="675" t="s">
        <v>5876</v>
      </c>
      <c r="B5947" s="675" t="s">
        <v>564</v>
      </c>
      <c r="C5947" s="675" t="s">
        <v>5893</v>
      </c>
      <c r="D5947" s="675"/>
      <c r="E5947" s="675"/>
      <c r="G5947" s="675"/>
      <c r="H5947" s="675"/>
      <c r="I5947" s="675"/>
      <c r="J5947" s="675"/>
      <c r="K5947" s="675"/>
      <c r="L5947" s="675"/>
      <c r="M5947" s="675"/>
    </row>
    <row r="5948" spans="1:13" x14ac:dyDescent="0.25">
      <c r="A5948" s="675" t="s">
        <v>5876</v>
      </c>
      <c r="B5948" s="675" t="s">
        <v>564</v>
      </c>
      <c r="C5948" s="675" t="s">
        <v>5894</v>
      </c>
      <c r="D5948" s="675"/>
      <c r="E5948" s="675"/>
      <c r="G5948" s="675"/>
      <c r="H5948" s="675"/>
      <c r="I5948" s="675"/>
      <c r="J5948" s="675"/>
      <c r="K5948" s="675"/>
      <c r="L5948" s="675"/>
      <c r="M5948" s="675"/>
    </row>
    <row r="5949" spans="1:13" x14ac:dyDescent="0.25">
      <c r="A5949" s="675" t="s">
        <v>5876</v>
      </c>
      <c r="B5949" s="675" t="s">
        <v>564</v>
      </c>
      <c r="C5949" s="675" t="s">
        <v>5895</v>
      </c>
      <c r="D5949" s="675"/>
      <c r="E5949" s="675"/>
      <c r="G5949" s="675"/>
      <c r="H5949" s="675"/>
      <c r="I5949" s="675"/>
      <c r="J5949" s="675"/>
      <c r="K5949" s="675"/>
      <c r="L5949" s="675"/>
      <c r="M5949" s="675"/>
    </row>
    <row r="5950" spans="1:13" x14ac:dyDescent="0.25">
      <c r="A5950" s="675" t="s">
        <v>5876</v>
      </c>
      <c r="B5950" s="675" t="s">
        <v>564</v>
      </c>
      <c r="C5950" s="675" t="s">
        <v>5896</v>
      </c>
      <c r="D5950" s="675"/>
      <c r="E5950" s="675"/>
      <c r="G5950" s="675"/>
      <c r="H5950" s="675"/>
      <c r="I5950" s="675"/>
      <c r="J5950" s="675"/>
      <c r="K5950" s="675"/>
      <c r="L5950" s="675"/>
      <c r="M5950" s="675"/>
    </row>
    <row r="5951" spans="1:13" x14ac:dyDescent="0.25">
      <c r="A5951" s="675" t="s">
        <v>5876</v>
      </c>
      <c r="B5951" s="675" t="s">
        <v>512</v>
      </c>
      <c r="C5951" s="675" t="s">
        <v>5897</v>
      </c>
      <c r="D5951" s="675"/>
      <c r="E5951" s="675"/>
      <c r="G5951" s="675"/>
      <c r="H5951" s="675"/>
      <c r="I5951" s="675"/>
      <c r="J5951" s="675"/>
      <c r="K5951" s="675"/>
      <c r="L5951" s="675"/>
      <c r="M5951" s="675"/>
    </row>
    <row r="5952" spans="1:13" x14ac:dyDescent="0.25">
      <c r="A5952" s="675" t="s">
        <v>5876</v>
      </c>
      <c r="B5952" s="675" t="s">
        <v>512</v>
      </c>
      <c r="C5952" s="675" t="s">
        <v>5898</v>
      </c>
      <c r="D5952" s="675"/>
      <c r="E5952" s="675"/>
      <c r="G5952" s="675"/>
      <c r="H5952" s="675"/>
      <c r="I5952" s="675"/>
      <c r="J5952" s="675"/>
      <c r="K5952" s="675"/>
      <c r="L5952" s="675"/>
      <c r="M5952" s="675"/>
    </row>
    <row r="5953" spans="1:13" x14ac:dyDescent="0.25">
      <c r="A5953" s="675" t="s">
        <v>5876</v>
      </c>
      <c r="B5953" s="675" t="s">
        <v>512</v>
      </c>
      <c r="C5953" s="675" t="s">
        <v>5899</v>
      </c>
      <c r="D5953" s="675"/>
      <c r="E5953" s="675"/>
      <c r="G5953" s="675"/>
      <c r="H5953" s="675"/>
      <c r="I5953" s="675"/>
      <c r="J5953" s="675"/>
      <c r="K5953" s="675"/>
      <c r="L5953" s="675"/>
      <c r="M5953" s="675"/>
    </row>
    <row r="5954" spans="1:13" x14ac:dyDescent="0.25">
      <c r="A5954" s="675" t="s">
        <v>5876</v>
      </c>
      <c r="B5954" s="675" t="s">
        <v>512</v>
      </c>
      <c r="C5954" s="675" t="s">
        <v>5900</v>
      </c>
      <c r="D5954" s="675"/>
      <c r="E5954" s="675"/>
      <c r="G5954" s="675"/>
      <c r="H5954" s="675"/>
      <c r="I5954" s="675"/>
      <c r="J5954" s="675"/>
      <c r="K5954" s="675"/>
      <c r="L5954" s="675"/>
      <c r="M5954" s="675"/>
    </row>
    <row r="5955" spans="1:13" x14ac:dyDescent="0.25">
      <c r="A5955" s="675" t="s">
        <v>5876</v>
      </c>
      <c r="B5955" s="675" t="s">
        <v>512</v>
      </c>
      <c r="C5955" s="675" t="s">
        <v>5901</v>
      </c>
      <c r="D5955" s="675"/>
      <c r="E5955" s="675"/>
      <c r="G5955" s="675"/>
      <c r="H5955" s="675"/>
      <c r="I5955" s="675"/>
      <c r="J5955" s="675"/>
      <c r="K5955" s="675"/>
      <c r="L5955" s="675"/>
      <c r="M5955" s="675"/>
    </row>
    <row r="5956" spans="1:13" x14ac:dyDescent="0.25">
      <c r="A5956" s="675" t="s">
        <v>5876</v>
      </c>
      <c r="B5956" s="675" t="s">
        <v>512</v>
      </c>
      <c r="C5956" s="675" t="s">
        <v>5902</v>
      </c>
      <c r="D5956" s="675"/>
      <c r="E5956" s="675"/>
      <c r="G5956" s="675"/>
      <c r="H5956" s="675"/>
      <c r="I5956" s="675"/>
      <c r="J5956" s="675"/>
      <c r="K5956" s="675"/>
      <c r="L5956" s="675"/>
      <c r="M5956" s="675"/>
    </row>
    <row r="5957" spans="1:13" x14ac:dyDescent="0.25">
      <c r="A5957" s="675" t="s">
        <v>5876</v>
      </c>
      <c r="B5957" s="675" t="s">
        <v>512</v>
      </c>
      <c r="C5957" s="675" t="s">
        <v>5903</v>
      </c>
      <c r="D5957" s="675"/>
      <c r="E5957" s="675"/>
      <c r="G5957" s="675"/>
      <c r="H5957" s="675"/>
      <c r="I5957" s="675"/>
      <c r="J5957" s="675"/>
      <c r="K5957" s="675"/>
      <c r="L5957" s="675"/>
      <c r="M5957" s="675"/>
    </row>
    <row r="5958" spans="1:13" x14ac:dyDescent="0.25">
      <c r="A5958" s="675" t="s">
        <v>5876</v>
      </c>
      <c r="B5958" s="675" t="s">
        <v>512</v>
      </c>
      <c r="C5958" s="675" t="s">
        <v>5904</v>
      </c>
      <c r="D5958" s="675"/>
      <c r="E5958" s="675"/>
      <c r="G5958" s="675"/>
      <c r="H5958" s="675"/>
      <c r="I5958" s="675"/>
      <c r="J5958" s="675"/>
      <c r="K5958" s="675"/>
      <c r="L5958" s="675"/>
      <c r="M5958" s="675"/>
    </row>
    <row r="5959" spans="1:13" x14ac:dyDescent="0.25">
      <c r="A5959" s="675" t="s">
        <v>5876</v>
      </c>
      <c r="B5959" s="675" t="s">
        <v>512</v>
      </c>
      <c r="C5959" s="675" t="s">
        <v>5905</v>
      </c>
      <c r="D5959" s="675"/>
      <c r="E5959" s="675"/>
      <c r="G5959" s="675"/>
      <c r="H5959" s="675"/>
      <c r="I5959" s="675"/>
      <c r="J5959" s="675"/>
      <c r="K5959" s="675"/>
      <c r="L5959" s="675"/>
      <c r="M5959" s="675"/>
    </row>
    <row r="5960" spans="1:13" x14ac:dyDescent="0.25">
      <c r="A5960" s="675" t="s">
        <v>5876</v>
      </c>
      <c r="B5960" s="675" t="s">
        <v>512</v>
      </c>
      <c r="C5960" s="675" t="s">
        <v>5906</v>
      </c>
      <c r="D5960" s="675"/>
      <c r="E5960" s="675"/>
      <c r="G5960" s="675"/>
      <c r="H5960" s="675"/>
      <c r="I5960" s="675"/>
      <c r="J5960" s="675"/>
      <c r="K5960" s="675"/>
      <c r="L5960" s="675"/>
      <c r="M5960" s="675"/>
    </row>
    <row r="5961" spans="1:13" x14ac:dyDescent="0.25">
      <c r="A5961" s="675" t="s">
        <v>5907</v>
      </c>
      <c r="B5961" s="675" t="s">
        <v>545</v>
      </c>
      <c r="C5961" s="675" t="s">
        <v>5908</v>
      </c>
      <c r="D5961" s="675"/>
      <c r="E5961" s="675"/>
      <c r="G5961" s="675"/>
      <c r="H5961" s="675"/>
      <c r="I5961" s="675"/>
      <c r="J5961" s="675"/>
      <c r="K5961" s="675"/>
      <c r="L5961" s="675"/>
      <c r="M5961" s="675"/>
    </row>
    <row r="5962" spans="1:13" x14ac:dyDescent="0.25">
      <c r="A5962" s="675" t="s">
        <v>5907</v>
      </c>
      <c r="B5962" s="675" t="s">
        <v>545</v>
      </c>
      <c r="C5962" s="675" t="s">
        <v>5909</v>
      </c>
      <c r="D5962" s="675"/>
      <c r="E5962" s="675"/>
      <c r="G5962" s="675"/>
      <c r="H5962" s="675"/>
      <c r="I5962" s="675"/>
      <c r="J5962" s="675"/>
      <c r="K5962" s="675"/>
      <c r="L5962" s="675"/>
      <c r="M5962" s="675"/>
    </row>
    <row r="5963" spans="1:13" x14ac:dyDescent="0.25">
      <c r="A5963" s="675" t="s">
        <v>5907</v>
      </c>
      <c r="B5963" s="675" t="s">
        <v>545</v>
      </c>
      <c r="C5963" s="675" t="s">
        <v>5910</v>
      </c>
      <c r="D5963" s="675"/>
      <c r="E5963" s="675"/>
      <c r="G5963" s="675"/>
      <c r="H5963" s="675"/>
      <c r="I5963" s="675"/>
      <c r="J5963" s="675"/>
      <c r="K5963" s="675"/>
      <c r="L5963" s="675"/>
      <c r="M5963" s="675"/>
    </row>
    <row r="5964" spans="1:13" x14ac:dyDescent="0.25">
      <c r="A5964" s="675" t="s">
        <v>5907</v>
      </c>
      <c r="B5964" s="675" t="s">
        <v>545</v>
      </c>
      <c r="C5964" s="675" t="s">
        <v>5911</v>
      </c>
      <c r="D5964" s="675"/>
      <c r="E5964" s="675"/>
      <c r="G5964" s="675"/>
      <c r="H5964" s="675"/>
      <c r="I5964" s="675"/>
      <c r="J5964" s="675"/>
      <c r="K5964" s="675"/>
      <c r="L5964" s="675"/>
      <c r="M5964" s="675"/>
    </row>
    <row r="5965" spans="1:13" x14ac:dyDescent="0.25">
      <c r="A5965" s="675" t="s">
        <v>5907</v>
      </c>
      <c r="B5965" s="675" t="s">
        <v>545</v>
      </c>
      <c r="C5965" s="675" t="s">
        <v>5912</v>
      </c>
      <c r="D5965" s="675"/>
      <c r="E5965" s="675"/>
      <c r="G5965" s="675"/>
      <c r="H5965" s="675"/>
      <c r="I5965" s="675"/>
      <c r="J5965" s="675"/>
      <c r="K5965" s="675"/>
      <c r="L5965" s="675"/>
      <c r="M5965" s="675"/>
    </row>
    <row r="5966" spans="1:13" x14ac:dyDescent="0.25">
      <c r="A5966" s="675" t="s">
        <v>5907</v>
      </c>
      <c r="B5966" s="675" t="s">
        <v>545</v>
      </c>
      <c r="C5966" s="675" t="s">
        <v>5913</v>
      </c>
      <c r="D5966" s="675"/>
      <c r="E5966" s="675"/>
      <c r="G5966" s="675"/>
      <c r="H5966" s="675"/>
      <c r="I5966" s="675"/>
      <c r="J5966" s="675"/>
      <c r="K5966" s="675"/>
      <c r="L5966" s="675"/>
      <c r="M5966" s="675"/>
    </row>
    <row r="5967" spans="1:13" x14ac:dyDescent="0.25">
      <c r="A5967" s="675" t="s">
        <v>5907</v>
      </c>
      <c r="B5967" s="675" t="s">
        <v>545</v>
      </c>
      <c r="C5967" s="675" t="s">
        <v>5914</v>
      </c>
      <c r="D5967" s="675"/>
      <c r="E5967" s="675"/>
      <c r="G5967" s="675"/>
      <c r="H5967" s="675"/>
      <c r="I5967" s="675"/>
      <c r="J5967" s="675"/>
      <c r="K5967" s="675"/>
      <c r="L5967" s="675"/>
      <c r="M5967" s="675"/>
    </row>
    <row r="5968" spans="1:13" x14ac:dyDescent="0.25">
      <c r="A5968" s="675" t="s">
        <v>5907</v>
      </c>
      <c r="B5968" s="675" t="s">
        <v>545</v>
      </c>
      <c r="C5968" s="675" t="s">
        <v>5915</v>
      </c>
      <c r="D5968" s="675"/>
      <c r="E5968" s="675"/>
      <c r="G5968" s="675"/>
      <c r="H5968" s="675"/>
      <c r="I5968" s="675"/>
      <c r="J5968" s="675"/>
      <c r="K5968" s="675"/>
      <c r="L5968" s="675"/>
      <c r="M5968" s="675"/>
    </row>
    <row r="5969" spans="1:13" x14ac:dyDescent="0.25">
      <c r="A5969" s="675" t="s">
        <v>5907</v>
      </c>
      <c r="B5969" s="675" t="s">
        <v>545</v>
      </c>
      <c r="C5969" s="675" t="s">
        <v>5916</v>
      </c>
      <c r="D5969" s="675"/>
      <c r="E5969" s="675"/>
      <c r="G5969" s="675"/>
      <c r="H5969" s="675"/>
      <c r="I5969" s="675"/>
      <c r="J5969" s="675"/>
      <c r="K5969" s="675"/>
      <c r="L5969" s="675"/>
      <c r="M5969" s="675"/>
    </row>
    <row r="5970" spans="1:13" x14ac:dyDescent="0.25">
      <c r="A5970" s="675" t="s">
        <v>5907</v>
      </c>
      <c r="B5970" s="675" t="s">
        <v>545</v>
      </c>
      <c r="C5970" s="675" t="s">
        <v>5917</v>
      </c>
      <c r="D5970" s="675"/>
      <c r="E5970" s="675"/>
      <c r="G5970" s="675"/>
      <c r="H5970" s="675"/>
      <c r="I5970" s="675"/>
      <c r="J5970" s="675"/>
      <c r="K5970" s="675"/>
      <c r="L5970" s="675"/>
      <c r="M5970" s="675"/>
    </row>
    <row r="5971" spans="1:13" x14ac:dyDescent="0.25">
      <c r="A5971" s="675" t="s">
        <v>5907</v>
      </c>
      <c r="B5971" s="675" t="s">
        <v>564</v>
      </c>
      <c r="C5971" s="675" t="s">
        <v>5918</v>
      </c>
      <c r="D5971" s="675"/>
      <c r="E5971" s="675"/>
      <c r="G5971" s="675"/>
      <c r="H5971" s="675"/>
      <c r="I5971" s="675"/>
      <c r="J5971" s="675"/>
      <c r="K5971" s="675"/>
      <c r="L5971" s="675"/>
      <c r="M5971" s="675"/>
    </row>
    <row r="5972" spans="1:13" x14ac:dyDescent="0.25">
      <c r="A5972" s="675" t="s">
        <v>5907</v>
      </c>
      <c r="B5972" s="675" t="s">
        <v>564</v>
      </c>
      <c r="C5972" s="675" t="s">
        <v>5919</v>
      </c>
      <c r="D5972" s="675"/>
      <c r="E5972" s="675"/>
      <c r="G5972" s="675"/>
      <c r="H5972" s="675"/>
      <c r="I5972" s="675"/>
      <c r="J5972" s="675"/>
      <c r="K5972" s="675"/>
      <c r="L5972" s="675"/>
      <c r="M5972" s="675"/>
    </row>
    <row r="5973" spans="1:13" x14ac:dyDescent="0.25">
      <c r="A5973" s="675" t="s">
        <v>5907</v>
      </c>
      <c r="B5973" s="675" t="s">
        <v>564</v>
      </c>
      <c r="C5973" s="675" t="s">
        <v>5920</v>
      </c>
      <c r="D5973" s="675"/>
      <c r="E5973" s="675"/>
      <c r="G5973" s="675"/>
      <c r="H5973" s="675"/>
      <c r="I5973" s="675"/>
      <c r="J5973" s="675"/>
      <c r="K5973" s="675"/>
      <c r="L5973" s="675"/>
      <c r="M5973" s="675"/>
    </row>
    <row r="5974" spans="1:13" x14ac:dyDescent="0.25">
      <c r="A5974" s="675" t="s">
        <v>5907</v>
      </c>
      <c r="B5974" s="675" t="s">
        <v>564</v>
      </c>
      <c r="C5974" s="675" t="s">
        <v>5921</v>
      </c>
      <c r="D5974" s="675"/>
      <c r="E5974" s="675"/>
      <c r="G5974" s="675"/>
      <c r="H5974" s="675"/>
      <c r="I5974" s="675"/>
      <c r="J5974" s="675"/>
      <c r="K5974" s="675"/>
      <c r="L5974" s="675"/>
      <c r="M5974" s="675"/>
    </row>
    <row r="5975" spans="1:13" x14ac:dyDescent="0.25">
      <c r="A5975" s="675" t="s">
        <v>5907</v>
      </c>
      <c r="B5975" s="675" t="s">
        <v>564</v>
      </c>
      <c r="C5975" s="675" t="s">
        <v>5922</v>
      </c>
      <c r="D5975" s="675"/>
      <c r="E5975" s="675"/>
      <c r="G5975" s="675"/>
      <c r="H5975" s="675"/>
      <c r="I5975" s="675"/>
      <c r="J5975" s="675"/>
      <c r="K5975" s="675"/>
      <c r="L5975" s="675"/>
      <c r="M5975" s="675"/>
    </row>
    <row r="5976" spans="1:13" x14ac:dyDescent="0.25">
      <c r="A5976" s="675" t="s">
        <v>5907</v>
      </c>
      <c r="B5976" s="675" t="s">
        <v>564</v>
      </c>
      <c r="C5976" s="675" t="s">
        <v>5923</v>
      </c>
      <c r="D5976" s="675"/>
      <c r="E5976" s="675"/>
      <c r="G5976" s="675"/>
      <c r="H5976" s="675"/>
      <c r="I5976" s="675"/>
      <c r="J5976" s="675"/>
      <c r="K5976" s="675"/>
      <c r="L5976" s="675"/>
      <c r="M5976" s="675"/>
    </row>
    <row r="5977" spans="1:13" x14ac:dyDescent="0.25">
      <c r="A5977" s="675" t="s">
        <v>5907</v>
      </c>
      <c r="B5977" s="675" t="s">
        <v>564</v>
      </c>
      <c r="C5977" s="675" t="s">
        <v>5924</v>
      </c>
      <c r="D5977" s="675"/>
      <c r="E5977" s="675"/>
      <c r="G5977" s="675"/>
      <c r="H5977" s="675"/>
      <c r="I5977" s="675"/>
      <c r="J5977" s="675"/>
      <c r="K5977" s="675"/>
      <c r="L5977" s="675"/>
      <c r="M5977" s="675"/>
    </row>
    <row r="5978" spans="1:13" x14ac:dyDescent="0.25">
      <c r="A5978" s="675" t="s">
        <v>5907</v>
      </c>
      <c r="B5978" s="675" t="s">
        <v>564</v>
      </c>
      <c r="C5978" s="675" t="s">
        <v>5925</v>
      </c>
      <c r="D5978" s="675"/>
      <c r="E5978" s="675"/>
      <c r="G5978" s="675"/>
      <c r="H5978" s="675"/>
      <c r="I5978" s="675"/>
      <c r="J5978" s="675"/>
      <c r="K5978" s="675"/>
      <c r="L5978" s="675"/>
      <c r="M5978" s="675"/>
    </row>
    <row r="5979" spans="1:13" x14ac:dyDescent="0.25">
      <c r="A5979" s="675" t="s">
        <v>5907</v>
      </c>
      <c r="B5979" s="675" t="s">
        <v>564</v>
      </c>
      <c r="C5979" s="675" t="s">
        <v>5926</v>
      </c>
      <c r="D5979" s="675"/>
      <c r="E5979" s="675"/>
      <c r="G5979" s="675"/>
      <c r="H5979" s="675"/>
      <c r="I5979" s="675"/>
      <c r="J5979" s="675"/>
      <c r="K5979" s="675"/>
      <c r="L5979" s="675"/>
      <c r="M5979" s="675"/>
    </row>
    <row r="5980" spans="1:13" x14ac:dyDescent="0.25">
      <c r="A5980" s="675" t="s">
        <v>5907</v>
      </c>
      <c r="B5980" s="675" t="s">
        <v>564</v>
      </c>
      <c r="C5980" s="675" t="s">
        <v>5927</v>
      </c>
      <c r="D5980" s="675"/>
      <c r="E5980" s="675"/>
      <c r="G5980" s="675"/>
      <c r="H5980" s="675"/>
      <c r="I5980" s="675"/>
      <c r="J5980" s="675"/>
      <c r="K5980" s="675"/>
      <c r="L5980" s="675"/>
      <c r="M5980" s="675"/>
    </row>
    <row r="5981" spans="1:13" x14ac:dyDescent="0.25">
      <c r="A5981" s="675" t="s">
        <v>5907</v>
      </c>
      <c r="B5981" s="675" t="s">
        <v>512</v>
      </c>
      <c r="C5981" s="675" t="s">
        <v>5928</v>
      </c>
      <c r="D5981" s="675"/>
      <c r="E5981" s="675"/>
      <c r="G5981" s="675"/>
      <c r="H5981" s="675"/>
      <c r="I5981" s="675"/>
      <c r="J5981" s="675"/>
      <c r="K5981" s="675"/>
      <c r="L5981" s="675"/>
      <c r="M5981" s="675"/>
    </row>
    <row r="5982" spans="1:13" x14ac:dyDescent="0.25">
      <c r="A5982" s="675" t="s">
        <v>5907</v>
      </c>
      <c r="B5982" s="675" t="s">
        <v>512</v>
      </c>
      <c r="C5982" s="675" t="s">
        <v>5929</v>
      </c>
      <c r="D5982" s="675"/>
      <c r="E5982" s="675"/>
      <c r="G5982" s="675"/>
      <c r="H5982" s="675"/>
      <c r="I5982" s="675"/>
      <c r="J5982" s="675"/>
      <c r="K5982" s="675"/>
      <c r="L5982" s="675"/>
      <c r="M5982" s="675"/>
    </row>
    <row r="5983" spans="1:13" x14ac:dyDescent="0.25">
      <c r="A5983" s="675" t="s">
        <v>5907</v>
      </c>
      <c r="B5983" s="675" t="s">
        <v>512</v>
      </c>
      <c r="C5983" s="675" t="s">
        <v>5930</v>
      </c>
      <c r="D5983" s="675"/>
      <c r="E5983" s="675"/>
      <c r="G5983" s="675"/>
      <c r="H5983" s="675"/>
      <c r="I5983" s="675"/>
      <c r="J5983" s="675"/>
      <c r="K5983" s="675"/>
      <c r="L5983" s="675"/>
      <c r="M5983" s="675"/>
    </row>
    <row r="5984" spans="1:13" x14ac:dyDescent="0.25">
      <c r="A5984" s="675" t="s">
        <v>5907</v>
      </c>
      <c r="B5984" s="675" t="s">
        <v>512</v>
      </c>
      <c r="C5984" s="675" t="s">
        <v>5931</v>
      </c>
      <c r="D5984" s="675"/>
      <c r="E5984" s="675"/>
      <c r="G5984" s="675"/>
      <c r="H5984" s="675"/>
      <c r="I5984" s="675"/>
      <c r="J5984" s="675"/>
      <c r="K5984" s="675"/>
      <c r="L5984" s="675"/>
      <c r="M5984" s="675"/>
    </row>
    <row r="5985" spans="1:13" x14ac:dyDescent="0.25">
      <c r="A5985" s="675" t="s">
        <v>5907</v>
      </c>
      <c r="B5985" s="675" t="s">
        <v>512</v>
      </c>
      <c r="C5985" s="675" t="s">
        <v>5932</v>
      </c>
      <c r="D5985" s="675"/>
      <c r="E5985" s="675"/>
      <c r="G5985" s="675"/>
      <c r="H5985" s="675"/>
      <c r="I5985" s="675"/>
      <c r="J5985" s="675"/>
      <c r="K5985" s="675"/>
      <c r="L5985" s="675"/>
      <c r="M5985" s="675"/>
    </row>
    <row r="5986" spans="1:13" x14ac:dyDescent="0.25">
      <c r="A5986" s="675" t="s">
        <v>5907</v>
      </c>
      <c r="B5986" s="675" t="s">
        <v>512</v>
      </c>
      <c r="C5986" s="675" t="s">
        <v>5933</v>
      </c>
      <c r="D5986" s="675"/>
      <c r="E5986" s="675"/>
      <c r="G5986" s="675"/>
      <c r="H5986" s="675"/>
      <c r="I5986" s="675"/>
      <c r="J5986" s="675"/>
      <c r="K5986" s="675"/>
      <c r="L5986" s="675"/>
      <c r="M5986" s="675"/>
    </row>
    <row r="5987" spans="1:13" x14ac:dyDescent="0.25">
      <c r="A5987" s="675" t="s">
        <v>5907</v>
      </c>
      <c r="B5987" s="675" t="s">
        <v>512</v>
      </c>
      <c r="C5987" s="675" t="s">
        <v>5934</v>
      </c>
      <c r="D5987" s="675"/>
      <c r="E5987" s="675"/>
      <c r="G5987" s="675"/>
      <c r="H5987" s="675"/>
      <c r="I5987" s="675"/>
      <c r="J5987" s="675"/>
      <c r="K5987" s="675"/>
      <c r="L5987" s="675"/>
      <c r="M5987" s="675"/>
    </row>
    <row r="5988" spans="1:13" x14ac:dyDescent="0.25">
      <c r="A5988" s="675" t="s">
        <v>5907</v>
      </c>
      <c r="B5988" s="675" t="s">
        <v>512</v>
      </c>
      <c r="C5988" s="675" t="s">
        <v>5935</v>
      </c>
      <c r="D5988" s="675"/>
      <c r="E5988" s="675"/>
      <c r="G5988" s="675"/>
      <c r="H5988" s="675"/>
      <c r="I5988" s="675"/>
      <c r="J5988" s="675"/>
      <c r="K5988" s="675"/>
      <c r="L5988" s="675"/>
      <c r="M5988" s="675"/>
    </row>
    <row r="5989" spans="1:13" x14ac:dyDescent="0.25">
      <c r="A5989" s="675" t="s">
        <v>5907</v>
      </c>
      <c r="B5989" s="675" t="s">
        <v>512</v>
      </c>
      <c r="C5989" s="675" t="s">
        <v>5936</v>
      </c>
      <c r="D5989" s="675"/>
      <c r="E5989" s="675"/>
      <c r="G5989" s="675"/>
      <c r="H5989" s="675"/>
      <c r="I5989" s="675"/>
      <c r="J5989" s="675"/>
      <c r="K5989" s="675"/>
      <c r="L5989" s="675"/>
      <c r="M5989" s="675"/>
    </row>
    <row r="5990" spans="1:13" x14ac:dyDescent="0.25">
      <c r="A5990" s="675" t="s">
        <v>5907</v>
      </c>
      <c r="B5990" s="675" t="s">
        <v>512</v>
      </c>
      <c r="C5990" s="675" t="s">
        <v>5937</v>
      </c>
      <c r="D5990" s="675"/>
      <c r="E5990" s="675"/>
      <c r="G5990" s="675"/>
      <c r="H5990" s="675"/>
      <c r="I5990" s="675"/>
      <c r="J5990" s="675"/>
      <c r="K5990" s="675"/>
      <c r="L5990" s="675"/>
      <c r="M5990" s="675"/>
    </row>
    <row r="5991" spans="1:13" x14ac:dyDescent="0.25">
      <c r="A5991" s="675" t="s">
        <v>5938</v>
      </c>
      <c r="B5991" s="675" t="s">
        <v>545</v>
      </c>
      <c r="C5991" s="676" t="s">
        <v>5939</v>
      </c>
      <c r="D5991" s="675"/>
      <c r="E5991" s="675"/>
      <c r="G5991" s="675"/>
      <c r="H5991" s="675"/>
      <c r="I5991" s="675"/>
      <c r="J5991" s="675"/>
      <c r="K5991" s="675"/>
      <c r="L5991" s="675"/>
      <c r="M5991" s="675"/>
    </row>
    <row r="5992" spans="1:13" x14ac:dyDescent="0.25">
      <c r="A5992" s="675" t="s">
        <v>5938</v>
      </c>
      <c r="B5992" s="675" t="s">
        <v>545</v>
      </c>
      <c r="C5992" s="676" t="s">
        <v>5940</v>
      </c>
      <c r="D5992" s="675"/>
      <c r="E5992" s="675"/>
      <c r="G5992" s="675"/>
      <c r="H5992" s="675"/>
      <c r="I5992" s="675"/>
      <c r="J5992" s="675"/>
      <c r="K5992" s="675"/>
      <c r="L5992" s="675"/>
      <c r="M5992" s="675"/>
    </row>
    <row r="5993" spans="1:13" x14ac:dyDescent="0.25">
      <c r="A5993" s="675" t="s">
        <v>5938</v>
      </c>
      <c r="B5993" s="675" t="s">
        <v>545</v>
      </c>
      <c r="C5993" s="676" t="s">
        <v>5941</v>
      </c>
      <c r="D5993" s="675"/>
      <c r="E5993" s="675"/>
      <c r="G5993" s="675"/>
      <c r="H5993" s="675"/>
      <c r="I5993" s="675"/>
      <c r="J5993" s="675"/>
      <c r="K5993" s="675"/>
      <c r="L5993" s="675"/>
      <c r="M5993" s="675"/>
    </row>
    <row r="5994" spans="1:13" x14ac:dyDescent="0.25">
      <c r="A5994" s="675" t="s">
        <v>5938</v>
      </c>
      <c r="B5994" s="675" t="s">
        <v>545</v>
      </c>
      <c r="C5994" s="676" t="s">
        <v>5942</v>
      </c>
      <c r="D5994" s="675"/>
      <c r="E5994" s="675"/>
      <c r="G5994" s="675"/>
      <c r="H5994" s="675"/>
      <c r="I5994" s="675"/>
      <c r="J5994" s="675"/>
      <c r="K5994" s="675"/>
      <c r="L5994" s="675"/>
      <c r="M5994" s="675"/>
    </row>
    <row r="5995" spans="1:13" x14ac:dyDescent="0.25">
      <c r="A5995" s="675" t="s">
        <v>5938</v>
      </c>
      <c r="B5995" s="675" t="s">
        <v>545</v>
      </c>
      <c r="C5995" s="676" t="s">
        <v>5943</v>
      </c>
      <c r="D5995" s="675"/>
      <c r="E5995" s="675"/>
      <c r="G5995" s="675"/>
      <c r="H5995" s="675"/>
      <c r="I5995" s="675"/>
      <c r="J5995" s="675"/>
      <c r="K5995" s="675"/>
      <c r="L5995" s="675"/>
      <c r="M5995" s="675"/>
    </row>
    <row r="5996" spans="1:13" x14ac:dyDescent="0.25">
      <c r="A5996" s="675" t="s">
        <v>5938</v>
      </c>
      <c r="B5996" s="675" t="s">
        <v>545</v>
      </c>
      <c r="C5996" s="676" t="s">
        <v>5944</v>
      </c>
      <c r="D5996" s="675"/>
      <c r="E5996" s="675"/>
      <c r="G5996" s="675"/>
      <c r="H5996" s="675"/>
      <c r="I5996" s="675"/>
      <c r="J5996" s="675"/>
      <c r="K5996" s="675"/>
      <c r="L5996" s="675"/>
      <c r="M5996" s="675"/>
    </row>
    <row r="5997" spans="1:13" x14ac:dyDescent="0.25">
      <c r="A5997" s="675" t="s">
        <v>5938</v>
      </c>
      <c r="B5997" s="675" t="s">
        <v>545</v>
      </c>
      <c r="C5997" s="676" t="s">
        <v>5945</v>
      </c>
      <c r="D5997" s="675"/>
      <c r="E5997" s="675"/>
      <c r="G5997" s="675"/>
      <c r="H5997" s="675"/>
      <c r="I5997" s="675"/>
      <c r="J5997" s="675"/>
      <c r="K5997" s="675"/>
      <c r="L5997" s="675"/>
      <c r="M5997" s="675"/>
    </row>
    <row r="5998" spans="1:13" x14ac:dyDescent="0.25">
      <c r="A5998" s="675" t="s">
        <v>5938</v>
      </c>
      <c r="B5998" s="675" t="s">
        <v>545</v>
      </c>
      <c r="C5998" s="676" t="s">
        <v>5946</v>
      </c>
      <c r="D5998" s="675"/>
      <c r="E5998" s="675"/>
      <c r="G5998" s="675"/>
      <c r="H5998" s="675"/>
      <c r="I5998" s="675"/>
      <c r="J5998" s="675"/>
      <c r="K5998" s="675"/>
      <c r="L5998" s="675"/>
      <c r="M5998" s="675"/>
    </row>
    <row r="5999" spans="1:13" x14ac:dyDescent="0.25">
      <c r="A5999" s="675" t="s">
        <v>5938</v>
      </c>
      <c r="B5999" s="675" t="s">
        <v>545</v>
      </c>
      <c r="C5999" s="676" t="s">
        <v>5947</v>
      </c>
      <c r="D5999" s="675"/>
      <c r="E5999" s="675"/>
      <c r="G5999" s="675"/>
      <c r="H5999" s="675"/>
      <c r="I5999" s="675"/>
      <c r="J5999" s="675"/>
      <c r="K5999" s="675"/>
      <c r="L5999" s="675"/>
      <c r="M5999" s="675"/>
    </row>
    <row r="6000" spans="1:13" x14ac:dyDescent="0.25">
      <c r="A6000" s="675" t="s">
        <v>5938</v>
      </c>
      <c r="B6000" s="675" t="s">
        <v>545</v>
      </c>
      <c r="C6000" s="676" t="s">
        <v>5948</v>
      </c>
      <c r="D6000" s="675"/>
      <c r="E6000" s="675"/>
      <c r="G6000" s="675"/>
      <c r="H6000" s="675"/>
      <c r="I6000" s="675"/>
      <c r="J6000" s="675"/>
      <c r="K6000" s="675"/>
      <c r="L6000" s="675"/>
      <c r="M6000" s="675"/>
    </row>
    <row r="6001" spans="1:13" x14ac:dyDescent="0.25">
      <c r="A6001" s="675" t="s">
        <v>5938</v>
      </c>
      <c r="B6001" s="675" t="s">
        <v>564</v>
      </c>
      <c r="C6001" s="676" t="s">
        <v>5949</v>
      </c>
      <c r="D6001" s="675"/>
      <c r="E6001" s="675"/>
      <c r="G6001" s="675"/>
      <c r="H6001" s="675"/>
      <c r="I6001" s="675"/>
      <c r="J6001" s="675"/>
      <c r="K6001" s="675"/>
      <c r="L6001" s="675"/>
      <c r="M6001" s="675"/>
    </row>
    <row r="6002" spans="1:13" x14ac:dyDescent="0.25">
      <c r="A6002" s="675" t="s">
        <v>5938</v>
      </c>
      <c r="B6002" s="675" t="s">
        <v>564</v>
      </c>
      <c r="C6002" s="676" t="s">
        <v>5950</v>
      </c>
      <c r="D6002" s="675"/>
      <c r="E6002" s="675"/>
      <c r="G6002" s="675"/>
      <c r="H6002" s="675"/>
      <c r="I6002" s="675"/>
      <c r="J6002" s="675"/>
      <c r="K6002" s="675"/>
      <c r="L6002" s="675"/>
      <c r="M6002" s="675"/>
    </row>
    <row r="6003" spans="1:13" x14ac:dyDescent="0.25">
      <c r="A6003" s="675" t="s">
        <v>5938</v>
      </c>
      <c r="B6003" s="675" t="s">
        <v>564</v>
      </c>
      <c r="C6003" s="676" t="s">
        <v>5951</v>
      </c>
      <c r="D6003" s="675"/>
      <c r="E6003" s="675"/>
      <c r="G6003" s="675"/>
      <c r="H6003" s="675"/>
      <c r="I6003" s="675"/>
      <c r="J6003" s="675"/>
      <c r="K6003" s="675"/>
      <c r="L6003" s="675"/>
      <c r="M6003" s="675"/>
    </row>
    <row r="6004" spans="1:13" x14ac:dyDescent="0.25">
      <c r="A6004" s="675" t="s">
        <v>5938</v>
      </c>
      <c r="B6004" s="675" t="s">
        <v>564</v>
      </c>
      <c r="C6004" s="676" t="s">
        <v>5952</v>
      </c>
      <c r="D6004" s="675"/>
      <c r="E6004" s="675"/>
      <c r="G6004" s="675"/>
      <c r="H6004" s="675"/>
      <c r="I6004" s="675"/>
      <c r="J6004" s="675"/>
      <c r="K6004" s="675"/>
      <c r="L6004" s="675"/>
      <c r="M6004" s="675"/>
    </row>
    <row r="6005" spans="1:13" x14ac:dyDescent="0.25">
      <c r="A6005" s="675" t="s">
        <v>5938</v>
      </c>
      <c r="B6005" s="675" t="s">
        <v>564</v>
      </c>
      <c r="C6005" s="676" t="s">
        <v>5953</v>
      </c>
      <c r="D6005" s="675"/>
      <c r="E6005" s="675"/>
      <c r="G6005" s="675"/>
      <c r="H6005" s="675"/>
      <c r="I6005" s="675"/>
      <c r="J6005" s="675"/>
      <c r="K6005" s="675"/>
      <c r="L6005" s="675"/>
      <c r="M6005" s="675"/>
    </row>
    <row r="6006" spans="1:13" x14ac:dyDescent="0.25">
      <c r="A6006" s="675" t="s">
        <v>5938</v>
      </c>
      <c r="B6006" s="675" t="s">
        <v>564</v>
      </c>
      <c r="C6006" s="676" t="s">
        <v>5954</v>
      </c>
      <c r="D6006" s="675"/>
      <c r="E6006" s="675"/>
      <c r="G6006" s="675"/>
      <c r="H6006" s="675"/>
      <c r="I6006" s="675"/>
      <c r="J6006" s="675"/>
      <c r="K6006" s="675"/>
      <c r="L6006" s="675"/>
      <c r="M6006" s="675"/>
    </row>
    <row r="6007" spans="1:13" x14ac:dyDescent="0.25">
      <c r="A6007" s="675" t="s">
        <v>5938</v>
      </c>
      <c r="B6007" s="675" t="s">
        <v>564</v>
      </c>
      <c r="C6007" s="676" t="s">
        <v>5955</v>
      </c>
      <c r="D6007" s="675"/>
      <c r="E6007" s="675"/>
      <c r="G6007" s="675"/>
      <c r="H6007" s="675"/>
      <c r="I6007" s="675"/>
      <c r="J6007" s="675"/>
      <c r="K6007" s="675"/>
      <c r="L6007" s="675"/>
      <c r="M6007" s="675"/>
    </row>
    <row r="6008" spans="1:13" x14ac:dyDescent="0.25">
      <c r="A6008" s="675" t="s">
        <v>5938</v>
      </c>
      <c r="B6008" s="675" t="s">
        <v>564</v>
      </c>
      <c r="C6008" s="676" t="s">
        <v>5956</v>
      </c>
      <c r="D6008" s="675"/>
      <c r="E6008" s="675"/>
      <c r="G6008" s="675"/>
      <c r="H6008" s="675"/>
      <c r="I6008" s="675"/>
      <c r="J6008" s="675"/>
      <c r="K6008" s="675"/>
      <c r="L6008" s="675"/>
      <c r="M6008" s="675"/>
    </row>
    <row r="6009" spans="1:13" x14ac:dyDescent="0.25">
      <c r="A6009" s="675" t="s">
        <v>5938</v>
      </c>
      <c r="B6009" s="675" t="s">
        <v>564</v>
      </c>
      <c r="C6009" s="676" t="s">
        <v>5957</v>
      </c>
      <c r="D6009" s="675"/>
      <c r="E6009" s="675"/>
      <c r="G6009" s="675"/>
      <c r="H6009" s="675"/>
      <c r="I6009" s="675"/>
      <c r="J6009" s="675"/>
      <c r="K6009" s="675"/>
      <c r="L6009" s="675"/>
      <c r="M6009" s="675"/>
    </row>
    <row r="6010" spans="1:13" x14ac:dyDescent="0.25">
      <c r="A6010" s="675" t="s">
        <v>5938</v>
      </c>
      <c r="B6010" s="675" t="s">
        <v>564</v>
      </c>
      <c r="C6010" s="676" t="s">
        <v>5958</v>
      </c>
      <c r="D6010" s="675"/>
      <c r="E6010" s="675"/>
      <c r="G6010" s="675"/>
      <c r="H6010" s="675"/>
      <c r="I6010" s="675"/>
      <c r="J6010" s="675"/>
      <c r="K6010" s="675"/>
      <c r="L6010" s="675"/>
      <c r="M6010" s="675"/>
    </row>
    <row r="6011" spans="1:13" x14ac:dyDescent="0.25">
      <c r="A6011" s="675" t="s">
        <v>5938</v>
      </c>
      <c r="B6011" s="675" t="s">
        <v>512</v>
      </c>
      <c r="C6011" s="676" t="s">
        <v>5959</v>
      </c>
      <c r="D6011" s="675"/>
      <c r="E6011" s="675"/>
      <c r="G6011" s="675"/>
      <c r="H6011" s="675"/>
      <c r="I6011" s="675"/>
      <c r="J6011" s="675"/>
      <c r="K6011" s="675"/>
      <c r="L6011" s="675"/>
      <c r="M6011" s="675"/>
    </row>
    <row r="6012" spans="1:13" x14ac:dyDescent="0.25">
      <c r="A6012" s="675" t="s">
        <v>5938</v>
      </c>
      <c r="B6012" s="675" t="s">
        <v>512</v>
      </c>
      <c r="C6012" s="676" t="s">
        <v>5960</v>
      </c>
      <c r="D6012" s="675"/>
      <c r="E6012" s="675"/>
      <c r="G6012" s="675"/>
      <c r="H6012" s="675"/>
      <c r="I6012" s="675"/>
      <c r="J6012" s="675"/>
      <c r="K6012" s="675"/>
      <c r="L6012" s="675"/>
      <c r="M6012" s="675"/>
    </row>
    <row r="6013" spans="1:13" x14ac:dyDescent="0.25">
      <c r="A6013" s="675" t="s">
        <v>5938</v>
      </c>
      <c r="B6013" s="675" t="s">
        <v>512</v>
      </c>
      <c r="C6013" s="676" t="s">
        <v>5961</v>
      </c>
      <c r="D6013" s="675"/>
      <c r="E6013" s="675"/>
      <c r="G6013" s="675"/>
      <c r="H6013" s="675"/>
      <c r="I6013" s="675"/>
      <c r="J6013" s="675"/>
      <c r="K6013" s="675"/>
      <c r="L6013" s="675"/>
      <c r="M6013" s="675"/>
    </row>
    <row r="6014" spans="1:13" x14ac:dyDescent="0.25">
      <c r="A6014" s="675" t="s">
        <v>5938</v>
      </c>
      <c r="B6014" s="675" t="s">
        <v>512</v>
      </c>
      <c r="C6014" s="676" t="s">
        <v>5962</v>
      </c>
      <c r="D6014" s="675"/>
      <c r="E6014" s="675"/>
      <c r="G6014" s="675"/>
      <c r="H6014" s="675"/>
      <c r="I6014" s="675"/>
      <c r="J6014" s="675"/>
      <c r="K6014" s="675"/>
      <c r="L6014" s="675"/>
      <c r="M6014" s="675"/>
    </row>
    <row r="6015" spans="1:13" x14ac:dyDescent="0.25">
      <c r="A6015" s="675" t="s">
        <v>5938</v>
      </c>
      <c r="B6015" s="675" t="s">
        <v>512</v>
      </c>
      <c r="C6015" s="676" t="s">
        <v>5963</v>
      </c>
      <c r="D6015" s="675"/>
      <c r="E6015" s="675"/>
      <c r="G6015" s="675"/>
      <c r="H6015" s="675"/>
      <c r="I6015" s="675"/>
      <c r="J6015" s="675"/>
      <c r="K6015" s="675"/>
      <c r="L6015" s="675"/>
      <c r="M6015" s="675"/>
    </row>
    <row r="6016" spans="1:13" x14ac:dyDescent="0.25">
      <c r="A6016" s="675" t="s">
        <v>5938</v>
      </c>
      <c r="B6016" s="675" t="s">
        <v>512</v>
      </c>
      <c r="C6016" s="676" t="s">
        <v>5964</v>
      </c>
      <c r="D6016" s="675"/>
      <c r="E6016" s="675"/>
      <c r="G6016" s="675"/>
      <c r="H6016" s="675"/>
      <c r="I6016" s="675"/>
      <c r="J6016" s="675"/>
      <c r="K6016" s="675"/>
      <c r="L6016" s="675"/>
      <c r="M6016" s="675"/>
    </row>
    <row r="6017" spans="1:13" x14ac:dyDescent="0.25">
      <c r="A6017" s="675" t="s">
        <v>5938</v>
      </c>
      <c r="B6017" s="675" t="s">
        <v>512</v>
      </c>
      <c r="C6017" s="676" t="s">
        <v>5965</v>
      </c>
      <c r="D6017" s="675"/>
      <c r="E6017" s="675"/>
      <c r="G6017" s="675"/>
      <c r="H6017" s="675"/>
      <c r="I6017" s="675"/>
      <c r="J6017" s="675"/>
      <c r="K6017" s="675"/>
      <c r="L6017" s="675"/>
      <c r="M6017" s="675"/>
    </row>
    <row r="6018" spans="1:13" x14ac:dyDescent="0.25">
      <c r="A6018" s="675" t="s">
        <v>5938</v>
      </c>
      <c r="B6018" s="675" t="s">
        <v>512</v>
      </c>
      <c r="C6018" s="676" t="s">
        <v>5966</v>
      </c>
      <c r="D6018" s="675"/>
      <c r="E6018" s="675"/>
      <c r="G6018" s="675"/>
      <c r="H6018" s="675"/>
      <c r="I6018" s="675"/>
      <c r="J6018" s="675"/>
      <c r="K6018" s="675"/>
      <c r="L6018" s="675"/>
      <c r="M6018" s="675"/>
    </row>
    <row r="6019" spans="1:13" x14ac:dyDescent="0.25">
      <c r="A6019" s="675" t="s">
        <v>5938</v>
      </c>
      <c r="B6019" s="675" t="s">
        <v>512</v>
      </c>
      <c r="C6019" s="676" t="s">
        <v>5967</v>
      </c>
      <c r="D6019" s="675"/>
      <c r="E6019" s="675"/>
      <c r="G6019" s="675"/>
      <c r="H6019" s="675"/>
      <c r="I6019" s="675"/>
      <c r="J6019" s="675"/>
      <c r="K6019" s="675"/>
      <c r="L6019" s="675"/>
      <c r="M6019" s="675"/>
    </row>
    <row r="6020" spans="1:13" x14ac:dyDescent="0.25">
      <c r="A6020" s="675" t="s">
        <v>5938</v>
      </c>
      <c r="B6020" s="675" t="s">
        <v>512</v>
      </c>
      <c r="C6020" s="676" t="s">
        <v>5968</v>
      </c>
      <c r="D6020" s="675"/>
      <c r="E6020" s="675"/>
      <c r="G6020" s="675"/>
      <c r="H6020" s="675"/>
      <c r="I6020" s="675"/>
      <c r="J6020" s="675"/>
      <c r="K6020" s="675"/>
      <c r="L6020" s="675"/>
      <c r="M6020" s="675"/>
    </row>
    <row r="6021" spans="1:13" x14ac:dyDescent="0.25">
      <c r="A6021" s="675" t="s">
        <v>5969</v>
      </c>
      <c r="B6021" s="675" t="s">
        <v>545</v>
      </c>
      <c r="C6021" s="676" t="s">
        <v>5970</v>
      </c>
      <c r="D6021" s="675"/>
      <c r="E6021" s="675"/>
      <c r="G6021" s="675"/>
      <c r="H6021" s="675"/>
      <c r="I6021" s="675"/>
      <c r="J6021" s="675"/>
      <c r="K6021" s="675"/>
      <c r="L6021" s="675"/>
      <c r="M6021" s="675"/>
    </row>
    <row r="6022" spans="1:13" x14ac:dyDescent="0.25">
      <c r="A6022" s="675" t="s">
        <v>5969</v>
      </c>
      <c r="B6022" s="675" t="s">
        <v>545</v>
      </c>
      <c r="C6022" s="676" t="s">
        <v>5971</v>
      </c>
      <c r="D6022" s="675"/>
      <c r="E6022" s="675"/>
      <c r="G6022" s="675"/>
      <c r="H6022" s="675"/>
      <c r="I6022" s="675"/>
      <c r="J6022" s="675"/>
      <c r="K6022" s="675"/>
      <c r="L6022" s="675"/>
      <c r="M6022" s="675"/>
    </row>
    <row r="6023" spans="1:13" x14ac:dyDescent="0.25">
      <c r="A6023" s="675" t="s">
        <v>5969</v>
      </c>
      <c r="B6023" s="675" t="s">
        <v>545</v>
      </c>
      <c r="C6023" s="676" t="s">
        <v>5972</v>
      </c>
      <c r="D6023" s="675"/>
      <c r="E6023" s="675"/>
      <c r="G6023" s="675"/>
      <c r="H6023" s="675"/>
      <c r="I6023" s="675"/>
      <c r="J6023" s="675"/>
      <c r="K6023" s="675"/>
      <c r="L6023" s="675"/>
      <c r="M6023" s="675"/>
    </row>
    <row r="6024" spans="1:13" x14ac:dyDescent="0.25">
      <c r="A6024" s="675" t="s">
        <v>5969</v>
      </c>
      <c r="B6024" s="675" t="s">
        <v>545</v>
      </c>
      <c r="C6024" s="676" t="s">
        <v>5973</v>
      </c>
      <c r="D6024" s="675"/>
      <c r="E6024" s="675"/>
      <c r="G6024" s="675"/>
      <c r="H6024" s="675"/>
      <c r="I6024" s="675"/>
      <c r="J6024" s="675"/>
      <c r="K6024" s="675"/>
      <c r="L6024" s="675"/>
      <c r="M6024" s="675"/>
    </row>
    <row r="6025" spans="1:13" x14ac:dyDescent="0.25">
      <c r="A6025" s="675" t="s">
        <v>5969</v>
      </c>
      <c r="B6025" s="675" t="s">
        <v>545</v>
      </c>
      <c r="C6025" s="676" t="s">
        <v>5974</v>
      </c>
      <c r="D6025" s="675"/>
      <c r="E6025" s="675"/>
      <c r="G6025" s="675"/>
      <c r="H6025" s="675"/>
      <c r="I6025" s="675"/>
      <c r="J6025" s="675"/>
      <c r="K6025" s="675"/>
      <c r="L6025" s="675"/>
      <c r="M6025" s="675"/>
    </row>
    <row r="6026" spans="1:13" x14ac:dyDescent="0.25">
      <c r="A6026" s="675" t="s">
        <v>5969</v>
      </c>
      <c r="B6026" s="675" t="s">
        <v>545</v>
      </c>
      <c r="C6026" s="676" t="s">
        <v>5975</v>
      </c>
      <c r="D6026" s="675"/>
      <c r="E6026" s="675"/>
      <c r="G6026" s="675"/>
      <c r="H6026" s="675"/>
      <c r="I6026" s="675"/>
      <c r="J6026" s="675"/>
      <c r="K6026" s="675"/>
      <c r="L6026" s="675"/>
      <c r="M6026" s="675"/>
    </row>
    <row r="6027" spans="1:13" x14ac:dyDescent="0.25">
      <c r="A6027" s="675" t="s">
        <v>5969</v>
      </c>
      <c r="B6027" s="675" t="s">
        <v>545</v>
      </c>
      <c r="C6027" s="676" t="s">
        <v>5976</v>
      </c>
      <c r="D6027" s="675"/>
      <c r="E6027" s="675"/>
      <c r="G6027" s="675"/>
      <c r="H6027" s="675"/>
      <c r="I6027" s="675"/>
      <c r="J6027" s="675"/>
      <c r="K6027" s="675"/>
      <c r="L6027" s="675"/>
      <c r="M6027" s="675"/>
    </row>
    <row r="6028" spans="1:13" ht="30" x14ac:dyDescent="0.25">
      <c r="A6028" s="675" t="s">
        <v>5969</v>
      </c>
      <c r="B6028" s="675" t="s">
        <v>545</v>
      </c>
      <c r="C6028" s="676" t="s">
        <v>5977</v>
      </c>
      <c r="D6028" s="675"/>
      <c r="E6028" s="675"/>
      <c r="G6028" s="675"/>
      <c r="H6028" s="675"/>
      <c r="I6028" s="675"/>
      <c r="J6028" s="675"/>
      <c r="K6028" s="675"/>
      <c r="L6028" s="675"/>
      <c r="M6028" s="675"/>
    </row>
    <row r="6029" spans="1:13" x14ac:dyDescent="0.25">
      <c r="A6029" s="675" t="s">
        <v>5969</v>
      </c>
      <c r="B6029" s="675" t="s">
        <v>545</v>
      </c>
      <c r="C6029" s="676" t="s">
        <v>5978</v>
      </c>
      <c r="D6029" s="675"/>
      <c r="E6029" s="675"/>
      <c r="G6029" s="675"/>
      <c r="H6029" s="675"/>
      <c r="I6029" s="675"/>
      <c r="J6029" s="675"/>
      <c r="K6029" s="675"/>
      <c r="L6029" s="675"/>
      <c r="M6029" s="675"/>
    </row>
    <row r="6030" spans="1:13" x14ac:dyDescent="0.25">
      <c r="A6030" s="675" t="s">
        <v>5969</v>
      </c>
      <c r="B6030" s="675" t="s">
        <v>545</v>
      </c>
      <c r="C6030" s="676" t="s">
        <v>5979</v>
      </c>
      <c r="D6030" s="675"/>
      <c r="E6030" s="675"/>
      <c r="G6030" s="675"/>
      <c r="H6030" s="675"/>
      <c r="I6030" s="675"/>
      <c r="J6030" s="675"/>
      <c r="K6030" s="675"/>
      <c r="L6030" s="675"/>
      <c r="M6030" s="675"/>
    </row>
    <row r="6031" spans="1:13" x14ac:dyDescent="0.25">
      <c r="A6031" s="675" t="s">
        <v>5969</v>
      </c>
      <c r="B6031" s="675" t="s">
        <v>564</v>
      </c>
      <c r="C6031" s="676" t="s">
        <v>5980</v>
      </c>
      <c r="D6031" s="675"/>
      <c r="E6031" s="675"/>
      <c r="G6031" s="675"/>
      <c r="H6031" s="675"/>
      <c r="I6031" s="675"/>
      <c r="J6031" s="675"/>
      <c r="K6031" s="675"/>
      <c r="L6031" s="675"/>
      <c r="M6031" s="675"/>
    </row>
    <row r="6032" spans="1:13" x14ac:dyDescent="0.25">
      <c r="A6032" s="675" t="s">
        <v>5969</v>
      </c>
      <c r="B6032" s="675" t="s">
        <v>564</v>
      </c>
      <c r="C6032" s="676" t="s">
        <v>5981</v>
      </c>
      <c r="D6032" s="675"/>
      <c r="E6032" s="675"/>
      <c r="G6032" s="675"/>
      <c r="H6032" s="675"/>
      <c r="I6032" s="675"/>
      <c r="J6032" s="675"/>
      <c r="K6032" s="675"/>
      <c r="L6032" s="675"/>
      <c r="M6032" s="675"/>
    </row>
    <row r="6033" spans="1:13" x14ac:dyDescent="0.25">
      <c r="A6033" s="675" t="s">
        <v>5969</v>
      </c>
      <c r="B6033" s="675" t="s">
        <v>564</v>
      </c>
      <c r="C6033" s="676" t="s">
        <v>5982</v>
      </c>
      <c r="D6033" s="675"/>
      <c r="E6033" s="675"/>
      <c r="G6033" s="675"/>
      <c r="H6033" s="675"/>
      <c r="I6033" s="675"/>
      <c r="J6033" s="675"/>
      <c r="K6033" s="675"/>
      <c r="L6033" s="675"/>
      <c r="M6033" s="675"/>
    </row>
    <row r="6034" spans="1:13" x14ac:dyDescent="0.25">
      <c r="A6034" s="675" t="s">
        <v>5969</v>
      </c>
      <c r="B6034" s="675" t="s">
        <v>564</v>
      </c>
      <c r="C6034" s="676" t="s">
        <v>5983</v>
      </c>
      <c r="D6034" s="675"/>
      <c r="E6034" s="675"/>
      <c r="G6034" s="675"/>
      <c r="H6034" s="675"/>
      <c r="I6034" s="675"/>
      <c r="J6034" s="675"/>
      <c r="K6034" s="675"/>
      <c r="L6034" s="675"/>
      <c r="M6034" s="675"/>
    </row>
    <row r="6035" spans="1:13" x14ac:dyDescent="0.25">
      <c r="A6035" s="675" t="s">
        <v>5969</v>
      </c>
      <c r="B6035" s="675" t="s">
        <v>564</v>
      </c>
      <c r="C6035" s="676" t="s">
        <v>5984</v>
      </c>
      <c r="D6035" s="675"/>
      <c r="E6035" s="675"/>
      <c r="G6035" s="675"/>
      <c r="H6035" s="675"/>
      <c r="I6035" s="675"/>
      <c r="J6035" s="675"/>
      <c r="K6035" s="675"/>
      <c r="L6035" s="675"/>
      <c r="M6035" s="675"/>
    </row>
    <row r="6036" spans="1:13" x14ac:dyDescent="0.25">
      <c r="A6036" s="675" t="s">
        <v>5969</v>
      </c>
      <c r="B6036" s="675" t="s">
        <v>564</v>
      </c>
      <c r="C6036" s="676" t="s">
        <v>5985</v>
      </c>
      <c r="D6036" s="675"/>
      <c r="E6036" s="675"/>
      <c r="G6036" s="675"/>
      <c r="H6036" s="675"/>
      <c r="I6036" s="675"/>
      <c r="J6036" s="675"/>
      <c r="K6036" s="675"/>
      <c r="L6036" s="675"/>
      <c r="M6036" s="675"/>
    </row>
    <row r="6037" spans="1:13" x14ac:dyDescent="0.25">
      <c r="A6037" s="675" t="s">
        <v>5969</v>
      </c>
      <c r="B6037" s="675" t="s">
        <v>564</v>
      </c>
      <c r="C6037" s="676" t="s">
        <v>5986</v>
      </c>
      <c r="D6037" s="675"/>
      <c r="E6037" s="675"/>
      <c r="G6037" s="675"/>
      <c r="H6037" s="675"/>
      <c r="I6037" s="675"/>
      <c r="J6037" s="675"/>
      <c r="K6037" s="675"/>
      <c r="L6037" s="675"/>
      <c r="M6037" s="675"/>
    </row>
    <row r="6038" spans="1:13" x14ac:dyDescent="0.25">
      <c r="A6038" s="675" t="s">
        <v>5969</v>
      </c>
      <c r="B6038" s="675" t="s">
        <v>564</v>
      </c>
      <c r="C6038" s="676" t="s">
        <v>5987</v>
      </c>
      <c r="D6038" s="675"/>
      <c r="E6038" s="675"/>
      <c r="G6038" s="675"/>
      <c r="H6038" s="675"/>
      <c r="I6038" s="675"/>
      <c r="J6038" s="675"/>
      <c r="K6038" s="675"/>
      <c r="L6038" s="675"/>
      <c r="M6038" s="675"/>
    </row>
    <row r="6039" spans="1:13" x14ac:dyDescent="0.25">
      <c r="A6039" s="675" t="s">
        <v>5969</v>
      </c>
      <c r="B6039" s="675" t="s">
        <v>564</v>
      </c>
      <c r="C6039" s="676" t="s">
        <v>5988</v>
      </c>
      <c r="D6039" s="675"/>
      <c r="E6039" s="675"/>
      <c r="G6039" s="675"/>
      <c r="H6039" s="675"/>
      <c r="I6039" s="675"/>
      <c r="J6039" s="675"/>
      <c r="K6039" s="675"/>
      <c r="L6039" s="675"/>
      <c r="M6039" s="675"/>
    </row>
    <row r="6040" spans="1:13" x14ac:dyDescent="0.25">
      <c r="A6040" s="675" t="s">
        <v>5969</v>
      </c>
      <c r="B6040" s="675" t="s">
        <v>564</v>
      </c>
      <c r="C6040" s="676" t="s">
        <v>5989</v>
      </c>
      <c r="D6040" s="675"/>
      <c r="E6040" s="675"/>
      <c r="G6040" s="675"/>
      <c r="H6040" s="675"/>
      <c r="I6040" s="675"/>
      <c r="J6040" s="675"/>
      <c r="K6040" s="675"/>
      <c r="L6040" s="675"/>
      <c r="M6040" s="675"/>
    </row>
    <row r="6041" spans="1:13" x14ac:dyDescent="0.25">
      <c r="A6041" s="675" t="s">
        <v>5969</v>
      </c>
      <c r="B6041" s="675" t="s">
        <v>512</v>
      </c>
      <c r="C6041" s="676" t="s">
        <v>5990</v>
      </c>
      <c r="D6041" s="675"/>
      <c r="E6041" s="675"/>
      <c r="G6041" s="675"/>
      <c r="H6041" s="675"/>
      <c r="I6041" s="675"/>
      <c r="J6041" s="675"/>
      <c r="K6041" s="675"/>
      <c r="L6041" s="675"/>
      <c r="M6041" s="675"/>
    </row>
    <row r="6042" spans="1:13" x14ac:dyDescent="0.25">
      <c r="A6042" s="675" t="s">
        <v>5969</v>
      </c>
      <c r="B6042" s="675" t="s">
        <v>512</v>
      </c>
      <c r="C6042" s="676" t="s">
        <v>5991</v>
      </c>
      <c r="D6042" s="675"/>
      <c r="E6042" s="675"/>
      <c r="G6042" s="675"/>
      <c r="H6042" s="675"/>
      <c r="I6042" s="675"/>
      <c r="J6042" s="675"/>
      <c r="K6042" s="675"/>
      <c r="L6042" s="675"/>
      <c r="M6042" s="675"/>
    </row>
    <row r="6043" spans="1:13" x14ac:dyDescent="0.25">
      <c r="A6043" s="675" t="s">
        <v>5969</v>
      </c>
      <c r="B6043" s="675" t="s">
        <v>512</v>
      </c>
      <c r="C6043" s="676" t="s">
        <v>5992</v>
      </c>
      <c r="D6043" s="675"/>
      <c r="E6043" s="675"/>
      <c r="G6043" s="675"/>
      <c r="H6043" s="675"/>
      <c r="I6043" s="675"/>
      <c r="J6043" s="675"/>
      <c r="K6043" s="675"/>
      <c r="L6043" s="675"/>
      <c r="M6043" s="675"/>
    </row>
    <row r="6044" spans="1:13" x14ac:dyDescent="0.25">
      <c r="A6044" s="675" t="s">
        <v>5969</v>
      </c>
      <c r="B6044" s="675" t="s">
        <v>512</v>
      </c>
      <c r="C6044" s="676" t="s">
        <v>5993</v>
      </c>
      <c r="D6044" s="675"/>
      <c r="E6044" s="675"/>
      <c r="G6044" s="675"/>
      <c r="H6044" s="675"/>
      <c r="I6044" s="675"/>
      <c r="J6044" s="675"/>
      <c r="K6044" s="675"/>
      <c r="L6044" s="675"/>
      <c r="M6044" s="675"/>
    </row>
    <row r="6045" spans="1:13" x14ac:dyDescent="0.25">
      <c r="A6045" s="675" t="s">
        <v>5969</v>
      </c>
      <c r="B6045" s="675" t="s">
        <v>512</v>
      </c>
      <c r="C6045" s="676" t="s">
        <v>5994</v>
      </c>
      <c r="D6045" s="675"/>
      <c r="E6045" s="675"/>
      <c r="G6045" s="675"/>
      <c r="H6045" s="675"/>
      <c r="I6045" s="675"/>
      <c r="J6045" s="675"/>
      <c r="K6045" s="675"/>
      <c r="L6045" s="675"/>
      <c r="M6045" s="675"/>
    </row>
    <row r="6046" spans="1:13" x14ac:dyDescent="0.25">
      <c r="A6046" s="675" t="s">
        <v>5969</v>
      </c>
      <c r="B6046" s="675" t="s">
        <v>512</v>
      </c>
      <c r="C6046" s="676" t="s">
        <v>5995</v>
      </c>
      <c r="D6046" s="675"/>
      <c r="E6046" s="675"/>
      <c r="G6046" s="675"/>
      <c r="H6046" s="675"/>
      <c r="I6046" s="675"/>
      <c r="J6046" s="675"/>
      <c r="K6046" s="675"/>
      <c r="L6046" s="675"/>
      <c r="M6046" s="675"/>
    </row>
    <row r="6047" spans="1:13" x14ac:dyDescent="0.25">
      <c r="A6047" s="675" t="s">
        <v>5969</v>
      </c>
      <c r="B6047" s="675" t="s">
        <v>512</v>
      </c>
      <c r="C6047" s="676" t="s">
        <v>5996</v>
      </c>
      <c r="D6047" s="675"/>
      <c r="E6047" s="675"/>
      <c r="G6047" s="675"/>
      <c r="H6047" s="675"/>
      <c r="I6047" s="675"/>
      <c r="J6047" s="675"/>
      <c r="K6047" s="675"/>
      <c r="L6047" s="675"/>
      <c r="M6047" s="675"/>
    </row>
    <row r="6048" spans="1:13" x14ac:dyDescent="0.25">
      <c r="A6048" s="675" t="s">
        <v>5969</v>
      </c>
      <c r="B6048" s="675" t="s">
        <v>512</v>
      </c>
      <c r="C6048" s="676" t="s">
        <v>5997</v>
      </c>
      <c r="D6048" s="675"/>
      <c r="E6048" s="675"/>
      <c r="G6048" s="675"/>
      <c r="H6048" s="675"/>
      <c r="I6048" s="675"/>
      <c r="J6048" s="675"/>
      <c r="K6048" s="675"/>
      <c r="L6048" s="675"/>
      <c r="M6048" s="675"/>
    </row>
    <row r="6049" spans="1:13" x14ac:dyDescent="0.25">
      <c r="A6049" s="675" t="s">
        <v>5969</v>
      </c>
      <c r="B6049" s="675" t="s">
        <v>512</v>
      </c>
      <c r="C6049" s="676" t="s">
        <v>5998</v>
      </c>
      <c r="D6049" s="675"/>
      <c r="E6049" s="675"/>
      <c r="G6049" s="675"/>
      <c r="H6049" s="675"/>
      <c r="I6049" s="675"/>
      <c r="J6049" s="675"/>
      <c r="K6049" s="675"/>
      <c r="L6049" s="675"/>
      <c r="M6049" s="675"/>
    </row>
    <row r="6050" spans="1:13" ht="30" x14ac:dyDescent="0.25">
      <c r="A6050" s="675" t="s">
        <v>5969</v>
      </c>
      <c r="B6050" s="675" t="s">
        <v>512</v>
      </c>
      <c r="C6050" s="676" t="s">
        <v>5999</v>
      </c>
      <c r="D6050" s="675"/>
      <c r="E6050" s="675"/>
      <c r="G6050" s="675"/>
      <c r="H6050" s="675"/>
      <c r="I6050" s="675"/>
      <c r="J6050" s="675"/>
      <c r="K6050" s="675"/>
      <c r="L6050" s="675"/>
      <c r="M6050" s="675"/>
    </row>
    <row r="6051" spans="1:13" x14ac:dyDescent="0.25">
      <c r="A6051" s="675" t="s">
        <v>1043</v>
      </c>
      <c r="B6051" s="675" t="s">
        <v>545</v>
      </c>
      <c r="C6051" s="676" t="s">
        <v>6000</v>
      </c>
      <c r="D6051" s="675"/>
      <c r="E6051" s="675"/>
      <c r="G6051" s="675"/>
      <c r="H6051" s="675"/>
      <c r="I6051" s="675"/>
      <c r="J6051" s="675"/>
      <c r="K6051" s="675"/>
      <c r="L6051" s="675"/>
      <c r="M6051" s="675"/>
    </row>
    <row r="6052" spans="1:13" x14ac:dyDescent="0.25">
      <c r="A6052" s="675" t="s">
        <v>1043</v>
      </c>
      <c r="B6052" s="675" t="s">
        <v>545</v>
      </c>
      <c r="C6052" s="676" t="s">
        <v>6001</v>
      </c>
      <c r="D6052" s="675"/>
      <c r="E6052" s="675"/>
      <c r="G6052" s="675"/>
      <c r="H6052" s="675"/>
      <c r="I6052" s="675"/>
      <c r="J6052" s="675"/>
      <c r="K6052" s="675"/>
      <c r="L6052" s="675"/>
      <c r="M6052" s="675"/>
    </row>
    <row r="6053" spans="1:13" ht="30" x14ac:dyDescent="0.25">
      <c r="A6053" s="675" t="s">
        <v>1043</v>
      </c>
      <c r="B6053" s="675" t="s">
        <v>545</v>
      </c>
      <c r="C6053" s="676" t="s">
        <v>6002</v>
      </c>
      <c r="D6053" s="675"/>
      <c r="E6053" s="675"/>
      <c r="G6053" s="675"/>
      <c r="H6053" s="675"/>
      <c r="I6053" s="675"/>
      <c r="J6053" s="675"/>
      <c r="K6053" s="675"/>
      <c r="L6053" s="675"/>
      <c r="M6053" s="675"/>
    </row>
    <row r="6054" spans="1:13" ht="30" x14ac:dyDescent="0.25">
      <c r="A6054" s="675" t="s">
        <v>1043</v>
      </c>
      <c r="B6054" s="675" t="s">
        <v>545</v>
      </c>
      <c r="C6054" s="676" t="s">
        <v>6003</v>
      </c>
      <c r="D6054" s="675"/>
      <c r="E6054" s="675"/>
      <c r="G6054" s="675"/>
      <c r="H6054" s="675"/>
      <c r="I6054" s="675"/>
      <c r="J6054" s="675"/>
      <c r="K6054" s="675"/>
      <c r="L6054" s="675"/>
      <c r="M6054" s="675"/>
    </row>
    <row r="6055" spans="1:13" x14ac:dyDescent="0.25">
      <c r="A6055" s="675" t="s">
        <v>1043</v>
      </c>
      <c r="B6055" s="675" t="s">
        <v>545</v>
      </c>
      <c r="C6055" s="676" t="s">
        <v>6004</v>
      </c>
      <c r="D6055" s="675"/>
      <c r="E6055" s="675"/>
      <c r="G6055" s="675"/>
      <c r="H6055" s="675"/>
      <c r="I6055" s="675"/>
      <c r="J6055" s="675"/>
      <c r="K6055" s="675"/>
      <c r="L6055" s="675"/>
      <c r="M6055" s="675"/>
    </row>
    <row r="6056" spans="1:13" x14ac:dyDescent="0.25">
      <c r="A6056" s="675" t="s">
        <v>1043</v>
      </c>
      <c r="B6056" s="675" t="s">
        <v>545</v>
      </c>
      <c r="C6056" s="676" t="s">
        <v>6005</v>
      </c>
      <c r="D6056" s="675"/>
      <c r="E6056" s="675"/>
      <c r="G6056" s="675"/>
      <c r="H6056" s="675"/>
      <c r="I6056" s="675"/>
      <c r="J6056" s="675"/>
      <c r="K6056" s="675"/>
      <c r="L6056" s="675"/>
      <c r="M6056" s="675"/>
    </row>
    <row r="6057" spans="1:13" x14ac:dyDescent="0.25">
      <c r="A6057" s="675" t="s">
        <v>1043</v>
      </c>
      <c r="B6057" s="675" t="s">
        <v>545</v>
      </c>
      <c r="C6057" s="676" t="s">
        <v>6006</v>
      </c>
      <c r="D6057" s="675"/>
      <c r="E6057" s="675"/>
      <c r="G6057" s="675"/>
      <c r="H6057" s="675"/>
      <c r="I6057" s="675"/>
      <c r="J6057" s="675"/>
      <c r="K6057" s="675"/>
      <c r="L6057" s="675"/>
      <c r="M6057" s="675"/>
    </row>
    <row r="6058" spans="1:13" x14ac:dyDescent="0.25">
      <c r="A6058" s="675" t="s">
        <v>1043</v>
      </c>
      <c r="B6058" s="675" t="s">
        <v>545</v>
      </c>
      <c r="C6058" s="676" t="s">
        <v>6007</v>
      </c>
      <c r="D6058" s="675"/>
      <c r="E6058" s="675"/>
      <c r="G6058" s="675"/>
      <c r="H6058" s="675"/>
      <c r="I6058" s="675"/>
      <c r="J6058" s="675"/>
      <c r="K6058" s="675"/>
      <c r="L6058" s="675"/>
      <c r="M6058" s="675"/>
    </row>
    <row r="6059" spans="1:13" x14ac:dyDescent="0.25">
      <c r="A6059" s="675" t="s">
        <v>1043</v>
      </c>
      <c r="B6059" s="675" t="s">
        <v>545</v>
      </c>
      <c r="C6059" s="676" t="s">
        <v>6008</v>
      </c>
      <c r="D6059" s="675"/>
      <c r="E6059" s="675"/>
      <c r="G6059" s="675"/>
      <c r="H6059" s="675"/>
      <c r="I6059" s="675"/>
      <c r="J6059" s="675"/>
      <c r="K6059" s="675"/>
      <c r="L6059" s="675"/>
      <c r="M6059" s="675"/>
    </row>
    <row r="6060" spans="1:13" x14ac:dyDescent="0.25">
      <c r="A6060" s="675" t="s">
        <v>1043</v>
      </c>
      <c r="B6060" s="675" t="s">
        <v>545</v>
      </c>
      <c r="C6060" s="676" t="s">
        <v>6009</v>
      </c>
      <c r="D6060" s="675"/>
      <c r="E6060" s="675"/>
      <c r="G6060" s="675"/>
      <c r="H6060" s="675"/>
      <c r="I6060" s="675"/>
      <c r="J6060" s="675"/>
      <c r="K6060" s="675"/>
      <c r="L6060" s="675"/>
      <c r="M6060" s="675"/>
    </row>
    <row r="6061" spans="1:13" ht="30" x14ac:dyDescent="0.25">
      <c r="A6061" s="675" t="s">
        <v>1043</v>
      </c>
      <c r="B6061" s="675" t="s">
        <v>564</v>
      </c>
      <c r="C6061" s="676" t="s">
        <v>6010</v>
      </c>
      <c r="D6061" s="675"/>
      <c r="E6061" s="675"/>
      <c r="G6061" s="675"/>
      <c r="H6061" s="675"/>
      <c r="I6061" s="675"/>
      <c r="J6061" s="675"/>
      <c r="K6061" s="675"/>
      <c r="L6061" s="675"/>
      <c r="M6061" s="675"/>
    </row>
    <row r="6062" spans="1:13" x14ac:dyDescent="0.25">
      <c r="A6062" s="675" t="s">
        <v>1043</v>
      </c>
      <c r="B6062" s="675" t="s">
        <v>564</v>
      </c>
      <c r="C6062" s="676" t="s">
        <v>6011</v>
      </c>
      <c r="D6062" s="675"/>
      <c r="E6062" s="675"/>
      <c r="G6062" s="675"/>
      <c r="H6062" s="675"/>
      <c r="I6062" s="675"/>
      <c r="J6062" s="675"/>
      <c r="K6062" s="675"/>
      <c r="L6062" s="675"/>
      <c r="M6062" s="675"/>
    </row>
    <row r="6063" spans="1:13" x14ac:dyDescent="0.25">
      <c r="A6063" s="675" t="s">
        <v>1043</v>
      </c>
      <c r="B6063" s="675" t="s">
        <v>564</v>
      </c>
      <c r="C6063" s="676" t="s">
        <v>6012</v>
      </c>
      <c r="D6063" s="675"/>
      <c r="E6063" s="675"/>
      <c r="G6063" s="675"/>
      <c r="H6063" s="675"/>
      <c r="I6063" s="675"/>
      <c r="J6063" s="675"/>
      <c r="K6063" s="675"/>
      <c r="L6063" s="675"/>
      <c r="M6063" s="675"/>
    </row>
    <row r="6064" spans="1:13" x14ac:dyDescent="0.25">
      <c r="A6064" s="675" t="s">
        <v>1043</v>
      </c>
      <c r="B6064" s="675" t="s">
        <v>564</v>
      </c>
      <c r="C6064" s="676" t="s">
        <v>6013</v>
      </c>
      <c r="D6064" s="675"/>
      <c r="E6064" s="675"/>
      <c r="G6064" s="675"/>
      <c r="H6064" s="675"/>
      <c r="I6064" s="675"/>
      <c r="J6064" s="675"/>
      <c r="K6064" s="675"/>
      <c r="L6064" s="675"/>
      <c r="M6064" s="675"/>
    </row>
    <row r="6065" spans="1:13" x14ac:dyDescent="0.25">
      <c r="A6065" s="675" t="s">
        <v>1043</v>
      </c>
      <c r="B6065" s="675" t="s">
        <v>564</v>
      </c>
      <c r="C6065" s="676" t="s">
        <v>6014</v>
      </c>
      <c r="D6065" s="675"/>
      <c r="E6065" s="675"/>
      <c r="G6065" s="675"/>
      <c r="H6065" s="675"/>
      <c r="I6065" s="675"/>
      <c r="J6065" s="675"/>
      <c r="K6065" s="675"/>
      <c r="L6065" s="675"/>
      <c r="M6065" s="675"/>
    </row>
    <row r="6066" spans="1:13" x14ac:dyDescent="0.25">
      <c r="A6066" s="675" t="s">
        <v>1043</v>
      </c>
      <c r="B6066" s="675" t="s">
        <v>564</v>
      </c>
      <c r="C6066" s="676" t="s">
        <v>6015</v>
      </c>
      <c r="D6066" s="675"/>
      <c r="E6066" s="675"/>
      <c r="G6066" s="675"/>
      <c r="H6066" s="675"/>
      <c r="I6066" s="675"/>
      <c r="J6066" s="675"/>
      <c r="K6066" s="675"/>
      <c r="L6066" s="675"/>
      <c r="M6066" s="675"/>
    </row>
    <row r="6067" spans="1:13" x14ac:dyDescent="0.25">
      <c r="A6067" s="675" t="s">
        <v>1043</v>
      </c>
      <c r="B6067" s="675" t="s">
        <v>564</v>
      </c>
      <c r="C6067" s="676" t="s">
        <v>6016</v>
      </c>
      <c r="D6067" s="675"/>
      <c r="E6067" s="675"/>
      <c r="G6067" s="675"/>
      <c r="H6067" s="675"/>
      <c r="I6067" s="675"/>
      <c r="J6067" s="675"/>
      <c r="K6067" s="675"/>
      <c r="L6067" s="675"/>
      <c r="M6067" s="675"/>
    </row>
    <row r="6068" spans="1:13" x14ac:dyDescent="0.25">
      <c r="A6068" s="675" t="s">
        <v>1043</v>
      </c>
      <c r="B6068" s="675" t="s">
        <v>564</v>
      </c>
      <c r="C6068" s="676" t="s">
        <v>6017</v>
      </c>
      <c r="D6068" s="675"/>
      <c r="E6068" s="675"/>
      <c r="G6068" s="675"/>
      <c r="H6068" s="675"/>
      <c r="I6068" s="675"/>
      <c r="J6068" s="675"/>
      <c r="K6068" s="675"/>
      <c r="L6068" s="675"/>
      <c r="M6068" s="675"/>
    </row>
    <row r="6069" spans="1:13" x14ac:dyDescent="0.25">
      <c r="A6069" s="675" t="s">
        <v>1043</v>
      </c>
      <c r="B6069" s="675" t="s">
        <v>564</v>
      </c>
      <c r="C6069" s="676" t="s">
        <v>6018</v>
      </c>
      <c r="D6069" s="675"/>
      <c r="E6069" s="675"/>
      <c r="G6069" s="675"/>
      <c r="H6069" s="675"/>
      <c r="I6069" s="675"/>
      <c r="J6069" s="675"/>
      <c r="K6069" s="675"/>
      <c r="L6069" s="675"/>
      <c r="M6069" s="675"/>
    </row>
    <row r="6070" spans="1:13" x14ac:dyDescent="0.25">
      <c r="A6070" s="675" t="s">
        <v>1043</v>
      </c>
      <c r="B6070" s="675" t="s">
        <v>564</v>
      </c>
      <c r="C6070" s="676" t="s">
        <v>6019</v>
      </c>
      <c r="D6070" s="675"/>
      <c r="E6070" s="675"/>
      <c r="G6070" s="675"/>
      <c r="H6070" s="675"/>
      <c r="I6070" s="675"/>
      <c r="J6070" s="675"/>
      <c r="K6070" s="675"/>
      <c r="L6070" s="675"/>
      <c r="M6070" s="675"/>
    </row>
    <row r="6071" spans="1:13" x14ac:dyDescent="0.25">
      <c r="A6071" s="675" t="s">
        <v>1043</v>
      </c>
      <c r="B6071" s="675" t="s">
        <v>512</v>
      </c>
      <c r="C6071" s="676" t="s">
        <v>6020</v>
      </c>
      <c r="D6071" s="675"/>
      <c r="E6071" s="675"/>
      <c r="G6071" s="675"/>
      <c r="H6071" s="675"/>
      <c r="I6071" s="675"/>
      <c r="J6071" s="675"/>
      <c r="K6071" s="675"/>
      <c r="L6071" s="675"/>
      <c r="M6071" s="675"/>
    </row>
    <row r="6072" spans="1:13" x14ac:dyDescent="0.25">
      <c r="A6072" s="675" t="s">
        <v>1043</v>
      </c>
      <c r="B6072" s="675" t="s">
        <v>512</v>
      </c>
      <c r="C6072" s="676" t="s">
        <v>6021</v>
      </c>
      <c r="D6072" s="675"/>
      <c r="E6072" s="675"/>
      <c r="G6072" s="675"/>
      <c r="H6072" s="675"/>
      <c r="I6072" s="675"/>
      <c r="J6072" s="675"/>
      <c r="K6072" s="675"/>
      <c r="L6072" s="675"/>
      <c r="M6072" s="675"/>
    </row>
    <row r="6073" spans="1:13" x14ac:dyDescent="0.25">
      <c r="A6073" s="675" t="s">
        <v>1043</v>
      </c>
      <c r="B6073" s="675" t="s">
        <v>512</v>
      </c>
      <c r="C6073" s="676" t="s">
        <v>6022</v>
      </c>
      <c r="D6073" s="675"/>
      <c r="E6073" s="675"/>
      <c r="G6073" s="675"/>
      <c r="H6073" s="675"/>
      <c r="I6073" s="675"/>
      <c r="J6073" s="675"/>
      <c r="K6073" s="675"/>
      <c r="L6073" s="675"/>
      <c r="M6073" s="675"/>
    </row>
    <row r="6074" spans="1:13" x14ac:dyDescent="0.25">
      <c r="A6074" s="675" t="s">
        <v>1043</v>
      </c>
      <c r="B6074" s="675" t="s">
        <v>512</v>
      </c>
      <c r="C6074" s="676" t="s">
        <v>6023</v>
      </c>
      <c r="D6074" s="675"/>
      <c r="E6074" s="675"/>
      <c r="G6074" s="675"/>
      <c r="H6074" s="675"/>
      <c r="I6074" s="675"/>
      <c r="J6074" s="675"/>
      <c r="K6074" s="675"/>
      <c r="L6074" s="675"/>
      <c r="M6074" s="675"/>
    </row>
    <row r="6075" spans="1:13" x14ac:dyDescent="0.25">
      <c r="A6075" s="675" t="s">
        <v>1043</v>
      </c>
      <c r="B6075" s="675" t="s">
        <v>512</v>
      </c>
      <c r="C6075" s="676" t="s">
        <v>6024</v>
      </c>
      <c r="D6075" s="675"/>
      <c r="E6075" s="675"/>
      <c r="G6075" s="675"/>
      <c r="H6075" s="675"/>
      <c r="I6075" s="675"/>
      <c r="J6075" s="675"/>
      <c r="K6075" s="675"/>
      <c r="L6075" s="675"/>
      <c r="M6075" s="675"/>
    </row>
    <row r="6076" spans="1:13" x14ac:dyDescent="0.25">
      <c r="A6076" s="675" t="s">
        <v>1043</v>
      </c>
      <c r="B6076" s="675" t="s">
        <v>512</v>
      </c>
      <c r="C6076" s="676" t="s">
        <v>6025</v>
      </c>
      <c r="D6076" s="675"/>
      <c r="E6076" s="675"/>
      <c r="G6076" s="675"/>
      <c r="H6076" s="675"/>
      <c r="I6076" s="675"/>
      <c r="J6076" s="675"/>
      <c r="K6076" s="675"/>
      <c r="L6076" s="675"/>
      <c r="M6076" s="675"/>
    </row>
    <row r="6077" spans="1:13" x14ac:dyDescent="0.25">
      <c r="A6077" s="675" t="s">
        <v>1043</v>
      </c>
      <c r="B6077" s="675" t="s">
        <v>512</v>
      </c>
      <c r="C6077" s="676" t="s">
        <v>6026</v>
      </c>
      <c r="D6077" s="675"/>
      <c r="E6077" s="675"/>
      <c r="G6077" s="675"/>
      <c r="H6077" s="675"/>
      <c r="I6077" s="675"/>
      <c r="J6077" s="675"/>
      <c r="K6077" s="675"/>
      <c r="L6077" s="675"/>
      <c r="M6077" s="675"/>
    </row>
    <row r="6078" spans="1:13" x14ac:dyDescent="0.25">
      <c r="A6078" s="675" t="s">
        <v>1043</v>
      </c>
      <c r="B6078" s="675" t="s">
        <v>512</v>
      </c>
      <c r="C6078" s="676" t="s">
        <v>6027</v>
      </c>
      <c r="D6078" s="675"/>
      <c r="E6078" s="675"/>
      <c r="G6078" s="675"/>
      <c r="H6078" s="675"/>
      <c r="I6078" s="675"/>
      <c r="J6078" s="675"/>
      <c r="K6078" s="675"/>
      <c r="L6078" s="675"/>
      <c r="M6078" s="675"/>
    </row>
    <row r="6079" spans="1:13" x14ac:dyDescent="0.25">
      <c r="A6079" s="675" t="s">
        <v>1043</v>
      </c>
      <c r="B6079" s="675" t="s">
        <v>512</v>
      </c>
      <c r="C6079" s="676" t="s">
        <v>6028</v>
      </c>
      <c r="D6079" s="675"/>
      <c r="E6079" s="675"/>
      <c r="G6079" s="675"/>
      <c r="H6079" s="675"/>
      <c r="I6079" s="675"/>
      <c r="J6079" s="675"/>
      <c r="K6079" s="675"/>
      <c r="L6079" s="675"/>
      <c r="M6079" s="675"/>
    </row>
    <row r="6080" spans="1:13" ht="30" x14ac:dyDescent="0.25">
      <c r="A6080" s="675" t="s">
        <v>1043</v>
      </c>
      <c r="B6080" s="675" t="s">
        <v>512</v>
      </c>
      <c r="C6080" s="676" t="s">
        <v>6029</v>
      </c>
      <c r="D6080" s="675"/>
      <c r="E6080" s="675"/>
      <c r="G6080" s="675"/>
      <c r="H6080" s="675"/>
      <c r="I6080" s="675"/>
      <c r="J6080" s="675"/>
      <c r="K6080" s="675"/>
      <c r="L6080" s="675"/>
      <c r="M6080" s="675"/>
    </row>
    <row r="6081" spans="1:13" ht="30" x14ac:dyDescent="0.25">
      <c r="A6081" s="675" t="s">
        <v>6030</v>
      </c>
      <c r="B6081" s="675" t="s">
        <v>545</v>
      </c>
      <c r="C6081" s="676" t="s">
        <v>6031</v>
      </c>
      <c r="D6081" s="675"/>
      <c r="E6081" s="675"/>
      <c r="G6081" s="675"/>
      <c r="H6081" s="675"/>
      <c r="I6081" s="675"/>
      <c r="J6081" s="675"/>
      <c r="K6081" s="675"/>
      <c r="L6081" s="675"/>
      <c r="M6081" s="675"/>
    </row>
    <row r="6082" spans="1:13" x14ac:dyDescent="0.25">
      <c r="A6082" s="675" t="s">
        <v>6030</v>
      </c>
      <c r="B6082" s="675" t="s">
        <v>545</v>
      </c>
      <c r="C6082" s="676" t="s">
        <v>6032</v>
      </c>
      <c r="D6082" s="675"/>
      <c r="E6082" s="675"/>
      <c r="G6082" s="675"/>
      <c r="H6082" s="675"/>
      <c r="I6082" s="675"/>
      <c r="J6082" s="675"/>
      <c r="K6082" s="675"/>
      <c r="L6082" s="675"/>
      <c r="M6082" s="675"/>
    </row>
    <row r="6083" spans="1:13" ht="30" x14ac:dyDescent="0.25">
      <c r="A6083" s="675" t="s">
        <v>6030</v>
      </c>
      <c r="B6083" s="675" t="s">
        <v>545</v>
      </c>
      <c r="C6083" s="676" t="s">
        <v>6033</v>
      </c>
      <c r="D6083" s="675"/>
      <c r="E6083" s="675"/>
      <c r="G6083" s="675"/>
      <c r="H6083" s="675"/>
      <c r="I6083" s="675"/>
      <c r="J6083" s="675"/>
      <c r="K6083" s="675"/>
      <c r="L6083" s="675"/>
      <c r="M6083" s="675"/>
    </row>
    <row r="6084" spans="1:13" x14ac:dyDescent="0.25">
      <c r="A6084" s="675" t="s">
        <v>6030</v>
      </c>
      <c r="B6084" s="675" t="s">
        <v>545</v>
      </c>
      <c r="C6084" s="676" t="s">
        <v>6034</v>
      </c>
      <c r="D6084" s="675"/>
      <c r="E6084" s="675"/>
      <c r="G6084" s="675"/>
      <c r="H6084" s="675"/>
      <c r="I6084" s="675"/>
      <c r="J6084" s="675"/>
      <c r="K6084" s="675"/>
      <c r="L6084" s="675"/>
      <c r="M6084" s="675"/>
    </row>
    <row r="6085" spans="1:13" ht="30" x14ac:dyDescent="0.25">
      <c r="A6085" s="675" t="s">
        <v>6030</v>
      </c>
      <c r="B6085" s="675" t="s">
        <v>545</v>
      </c>
      <c r="C6085" s="676" t="s">
        <v>6035</v>
      </c>
      <c r="D6085" s="675"/>
      <c r="E6085" s="675"/>
      <c r="G6085" s="675"/>
      <c r="H6085" s="675"/>
      <c r="I6085" s="675"/>
      <c r="J6085" s="675"/>
      <c r="K6085" s="675"/>
      <c r="L6085" s="675"/>
      <c r="M6085" s="675"/>
    </row>
    <row r="6086" spans="1:13" x14ac:dyDescent="0.25">
      <c r="A6086" s="675" t="s">
        <v>6030</v>
      </c>
      <c r="B6086" s="675" t="s">
        <v>545</v>
      </c>
      <c r="C6086" s="676" t="s">
        <v>6036</v>
      </c>
      <c r="D6086" s="675"/>
      <c r="E6086" s="675"/>
      <c r="G6086" s="675"/>
      <c r="H6086" s="675"/>
      <c r="I6086" s="675"/>
      <c r="J6086" s="675"/>
      <c r="K6086" s="675"/>
      <c r="L6086" s="675"/>
      <c r="M6086" s="675"/>
    </row>
    <row r="6087" spans="1:13" ht="30" x14ac:dyDescent="0.25">
      <c r="A6087" s="675" t="s">
        <v>6030</v>
      </c>
      <c r="B6087" s="675" t="s">
        <v>545</v>
      </c>
      <c r="C6087" s="676" t="s">
        <v>6037</v>
      </c>
      <c r="D6087" s="675"/>
      <c r="E6087" s="675"/>
      <c r="G6087" s="675"/>
      <c r="H6087" s="675"/>
      <c r="I6087" s="675"/>
      <c r="J6087" s="675"/>
      <c r="K6087" s="675"/>
      <c r="L6087" s="675"/>
      <c r="M6087" s="675"/>
    </row>
    <row r="6088" spans="1:13" ht="30" x14ac:dyDescent="0.25">
      <c r="A6088" s="675" t="s">
        <v>6030</v>
      </c>
      <c r="B6088" s="675" t="s">
        <v>545</v>
      </c>
      <c r="C6088" s="676" t="s">
        <v>6038</v>
      </c>
      <c r="D6088" s="675"/>
      <c r="E6088" s="675"/>
      <c r="G6088" s="675"/>
      <c r="H6088" s="675"/>
      <c r="I6088" s="675"/>
      <c r="J6088" s="675"/>
      <c r="K6088" s="675"/>
      <c r="L6088" s="675"/>
      <c r="M6088" s="675"/>
    </row>
    <row r="6089" spans="1:13" x14ac:dyDescent="0.25">
      <c r="A6089" s="675" t="s">
        <v>6030</v>
      </c>
      <c r="B6089" s="675" t="s">
        <v>545</v>
      </c>
      <c r="C6089" s="676" t="s">
        <v>6039</v>
      </c>
      <c r="D6089" s="675"/>
      <c r="E6089" s="675"/>
      <c r="G6089" s="675"/>
      <c r="H6089" s="675"/>
      <c r="I6089" s="675"/>
      <c r="J6089" s="675"/>
      <c r="K6089" s="675"/>
      <c r="L6089" s="675"/>
      <c r="M6089" s="675"/>
    </row>
    <row r="6090" spans="1:13" ht="30" x14ac:dyDescent="0.25">
      <c r="A6090" s="675" t="s">
        <v>6030</v>
      </c>
      <c r="B6090" s="675" t="s">
        <v>545</v>
      </c>
      <c r="C6090" s="676" t="s">
        <v>6040</v>
      </c>
      <c r="D6090" s="675"/>
      <c r="E6090" s="675"/>
      <c r="G6090" s="675"/>
      <c r="H6090" s="675"/>
      <c r="I6090" s="675"/>
      <c r="J6090" s="675"/>
      <c r="K6090" s="675"/>
      <c r="L6090" s="675"/>
      <c r="M6090" s="675"/>
    </row>
    <row r="6091" spans="1:13" ht="30" x14ac:dyDescent="0.25">
      <c r="A6091" s="675" t="s">
        <v>6030</v>
      </c>
      <c r="B6091" s="675" t="s">
        <v>564</v>
      </c>
      <c r="C6091" s="676" t="s">
        <v>6041</v>
      </c>
      <c r="D6091" s="675"/>
      <c r="E6091" s="675"/>
      <c r="G6091" s="675"/>
      <c r="H6091" s="675"/>
      <c r="I6091" s="675"/>
      <c r="J6091" s="675"/>
      <c r="K6091" s="675"/>
      <c r="L6091" s="675"/>
      <c r="M6091" s="675"/>
    </row>
    <row r="6092" spans="1:13" ht="30" x14ac:dyDescent="0.25">
      <c r="A6092" s="675" t="s">
        <v>6030</v>
      </c>
      <c r="B6092" s="675" t="s">
        <v>564</v>
      </c>
      <c r="C6092" s="676" t="s">
        <v>6042</v>
      </c>
      <c r="D6092" s="675"/>
      <c r="E6092" s="675"/>
      <c r="G6092" s="675"/>
      <c r="H6092" s="675"/>
      <c r="I6092" s="675"/>
      <c r="J6092" s="675"/>
      <c r="K6092" s="675"/>
      <c r="L6092" s="675"/>
      <c r="M6092" s="675"/>
    </row>
    <row r="6093" spans="1:13" x14ac:dyDescent="0.25">
      <c r="A6093" s="675" t="s">
        <v>6030</v>
      </c>
      <c r="B6093" s="675" t="s">
        <v>564</v>
      </c>
      <c r="C6093" s="676" t="s">
        <v>6043</v>
      </c>
      <c r="D6093" s="675"/>
      <c r="E6093" s="675"/>
      <c r="G6093" s="675"/>
      <c r="H6093" s="675"/>
      <c r="I6093" s="675"/>
      <c r="J6093" s="675"/>
      <c r="K6093" s="675"/>
      <c r="L6093" s="675"/>
      <c r="M6093" s="675"/>
    </row>
    <row r="6094" spans="1:13" x14ac:dyDescent="0.25">
      <c r="A6094" s="675" t="s">
        <v>6030</v>
      </c>
      <c r="B6094" s="675" t="s">
        <v>564</v>
      </c>
      <c r="C6094" s="676" t="s">
        <v>6044</v>
      </c>
      <c r="D6094" s="675"/>
      <c r="E6094" s="675"/>
      <c r="G6094" s="675"/>
      <c r="H6094" s="675"/>
      <c r="I6094" s="675"/>
      <c r="J6094" s="675"/>
      <c r="K6094" s="675"/>
      <c r="L6094" s="675"/>
      <c r="M6094" s="675"/>
    </row>
    <row r="6095" spans="1:13" ht="30" x14ac:dyDescent="0.25">
      <c r="A6095" s="675" t="s">
        <v>6030</v>
      </c>
      <c r="B6095" s="675" t="s">
        <v>564</v>
      </c>
      <c r="C6095" s="676" t="s">
        <v>6045</v>
      </c>
      <c r="D6095" s="675"/>
      <c r="E6095" s="675"/>
      <c r="G6095" s="675"/>
      <c r="H6095" s="675"/>
      <c r="I6095" s="675"/>
      <c r="J6095" s="675"/>
      <c r="K6095" s="675"/>
      <c r="L6095" s="675"/>
      <c r="M6095" s="675"/>
    </row>
    <row r="6096" spans="1:13" x14ac:dyDescent="0.25">
      <c r="A6096" s="675" t="s">
        <v>6030</v>
      </c>
      <c r="B6096" s="675" t="s">
        <v>564</v>
      </c>
      <c r="C6096" s="676" t="s">
        <v>6046</v>
      </c>
      <c r="D6096" s="675"/>
      <c r="E6096" s="675"/>
      <c r="G6096" s="675"/>
      <c r="H6096" s="675"/>
      <c r="I6096" s="675"/>
      <c r="J6096" s="675"/>
      <c r="K6096" s="675"/>
      <c r="L6096" s="675"/>
      <c r="M6096" s="675"/>
    </row>
    <row r="6097" spans="1:13" x14ac:dyDescent="0.25">
      <c r="A6097" s="675" t="s">
        <v>6030</v>
      </c>
      <c r="B6097" s="675" t="s">
        <v>564</v>
      </c>
      <c r="C6097" s="676" t="s">
        <v>6047</v>
      </c>
      <c r="D6097" s="675"/>
      <c r="E6097" s="675"/>
      <c r="G6097" s="675"/>
      <c r="H6097" s="675"/>
      <c r="I6097" s="675"/>
      <c r="J6097" s="675"/>
      <c r="K6097" s="675"/>
      <c r="L6097" s="675"/>
      <c r="M6097" s="675"/>
    </row>
    <row r="6098" spans="1:13" x14ac:dyDescent="0.25">
      <c r="A6098" s="675" t="s">
        <v>6030</v>
      </c>
      <c r="B6098" s="675" t="s">
        <v>564</v>
      </c>
      <c r="C6098" s="676" t="s">
        <v>6048</v>
      </c>
      <c r="D6098" s="675"/>
      <c r="E6098" s="675"/>
      <c r="G6098" s="675"/>
      <c r="H6098" s="675"/>
      <c r="I6098" s="675"/>
      <c r="J6098" s="675"/>
      <c r="K6098" s="675"/>
      <c r="L6098" s="675"/>
      <c r="M6098" s="675"/>
    </row>
    <row r="6099" spans="1:13" ht="30" x14ac:dyDescent="0.25">
      <c r="A6099" s="675" t="s">
        <v>6030</v>
      </c>
      <c r="B6099" s="675" t="s">
        <v>564</v>
      </c>
      <c r="C6099" s="676" t="s">
        <v>6049</v>
      </c>
      <c r="D6099" s="675"/>
      <c r="E6099" s="675"/>
      <c r="G6099" s="675"/>
      <c r="H6099" s="675"/>
      <c r="I6099" s="675"/>
      <c r="J6099" s="675"/>
      <c r="K6099" s="675"/>
      <c r="L6099" s="675"/>
      <c r="M6099" s="675"/>
    </row>
    <row r="6100" spans="1:13" x14ac:dyDescent="0.25">
      <c r="A6100" s="675" t="s">
        <v>6030</v>
      </c>
      <c r="B6100" s="675" t="s">
        <v>564</v>
      </c>
      <c r="C6100" s="676" t="s">
        <v>6050</v>
      </c>
      <c r="D6100" s="675"/>
      <c r="E6100" s="675"/>
      <c r="G6100" s="675"/>
      <c r="H6100" s="675"/>
      <c r="I6100" s="675"/>
      <c r="J6100" s="675"/>
      <c r="K6100" s="675"/>
      <c r="L6100" s="675"/>
      <c r="M6100" s="675"/>
    </row>
    <row r="6101" spans="1:13" x14ac:dyDescent="0.25">
      <c r="A6101" s="675" t="s">
        <v>6030</v>
      </c>
      <c r="B6101" s="675" t="s">
        <v>512</v>
      </c>
      <c r="C6101" s="676" t="s">
        <v>6051</v>
      </c>
      <c r="D6101" s="675"/>
      <c r="E6101" s="675"/>
      <c r="G6101" s="675"/>
      <c r="H6101" s="675"/>
      <c r="I6101" s="675"/>
      <c r="J6101" s="675"/>
      <c r="K6101" s="675"/>
      <c r="L6101" s="675"/>
      <c r="M6101" s="675"/>
    </row>
    <row r="6102" spans="1:13" x14ac:dyDescent="0.25">
      <c r="A6102" s="675" t="s">
        <v>6030</v>
      </c>
      <c r="B6102" s="675" t="s">
        <v>512</v>
      </c>
      <c r="C6102" s="676" t="s">
        <v>6052</v>
      </c>
      <c r="D6102" s="675"/>
      <c r="E6102" s="675"/>
      <c r="G6102" s="675"/>
      <c r="H6102" s="675"/>
      <c r="I6102" s="675"/>
      <c r="J6102" s="675"/>
      <c r="K6102" s="675"/>
      <c r="L6102" s="675"/>
      <c r="M6102" s="675"/>
    </row>
    <row r="6103" spans="1:13" ht="30" x14ac:dyDescent="0.25">
      <c r="A6103" s="675" t="s">
        <v>6030</v>
      </c>
      <c r="B6103" s="675" t="s">
        <v>512</v>
      </c>
      <c r="C6103" s="676" t="s">
        <v>6053</v>
      </c>
      <c r="D6103" s="675"/>
      <c r="E6103" s="675"/>
      <c r="G6103" s="675"/>
      <c r="H6103" s="675"/>
      <c r="I6103" s="675"/>
      <c r="J6103" s="675"/>
      <c r="K6103" s="675"/>
      <c r="L6103" s="675"/>
      <c r="M6103" s="675"/>
    </row>
    <row r="6104" spans="1:13" x14ac:dyDescent="0.25">
      <c r="A6104" s="675" t="s">
        <v>6030</v>
      </c>
      <c r="B6104" s="675" t="s">
        <v>512</v>
      </c>
      <c r="C6104" s="676" t="s">
        <v>6054</v>
      </c>
      <c r="D6104" s="675"/>
      <c r="E6104" s="675"/>
      <c r="G6104" s="675"/>
      <c r="H6104" s="675"/>
      <c r="I6104" s="675"/>
      <c r="J6104" s="675"/>
      <c r="K6104" s="675"/>
      <c r="L6104" s="675"/>
      <c r="M6104" s="675"/>
    </row>
    <row r="6105" spans="1:13" x14ac:dyDescent="0.25">
      <c r="A6105" s="675" t="s">
        <v>6030</v>
      </c>
      <c r="B6105" s="675" t="s">
        <v>512</v>
      </c>
      <c r="C6105" s="676" t="s">
        <v>6055</v>
      </c>
      <c r="D6105" s="675"/>
      <c r="E6105" s="675"/>
      <c r="G6105" s="675"/>
      <c r="H6105" s="675"/>
      <c r="I6105" s="675"/>
      <c r="J6105" s="675"/>
      <c r="K6105" s="675"/>
      <c r="L6105" s="675"/>
      <c r="M6105" s="675"/>
    </row>
    <row r="6106" spans="1:13" x14ac:dyDescent="0.25">
      <c r="A6106" s="675" t="s">
        <v>6030</v>
      </c>
      <c r="B6106" s="675" t="s">
        <v>512</v>
      </c>
      <c r="C6106" s="676" t="s">
        <v>6056</v>
      </c>
      <c r="D6106" s="675"/>
      <c r="E6106" s="675"/>
      <c r="G6106" s="675"/>
      <c r="H6106" s="675"/>
      <c r="I6106" s="675"/>
      <c r="J6106" s="675"/>
      <c r="K6106" s="675"/>
      <c r="L6106" s="675"/>
      <c r="M6106" s="675"/>
    </row>
    <row r="6107" spans="1:13" ht="30" x14ac:dyDescent="0.25">
      <c r="A6107" s="675" t="s">
        <v>6030</v>
      </c>
      <c r="B6107" s="675" t="s">
        <v>512</v>
      </c>
      <c r="C6107" s="676" t="s">
        <v>6057</v>
      </c>
      <c r="D6107" s="675"/>
      <c r="E6107" s="675"/>
      <c r="G6107" s="675"/>
      <c r="H6107" s="675"/>
      <c r="I6107" s="675"/>
      <c r="J6107" s="675"/>
      <c r="K6107" s="675"/>
      <c r="L6107" s="675"/>
      <c r="M6107" s="675"/>
    </row>
    <row r="6108" spans="1:13" x14ac:dyDescent="0.25">
      <c r="A6108" s="675" t="s">
        <v>6030</v>
      </c>
      <c r="B6108" s="675" t="s">
        <v>512</v>
      </c>
      <c r="C6108" s="676" t="s">
        <v>6058</v>
      </c>
      <c r="D6108" s="675"/>
      <c r="E6108" s="675"/>
      <c r="G6108" s="675"/>
      <c r="H6108" s="675"/>
      <c r="I6108" s="675"/>
      <c r="J6108" s="675"/>
      <c r="K6108" s="675"/>
      <c r="L6108" s="675"/>
      <c r="M6108" s="675"/>
    </row>
    <row r="6109" spans="1:13" x14ac:dyDescent="0.25">
      <c r="A6109" s="675" t="s">
        <v>6030</v>
      </c>
      <c r="B6109" s="675" t="s">
        <v>512</v>
      </c>
      <c r="C6109" s="676" t="s">
        <v>6059</v>
      </c>
      <c r="D6109" s="675"/>
      <c r="E6109" s="675"/>
      <c r="G6109" s="675"/>
      <c r="H6109" s="675"/>
      <c r="I6109" s="675"/>
      <c r="J6109" s="675"/>
      <c r="K6109" s="675"/>
      <c r="L6109" s="675"/>
      <c r="M6109" s="675"/>
    </row>
    <row r="6110" spans="1:13" ht="30" x14ac:dyDescent="0.25">
      <c r="A6110" s="675" t="s">
        <v>6030</v>
      </c>
      <c r="B6110" s="675" t="s">
        <v>512</v>
      </c>
      <c r="C6110" s="676" t="s">
        <v>6060</v>
      </c>
      <c r="D6110" s="675"/>
      <c r="E6110" s="675"/>
      <c r="G6110" s="675"/>
      <c r="H6110" s="675"/>
      <c r="I6110" s="675"/>
      <c r="J6110" s="675"/>
      <c r="K6110" s="675"/>
      <c r="L6110" s="675"/>
      <c r="M6110" s="675"/>
    </row>
    <row r="6111" spans="1:13" x14ac:dyDescent="0.25">
      <c r="A6111" s="675" t="s">
        <v>2239</v>
      </c>
      <c r="B6111" s="675" t="s">
        <v>545</v>
      </c>
      <c r="C6111" s="675" t="s">
        <v>6061</v>
      </c>
      <c r="D6111" s="675"/>
      <c r="E6111" s="675"/>
      <c r="G6111" s="675"/>
      <c r="H6111" s="675"/>
      <c r="I6111" s="675"/>
      <c r="J6111" s="675"/>
      <c r="K6111" s="675"/>
      <c r="L6111" s="675"/>
      <c r="M6111" s="675"/>
    </row>
    <row r="6112" spans="1:13" x14ac:dyDescent="0.25">
      <c r="A6112" s="675" t="s">
        <v>2239</v>
      </c>
      <c r="B6112" s="675" t="s">
        <v>545</v>
      </c>
      <c r="C6112" s="675" t="s">
        <v>6062</v>
      </c>
      <c r="D6112" s="675"/>
      <c r="E6112" s="675"/>
      <c r="G6112" s="675"/>
      <c r="H6112" s="675"/>
      <c r="I6112" s="675"/>
      <c r="J6112" s="675"/>
      <c r="K6112" s="675"/>
      <c r="L6112" s="675"/>
      <c r="M6112" s="675"/>
    </row>
    <row r="6113" spans="1:13" x14ac:dyDescent="0.25">
      <c r="A6113" s="675" t="s">
        <v>2239</v>
      </c>
      <c r="B6113" s="675" t="s">
        <v>545</v>
      </c>
      <c r="C6113" s="675" t="s">
        <v>6063</v>
      </c>
      <c r="D6113" s="675"/>
      <c r="E6113" s="675"/>
      <c r="G6113" s="675"/>
      <c r="H6113" s="675"/>
      <c r="I6113" s="675"/>
      <c r="J6113" s="675"/>
      <c r="K6113" s="675"/>
      <c r="L6113" s="675"/>
      <c r="M6113" s="675"/>
    </row>
    <row r="6114" spans="1:13" x14ac:dyDescent="0.25">
      <c r="A6114" s="675" t="s">
        <v>2239</v>
      </c>
      <c r="B6114" s="675" t="s">
        <v>545</v>
      </c>
      <c r="C6114" s="675" t="s">
        <v>6064</v>
      </c>
      <c r="D6114" s="675"/>
      <c r="E6114" s="675"/>
      <c r="G6114" s="675"/>
      <c r="H6114" s="675"/>
      <c r="I6114" s="675"/>
      <c r="J6114" s="675"/>
      <c r="K6114" s="675"/>
      <c r="L6114" s="675"/>
      <c r="M6114" s="675"/>
    </row>
    <row r="6115" spans="1:13" x14ac:dyDescent="0.25">
      <c r="A6115" s="675" t="s">
        <v>2239</v>
      </c>
      <c r="B6115" s="675" t="s">
        <v>545</v>
      </c>
      <c r="C6115" s="675" t="s">
        <v>6065</v>
      </c>
      <c r="D6115" s="675"/>
      <c r="E6115" s="675"/>
      <c r="G6115" s="675"/>
      <c r="H6115" s="675"/>
      <c r="I6115" s="675"/>
      <c r="J6115" s="675"/>
      <c r="K6115" s="675"/>
      <c r="L6115" s="675"/>
      <c r="M6115" s="675"/>
    </row>
    <row r="6116" spans="1:13" x14ac:dyDescent="0.25">
      <c r="A6116" s="675" t="s">
        <v>2239</v>
      </c>
      <c r="B6116" s="675" t="s">
        <v>545</v>
      </c>
      <c r="C6116" s="675" t="s">
        <v>6066</v>
      </c>
      <c r="D6116" s="675"/>
      <c r="E6116" s="675"/>
      <c r="G6116" s="675"/>
      <c r="H6116" s="675"/>
      <c r="I6116" s="675"/>
      <c r="J6116" s="675"/>
      <c r="K6116" s="675"/>
      <c r="L6116" s="675"/>
      <c r="M6116" s="675"/>
    </row>
    <row r="6117" spans="1:13" x14ac:dyDescent="0.25">
      <c r="A6117" s="675" t="s">
        <v>2239</v>
      </c>
      <c r="B6117" s="675" t="s">
        <v>545</v>
      </c>
      <c r="C6117" s="675" t="s">
        <v>6067</v>
      </c>
      <c r="D6117" s="675"/>
      <c r="E6117" s="675"/>
      <c r="G6117" s="675"/>
      <c r="H6117" s="675"/>
      <c r="I6117" s="675"/>
      <c r="J6117" s="675"/>
      <c r="K6117" s="675"/>
      <c r="L6117" s="675"/>
      <c r="M6117" s="675"/>
    </row>
    <row r="6118" spans="1:13" x14ac:dyDescent="0.25">
      <c r="A6118" s="675" t="s">
        <v>2239</v>
      </c>
      <c r="B6118" s="675" t="s">
        <v>545</v>
      </c>
      <c r="C6118" s="675" t="s">
        <v>6068</v>
      </c>
      <c r="D6118" s="675"/>
      <c r="E6118" s="675"/>
      <c r="G6118" s="675"/>
      <c r="H6118" s="675"/>
      <c r="I6118" s="675"/>
      <c r="J6118" s="675"/>
      <c r="K6118" s="675"/>
      <c r="L6118" s="675"/>
      <c r="M6118" s="675"/>
    </row>
    <row r="6119" spans="1:13" x14ac:dyDescent="0.25">
      <c r="A6119" s="675" t="s">
        <v>2239</v>
      </c>
      <c r="B6119" s="675" t="s">
        <v>545</v>
      </c>
      <c r="C6119" s="675" t="s">
        <v>6069</v>
      </c>
      <c r="D6119" s="675"/>
      <c r="E6119" s="675"/>
      <c r="G6119" s="675"/>
      <c r="H6119" s="675"/>
      <c r="I6119" s="675"/>
      <c r="J6119" s="675"/>
      <c r="K6119" s="675"/>
      <c r="L6119" s="675"/>
      <c r="M6119" s="675"/>
    </row>
    <row r="6120" spans="1:13" x14ac:dyDescent="0.25">
      <c r="A6120" s="675" t="s">
        <v>2239</v>
      </c>
      <c r="B6120" s="675" t="s">
        <v>545</v>
      </c>
      <c r="C6120" s="675" t="s">
        <v>6070</v>
      </c>
      <c r="D6120" s="675"/>
      <c r="E6120" s="675"/>
      <c r="G6120" s="675"/>
      <c r="H6120" s="675"/>
      <c r="I6120" s="675"/>
      <c r="J6120" s="675"/>
      <c r="K6120" s="675"/>
      <c r="L6120" s="675"/>
      <c r="M6120" s="675"/>
    </row>
    <row r="6121" spans="1:13" x14ac:dyDescent="0.25">
      <c r="A6121" s="675" t="s">
        <v>2239</v>
      </c>
      <c r="B6121" s="675" t="s">
        <v>564</v>
      </c>
      <c r="C6121" s="675" t="s">
        <v>6071</v>
      </c>
      <c r="D6121" s="675"/>
      <c r="E6121" s="675"/>
      <c r="G6121" s="675"/>
      <c r="H6121" s="675"/>
      <c r="I6121" s="675"/>
      <c r="J6121" s="675"/>
      <c r="K6121" s="675"/>
      <c r="L6121" s="675"/>
      <c r="M6121" s="675"/>
    </row>
    <row r="6122" spans="1:13" x14ac:dyDescent="0.25">
      <c r="A6122" s="675" t="s">
        <v>2239</v>
      </c>
      <c r="B6122" s="675" t="s">
        <v>564</v>
      </c>
      <c r="C6122" s="675" t="s">
        <v>6072</v>
      </c>
      <c r="D6122" s="675"/>
      <c r="E6122" s="675"/>
      <c r="G6122" s="675"/>
      <c r="H6122" s="675"/>
      <c r="I6122" s="675"/>
      <c r="J6122" s="675"/>
      <c r="K6122" s="675"/>
      <c r="L6122" s="675"/>
      <c r="M6122" s="675"/>
    </row>
    <row r="6123" spans="1:13" x14ac:dyDescent="0.25">
      <c r="A6123" s="675" t="s">
        <v>2239</v>
      </c>
      <c r="B6123" s="675" t="s">
        <v>564</v>
      </c>
      <c r="C6123" s="675" t="s">
        <v>6073</v>
      </c>
      <c r="D6123" s="675"/>
      <c r="E6123" s="675"/>
      <c r="G6123" s="675"/>
      <c r="H6123" s="675"/>
      <c r="I6123" s="675"/>
      <c r="J6123" s="675"/>
      <c r="K6123" s="675"/>
      <c r="L6123" s="675"/>
      <c r="M6123" s="675"/>
    </row>
    <row r="6124" spans="1:13" x14ac:dyDescent="0.25">
      <c r="A6124" s="675" t="s">
        <v>2239</v>
      </c>
      <c r="B6124" s="675" t="s">
        <v>564</v>
      </c>
      <c r="C6124" s="675" t="s">
        <v>6074</v>
      </c>
      <c r="D6124" s="675"/>
      <c r="E6124" s="675"/>
      <c r="G6124" s="675"/>
      <c r="H6124" s="675"/>
      <c r="I6124" s="675"/>
      <c r="J6124" s="675"/>
      <c r="K6124" s="675"/>
      <c r="L6124" s="675"/>
      <c r="M6124" s="675"/>
    </row>
    <row r="6125" spans="1:13" x14ac:dyDescent="0.25">
      <c r="A6125" s="675" t="s">
        <v>2239</v>
      </c>
      <c r="B6125" s="675" t="s">
        <v>564</v>
      </c>
      <c r="C6125" s="675" t="s">
        <v>6075</v>
      </c>
      <c r="D6125" s="675"/>
      <c r="E6125" s="675"/>
      <c r="G6125" s="675"/>
      <c r="H6125" s="675"/>
      <c r="I6125" s="675"/>
      <c r="J6125" s="675"/>
      <c r="K6125" s="675"/>
      <c r="L6125" s="675"/>
      <c r="M6125" s="675"/>
    </row>
    <row r="6126" spans="1:13" x14ac:dyDescent="0.25">
      <c r="A6126" s="675" t="s">
        <v>2239</v>
      </c>
      <c r="B6126" s="675" t="s">
        <v>564</v>
      </c>
      <c r="C6126" s="675" t="s">
        <v>6076</v>
      </c>
      <c r="D6126" s="675"/>
      <c r="E6126" s="675"/>
      <c r="G6126" s="675"/>
      <c r="H6126" s="675"/>
      <c r="I6126" s="675"/>
      <c r="J6126" s="675"/>
      <c r="K6126" s="675"/>
      <c r="L6126" s="675"/>
      <c r="M6126" s="675"/>
    </row>
    <row r="6127" spans="1:13" x14ac:dyDescent="0.25">
      <c r="A6127" s="675" t="s">
        <v>2239</v>
      </c>
      <c r="B6127" s="675" t="s">
        <v>564</v>
      </c>
      <c r="C6127" s="675" t="s">
        <v>6077</v>
      </c>
      <c r="D6127" s="675"/>
      <c r="E6127" s="675"/>
      <c r="G6127" s="675"/>
      <c r="H6127" s="675"/>
      <c r="I6127" s="675"/>
      <c r="J6127" s="675"/>
      <c r="K6127" s="675"/>
      <c r="L6127" s="675"/>
      <c r="M6127" s="675"/>
    </row>
    <row r="6128" spans="1:13" x14ac:dyDescent="0.25">
      <c r="A6128" s="675" t="s">
        <v>2239</v>
      </c>
      <c r="B6128" s="675" t="s">
        <v>564</v>
      </c>
      <c r="C6128" s="675" t="s">
        <v>6078</v>
      </c>
      <c r="D6128" s="675"/>
      <c r="E6128" s="675"/>
      <c r="G6128" s="675"/>
      <c r="H6128" s="675"/>
      <c r="I6128" s="675"/>
      <c r="J6128" s="675"/>
      <c r="K6128" s="675"/>
      <c r="L6128" s="675"/>
      <c r="M6128" s="675"/>
    </row>
    <row r="6129" spans="1:13" x14ac:dyDescent="0.25">
      <c r="A6129" s="675" t="s">
        <v>2239</v>
      </c>
      <c r="B6129" s="675" t="s">
        <v>564</v>
      </c>
      <c r="C6129" s="675" t="s">
        <v>6079</v>
      </c>
      <c r="D6129" s="675"/>
      <c r="E6129" s="675"/>
      <c r="G6129" s="675"/>
      <c r="H6129" s="675"/>
      <c r="I6129" s="675"/>
      <c r="J6129" s="675"/>
      <c r="K6129" s="675"/>
      <c r="L6129" s="675"/>
      <c r="M6129" s="675"/>
    </row>
    <row r="6130" spans="1:13" x14ac:dyDescent="0.25">
      <c r="A6130" s="675" t="s">
        <v>2239</v>
      </c>
      <c r="B6130" s="675" t="s">
        <v>564</v>
      </c>
      <c r="C6130" s="675" t="s">
        <v>6080</v>
      </c>
      <c r="D6130" s="675"/>
      <c r="E6130" s="675"/>
      <c r="G6130" s="675"/>
      <c r="H6130" s="675"/>
      <c r="I6130" s="675"/>
      <c r="J6130" s="675"/>
      <c r="K6130" s="675"/>
      <c r="L6130" s="675"/>
      <c r="M6130" s="675"/>
    </row>
    <row r="6131" spans="1:13" x14ac:dyDescent="0.25">
      <c r="A6131" s="675" t="s">
        <v>2239</v>
      </c>
      <c r="B6131" s="675" t="s">
        <v>512</v>
      </c>
      <c r="C6131" s="675" t="s">
        <v>6081</v>
      </c>
      <c r="D6131" s="675"/>
      <c r="E6131" s="675"/>
      <c r="G6131" s="675"/>
      <c r="H6131" s="675"/>
      <c r="I6131" s="675"/>
      <c r="J6131" s="675"/>
      <c r="K6131" s="675"/>
      <c r="L6131" s="675"/>
      <c r="M6131" s="675"/>
    </row>
    <row r="6132" spans="1:13" x14ac:dyDescent="0.25">
      <c r="A6132" s="675" t="s">
        <v>2239</v>
      </c>
      <c r="B6132" s="675" t="s">
        <v>512</v>
      </c>
      <c r="C6132" s="675" t="s">
        <v>6082</v>
      </c>
      <c r="D6132" s="675"/>
      <c r="E6132" s="675"/>
      <c r="G6132" s="675"/>
      <c r="H6132" s="675"/>
      <c r="I6132" s="675"/>
      <c r="J6132" s="675"/>
      <c r="K6132" s="675"/>
      <c r="L6132" s="675"/>
      <c r="M6132" s="675"/>
    </row>
    <row r="6133" spans="1:13" x14ac:dyDescent="0.25">
      <c r="A6133" s="675" t="s">
        <v>2239</v>
      </c>
      <c r="B6133" s="675" t="s">
        <v>512</v>
      </c>
      <c r="C6133" s="675" t="s">
        <v>6083</v>
      </c>
      <c r="D6133" s="675"/>
      <c r="E6133" s="675"/>
      <c r="G6133" s="675"/>
      <c r="H6133" s="675"/>
      <c r="I6133" s="675"/>
      <c r="J6133" s="675"/>
      <c r="K6133" s="675"/>
      <c r="L6133" s="675"/>
      <c r="M6133" s="675"/>
    </row>
    <row r="6134" spans="1:13" x14ac:dyDescent="0.25">
      <c r="A6134" s="675" t="s">
        <v>2239</v>
      </c>
      <c r="B6134" s="675" t="s">
        <v>512</v>
      </c>
      <c r="C6134" s="675" t="s">
        <v>6084</v>
      </c>
      <c r="D6134" s="675"/>
      <c r="E6134" s="675"/>
      <c r="G6134" s="675"/>
      <c r="H6134" s="675"/>
      <c r="I6134" s="675"/>
      <c r="J6134" s="675"/>
      <c r="K6134" s="675"/>
      <c r="L6134" s="675"/>
      <c r="M6134" s="675"/>
    </row>
    <row r="6135" spans="1:13" x14ac:dyDescent="0.25">
      <c r="A6135" s="675" t="s">
        <v>2239</v>
      </c>
      <c r="B6135" s="675" t="s">
        <v>512</v>
      </c>
      <c r="C6135" s="675" t="s">
        <v>6085</v>
      </c>
      <c r="D6135" s="675"/>
      <c r="E6135" s="675"/>
      <c r="G6135" s="675"/>
      <c r="H6135" s="675"/>
      <c r="I6135" s="675"/>
      <c r="J6135" s="675"/>
      <c r="K6135" s="675"/>
      <c r="L6135" s="675"/>
      <c r="M6135" s="675"/>
    </row>
    <row r="6136" spans="1:13" x14ac:dyDescent="0.25">
      <c r="A6136" s="675" t="s">
        <v>2239</v>
      </c>
      <c r="B6136" s="675" t="s">
        <v>512</v>
      </c>
      <c r="C6136" s="675" t="s">
        <v>6086</v>
      </c>
      <c r="D6136" s="675"/>
      <c r="E6136" s="675"/>
      <c r="G6136" s="675"/>
      <c r="H6136" s="675"/>
      <c r="I6136" s="675"/>
      <c r="J6136" s="675"/>
      <c r="K6136" s="675"/>
      <c r="L6136" s="675"/>
      <c r="M6136" s="675"/>
    </row>
    <row r="6137" spans="1:13" x14ac:dyDescent="0.25">
      <c r="A6137" s="675" t="s">
        <v>2239</v>
      </c>
      <c r="B6137" s="675" t="s">
        <v>512</v>
      </c>
      <c r="C6137" s="675" t="s">
        <v>6087</v>
      </c>
      <c r="D6137" s="675"/>
      <c r="E6137" s="675"/>
      <c r="G6137" s="675"/>
      <c r="H6137" s="675"/>
      <c r="I6137" s="675"/>
      <c r="J6137" s="675"/>
      <c r="K6137" s="675"/>
      <c r="L6137" s="675"/>
      <c r="M6137" s="675"/>
    </row>
    <row r="6138" spans="1:13" x14ac:dyDescent="0.25">
      <c r="A6138" s="675" t="s">
        <v>2239</v>
      </c>
      <c r="B6138" s="675" t="s">
        <v>512</v>
      </c>
      <c r="C6138" s="675" t="s">
        <v>6088</v>
      </c>
      <c r="D6138" s="675"/>
      <c r="E6138" s="675"/>
      <c r="G6138" s="675"/>
      <c r="H6138" s="675"/>
      <c r="I6138" s="675"/>
      <c r="J6138" s="675"/>
      <c r="K6138" s="675"/>
      <c r="L6138" s="675"/>
      <c r="M6138" s="675"/>
    </row>
    <row r="6139" spans="1:13" x14ac:dyDescent="0.25">
      <c r="A6139" s="675" t="s">
        <v>2239</v>
      </c>
      <c r="B6139" s="675" t="s">
        <v>512</v>
      </c>
      <c r="C6139" s="675" t="s">
        <v>6089</v>
      </c>
      <c r="D6139" s="675"/>
      <c r="E6139" s="675"/>
      <c r="G6139" s="675"/>
      <c r="H6139" s="675"/>
      <c r="I6139" s="675"/>
      <c r="J6139" s="675"/>
      <c r="K6139" s="675"/>
      <c r="L6139" s="675"/>
      <c r="M6139" s="675"/>
    </row>
    <row r="6140" spans="1:13" x14ac:dyDescent="0.25">
      <c r="A6140" s="675" t="s">
        <v>2239</v>
      </c>
      <c r="B6140" s="675" t="s">
        <v>512</v>
      </c>
      <c r="C6140" s="675" t="s">
        <v>6090</v>
      </c>
      <c r="D6140" s="675"/>
      <c r="E6140" s="675"/>
      <c r="G6140" s="675"/>
      <c r="H6140" s="675"/>
      <c r="I6140" s="675"/>
      <c r="J6140" s="675"/>
      <c r="K6140" s="675"/>
      <c r="L6140" s="675"/>
      <c r="M6140" s="675"/>
    </row>
    <row r="6141" spans="1:13" x14ac:dyDescent="0.25">
      <c r="A6141" s="675" t="s">
        <v>6091</v>
      </c>
      <c r="B6141" s="675" t="s">
        <v>545</v>
      </c>
      <c r="C6141" s="676" t="s">
        <v>6092</v>
      </c>
      <c r="D6141" s="675"/>
      <c r="E6141" s="675"/>
      <c r="G6141" s="675"/>
      <c r="H6141" s="675"/>
      <c r="I6141" s="675"/>
      <c r="J6141" s="675"/>
      <c r="K6141" s="675"/>
      <c r="L6141" s="675"/>
      <c r="M6141" s="675"/>
    </row>
    <row r="6142" spans="1:13" x14ac:dyDescent="0.25">
      <c r="A6142" s="675" t="s">
        <v>6091</v>
      </c>
      <c r="B6142" s="675" t="s">
        <v>545</v>
      </c>
      <c r="C6142" s="676" t="s">
        <v>6093</v>
      </c>
      <c r="D6142" s="675"/>
      <c r="E6142" s="675"/>
      <c r="G6142" s="675"/>
      <c r="H6142" s="675"/>
      <c r="I6142" s="675"/>
      <c r="J6142" s="675"/>
      <c r="K6142" s="675"/>
      <c r="L6142" s="675"/>
      <c r="M6142" s="675"/>
    </row>
    <row r="6143" spans="1:13" x14ac:dyDescent="0.25">
      <c r="A6143" s="675" t="s">
        <v>6091</v>
      </c>
      <c r="B6143" s="675" t="s">
        <v>545</v>
      </c>
      <c r="C6143" s="676" t="s">
        <v>6094</v>
      </c>
      <c r="D6143" s="675"/>
      <c r="E6143" s="675"/>
      <c r="G6143" s="675"/>
      <c r="H6143" s="675"/>
      <c r="I6143" s="675"/>
      <c r="J6143" s="675"/>
      <c r="K6143" s="675"/>
      <c r="L6143" s="675"/>
      <c r="M6143" s="675"/>
    </row>
    <row r="6144" spans="1:13" x14ac:dyDescent="0.25">
      <c r="A6144" s="675" t="s">
        <v>6091</v>
      </c>
      <c r="B6144" s="675" t="s">
        <v>545</v>
      </c>
      <c r="C6144" s="676" t="s">
        <v>6095</v>
      </c>
      <c r="D6144" s="675"/>
      <c r="E6144" s="675"/>
      <c r="G6144" s="675"/>
      <c r="H6144" s="675"/>
      <c r="I6144" s="675"/>
      <c r="J6144" s="675"/>
      <c r="K6144" s="675"/>
      <c r="L6144" s="675"/>
      <c r="M6144" s="675"/>
    </row>
    <row r="6145" spans="1:13" x14ac:dyDescent="0.25">
      <c r="A6145" s="675" t="s">
        <v>6091</v>
      </c>
      <c r="B6145" s="675" t="s">
        <v>545</v>
      </c>
      <c r="C6145" s="676" t="s">
        <v>6096</v>
      </c>
      <c r="D6145" s="675"/>
      <c r="E6145" s="675"/>
      <c r="G6145" s="675"/>
      <c r="H6145" s="675"/>
      <c r="I6145" s="675"/>
      <c r="J6145" s="675"/>
      <c r="K6145" s="675"/>
      <c r="L6145" s="675"/>
      <c r="M6145" s="675"/>
    </row>
    <row r="6146" spans="1:13" x14ac:dyDescent="0.25">
      <c r="A6146" s="675" t="s">
        <v>6091</v>
      </c>
      <c r="B6146" s="675" t="s">
        <v>545</v>
      </c>
      <c r="C6146" s="676" t="s">
        <v>6097</v>
      </c>
      <c r="D6146" s="675"/>
      <c r="E6146" s="675"/>
      <c r="G6146" s="675"/>
      <c r="H6146" s="675"/>
      <c r="I6146" s="675"/>
      <c r="J6146" s="675"/>
      <c r="K6146" s="675"/>
      <c r="L6146" s="675"/>
      <c r="M6146" s="675"/>
    </row>
    <row r="6147" spans="1:13" x14ac:dyDescent="0.25">
      <c r="A6147" s="675" t="s">
        <v>6091</v>
      </c>
      <c r="B6147" s="675" t="s">
        <v>545</v>
      </c>
      <c r="C6147" s="676" t="s">
        <v>6098</v>
      </c>
      <c r="D6147" s="675"/>
      <c r="E6147" s="675"/>
      <c r="G6147" s="675"/>
      <c r="H6147" s="675"/>
      <c r="I6147" s="675"/>
      <c r="J6147" s="675"/>
      <c r="K6147" s="675"/>
      <c r="L6147" s="675"/>
      <c r="M6147" s="675"/>
    </row>
    <row r="6148" spans="1:13" x14ac:dyDescent="0.25">
      <c r="A6148" s="675" t="s">
        <v>6091</v>
      </c>
      <c r="B6148" s="675" t="s">
        <v>545</v>
      </c>
      <c r="C6148" s="676" t="s">
        <v>6099</v>
      </c>
      <c r="D6148" s="675"/>
      <c r="E6148" s="675"/>
      <c r="G6148" s="675"/>
      <c r="H6148" s="675"/>
      <c r="I6148" s="675"/>
      <c r="J6148" s="675"/>
      <c r="K6148" s="675"/>
      <c r="L6148" s="675"/>
      <c r="M6148" s="675"/>
    </row>
    <row r="6149" spans="1:13" x14ac:dyDescent="0.25">
      <c r="A6149" s="675" t="s">
        <v>6091</v>
      </c>
      <c r="B6149" s="675" t="s">
        <v>545</v>
      </c>
      <c r="C6149" s="676" t="s">
        <v>6100</v>
      </c>
      <c r="D6149" s="675"/>
      <c r="E6149" s="675"/>
      <c r="G6149" s="675"/>
      <c r="H6149" s="675"/>
      <c r="I6149" s="675"/>
      <c r="J6149" s="675"/>
      <c r="K6149" s="675"/>
      <c r="L6149" s="675"/>
      <c r="M6149" s="675"/>
    </row>
    <row r="6150" spans="1:13" x14ac:dyDescent="0.25">
      <c r="A6150" s="675" t="s">
        <v>6091</v>
      </c>
      <c r="B6150" s="675" t="s">
        <v>545</v>
      </c>
      <c r="C6150" s="676" t="s">
        <v>6101</v>
      </c>
      <c r="D6150" s="675"/>
      <c r="E6150" s="675"/>
      <c r="G6150" s="675"/>
      <c r="H6150" s="675"/>
      <c r="I6150" s="675"/>
      <c r="J6150" s="675"/>
      <c r="K6150" s="675"/>
      <c r="L6150" s="675"/>
      <c r="M6150" s="675"/>
    </row>
    <row r="6151" spans="1:13" x14ac:dyDescent="0.25">
      <c r="A6151" s="675" t="s">
        <v>6091</v>
      </c>
      <c r="B6151" s="675" t="s">
        <v>564</v>
      </c>
      <c r="C6151" s="676" t="s">
        <v>6102</v>
      </c>
      <c r="D6151" s="675"/>
      <c r="E6151" s="675"/>
      <c r="G6151" s="675"/>
      <c r="H6151" s="675"/>
      <c r="I6151" s="675"/>
      <c r="J6151" s="675"/>
      <c r="K6151" s="675"/>
      <c r="L6151" s="675"/>
      <c r="M6151" s="675"/>
    </row>
    <row r="6152" spans="1:13" x14ac:dyDescent="0.25">
      <c r="A6152" s="675" t="s">
        <v>6091</v>
      </c>
      <c r="B6152" s="675" t="s">
        <v>564</v>
      </c>
      <c r="C6152" s="676" t="s">
        <v>6103</v>
      </c>
      <c r="D6152" s="675"/>
      <c r="E6152" s="675"/>
      <c r="G6152" s="675"/>
      <c r="H6152" s="675"/>
      <c r="I6152" s="675"/>
      <c r="J6152" s="675"/>
      <c r="K6152" s="675"/>
      <c r="L6152" s="675"/>
      <c r="M6152" s="675"/>
    </row>
    <row r="6153" spans="1:13" x14ac:dyDescent="0.25">
      <c r="A6153" s="675" t="s">
        <v>6091</v>
      </c>
      <c r="B6153" s="675" t="s">
        <v>564</v>
      </c>
      <c r="C6153" s="676" t="s">
        <v>6104</v>
      </c>
      <c r="D6153" s="675"/>
      <c r="E6153" s="675"/>
      <c r="G6153" s="675"/>
      <c r="H6153" s="675"/>
      <c r="I6153" s="675"/>
      <c r="J6153" s="675"/>
      <c r="K6153" s="675"/>
      <c r="L6153" s="675"/>
      <c r="M6153" s="675"/>
    </row>
    <row r="6154" spans="1:13" x14ac:dyDescent="0.25">
      <c r="A6154" s="675" t="s">
        <v>6091</v>
      </c>
      <c r="B6154" s="675" t="s">
        <v>564</v>
      </c>
      <c r="C6154" s="676" t="s">
        <v>6105</v>
      </c>
      <c r="D6154" s="675"/>
      <c r="E6154" s="675"/>
      <c r="G6154" s="675"/>
      <c r="H6154" s="675"/>
      <c r="I6154" s="675"/>
      <c r="J6154" s="675"/>
      <c r="K6154" s="675"/>
      <c r="L6154" s="675"/>
      <c r="M6154" s="675"/>
    </row>
    <row r="6155" spans="1:13" x14ac:dyDescent="0.25">
      <c r="A6155" s="675" t="s">
        <v>6091</v>
      </c>
      <c r="B6155" s="675" t="s">
        <v>564</v>
      </c>
      <c r="C6155" s="676" t="s">
        <v>6106</v>
      </c>
      <c r="D6155" s="675"/>
      <c r="E6155" s="675"/>
      <c r="G6155" s="675"/>
      <c r="H6155" s="675"/>
      <c r="I6155" s="675"/>
      <c r="J6155" s="675"/>
      <c r="K6155" s="675"/>
      <c r="L6155" s="675"/>
      <c r="M6155" s="675"/>
    </row>
    <row r="6156" spans="1:13" x14ac:dyDescent="0.25">
      <c r="A6156" s="675" t="s">
        <v>6091</v>
      </c>
      <c r="B6156" s="675" t="s">
        <v>564</v>
      </c>
      <c r="C6156" s="676" t="s">
        <v>6107</v>
      </c>
      <c r="D6156" s="675"/>
      <c r="E6156" s="675"/>
      <c r="G6156" s="675"/>
      <c r="H6156" s="675"/>
      <c r="I6156" s="675"/>
      <c r="J6156" s="675"/>
      <c r="K6156" s="675"/>
      <c r="L6156" s="675"/>
      <c r="M6156" s="675"/>
    </row>
    <row r="6157" spans="1:13" x14ac:dyDescent="0.25">
      <c r="A6157" s="675" t="s">
        <v>6091</v>
      </c>
      <c r="B6157" s="675" t="s">
        <v>564</v>
      </c>
      <c r="C6157" s="676" t="s">
        <v>6108</v>
      </c>
      <c r="D6157" s="675"/>
      <c r="E6157" s="675"/>
      <c r="G6157" s="675"/>
      <c r="H6157" s="675"/>
      <c r="I6157" s="675"/>
      <c r="J6157" s="675"/>
      <c r="K6157" s="675"/>
      <c r="L6157" s="675"/>
      <c r="M6157" s="675"/>
    </row>
    <row r="6158" spans="1:13" x14ac:dyDescent="0.25">
      <c r="A6158" s="675" t="s">
        <v>6091</v>
      </c>
      <c r="B6158" s="675" t="s">
        <v>564</v>
      </c>
      <c r="C6158" s="676" t="s">
        <v>6109</v>
      </c>
      <c r="D6158" s="675"/>
      <c r="E6158" s="675"/>
      <c r="G6158" s="675"/>
      <c r="H6158" s="675"/>
      <c r="I6158" s="675"/>
      <c r="J6158" s="675"/>
      <c r="K6158" s="675"/>
      <c r="L6158" s="675"/>
      <c r="M6158" s="675"/>
    </row>
    <row r="6159" spans="1:13" x14ac:dyDescent="0.25">
      <c r="A6159" s="675" t="s">
        <v>6091</v>
      </c>
      <c r="B6159" s="675" t="s">
        <v>564</v>
      </c>
      <c r="C6159" s="676" t="s">
        <v>6110</v>
      </c>
      <c r="D6159" s="675"/>
      <c r="E6159" s="675"/>
      <c r="G6159" s="675"/>
      <c r="H6159" s="675"/>
      <c r="I6159" s="675"/>
      <c r="J6159" s="675"/>
      <c r="K6159" s="675"/>
      <c r="L6159" s="675"/>
      <c r="M6159" s="675"/>
    </row>
    <row r="6160" spans="1:13" x14ac:dyDescent="0.25">
      <c r="A6160" s="675" t="s">
        <v>6091</v>
      </c>
      <c r="B6160" s="675" t="s">
        <v>564</v>
      </c>
      <c r="C6160" s="676" t="s">
        <v>6111</v>
      </c>
      <c r="D6160" s="675"/>
      <c r="E6160" s="675"/>
      <c r="G6160" s="675"/>
      <c r="H6160" s="675"/>
      <c r="I6160" s="675"/>
      <c r="J6160" s="675"/>
      <c r="K6160" s="675"/>
      <c r="L6160" s="675"/>
      <c r="M6160" s="675"/>
    </row>
    <row r="6161" spans="1:13" x14ac:dyDescent="0.25">
      <c r="A6161" s="675" t="s">
        <v>6091</v>
      </c>
      <c r="B6161" s="675" t="s">
        <v>512</v>
      </c>
      <c r="C6161" s="676" t="s">
        <v>6112</v>
      </c>
      <c r="D6161" s="675"/>
      <c r="E6161" s="675"/>
      <c r="G6161" s="675"/>
      <c r="H6161" s="675"/>
      <c r="I6161" s="675"/>
      <c r="J6161" s="675"/>
      <c r="K6161" s="675"/>
      <c r="L6161" s="675"/>
      <c r="M6161" s="675"/>
    </row>
    <row r="6162" spans="1:13" x14ac:dyDescent="0.25">
      <c r="A6162" s="675" t="s">
        <v>6091</v>
      </c>
      <c r="B6162" s="675" t="s">
        <v>512</v>
      </c>
      <c r="C6162" s="676" t="s">
        <v>6113</v>
      </c>
      <c r="D6162" s="675"/>
      <c r="E6162" s="675"/>
      <c r="G6162" s="675"/>
      <c r="H6162" s="675"/>
      <c r="I6162" s="675"/>
      <c r="J6162" s="675"/>
      <c r="K6162" s="675"/>
      <c r="L6162" s="675"/>
      <c r="M6162" s="675"/>
    </row>
    <row r="6163" spans="1:13" x14ac:dyDescent="0.25">
      <c r="A6163" s="675" t="s">
        <v>6091</v>
      </c>
      <c r="B6163" s="675" t="s">
        <v>512</v>
      </c>
      <c r="C6163" s="676" t="s">
        <v>6114</v>
      </c>
      <c r="D6163" s="675"/>
      <c r="E6163" s="675"/>
      <c r="G6163" s="675"/>
      <c r="H6163" s="675"/>
      <c r="I6163" s="675"/>
      <c r="J6163" s="675"/>
      <c r="K6163" s="675"/>
      <c r="L6163" s="675"/>
      <c r="M6163" s="675"/>
    </row>
    <row r="6164" spans="1:13" x14ac:dyDescent="0.25">
      <c r="A6164" s="675" t="s">
        <v>6091</v>
      </c>
      <c r="B6164" s="675" t="s">
        <v>512</v>
      </c>
      <c r="C6164" s="676" t="s">
        <v>6115</v>
      </c>
      <c r="D6164" s="675"/>
      <c r="E6164" s="675"/>
      <c r="G6164" s="675"/>
      <c r="H6164" s="675"/>
      <c r="I6164" s="675"/>
      <c r="J6164" s="675"/>
      <c r="K6164" s="675"/>
      <c r="L6164" s="675"/>
      <c r="M6164" s="675"/>
    </row>
    <row r="6165" spans="1:13" x14ac:dyDescent="0.25">
      <c r="A6165" s="675" t="s">
        <v>6091</v>
      </c>
      <c r="B6165" s="675" t="s">
        <v>512</v>
      </c>
      <c r="C6165" s="676" t="s">
        <v>6116</v>
      </c>
      <c r="D6165" s="675"/>
      <c r="E6165" s="675"/>
      <c r="G6165" s="675"/>
      <c r="H6165" s="675"/>
      <c r="I6165" s="675"/>
      <c r="J6165" s="675"/>
      <c r="K6165" s="675"/>
      <c r="L6165" s="675"/>
      <c r="M6165" s="675"/>
    </row>
    <row r="6166" spans="1:13" x14ac:dyDescent="0.25">
      <c r="A6166" s="675" t="s">
        <v>6091</v>
      </c>
      <c r="B6166" s="675" t="s">
        <v>512</v>
      </c>
      <c r="C6166" s="676" t="s">
        <v>6117</v>
      </c>
      <c r="D6166" s="675"/>
      <c r="E6166" s="675"/>
      <c r="G6166" s="675"/>
      <c r="H6166" s="675"/>
      <c r="I6166" s="675"/>
      <c r="J6166" s="675"/>
      <c r="K6166" s="675"/>
      <c r="L6166" s="675"/>
      <c r="M6166" s="675"/>
    </row>
    <row r="6167" spans="1:13" x14ac:dyDescent="0.25">
      <c r="A6167" s="675" t="s">
        <v>6091</v>
      </c>
      <c r="B6167" s="675" t="s">
        <v>512</v>
      </c>
      <c r="C6167" s="676" t="s">
        <v>6118</v>
      </c>
      <c r="D6167" s="675"/>
      <c r="E6167" s="675"/>
      <c r="G6167" s="675"/>
      <c r="H6167" s="675"/>
      <c r="I6167" s="675"/>
      <c r="J6167" s="675"/>
      <c r="K6167" s="675"/>
      <c r="L6167" s="675"/>
      <c r="M6167" s="675"/>
    </row>
    <row r="6168" spans="1:13" x14ac:dyDescent="0.25">
      <c r="A6168" s="675" t="s">
        <v>6091</v>
      </c>
      <c r="B6168" s="675" t="s">
        <v>512</v>
      </c>
      <c r="C6168" s="676" t="s">
        <v>6119</v>
      </c>
      <c r="D6168" s="675"/>
      <c r="E6168" s="675"/>
      <c r="G6168" s="675"/>
      <c r="H6168" s="675"/>
      <c r="I6168" s="675"/>
      <c r="J6168" s="675"/>
      <c r="K6168" s="675"/>
      <c r="L6168" s="675"/>
      <c r="M6168" s="675"/>
    </row>
    <row r="6169" spans="1:13" x14ac:dyDescent="0.25">
      <c r="A6169" s="675" t="s">
        <v>6091</v>
      </c>
      <c r="B6169" s="675" t="s">
        <v>512</v>
      </c>
      <c r="C6169" s="676" t="s">
        <v>6120</v>
      </c>
      <c r="D6169" s="675"/>
      <c r="E6169" s="675"/>
      <c r="G6169" s="675"/>
      <c r="H6169" s="675"/>
      <c r="I6169" s="675"/>
      <c r="J6169" s="675"/>
      <c r="K6169" s="675"/>
      <c r="L6169" s="675"/>
      <c r="M6169" s="675"/>
    </row>
    <row r="6170" spans="1:13" x14ac:dyDescent="0.25">
      <c r="A6170" s="675" t="s">
        <v>6091</v>
      </c>
      <c r="B6170" s="675" t="s">
        <v>512</v>
      </c>
      <c r="C6170" s="676" t="s">
        <v>6121</v>
      </c>
      <c r="D6170" s="675"/>
      <c r="E6170" s="675"/>
      <c r="G6170" s="675"/>
      <c r="H6170" s="675"/>
      <c r="I6170" s="675"/>
      <c r="J6170" s="675"/>
      <c r="K6170" s="675"/>
      <c r="L6170" s="675"/>
      <c r="M6170" s="675"/>
    </row>
    <row r="6171" spans="1:13" x14ac:dyDescent="0.25">
      <c r="A6171" s="675" t="s">
        <v>1693</v>
      </c>
      <c r="B6171" s="675" t="s">
        <v>545</v>
      </c>
      <c r="C6171" s="675" t="s">
        <v>6122</v>
      </c>
      <c r="D6171" s="675"/>
      <c r="E6171" s="675"/>
      <c r="G6171" s="675"/>
      <c r="H6171" s="675"/>
      <c r="I6171" s="675"/>
      <c r="J6171" s="675"/>
      <c r="K6171" s="675"/>
      <c r="L6171" s="675"/>
      <c r="M6171" s="675"/>
    </row>
    <row r="6172" spans="1:13" x14ac:dyDescent="0.25">
      <c r="A6172" s="675" t="s">
        <v>1693</v>
      </c>
      <c r="B6172" s="675" t="s">
        <v>545</v>
      </c>
      <c r="C6172" s="675" t="s">
        <v>6123</v>
      </c>
      <c r="D6172" s="675"/>
      <c r="E6172" s="675"/>
      <c r="G6172" s="675"/>
      <c r="H6172" s="675"/>
      <c r="I6172" s="675"/>
      <c r="J6172" s="675"/>
      <c r="K6172" s="675"/>
      <c r="L6172" s="675"/>
      <c r="M6172" s="675"/>
    </row>
    <row r="6173" spans="1:13" x14ac:dyDescent="0.25">
      <c r="A6173" s="675" t="s">
        <v>1693</v>
      </c>
      <c r="B6173" s="675" t="s">
        <v>545</v>
      </c>
      <c r="C6173" s="675" t="s">
        <v>6124</v>
      </c>
      <c r="D6173" s="675"/>
      <c r="E6173" s="675"/>
      <c r="G6173" s="675"/>
      <c r="H6173" s="675"/>
      <c r="I6173" s="675"/>
      <c r="J6173" s="675"/>
      <c r="K6173" s="675"/>
      <c r="L6173" s="675"/>
      <c r="M6173" s="675"/>
    </row>
    <row r="6174" spans="1:13" x14ac:dyDescent="0.25">
      <c r="A6174" s="675" t="s">
        <v>1693</v>
      </c>
      <c r="B6174" s="675" t="s">
        <v>545</v>
      </c>
      <c r="C6174" s="675" t="s">
        <v>6125</v>
      </c>
      <c r="D6174" s="675"/>
      <c r="E6174" s="675"/>
      <c r="G6174" s="675"/>
      <c r="H6174" s="675"/>
      <c r="I6174" s="675"/>
      <c r="J6174" s="675"/>
      <c r="K6174" s="675"/>
      <c r="L6174" s="675"/>
      <c r="M6174" s="675"/>
    </row>
    <row r="6175" spans="1:13" x14ac:dyDescent="0.25">
      <c r="A6175" s="675" t="s">
        <v>1693</v>
      </c>
      <c r="B6175" s="675" t="s">
        <v>545</v>
      </c>
      <c r="C6175" s="675" t="s">
        <v>6126</v>
      </c>
      <c r="D6175" s="675"/>
      <c r="E6175" s="675"/>
      <c r="G6175" s="675"/>
      <c r="H6175" s="675"/>
      <c r="I6175" s="675"/>
      <c r="J6175" s="675"/>
      <c r="K6175" s="675"/>
      <c r="L6175" s="675"/>
      <c r="M6175" s="675"/>
    </row>
    <row r="6176" spans="1:13" x14ac:dyDescent="0.25">
      <c r="A6176" s="675" t="s">
        <v>1693</v>
      </c>
      <c r="B6176" s="675" t="s">
        <v>564</v>
      </c>
      <c r="C6176" s="675" t="s">
        <v>6127</v>
      </c>
      <c r="D6176" s="675"/>
      <c r="E6176" s="675"/>
      <c r="G6176" s="675"/>
      <c r="H6176" s="675"/>
      <c r="I6176" s="675"/>
      <c r="J6176" s="675"/>
      <c r="K6176" s="675"/>
      <c r="L6176" s="675"/>
      <c r="M6176" s="675"/>
    </row>
    <row r="6177" spans="1:13" x14ac:dyDescent="0.25">
      <c r="A6177" s="675" t="s">
        <v>1693</v>
      </c>
      <c r="B6177" s="675" t="s">
        <v>564</v>
      </c>
      <c r="C6177" s="675" t="s">
        <v>6128</v>
      </c>
      <c r="D6177" s="675"/>
      <c r="E6177" s="675"/>
      <c r="G6177" s="675"/>
      <c r="H6177" s="675"/>
      <c r="I6177" s="675"/>
      <c r="J6177" s="675"/>
      <c r="K6177" s="675"/>
      <c r="L6177" s="675"/>
      <c r="M6177" s="675"/>
    </row>
    <row r="6178" spans="1:13" x14ac:dyDescent="0.25">
      <c r="A6178" s="675" t="s">
        <v>1693</v>
      </c>
      <c r="B6178" s="675" t="s">
        <v>564</v>
      </c>
      <c r="C6178" s="675" t="s">
        <v>6129</v>
      </c>
      <c r="D6178" s="675"/>
      <c r="E6178" s="675"/>
      <c r="G6178" s="675"/>
      <c r="H6178" s="675"/>
      <c r="I6178" s="675"/>
      <c r="J6178" s="675"/>
      <c r="K6178" s="675"/>
      <c r="L6178" s="675"/>
      <c r="M6178" s="675"/>
    </row>
    <row r="6179" spans="1:13" x14ac:dyDescent="0.25">
      <c r="A6179" s="675" t="s">
        <v>1693</v>
      </c>
      <c r="B6179" s="675" t="s">
        <v>564</v>
      </c>
      <c r="C6179" s="675" t="s">
        <v>6130</v>
      </c>
      <c r="D6179" s="675"/>
      <c r="E6179" s="675"/>
      <c r="G6179" s="675"/>
      <c r="H6179" s="675"/>
      <c r="I6179" s="675"/>
      <c r="J6179" s="675"/>
      <c r="K6179" s="675"/>
      <c r="L6179" s="675"/>
      <c r="M6179" s="675"/>
    </row>
    <row r="6180" spans="1:13" x14ac:dyDescent="0.25">
      <c r="A6180" s="675" t="s">
        <v>1693</v>
      </c>
      <c r="B6180" s="675" t="s">
        <v>564</v>
      </c>
      <c r="C6180" s="675" t="s">
        <v>6131</v>
      </c>
      <c r="D6180" s="675"/>
      <c r="E6180" s="675"/>
      <c r="G6180" s="675"/>
      <c r="H6180" s="675"/>
      <c r="I6180" s="675"/>
      <c r="J6180" s="675"/>
      <c r="K6180" s="675"/>
      <c r="L6180" s="675"/>
      <c r="M6180" s="675"/>
    </row>
    <row r="6181" spans="1:13" x14ac:dyDescent="0.25">
      <c r="A6181" s="675" t="s">
        <v>1693</v>
      </c>
      <c r="B6181" s="675" t="s">
        <v>512</v>
      </c>
      <c r="C6181" s="675" t="s">
        <v>6132</v>
      </c>
      <c r="D6181" s="675"/>
      <c r="E6181" s="675"/>
      <c r="G6181" s="675"/>
      <c r="H6181" s="675"/>
      <c r="I6181" s="675"/>
      <c r="J6181" s="675"/>
      <c r="K6181" s="675"/>
      <c r="L6181" s="675"/>
      <c r="M6181" s="675"/>
    </row>
    <row r="6182" spans="1:13" x14ac:dyDescent="0.25">
      <c r="A6182" s="675" t="s">
        <v>1693</v>
      </c>
      <c r="B6182" s="675" t="s">
        <v>512</v>
      </c>
      <c r="C6182" s="675" t="s">
        <v>6133</v>
      </c>
      <c r="D6182" s="675"/>
      <c r="E6182" s="675"/>
      <c r="G6182" s="675"/>
      <c r="H6182" s="675"/>
      <c r="I6182" s="675"/>
      <c r="J6182" s="675"/>
      <c r="K6182" s="675"/>
      <c r="L6182" s="675"/>
      <c r="M6182" s="675"/>
    </row>
    <row r="6183" spans="1:13" x14ac:dyDescent="0.25">
      <c r="A6183" s="675" t="s">
        <v>1693</v>
      </c>
      <c r="B6183" s="675" t="s">
        <v>512</v>
      </c>
      <c r="C6183" s="675" t="s">
        <v>6134</v>
      </c>
      <c r="D6183" s="675"/>
      <c r="E6183" s="675"/>
      <c r="G6183" s="675"/>
      <c r="H6183" s="675"/>
      <c r="I6183" s="675"/>
      <c r="J6183" s="675"/>
      <c r="K6183" s="675"/>
      <c r="L6183" s="675"/>
      <c r="M6183" s="675"/>
    </row>
    <row r="6184" spans="1:13" x14ac:dyDescent="0.25">
      <c r="A6184" s="675" t="s">
        <v>1693</v>
      </c>
      <c r="B6184" s="675" t="s">
        <v>512</v>
      </c>
      <c r="C6184" s="675" t="s">
        <v>6135</v>
      </c>
      <c r="D6184" s="675"/>
      <c r="E6184" s="675"/>
      <c r="G6184" s="675"/>
      <c r="H6184" s="675"/>
      <c r="I6184" s="675"/>
      <c r="J6184" s="675"/>
      <c r="K6184" s="675"/>
      <c r="L6184" s="675"/>
      <c r="M6184" s="675"/>
    </row>
    <row r="6185" spans="1:13" x14ac:dyDescent="0.25">
      <c r="A6185" s="675" t="s">
        <v>1693</v>
      </c>
      <c r="B6185" s="675" t="s">
        <v>512</v>
      </c>
      <c r="C6185" s="675" t="s">
        <v>6136</v>
      </c>
      <c r="D6185" s="675"/>
      <c r="E6185" s="675"/>
      <c r="G6185" s="675"/>
      <c r="H6185" s="675"/>
      <c r="I6185" s="675"/>
      <c r="J6185" s="675"/>
      <c r="K6185" s="675"/>
      <c r="L6185" s="675"/>
      <c r="M6185" s="675"/>
    </row>
    <row r="6186" spans="1:13" x14ac:dyDescent="0.25">
      <c r="A6186" s="675" t="s">
        <v>6137</v>
      </c>
      <c r="B6186" s="675" t="s">
        <v>545</v>
      </c>
      <c r="C6186" s="676" t="s">
        <v>6138</v>
      </c>
      <c r="D6186" s="675"/>
      <c r="E6186" s="675"/>
      <c r="G6186" s="675"/>
      <c r="H6186" s="675"/>
      <c r="I6186" s="675"/>
      <c r="J6186" s="675"/>
      <c r="K6186" s="675"/>
      <c r="L6186" s="675"/>
      <c r="M6186" s="675"/>
    </row>
    <row r="6187" spans="1:13" x14ac:dyDescent="0.25">
      <c r="A6187" s="675" t="s">
        <v>6137</v>
      </c>
      <c r="B6187" s="675" t="s">
        <v>545</v>
      </c>
      <c r="C6187" s="676" t="s">
        <v>6139</v>
      </c>
      <c r="D6187" s="675"/>
      <c r="E6187" s="675"/>
      <c r="G6187" s="675"/>
      <c r="H6187" s="675"/>
      <c r="I6187" s="675"/>
      <c r="J6187" s="675"/>
      <c r="K6187" s="675"/>
      <c r="L6187" s="675"/>
      <c r="M6187" s="675"/>
    </row>
    <row r="6188" spans="1:13" x14ac:dyDescent="0.25">
      <c r="A6188" s="675" t="s">
        <v>6137</v>
      </c>
      <c r="B6188" s="675" t="s">
        <v>545</v>
      </c>
      <c r="C6188" s="676" t="s">
        <v>6140</v>
      </c>
      <c r="D6188" s="675"/>
      <c r="E6188" s="675"/>
      <c r="G6188" s="675"/>
      <c r="H6188" s="675"/>
      <c r="I6188" s="675"/>
      <c r="J6188" s="675"/>
      <c r="K6188" s="675"/>
      <c r="L6188" s="675"/>
      <c r="M6188" s="675"/>
    </row>
    <row r="6189" spans="1:13" x14ac:dyDescent="0.25">
      <c r="A6189" s="675" t="s">
        <v>6137</v>
      </c>
      <c r="B6189" s="675" t="s">
        <v>545</v>
      </c>
      <c r="C6189" s="676" t="s">
        <v>6141</v>
      </c>
      <c r="D6189" s="675"/>
      <c r="E6189" s="675"/>
      <c r="G6189" s="675"/>
      <c r="H6189" s="675"/>
      <c r="I6189" s="675"/>
      <c r="J6189" s="675"/>
      <c r="K6189" s="675"/>
      <c r="L6189" s="675"/>
      <c r="M6189" s="675"/>
    </row>
    <row r="6190" spans="1:13" x14ac:dyDescent="0.25">
      <c r="A6190" s="675" t="s">
        <v>6137</v>
      </c>
      <c r="B6190" s="675" t="s">
        <v>545</v>
      </c>
      <c r="C6190" s="676" t="s">
        <v>6142</v>
      </c>
      <c r="D6190" s="675"/>
      <c r="E6190" s="675"/>
      <c r="G6190" s="675"/>
      <c r="H6190" s="675"/>
      <c r="I6190" s="675"/>
      <c r="J6190" s="675"/>
      <c r="K6190" s="675"/>
      <c r="L6190" s="675"/>
      <c r="M6190" s="675"/>
    </row>
    <row r="6191" spans="1:13" x14ac:dyDescent="0.25">
      <c r="A6191" s="675" t="s">
        <v>6137</v>
      </c>
      <c r="B6191" s="675" t="s">
        <v>564</v>
      </c>
      <c r="C6191" s="676" t="s">
        <v>6143</v>
      </c>
      <c r="D6191" s="675"/>
      <c r="E6191" s="675"/>
      <c r="G6191" s="675"/>
      <c r="H6191" s="675"/>
      <c r="I6191" s="675"/>
      <c r="J6191" s="675"/>
      <c r="K6191" s="675"/>
      <c r="L6191" s="675"/>
      <c r="M6191" s="675"/>
    </row>
    <row r="6192" spans="1:13" x14ac:dyDescent="0.25">
      <c r="A6192" s="675" t="s">
        <v>6137</v>
      </c>
      <c r="B6192" s="675" t="s">
        <v>564</v>
      </c>
      <c r="C6192" s="676" t="s">
        <v>6144</v>
      </c>
      <c r="D6192" s="675"/>
      <c r="E6192" s="675"/>
      <c r="G6192" s="675"/>
      <c r="H6192" s="675"/>
      <c r="I6192" s="675"/>
      <c r="J6192" s="675"/>
      <c r="K6192" s="675"/>
      <c r="L6192" s="675"/>
      <c r="M6192" s="675"/>
    </row>
    <row r="6193" spans="1:13" x14ac:dyDescent="0.25">
      <c r="A6193" s="675" t="s">
        <v>6137</v>
      </c>
      <c r="B6193" s="675" t="s">
        <v>564</v>
      </c>
      <c r="C6193" s="676" t="s">
        <v>6145</v>
      </c>
      <c r="D6193" s="675"/>
      <c r="E6193" s="675"/>
      <c r="G6193" s="675"/>
      <c r="H6193" s="675"/>
      <c r="I6193" s="675"/>
      <c r="J6193" s="675"/>
      <c r="K6193" s="675"/>
      <c r="L6193" s="675"/>
      <c r="M6193" s="675"/>
    </row>
    <row r="6194" spans="1:13" x14ac:dyDescent="0.25">
      <c r="A6194" s="675" t="s">
        <v>6137</v>
      </c>
      <c r="B6194" s="675" t="s">
        <v>564</v>
      </c>
      <c r="C6194" s="676" t="s">
        <v>6146</v>
      </c>
      <c r="D6194" s="675"/>
      <c r="E6194" s="675"/>
      <c r="G6194" s="675"/>
      <c r="H6194" s="675"/>
      <c r="I6194" s="675"/>
      <c r="J6194" s="675"/>
      <c r="K6194" s="675"/>
      <c r="L6194" s="675"/>
      <c r="M6194" s="675"/>
    </row>
    <row r="6195" spans="1:13" x14ac:dyDescent="0.25">
      <c r="A6195" s="675" t="s">
        <v>6137</v>
      </c>
      <c r="B6195" s="675" t="s">
        <v>564</v>
      </c>
      <c r="C6195" s="676" t="s">
        <v>6147</v>
      </c>
      <c r="D6195" s="675"/>
      <c r="E6195" s="675"/>
      <c r="G6195" s="675"/>
      <c r="H6195" s="675"/>
      <c r="I6195" s="675"/>
      <c r="J6195" s="675"/>
      <c r="K6195" s="675"/>
      <c r="L6195" s="675"/>
      <c r="M6195" s="675"/>
    </row>
    <row r="6196" spans="1:13" x14ac:dyDescent="0.25">
      <c r="A6196" s="675" t="s">
        <v>6137</v>
      </c>
      <c r="B6196" s="675" t="s">
        <v>512</v>
      </c>
      <c r="C6196" s="676" t="s">
        <v>6148</v>
      </c>
      <c r="D6196" s="675"/>
      <c r="E6196" s="675"/>
      <c r="G6196" s="675"/>
      <c r="H6196" s="675"/>
      <c r="I6196" s="675"/>
      <c r="J6196" s="675"/>
      <c r="K6196" s="675"/>
      <c r="L6196" s="675"/>
      <c r="M6196" s="675"/>
    </row>
    <row r="6197" spans="1:13" x14ac:dyDescent="0.25">
      <c r="A6197" s="675" t="s">
        <v>6137</v>
      </c>
      <c r="B6197" s="675" t="s">
        <v>512</v>
      </c>
      <c r="C6197" s="676" t="s">
        <v>6149</v>
      </c>
      <c r="D6197" s="675"/>
      <c r="E6197" s="675"/>
      <c r="G6197" s="675"/>
      <c r="H6197" s="675"/>
      <c r="I6197" s="675"/>
      <c r="J6197" s="675"/>
      <c r="K6197" s="675"/>
      <c r="L6197" s="675"/>
      <c r="M6197" s="675"/>
    </row>
    <row r="6198" spans="1:13" x14ac:dyDescent="0.25">
      <c r="A6198" s="675" t="s">
        <v>6137</v>
      </c>
      <c r="B6198" s="675" t="s">
        <v>512</v>
      </c>
      <c r="C6198" s="676" t="s">
        <v>6150</v>
      </c>
      <c r="D6198" s="675"/>
      <c r="E6198" s="675"/>
      <c r="G6198" s="675"/>
      <c r="H6198" s="675"/>
      <c r="I6198" s="675"/>
      <c r="J6198" s="675"/>
      <c r="K6198" s="675"/>
      <c r="L6198" s="675"/>
      <c r="M6198" s="675"/>
    </row>
    <row r="6199" spans="1:13" x14ac:dyDescent="0.25">
      <c r="A6199" s="675" t="s">
        <v>6137</v>
      </c>
      <c r="B6199" s="675" t="s">
        <v>512</v>
      </c>
      <c r="C6199" s="676" t="s">
        <v>6151</v>
      </c>
      <c r="D6199" s="675"/>
      <c r="E6199" s="675"/>
      <c r="G6199" s="675"/>
      <c r="H6199" s="675"/>
      <c r="I6199" s="675"/>
      <c r="J6199" s="675"/>
      <c r="K6199" s="675"/>
      <c r="L6199" s="675"/>
      <c r="M6199" s="675"/>
    </row>
    <row r="6200" spans="1:13" x14ac:dyDescent="0.25">
      <c r="A6200" s="675" t="s">
        <v>6137</v>
      </c>
      <c r="B6200" s="675" t="s">
        <v>512</v>
      </c>
      <c r="C6200" s="676" t="s">
        <v>6152</v>
      </c>
      <c r="D6200" s="675"/>
      <c r="E6200" s="675"/>
      <c r="G6200" s="675"/>
      <c r="H6200" s="675"/>
      <c r="I6200" s="675"/>
      <c r="J6200" s="675"/>
      <c r="K6200" s="675"/>
      <c r="L6200" s="675"/>
      <c r="M6200" s="675"/>
    </row>
    <row r="6201" spans="1:13" x14ac:dyDescent="0.25">
      <c r="A6201" s="675" t="s">
        <v>1312</v>
      </c>
      <c r="B6201" s="675" t="s">
        <v>545</v>
      </c>
      <c r="C6201" s="676" t="s">
        <v>6153</v>
      </c>
      <c r="D6201" s="675"/>
      <c r="E6201" s="675"/>
      <c r="G6201" s="675"/>
      <c r="H6201" s="675"/>
      <c r="I6201" s="675"/>
      <c r="J6201" s="675"/>
      <c r="K6201" s="675"/>
      <c r="L6201" s="675"/>
      <c r="M6201" s="675"/>
    </row>
    <row r="6202" spans="1:13" x14ac:dyDescent="0.25">
      <c r="A6202" s="675" t="s">
        <v>1312</v>
      </c>
      <c r="B6202" s="675" t="s">
        <v>545</v>
      </c>
      <c r="C6202" s="676" t="s">
        <v>6154</v>
      </c>
      <c r="D6202" s="675"/>
      <c r="E6202" s="675"/>
      <c r="G6202" s="675"/>
      <c r="H6202" s="675"/>
      <c r="I6202" s="675"/>
      <c r="J6202" s="675"/>
      <c r="K6202" s="675"/>
      <c r="L6202" s="675"/>
      <c r="M6202" s="675"/>
    </row>
    <row r="6203" spans="1:13" x14ac:dyDescent="0.25">
      <c r="A6203" s="675" t="s">
        <v>1312</v>
      </c>
      <c r="B6203" s="675" t="s">
        <v>545</v>
      </c>
      <c r="C6203" s="676" t="s">
        <v>6155</v>
      </c>
      <c r="D6203" s="675"/>
      <c r="E6203" s="675"/>
      <c r="G6203" s="675"/>
      <c r="H6203" s="675"/>
      <c r="I6203" s="675"/>
      <c r="J6203" s="675"/>
      <c r="K6203" s="675"/>
      <c r="L6203" s="675"/>
      <c r="M6203" s="675"/>
    </row>
    <row r="6204" spans="1:13" x14ac:dyDescent="0.25">
      <c r="A6204" s="675" t="s">
        <v>1312</v>
      </c>
      <c r="B6204" s="675" t="s">
        <v>545</v>
      </c>
      <c r="C6204" s="676" t="s">
        <v>6156</v>
      </c>
      <c r="D6204" s="675"/>
      <c r="E6204" s="675"/>
      <c r="G6204" s="675"/>
      <c r="H6204" s="675"/>
      <c r="I6204" s="675"/>
      <c r="J6204" s="675"/>
      <c r="K6204" s="675"/>
      <c r="L6204" s="675"/>
      <c r="M6204" s="675"/>
    </row>
    <row r="6205" spans="1:13" x14ac:dyDescent="0.25">
      <c r="A6205" s="675" t="s">
        <v>1312</v>
      </c>
      <c r="B6205" s="675" t="s">
        <v>545</v>
      </c>
      <c r="C6205" s="676" t="s">
        <v>6157</v>
      </c>
      <c r="D6205" s="675"/>
      <c r="E6205" s="675"/>
      <c r="G6205" s="675"/>
      <c r="H6205" s="675"/>
      <c r="I6205" s="675"/>
      <c r="J6205" s="675"/>
      <c r="K6205" s="675"/>
      <c r="L6205" s="675"/>
      <c r="M6205" s="675"/>
    </row>
    <row r="6206" spans="1:13" x14ac:dyDescent="0.25">
      <c r="A6206" s="675" t="s">
        <v>1312</v>
      </c>
      <c r="B6206" s="675" t="s">
        <v>545</v>
      </c>
      <c r="C6206" s="676" t="s">
        <v>6158</v>
      </c>
      <c r="D6206" s="675"/>
      <c r="E6206" s="675"/>
      <c r="G6206" s="675"/>
      <c r="H6206" s="675"/>
      <c r="I6206" s="675"/>
      <c r="J6206" s="675"/>
      <c r="K6206" s="675"/>
      <c r="L6206" s="675"/>
      <c r="M6206" s="675"/>
    </row>
    <row r="6207" spans="1:13" x14ac:dyDescent="0.25">
      <c r="A6207" s="675" t="s">
        <v>1312</v>
      </c>
      <c r="B6207" s="675" t="s">
        <v>545</v>
      </c>
      <c r="C6207" s="676" t="s">
        <v>6159</v>
      </c>
      <c r="D6207" s="675"/>
      <c r="E6207" s="675"/>
      <c r="G6207" s="675"/>
      <c r="H6207" s="675"/>
      <c r="I6207" s="675"/>
      <c r="J6207" s="675"/>
      <c r="K6207" s="675"/>
      <c r="L6207" s="675"/>
      <c r="M6207" s="675"/>
    </row>
    <row r="6208" spans="1:13" x14ac:dyDescent="0.25">
      <c r="A6208" s="675" t="s">
        <v>1312</v>
      </c>
      <c r="B6208" s="675" t="s">
        <v>545</v>
      </c>
      <c r="C6208" s="676" t="s">
        <v>6160</v>
      </c>
      <c r="D6208" s="675"/>
      <c r="E6208" s="675"/>
      <c r="G6208" s="675"/>
      <c r="H6208" s="675"/>
      <c r="I6208" s="675"/>
      <c r="J6208" s="675"/>
      <c r="K6208" s="675"/>
      <c r="L6208" s="675"/>
      <c r="M6208" s="675"/>
    </row>
    <row r="6209" spans="1:13" x14ac:dyDescent="0.25">
      <c r="A6209" s="675" t="s">
        <v>1312</v>
      </c>
      <c r="B6209" s="675" t="s">
        <v>545</v>
      </c>
      <c r="C6209" s="676" t="s">
        <v>6161</v>
      </c>
      <c r="D6209" s="675"/>
      <c r="E6209" s="675"/>
      <c r="G6209" s="675"/>
      <c r="H6209" s="675"/>
      <c r="I6209" s="675"/>
      <c r="J6209" s="675"/>
      <c r="K6209" s="675"/>
      <c r="L6209" s="675"/>
      <c r="M6209" s="675"/>
    </row>
    <row r="6210" spans="1:13" x14ac:dyDescent="0.25">
      <c r="A6210" s="675" t="s">
        <v>1312</v>
      </c>
      <c r="B6210" s="675" t="s">
        <v>545</v>
      </c>
      <c r="C6210" s="676" t="s">
        <v>6162</v>
      </c>
      <c r="D6210" s="675"/>
      <c r="E6210" s="675"/>
      <c r="G6210" s="675"/>
      <c r="H6210" s="675"/>
      <c r="I6210" s="675"/>
      <c r="J6210" s="675"/>
      <c r="K6210" s="675"/>
      <c r="L6210" s="675"/>
      <c r="M6210" s="675"/>
    </row>
    <row r="6211" spans="1:13" x14ac:dyDescent="0.25">
      <c r="A6211" s="675" t="s">
        <v>1312</v>
      </c>
      <c r="B6211" s="675" t="s">
        <v>564</v>
      </c>
      <c r="C6211" s="676" t="s">
        <v>6163</v>
      </c>
      <c r="D6211" s="675"/>
      <c r="E6211" s="675"/>
      <c r="G6211" s="675"/>
      <c r="H6211" s="675"/>
      <c r="I6211" s="675"/>
      <c r="J6211" s="675"/>
      <c r="K6211" s="675"/>
      <c r="L6211" s="675"/>
      <c r="M6211" s="675"/>
    </row>
    <row r="6212" spans="1:13" x14ac:dyDescent="0.25">
      <c r="A6212" s="675" t="s">
        <v>1312</v>
      </c>
      <c r="B6212" s="675" t="s">
        <v>564</v>
      </c>
      <c r="C6212" s="676" t="s">
        <v>6164</v>
      </c>
      <c r="D6212" s="675"/>
      <c r="E6212" s="675"/>
      <c r="G6212" s="675"/>
      <c r="H6212" s="675"/>
      <c r="I6212" s="675"/>
      <c r="J6212" s="675"/>
      <c r="K6212" s="675"/>
      <c r="L6212" s="675"/>
      <c r="M6212" s="675"/>
    </row>
    <row r="6213" spans="1:13" x14ac:dyDescent="0.25">
      <c r="A6213" s="675" t="s">
        <v>1312</v>
      </c>
      <c r="B6213" s="675" t="s">
        <v>564</v>
      </c>
      <c r="C6213" s="676" t="s">
        <v>6165</v>
      </c>
      <c r="D6213" s="675"/>
      <c r="E6213" s="675"/>
      <c r="G6213" s="675"/>
      <c r="H6213" s="675"/>
      <c r="I6213" s="675"/>
      <c r="J6213" s="675"/>
      <c r="K6213" s="675"/>
      <c r="L6213" s="675"/>
      <c r="M6213" s="675"/>
    </row>
    <row r="6214" spans="1:13" x14ac:dyDescent="0.25">
      <c r="A6214" s="675" t="s">
        <v>1312</v>
      </c>
      <c r="B6214" s="675" t="s">
        <v>564</v>
      </c>
      <c r="C6214" s="676" t="s">
        <v>6166</v>
      </c>
      <c r="D6214" s="675"/>
      <c r="E6214" s="675"/>
      <c r="G6214" s="675"/>
      <c r="H6214" s="675"/>
      <c r="I6214" s="675"/>
      <c r="J6214" s="675"/>
      <c r="K6214" s="675"/>
      <c r="L6214" s="675"/>
      <c r="M6214" s="675"/>
    </row>
    <row r="6215" spans="1:13" x14ac:dyDescent="0.25">
      <c r="A6215" s="675" t="s">
        <v>1312</v>
      </c>
      <c r="B6215" s="675" t="s">
        <v>564</v>
      </c>
      <c r="C6215" s="676" t="s">
        <v>6167</v>
      </c>
      <c r="D6215" s="675"/>
      <c r="E6215" s="675"/>
      <c r="G6215" s="675"/>
      <c r="H6215" s="675"/>
      <c r="I6215" s="675"/>
      <c r="J6215" s="675"/>
      <c r="K6215" s="675"/>
      <c r="L6215" s="675"/>
      <c r="M6215" s="675"/>
    </row>
    <row r="6216" spans="1:13" x14ac:dyDescent="0.25">
      <c r="A6216" s="675" t="s">
        <v>1312</v>
      </c>
      <c r="B6216" s="675" t="s">
        <v>564</v>
      </c>
      <c r="C6216" s="676" t="s">
        <v>6168</v>
      </c>
      <c r="D6216" s="675"/>
      <c r="E6216" s="675"/>
      <c r="G6216" s="675"/>
      <c r="H6216" s="675"/>
      <c r="I6216" s="675"/>
      <c r="J6216" s="675"/>
      <c r="K6216" s="675"/>
      <c r="L6216" s="675"/>
      <c r="M6216" s="675"/>
    </row>
    <row r="6217" spans="1:13" x14ac:dyDescent="0.25">
      <c r="A6217" s="675" t="s">
        <v>1312</v>
      </c>
      <c r="B6217" s="675" t="s">
        <v>564</v>
      </c>
      <c r="C6217" s="676" t="s">
        <v>6169</v>
      </c>
      <c r="D6217" s="675"/>
      <c r="E6217" s="675"/>
      <c r="G6217" s="675"/>
      <c r="H6217" s="675"/>
      <c r="I6217" s="675"/>
      <c r="J6217" s="675"/>
      <c r="K6217" s="675"/>
      <c r="L6217" s="675"/>
      <c r="M6217" s="675"/>
    </row>
    <row r="6218" spans="1:13" x14ac:dyDescent="0.25">
      <c r="A6218" s="675" t="s">
        <v>1312</v>
      </c>
      <c r="B6218" s="675" t="s">
        <v>564</v>
      </c>
      <c r="C6218" s="676" t="s">
        <v>6170</v>
      </c>
      <c r="D6218" s="675"/>
      <c r="E6218" s="675"/>
      <c r="G6218" s="675"/>
      <c r="H6218" s="675"/>
      <c r="I6218" s="675"/>
      <c r="J6218" s="675"/>
      <c r="K6218" s="675"/>
      <c r="L6218" s="675"/>
      <c r="M6218" s="675"/>
    </row>
    <row r="6219" spans="1:13" x14ac:dyDescent="0.25">
      <c r="A6219" s="675" t="s">
        <v>1312</v>
      </c>
      <c r="B6219" s="675" t="s">
        <v>564</v>
      </c>
      <c r="C6219" s="676" t="s">
        <v>6171</v>
      </c>
      <c r="D6219" s="675"/>
      <c r="E6219" s="675"/>
      <c r="G6219" s="675"/>
      <c r="H6219" s="675"/>
      <c r="I6219" s="675"/>
      <c r="J6219" s="675"/>
      <c r="K6219" s="675"/>
      <c r="L6219" s="675"/>
      <c r="M6219" s="675"/>
    </row>
    <row r="6220" spans="1:13" x14ac:dyDescent="0.25">
      <c r="A6220" s="675" t="s">
        <v>1312</v>
      </c>
      <c r="B6220" s="675" t="s">
        <v>564</v>
      </c>
      <c r="C6220" s="676" t="s">
        <v>6172</v>
      </c>
      <c r="D6220" s="675"/>
      <c r="E6220" s="675"/>
      <c r="G6220" s="675"/>
      <c r="H6220" s="675"/>
      <c r="I6220" s="675"/>
      <c r="J6220" s="675"/>
      <c r="K6220" s="675"/>
      <c r="L6220" s="675"/>
      <c r="M6220" s="675"/>
    </row>
    <row r="6221" spans="1:13" x14ac:dyDescent="0.25">
      <c r="A6221" s="675" t="s">
        <v>1312</v>
      </c>
      <c r="B6221" s="675" t="s">
        <v>512</v>
      </c>
      <c r="C6221" s="676" t="s">
        <v>6173</v>
      </c>
      <c r="D6221" s="675"/>
      <c r="E6221" s="675"/>
      <c r="G6221" s="675"/>
      <c r="H6221" s="675"/>
      <c r="I6221" s="675"/>
      <c r="J6221" s="675"/>
      <c r="K6221" s="675"/>
      <c r="L6221" s="675"/>
      <c r="M6221" s="675"/>
    </row>
    <row r="6222" spans="1:13" x14ac:dyDescent="0.25">
      <c r="A6222" s="675" t="s">
        <v>1312</v>
      </c>
      <c r="B6222" s="675" t="s">
        <v>512</v>
      </c>
      <c r="C6222" s="676" t="s">
        <v>6174</v>
      </c>
      <c r="D6222" s="675"/>
      <c r="E6222" s="675"/>
      <c r="G6222" s="675"/>
      <c r="H6222" s="675"/>
      <c r="I6222" s="675"/>
      <c r="J6222" s="675"/>
      <c r="K6222" s="675"/>
      <c r="L6222" s="675"/>
      <c r="M6222" s="675"/>
    </row>
    <row r="6223" spans="1:13" x14ac:dyDescent="0.25">
      <c r="A6223" s="675" t="s">
        <v>1312</v>
      </c>
      <c r="B6223" s="675" t="s">
        <v>512</v>
      </c>
      <c r="C6223" s="676" t="s">
        <v>6175</v>
      </c>
      <c r="D6223" s="675"/>
      <c r="E6223" s="675"/>
      <c r="G6223" s="675"/>
      <c r="H6223" s="675"/>
      <c r="I6223" s="675"/>
      <c r="J6223" s="675"/>
      <c r="K6223" s="675"/>
      <c r="L6223" s="675"/>
      <c r="M6223" s="675"/>
    </row>
    <row r="6224" spans="1:13" x14ac:dyDescent="0.25">
      <c r="A6224" s="675" t="s">
        <v>1312</v>
      </c>
      <c r="B6224" s="675" t="s">
        <v>512</v>
      </c>
      <c r="C6224" s="676" t="s">
        <v>6176</v>
      </c>
      <c r="D6224" s="675"/>
      <c r="E6224" s="675"/>
      <c r="G6224" s="675"/>
      <c r="H6224" s="675"/>
      <c r="I6224" s="675"/>
      <c r="J6224" s="675"/>
      <c r="K6224" s="675"/>
      <c r="L6224" s="675"/>
      <c r="M6224" s="675"/>
    </row>
    <row r="6225" spans="1:13" x14ac:dyDescent="0.25">
      <c r="A6225" s="675" t="s">
        <v>1312</v>
      </c>
      <c r="B6225" s="675" t="s">
        <v>512</v>
      </c>
      <c r="C6225" s="676" t="s">
        <v>6177</v>
      </c>
      <c r="D6225" s="675"/>
      <c r="E6225" s="675"/>
      <c r="G6225" s="675"/>
      <c r="H6225" s="675"/>
      <c r="I6225" s="675"/>
      <c r="J6225" s="675"/>
      <c r="K6225" s="675"/>
      <c r="L6225" s="675"/>
      <c r="M6225" s="675"/>
    </row>
    <row r="6226" spans="1:13" x14ac:dyDescent="0.25">
      <c r="A6226" s="675" t="s">
        <v>1312</v>
      </c>
      <c r="B6226" s="675" t="s">
        <v>512</v>
      </c>
      <c r="C6226" s="676" t="s">
        <v>6178</v>
      </c>
      <c r="D6226" s="675"/>
      <c r="E6226" s="675"/>
      <c r="G6226" s="675"/>
      <c r="H6226" s="675"/>
      <c r="I6226" s="675"/>
      <c r="J6226" s="675"/>
      <c r="K6226" s="675"/>
      <c r="L6226" s="675"/>
      <c r="M6226" s="675"/>
    </row>
    <row r="6227" spans="1:13" x14ac:dyDescent="0.25">
      <c r="A6227" s="675" t="s">
        <v>1312</v>
      </c>
      <c r="B6227" s="675" t="s">
        <v>512</v>
      </c>
      <c r="C6227" s="676" t="s">
        <v>6179</v>
      </c>
      <c r="D6227" s="675"/>
      <c r="E6227" s="675"/>
      <c r="G6227" s="675"/>
      <c r="H6227" s="675"/>
      <c r="I6227" s="675"/>
      <c r="J6227" s="675"/>
      <c r="K6227" s="675"/>
      <c r="L6227" s="675"/>
      <c r="M6227" s="675"/>
    </row>
    <row r="6228" spans="1:13" x14ac:dyDescent="0.25">
      <c r="A6228" s="675" t="s">
        <v>1312</v>
      </c>
      <c r="B6228" s="675" t="s">
        <v>512</v>
      </c>
      <c r="C6228" s="676" t="s">
        <v>6180</v>
      </c>
      <c r="D6228" s="675"/>
      <c r="E6228" s="675"/>
      <c r="G6228" s="675"/>
      <c r="H6228" s="675"/>
      <c r="I6228" s="675"/>
      <c r="J6228" s="675"/>
      <c r="K6228" s="675"/>
      <c r="L6228" s="675"/>
      <c r="M6228" s="675"/>
    </row>
    <row r="6229" spans="1:13" x14ac:dyDescent="0.25">
      <c r="A6229" s="675" t="s">
        <v>1312</v>
      </c>
      <c r="B6229" s="675" t="s">
        <v>512</v>
      </c>
      <c r="C6229" s="676" t="s">
        <v>6181</v>
      </c>
      <c r="D6229" s="675"/>
      <c r="E6229" s="675"/>
      <c r="G6229" s="675"/>
      <c r="H6229" s="675"/>
      <c r="I6229" s="675"/>
      <c r="J6229" s="675"/>
      <c r="K6229" s="675"/>
      <c r="L6229" s="675"/>
      <c r="M6229" s="675"/>
    </row>
    <row r="6230" spans="1:13" x14ac:dyDescent="0.25">
      <c r="A6230" s="675" t="s">
        <v>1312</v>
      </c>
      <c r="B6230" s="675" t="s">
        <v>512</v>
      </c>
      <c r="C6230" s="676" t="s">
        <v>6182</v>
      </c>
      <c r="D6230" s="675"/>
      <c r="E6230" s="675"/>
      <c r="G6230" s="675"/>
      <c r="H6230" s="675"/>
      <c r="I6230" s="675"/>
      <c r="J6230" s="675"/>
      <c r="K6230" s="675"/>
      <c r="L6230" s="675"/>
      <c r="M6230" s="675"/>
    </row>
    <row r="6231" spans="1:13" x14ac:dyDescent="0.25">
      <c r="A6231" s="675" t="s">
        <v>6183</v>
      </c>
      <c r="B6231" s="675" t="s">
        <v>545</v>
      </c>
      <c r="C6231" s="676" t="s">
        <v>6184</v>
      </c>
      <c r="D6231" s="675"/>
      <c r="E6231" s="675"/>
      <c r="G6231" s="675"/>
      <c r="H6231" s="675"/>
      <c r="I6231" s="675"/>
      <c r="J6231" s="675"/>
      <c r="K6231" s="675"/>
      <c r="L6231" s="675"/>
      <c r="M6231" s="675"/>
    </row>
    <row r="6232" spans="1:13" x14ac:dyDescent="0.25">
      <c r="A6232" s="675" t="s">
        <v>6183</v>
      </c>
      <c r="B6232" s="675" t="s">
        <v>545</v>
      </c>
      <c r="C6232" s="676" t="s">
        <v>6185</v>
      </c>
      <c r="D6232" s="675"/>
      <c r="E6232" s="675"/>
      <c r="G6232" s="675"/>
      <c r="H6232" s="675"/>
      <c r="I6232" s="675"/>
      <c r="J6232" s="675"/>
      <c r="K6232" s="675"/>
      <c r="L6232" s="675"/>
      <c r="M6232" s="675"/>
    </row>
    <row r="6233" spans="1:13" ht="30" x14ac:dyDescent="0.25">
      <c r="A6233" s="675" t="s">
        <v>6183</v>
      </c>
      <c r="B6233" s="675" t="s">
        <v>545</v>
      </c>
      <c r="C6233" s="676" t="s">
        <v>6186</v>
      </c>
      <c r="D6233" s="675"/>
      <c r="E6233" s="675"/>
      <c r="G6233" s="675"/>
      <c r="H6233" s="675"/>
      <c r="I6233" s="675"/>
      <c r="J6233" s="675"/>
      <c r="K6233" s="675"/>
      <c r="L6233" s="675"/>
      <c r="M6233" s="675"/>
    </row>
    <row r="6234" spans="1:13" x14ac:dyDescent="0.25">
      <c r="A6234" s="675" t="s">
        <v>6183</v>
      </c>
      <c r="B6234" s="675" t="s">
        <v>545</v>
      </c>
      <c r="C6234" s="676" t="s">
        <v>6187</v>
      </c>
      <c r="D6234" s="675"/>
      <c r="E6234" s="675"/>
      <c r="G6234" s="675"/>
      <c r="H6234" s="675"/>
      <c r="I6234" s="675"/>
      <c r="J6234" s="675"/>
      <c r="K6234" s="675"/>
      <c r="L6234" s="675"/>
      <c r="M6234" s="675"/>
    </row>
    <row r="6235" spans="1:13" x14ac:dyDescent="0.25">
      <c r="A6235" s="675" t="s">
        <v>6183</v>
      </c>
      <c r="B6235" s="675" t="s">
        <v>545</v>
      </c>
      <c r="C6235" s="676" t="s">
        <v>6188</v>
      </c>
      <c r="D6235" s="675"/>
      <c r="E6235" s="675"/>
      <c r="G6235" s="675"/>
      <c r="H6235" s="675"/>
      <c r="I6235" s="675"/>
      <c r="J6235" s="675"/>
      <c r="K6235" s="675"/>
      <c r="L6235" s="675"/>
      <c r="M6235" s="675"/>
    </row>
    <row r="6236" spans="1:13" ht="30" x14ac:dyDescent="0.25">
      <c r="A6236" s="675" t="s">
        <v>6183</v>
      </c>
      <c r="B6236" s="675" t="s">
        <v>545</v>
      </c>
      <c r="C6236" s="676" t="s">
        <v>6189</v>
      </c>
      <c r="D6236" s="675"/>
      <c r="E6236" s="675"/>
      <c r="G6236" s="675"/>
      <c r="H6236" s="675"/>
      <c r="I6236" s="675"/>
      <c r="J6236" s="675"/>
      <c r="K6236" s="675"/>
      <c r="L6236" s="675"/>
      <c r="M6236" s="675"/>
    </row>
    <row r="6237" spans="1:13" x14ac:dyDescent="0.25">
      <c r="A6237" s="675" t="s">
        <v>6183</v>
      </c>
      <c r="B6237" s="675" t="s">
        <v>545</v>
      </c>
      <c r="C6237" s="676" t="s">
        <v>6190</v>
      </c>
      <c r="D6237" s="675"/>
      <c r="E6237" s="675"/>
      <c r="G6237" s="675"/>
      <c r="H6237" s="675"/>
      <c r="I6237" s="675"/>
      <c r="J6237" s="675"/>
      <c r="K6237" s="675"/>
      <c r="L6237" s="675"/>
      <c r="M6237" s="675"/>
    </row>
    <row r="6238" spans="1:13" x14ac:dyDescent="0.25">
      <c r="A6238" s="675" t="s">
        <v>6183</v>
      </c>
      <c r="B6238" s="675" t="s">
        <v>545</v>
      </c>
      <c r="C6238" s="676" t="s">
        <v>6191</v>
      </c>
      <c r="D6238" s="675"/>
      <c r="E6238" s="675"/>
      <c r="G6238" s="675"/>
      <c r="H6238" s="675"/>
      <c r="I6238" s="675"/>
      <c r="J6238" s="675"/>
      <c r="K6238" s="675"/>
      <c r="L6238" s="675"/>
      <c r="M6238" s="675"/>
    </row>
    <row r="6239" spans="1:13" x14ac:dyDescent="0.25">
      <c r="A6239" s="675" t="s">
        <v>6183</v>
      </c>
      <c r="B6239" s="675" t="s">
        <v>545</v>
      </c>
      <c r="C6239" s="676" t="s">
        <v>6192</v>
      </c>
      <c r="D6239" s="675"/>
      <c r="E6239" s="675"/>
      <c r="G6239" s="675"/>
      <c r="H6239" s="675"/>
      <c r="I6239" s="675"/>
      <c r="J6239" s="675"/>
      <c r="K6239" s="675"/>
      <c r="L6239" s="675"/>
      <c r="M6239" s="675"/>
    </row>
    <row r="6240" spans="1:13" x14ac:dyDescent="0.25">
      <c r="A6240" s="675" t="s">
        <v>6183</v>
      </c>
      <c r="B6240" s="675" t="s">
        <v>545</v>
      </c>
      <c r="C6240" s="676" t="s">
        <v>6193</v>
      </c>
      <c r="D6240" s="675"/>
      <c r="E6240" s="675"/>
      <c r="G6240" s="675"/>
      <c r="H6240" s="675"/>
      <c r="I6240" s="675"/>
      <c r="J6240" s="675"/>
      <c r="K6240" s="675"/>
      <c r="L6240" s="675"/>
      <c r="M6240" s="675"/>
    </row>
    <row r="6241" spans="1:13" x14ac:dyDescent="0.25">
      <c r="A6241" s="675" t="s">
        <v>6183</v>
      </c>
      <c r="B6241" s="675" t="s">
        <v>564</v>
      </c>
      <c r="C6241" s="676" t="s">
        <v>6194</v>
      </c>
      <c r="D6241" s="675"/>
      <c r="E6241" s="675"/>
      <c r="G6241" s="675"/>
      <c r="H6241" s="675"/>
      <c r="I6241" s="675"/>
      <c r="J6241" s="675"/>
      <c r="K6241" s="675"/>
      <c r="L6241" s="675"/>
      <c r="M6241" s="675"/>
    </row>
    <row r="6242" spans="1:13" x14ac:dyDescent="0.25">
      <c r="A6242" s="675" t="s">
        <v>6183</v>
      </c>
      <c r="B6242" s="675" t="s">
        <v>564</v>
      </c>
      <c r="C6242" s="676" t="s">
        <v>6195</v>
      </c>
      <c r="D6242" s="675"/>
      <c r="E6242" s="675"/>
      <c r="G6242" s="675"/>
      <c r="H6242" s="675"/>
      <c r="I6242" s="675"/>
      <c r="J6242" s="675"/>
      <c r="K6242" s="675"/>
      <c r="L6242" s="675"/>
      <c r="M6242" s="675"/>
    </row>
    <row r="6243" spans="1:13" x14ac:dyDescent="0.25">
      <c r="A6243" s="675" t="s">
        <v>6183</v>
      </c>
      <c r="B6243" s="675" t="s">
        <v>564</v>
      </c>
      <c r="C6243" s="676" t="s">
        <v>6196</v>
      </c>
      <c r="D6243" s="675"/>
      <c r="E6243" s="675"/>
      <c r="G6243" s="675"/>
      <c r="H6243" s="675"/>
      <c r="I6243" s="675"/>
      <c r="J6243" s="675"/>
      <c r="K6243" s="675"/>
      <c r="L6243" s="675"/>
      <c r="M6243" s="675"/>
    </row>
    <row r="6244" spans="1:13" x14ac:dyDescent="0.25">
      <c r="A6244" s="675" t="s">
        <v>6183</v>
      </c>
      <c r="B6244" s="675" t="s">
        <v>564</v>
      </c>
      <c r="C6244" s="676" t="s">
        <v>6197</v>
      </c>
      <c r="D6244" s="675"/>
      <c r="E6244" s="675"/>
      <c r="G6244" s="675"/>
      <c r="H6244" s="675"/>
      <c r="I6244" s="675"/>
      <c r="J6244" s="675"/>
      <c r="K6244" s="675"/>
      <c r="L6244" s="675"/>
      <c r="M6244" s="675"/>
    </row>
    <row r="6245" spans="1:13" x14ac:dyDescent="0.25">
      <c r="A6245" s="675" t="s">
        <v>6183</v>
      </c>
      <c r="B6245" s="675" t="s">
        <v>564</v>
      </c>
      <c r="C6245" s="676" t="s">
        <v>6198</v>
      </c>
      <c r="D6245" s="675"/>
      <c r="E6245" s="675"/>
      <c r="G6245" s="675"/>
      <c r="H6245" s="675"/>
      <c r="I6245" s="675"/>
      <c r="J6245" s="675"/>
      <c r="K6245" s="675"/>
      <c r="L6245" s="675"/>
      <c r="M6245" s="675"/>
    </row>
    <row r="6246" spans="1:13" x14ac:dyDescent="0.25">
      <c r="A6246" s="675" t="s">
        <v>6183</v>
      </c>
      <c r="B6246" s="675" t="s">
        <v>564</v>
      </c>
      <c r="C6246" s="676" t="s">
        <v>6199</v>
      </c>
      <c r="D6246" s="675"/>
      <c r="E6246" s="675"/>
      <c r="G6246" s="675"/>
      <c r="H6246" s="675"/>
      <c r="I6246" s="675"/>
      <c r="J6246" s="675"/>
      <c r="K6246" s="675"/>
      <c r="L6246" s="675"/>
      <c r="M6246" s="675"/>
    </row>
    <row r="6247" spans="1:13" x14ac:dyDescent="0.25">
      <c r="A6247" s="675" t="s">
        <v>6183</v>
      </c>
      <c r="B6247" s="675" t="s">
        <v>564</v>
      </c>
      <c r="C6247" s="676" t="s">
        <v>6200</v>
      </c>
      <c r="D6247" s="675"/>
      <c r="E6247" s="675"/>
      <c r="G6247" s="675"/>
      <c r="H6247" s="675"/>
      <c r="I6247" s="675"/>
      <c r="J6247" s="675"/>
      <c r="K6247" s="675"/>
      <c r="L6247" s="675"/>
      <c r="M6247" s="675"/>
    </row>
    <row r="6248" spans="1:13" x14ac:dyDescent="0.25">
      <c r="A6248" s="675" t="s">
        <v>6183</v>
      </c>
      <c r="B6248" s="675" t="s">
        <v>564</v>
      </c>
      <c r="C6248" s="676" t="s">
        <v>6201</v>
      </c>
      <c r="D6248" s="675"/>
      <c r="E6248" s="675"/>
      <c r="G6248" s="675"/>
      <c r="H6248" s="675"/>
      <c r="I6248" s="675"/>
      <c r="J6248" s="675"/>
      <c r="K6248" s="675"/>
      <c r="L6248" s="675"/>
      <c r="M6248" s="675"/>
    </row>
    <row r="6249" spans="1:13" x14ac:dyDescent="0.25">
      <c r="A6249" s="675" t="s">
        <v>6183</v>
      </c>
      <c r="B6249" s="675" t="s">
        <v>564</v>
      </c>
      <c r="C6249" s="676" t="s">
        <v>6202</v>
      </c>
      <c r="D6249" s="675"/>
      <c r="E6249" s="675"/>
      <c r="G6249" s="675"/>
      <c r="H6249" s="675"/>
      <c r="I6249" s="675"/>
      <c r="J6249" s="675"/>
      <c r="K6249" s="675"/>
      <c r="L6249" s="675"/>
      <c r="M6249" s="675"/>
    </row>
    <row r="6250" spans="1:13" x14ac:dyDescent="0.25">
      <c r="A6250" s="675" t="s">
        <v>6183</v>
      </c>
      <c r="B6250" s="675" t="s">
        <v>564</v>
      </c>
      <c r="C6250" s="676" t="s">
        <v>6203</v>
      </c>
      <c r="D6250" s="675"/>
      <c r="E6250" s="675"/>
      <c r="G6250" s="675"/>
      <c r="H6250" s="675"/>
      <c r="I6250" s="675"/>
      <c r="J6250" s="675"/>
      <c r="K6250" s="675"/>
      <c r="L6250" s="675"/>
      <c r="M6250" s="675"/>
    </row>
    <row r="6251" spans="1:13" x14ac:dyDescent="0.25">
      <c r="A6251" s="675" t="s">
        <v>6183</v>
      </c>
      <c r="B6251" s="675" t="s">
        <v>512</v>
      </c>
      <c r="C6251" s="676" t="s">
        <v>6204</v>
      </c>
      <c r="D6251" s="675"/>
      <c r="E6251" s="675"/>
      <c r="G6251" s="675"/>
      <c r="H6251" s="675"/>
      <c r="I6251" s="675"/>
      <c r="J6251" s="675"/>
      <c r="K6251" s="675"/>
      <c r="L6251" s="675"/>
      <c r="M6251" s="675"/>
    </row>
    <row r="6252" spans="1:13" x14ac:dyDescent="0.25">
      <c r="A6252" s="675" t="s">
        <v>6183</v>
      </c>
      <c r="B6252" s="675" t="s">
        <v>512</v>
      </c>
      <c r="C6252" s="676" t="s">
        <v>6205</v>
      </c>
      <c r="D6252" s="675"/>
      <c r="E6252" s="675"/>
      <c r="G6252" s="675"/>
      <c r="H6252" s="675"/>
      <c r="I6252" s="675"/>
      <c r="J6252" s="675"/>
      <c r="K6252" s="675"/>
      <c r="L6252" s="675"/>
      <c r="M6252" s="675"/>
    </row>
    <row r="6253" spans="1:13" x14ac:dyDescent="0.25">
      <c r="A6253" s="675" t="s">
        <v>6183</v>
      </c>
      <c r="B6253" s="675" t="s">
        <v>512</v>
      </c>
      <c r="C6253" s="676" t="s">
        <v>6206</v>
      </c>
      <c r="D6253" s="675"/>
      <c r="E6253" s="675"/>
      <c r="G6253" s="675"/>
      <c r="H6253" s="675"/>
      <c r="I6253" s="675"/>
      <c r="J6253" s="675"/>
      <c r="K6253" s="675"/>
      <c r="L6253" s="675"/>
      <c r="M6253" s="675"/>
    </row>
    <row r="6254" spans="1:13" x14ac:dyDescent="0.25">
      <c r="A6254" s="675" t="s">
        <v>6183</v>
      </c>
      <c r="B6254" s="675" t="s">
        <v>512</v>
      </c>
      <c r="C6254" s="676" t="s">
        <v>6207</v>
      </c>
      <c r="D6254" s="675"/>
      <c r="E6254" s="675"/>
      <c r="G6254" s="675"/>
      <c r="H6254" s="675"/>
      <c r="I6254" s="675"/>
      <c r="J6254" s="675"/>
      <c r="K6254" s="675"/>
      <c r="L6254" s="675"/>
      <c r="M6254" s="675"/>
    </row>
    <row r="6255" spans="1:13" x14ac:dyDescent="0.25">
      <c r="A6255" s="675" t="s">
        <v>6183</v>
      </c>
      <c r="B6255" s="675" t="s">
        <v>512</v>
      </c>
      <c r="C6255" s="676" t="s">
        <v>6208</v>
      </c>
      <c r="D6255" s="675"/>
      <c r="E6255" s="675"/>
      <c r="G6255" s="675"/>
      <c r="H6255" s="675"/>
      <c r="I6255" s="675"/>
      <c r="J6255" s="675"/>
      <c r="K6255" s="675"/>
      <c r="L6255" s="675"/>
      <c r="M6255" s="675"/>
    </row>
    <row r="6256" spans="1:13" x14ac:dyDescent="0.25">
      <c r="A6256" s="675" t="s">
        <v>6183</v>
      </c>
      <c r="B6256" s="675" t="s">
        <v>512</v>
      </c>
      <c r="C6256" s="676" t="s">
        <v>6209</v>
      </c>
      <c r="D6256" s="675"/>
      <c r="E6256" s="675"/>
      <c r="G6256" s="675"/>
      <c r="H6256" s="675"/>
      <c r="I6256" s="675"/>
      <c r="J6256" s="675"/>
      <c r="K6256" s="675"/>
      <c r="L6256" s="675"/>
      <c r="M6256" s="675"/>
    </row>
    <row r="6257" spans="1:13" x14ac:dyDescent="0.25">
      <c r="A6257" s="675" t="s">
        <v>6183</v>
      </c>
      <c r="B6257" s="675" t="s">
        <v>512</v>
      </c>
      <c r="C6257" s="676" t="s">
        <v>6210</v>
      </c>
      <c r="D6257" s="675"/>
      <c r="E6257" s="675"/>
      <c r="G6257" s="675"/>
      <c r="H6257" s="675"/>
      <c r="I6257" s="675"/>
      <c r="J6257" s="675"/>
      <c r="K6257" s="675"/>
      <c r="L6257" s="675"/>
      <c r="M6257" s="675"/>
    </row>
    <row r="6258" spans="1:13" x14ac:dyDescent="0.25">
      <c r="A6258" s="675" t="s">
        <v>6183</v>
      </c>
      <c r="B6258" s="675" t="s">
        <v>512</v>
      </c>
      <c r="C6258" s="676" t="s">
        <v>6211</v>
      </c>
      <c r="D6258" s="675"/>
      <c r="E6258" s="675"/>
      <c r="G6258" s="675"/>
      <c r="H6258" s="675"/>
      <c r="I6258" s="675"/>
      <c r="J6258" s="675"/>
      <c r="K6258" s="675"/>
      <c r="L6258" s="675"/>
      <c r="M6258" s="675"/>
    </row>
    <row r="6259" spans="1:13" x14ac:dyDescent="0.25">
      <c r="A6259" s="675" t="s">
        <v>6183</v>
      </c>
      <c r="B6259" s="675" t="s">
        <v>512</v>
      </c>
      <c r="C6259" s="676" t="s">
        <v>6212</v>
      </c>
      <c r="D6259" s="675"/>
      <c r="E6259" s="675"/>
      <c r="G6259" s="675"/>
      <c r="H6259" s="675"/>
      <c r="I6259" s="675"/>
      <c r="J6259" s="675"/>
      <c r="K6259" s="675"/>
      <c r="L6259" s="675"/>
      <c r="M6259" s="675"/>
    </row>
    <row r="6260" spans="1:13" x14ac:dyDescent="0.25">
      <c r="A6260" s="675" t="s">
        <v>6183</v>
      </c>
      <c r="B6260" s="675" t="s">
        <v>512</v>
      </c>
      <c r="C6260" s="676" t="s">
        <v>6213</v>
      </c>
      <c r="D6260" s="675"/>
      <c r="E6260" s="675"/>
      <c r="G6260" s="675"/>
      <c r="H6260" s="675"/>
      <c r="I6260" s="675"/>
      <c r="J6260" s="675"/>
      <c r="K6260" s="675"/>
      <c r="L6260" s="675"/>
      <c r="M6260" s="675"/>
    </row>
    <row r="6261" spans="1:13" x14ac:dyDescent="0.25">
      <c r="A6261" s="675" t="s">
        <v>6214</v>
      </c>
      <c r="B6261" s="675" t="s">
        <v>545</v>
      </c>
      <c r="C6261" s="676" t="s">
        <v>6215</v>
      </c>
      <c r="D6261" s="675"/>
      <c r="E6261" s="675"/>
      <c r="G6261" s="675"/>
      <c r="H6261" s="675"/>
      <c r="I6261" s="675"/>
      <c r="J6261" s="675"/>
      <c r="K6261" s="675"/>
      <c r="L6261" s="675"/>
      <c r="M6261" s="675"/>
    </row>
    <row r="6262" spans="1:13" ht="30" x14ac:dyDescent="0.25">
      <c r="A6262" s="675" t="s">
        <v>6214</v>
      </c>
      <c r="B6262" s="675" t="s">
        <v>545</v>
      </c>
      <c r="C6262" s="676" t="s">
        <v>6216</v>
      </c>
      <c r="D6262" s="675"/>
      <c r="E6262" s="675"/>
      <c r="G6262" s="675"/>
      <c r="H6262" s="675"/>
      <c r="I6262" s="675"/>
      <c r="J6262" s="675"/>
      <c r="K6262" s="675"/>
      <c r="L6262" s="675"/>
      <c r="M6262" s="675"/>
    </row>
    <row r="6263" spans="1:13" x14ac:dyDescent="0.25">
      <c r="A6263" s="675" t="s">
        <v>6214</v>
      </c>
      <c r="B6263" s="675" t="s">
        <v>545</v>
      </c>
      <c r="C6263" s="676" t="s">
        <v>6217</v>
      </c>
      <c r="D6263" s="675"/>
      <c r="E6263" s="675"/>
      <c r="G6263" s="675"/>
      <c r="H6263" s="675"/>
      <c r="I6263" s="675"/>
      <c r="J6263" s="675"/>
      <c r="K6263" s="675"/>
      <c r="L6263" s="675"/>
      <c r="M6263" s="675"/>
    </row>
    <row r="6264" spans="1:13" x14ac:dyDescent="0.25">
      <c r="A6264" s="675" t="s">
        <v>6214</v>
      </c>
      <c r="B6264" s="675" t="s">
        <v>545</v>
      </c>
      <c r="C6264" s="676" t="s">
        <v>6218</v>
      </c>
      <c r="D6264" s="675"/>
      <c r="E6264" s="675"/>
      <c r="G6264" s="675"/>
      <c r="H6264" s="675"/>
      <c r="I6264" s="675"/>
      <c r="J6264" s="675"/>
      <c r="K6264" s="675"/>
      <c r="L6264" s="675"/>
      <c r="M6264" s="675"/>
    </row>
    <row r="6265" spans="1:13" x14ac:dyDescent="0.25">
      <c r="A6265" s="675" t="s">
        <v>6214</v>
      </c>
      <c r="B6265" s="675" t="s">
        <v>545</v>
      </c>
      <c r="C6265" s="676" t="s">
        <v>6219</v>
      </c>
      <c r="D6265" s="675"/>
      <c r="E6265" s="675"/>
      <c r="G6265" s="675"/>
      <c r="H6265" s="675"/>
      <c r="I6265" s="675"/>
      <c r="J6265" s="675"/>
      <c r="K6265" s="675"/>
      <c r="L6265" s="675"/>
      <c r="M6265" s="675"/>
    </row>
    <row r="6266" spans="1:13" x14ac:dyDescent="0.25">
      <c r="A6266" s="675" t="s">
        <v>6214</v>
      </c>
      <c r="B6266" s="675" t="s">
        <v>545</v>
      </c>
      <c r="C6266" s="676" t="s">
        <v>6220</v>
      </c>
      <c r="D6266" s="675"/>
      <c r="E6266" s="675"/>
      <c r="G6266" s="675"/>
      <c r="H6266" s="675"/>
      <c r="I6266" s="675"/>
      <c r="J6266" s="675"/>
      <c r="K6266" s="675"/>
      <c r="L6266" s="675"/>
      <c r="M6266" s="675"/>
    </row>
    <row r="6267" spans="1:13" x14ac:dyDescent="0.25">
      <c r="A6267" s="675" t="s">
        <v>6214</v>
      </c>
      <c r="B6267" s="675" t="s">
        <v>545</v>
      </c>
      <c r="C6267" s="676" t="s">
        <v>6221</v>
      </c>
      <c r="D6267" s="675"/>
      <c r="E6267" s="675"/>
      <c r="G6267" s="675"/>
      <c r="H6267" s="675"/>
      <c r="I6267" s="675"/>
      <c r="J6267" s="675"/>
      <c r="K6267" s="675"/>
      <c r="L6267" s="675"/>
      <c r="M6267" s="675"/>
    </row>
    <row r="6268" spans="1:13" x14ac:dyDescent="0.25">
      <c r="A6268" s="675" t="s">
        <v>6214</v>
      </c>
      <c r="B6268" s="675" t="s">
        <v>545</v>
      </c>
      <c r="C6268" s="676" t="s">
        <v>6222</v>
      </c>
      <c r="D6268" s="675"/>
      <c r="E6268" s="675"/>
      <c r="G6268" s="675"/>
      <c r="H6268" s="675"/>
      <c r="I6268" s="675"/>
      <c r="J6268" s="675"/>
      <c r="K6268" s="675"/>
      <c r="L6268" s="675"/>
      <c r="M6268" s="675"/>
    </row>
    <row r="6269" spans="1:13" x14ac:dyDescent="0.25">
      <c r="A6269" s="675" t="s">
        <v>6214</v>
      </c>
      <c r="B6269" s="675" t="s">
        <v>545</v>
      </c>
      <c r="C6269" s="676" t="s">
        <v>6223</v>
      </c>
      <c r="D6269" s="675"/>
      <c r="E6269" s="675"/>
      <c r="G6269" s="675"/>
      <c r="H6269" s="675"/>
      <c r="I6269" s="675"/>
      <c r="J6269" s="675"/>
      <c r="K6269" s="675"/>
      <c r="L6269" s="675"/>
      <c r="M6269" s="675"/>
    </row>
    <row r="6270" spans="1:13" x14ac:dyDescent="0.25">
      <c r="A6270" s="675" t="s">
        <v>6214</v>
      </c>
      <c r="B6270" s="675" t="s">
        <v>545</v>
      </c>
      <c r="C6270" s="676" t="s">
        <v>6224</v>
      </c>
      <c r="D6270" s="675"/>
      <c r="E6270" s="675"/>
      <c r="G6270" s="675"/>
      <c r="H6270" s="675"/>
      <c r="I6270" s="675"/>
      <c r="J6270" s="675"/>
      <c r="K6270" s="675"/>
      <c r="L6270" s="675"/>
      <c r="M6270" s="675"/>
    </row>
    <row r="6271" spans="1:13" x14ac:dyDescent="0.25">
      <c r="A6271" s="675" t="s">
        <v>6214</v>
      </c>
      <c r="B6271" s="675" t="s">
        <v>564</v>
      </c>
      <c r="C6271" s="676" t="s">
        <v>6225</v>
      </c>
      <c r="D6271" s="675"/>
      <c r="E6271" s="675"/>
      <c r="G6271" s="675"/>
      <c r="H6271" s="675"/>
      <c r="I6271" s="675"/>
      <c r="J6271" s="675"/>
      <c r="K6271" s="675"/>
      <c r="L6271" s="675"/>
      <c r="M6271" s="675"/>
    </row>
    <row r="6272" spans="1:13" x14ac:dyDescent="0.25">
      <c r="A6272" s="675" t="s">
        <v>6214</v>
      </c>
      <c r="B6272" s="675" t="s">
        <v>564</v>
      </c>
      <c r="C6272" s="676" t="s">
        <v>6226</v>
      </c>
      <c r="D6272" s="675"/>
      <c r="E6272" s="675"/>
      <c r="G6272" s="675"/>
      <c r="H6272" s="675"/>
      <c r="I6272" s="675"/>
      <c r="J6272" s="675"/>
      <c r="K6272" s="675"/>
      <c r="L6272" s="675"/>
      <c r="M6272" s="675"/>
    </row>
    <row r="6273" spans="1:13" x14ac:dyDescent="0.25">
      <c r="A6273" s="675" t="s">
        <v>6214</v>
      </c>
      <c r="B6273" s="675" t="s">
        <v>564</v>
      </c>
      <c r="C6273" s="676" t="s">
        <v>6227</v>
      </c>
      <c r="D6273" s="675"/>
      <c r="E6273" s="675"/>
      <c r="G6273" s="675"/>
      <c r="H6273" s="675"/>
      <c r="I6273" s="675"/>
      <c r="J6273" s="675"/>
      <c r="K6273" s="675"/>
      <c r="L6273" s="675"/>
      <c r="M6273" s="675"/>
    </row>
    <row r="6274" spans="1:13" x14ac:dyDescent="0.25">
      <c r="A6274" s="675" t="s">
        <v>6214</v>
      </c>
      <c r="B6274" s="675" t="s">
        <v>564</v>
      </c>
      <c r="C6274" s="676" t="s">
        <v>6228</v>
      </c>
      <c r="D6274" s="675"/>
      <c r="E6274" s="675"/>
      <c r="G6274" s="675"/>
      <c r="H6274" s="675"/>
      <c r="I6274" s="675"/>
      <c r="J6274" s="675"/>
      <c r="K6274" s="675"/>
      <c r="L6274" s="675"/>
      <c r="M6274" s="675"/>
    </row>
    <row r="6275" spans="1:13" x14ac:dyDescent="0.25">
      <c r="A6275" s="675" t="s">
        <v>6214</v>
      </c>
      <c r="B6275" s="675" t="s">
        <v>564</v>
      </c>
      <c r="C6275" s="676" t="s">
        <v>6229</v>
      </c>
      <c r="D6275" s="675"/>
      <c r="E6275" s="675"/>
      <c r="G6275" s="675"/>
      <c r="H6275" s="675"/>
      <c r="I6275" s="675"/>
      <c r="J6275" s="675"/>
      <c r="K6275" s="675"/>
      <c r="L6275" s="675"/>
      <c r="M6275" s="675"/>
    </row>
    <row r="6276" spans="1:13" x14ac:dyDescent="0.25">
      <c r="A6276" s="675" t="s">
        <v>6214</v>
      </c>
      <c r="B6276" s="675" t="s">
        <v>564</v>
      </c>
      <c r="C6276" s="676" t="s">
        <v>6230</v>
      </c>
      <c r="D6276" s="675"/>
      <c r="E6276" s="675"/>
      <c r="G6276" s="675"/>
      <c r="H6276" s="675"/>
      <c r="I6276" s="675"/>
      <c r="J6276" s="675"/>
      <c r="K6276" s="675"/>
      <c r="L6276" s="675"/>
      <c r="M6276" s="675"/>
    </row>
    <row r="6277" spans="1:13" x14ac:dyDescent="0.25">
      <c r="A6277" s="675" t="s">
        <v>6214</v>
      </c>
      <c r="B6277" s="675" t="s">
        <v>564</v>
      </c>
      <c r="C6277" s="676" t="s">
        <v>6231</v>
      </c>
      <c r="D6277" s="675"/>
      <c r="E6277" s="675"/>
      <c r="G6277" s="675"/>
      <c r="H6277" s="675"/>
      <c r="I6277" s="675"/>
      <c r="J6277" s="675"/>
      <c r="K6277" s="675"/>
      <c r="L6277" s="675"/>
      <c r="M6277" s="675"/>
    </row>
    <row r="6278" spans="1:13" x14ac:dyDescent="0.25">
      <c r="A6278" s="675" t="s">
        <v>6214</v>
      </c>
      <c r="B6278" s="675" t="s">
        <v>564</v>
      </c>
      <c r="C6278" s="676" t="s">
        <v>6232</v>
      </c>
      <c r="D6278" s="675"/>
      <c r="E6278" s="675"/>
      <c r="G6278" s="675"/>
      <c r="H6278" s="675"/>
      <c r="I6278" s="675"/>
      <c r="J6278" s="675"/>
      <c r="K6278" s="675"/>
      <c r="L6278" s="675"/>
      <c r="M6278" s="675"/>
    </row>
    <row r="6279" spans="1:13" x14ac:dyDescent="0.25">
      <c r="A6279" s="675" t="s">
        <v>6214</v>
      </c>
      <c r="B6279" s="675" t="s">
        <v>564</v>
      </c>
      <c r="C6279" s="676" t="s">
        <v>6233</v>
      </c>
      <c r="D6279" s="675"/>
      <c r="E6279" s="675"/>
      <c r="G6279" s="675"/>
      <c r="H6279" s="675"/>
      <c r="I6279" s="675"/>
      <c r="J6279" s="675"/>
      <c r="K6279" s="675"/>
      <c r="L6279" s="675"/>
      <c r="M6279" s="675"/>
    </row>
    <row r="6280" spans="1:13" x14ac:dyDescent="0.25">
      <c r="A6280" s="675" t="s">
        <v>6214</v>
      </c>
      <c r="B6280" s="675" t="s">
        <v>564</v>
      </c>
      <c r="C6280" s="676" t="s">
        <v>6234</v>
      </c>
      <c r="D6280" s="675"/>
      <c r="E6280" s="675"/>
      <c r="G6280" s="675"/>
      <c r="H6280" s="675"/>
      <c r="I6280" s="675"/>
      <c r="J6280" s="675"/>
      <c r="K6280" s="675"/>
      <c r="L6280" s="675"/>
      <c r="M6280" s="675"/>
    </row>
    <row r="6281" spans="1:13" x14ac:dyDescent="0.25">
      <c r="A6281" s="675" t="s">
        <v>6214</v>
      </c>
      <c r="B6281" s="675" t="s">
        <v>512</v>
      </c>
      <c r="C6281" s="676" t="s">
        <v>6235</v>
      </c>
      <c r="D6281" s="675"/>
      <c r="E6281" s="675"/>
      <c r="G6281" s="675"/>
      <c r="H6281" s="675"/>
      <c r="I6281" s="675"/>
      <c r="J6281" s="675"/>
      <c r="K6281" s="675"/>
      <c r="L6281" s="675"/>
      <c r="M6281" s="675"/>
    </row>
    <row r="6282" spans="1:13" x14ac:dyDescent="0.25">
      <c r="A6282" s="675" t="s">
        <v>6214</v>
      </c>
      <c r="B6282" s="675" t="s">
        <v>512</v>
      </c>
      <c r="C6282" s="676" t="s">
        <v>6236</v>
      </c>
      <c r="D6282" s="675"/>
      <c r="E6282" s="675"/>
      <c r="G6282" s="675"/>
      <c r="H6282" s="675"/>
      <c r="I6282" s="675"/>
      <c r="J6282" s="675"/>
      <c r="K6282" s="675"/>
      <c r="L6282" s="675"/>
      <c r="M6282" s="675"/>
    </row>
    <row r="6283" spans="1:13" x14ac:dyDescent="0.25">
      <c r="A6283" s="675" t="s">
        <v>6214</v>
      </c>
      <c r="B6283" s="675" t="s">
        <v>512</v>
      </c>
      <c r="C6283" s="676" t="s">
        <v>6237</v>
      </c>
      <c r="D6283" s="675"/>
      <c r="E6283" s="675"/>
      <c r="G6283" s="675"/>
      <c r="H6283" s="675"/>
      <c r="I6283" s="675"/>
      <c r="J6283" s="675"/>
      <c r="K6283" s="675"/>
      <c r="L6283" s="675"/>
      <c r="M6283" s="675"/>
    </row>
    <row r="6284" spans="1:13" x14ac:dyDescent="0.25">
      <c r="A6284" s="675" t="s">
        <v>6214</v>
      </c>
      <c r="B6284" s="675" t="s">
        <v>512</v>
      </c>
      <c r="C6284" s="676" t="s">
        <v>6238</v>
      </c>
      <c r="D6284" s="675"/>
      <c r="E6284" s="675"/>
      <c r="G6284" s="675"/>
      <c r="H6284" s="675"/>
      <c r="I6284" s="675"/>
      <c r="J6284" s="675"/>
      <c r="K6284" s="675"/>
      <c r="L6284" s="675"/>
      <c r="M6284" s="675"/>
    </row>
    <row r="6285" spans="1:13" x14ac:dyDescent="0.25">
      <c r="A6285" s="675" t="s">
        <v>6214</v>
      </c>
      <c r="B6285" s="675" t="s">
        <v>512</v>
      </c>
      <c r="C6285" s="676" t="s">
        <v>6239</v>
      </c>
      <c r="D6285" s="675"/>
      <c r="E6285" s="675"/>
      <c r="G6285" s="675"/>
      <c r="H6285" s="675"/>
      <c r="I6285" s="675"/>
      <c r="J6285" s="675"/>
      <c r="K6285" s="675"/>
      <c r="L6285" s="675"/>
      <c r="M6285" s="675"/>
    </row>
    <row r="6286" spans="1:13" x14ac:dyDescent="0.25">
      <c r="A6286" s="675" t="s">
        <v>6214</v>
      </c>
      <c r="B6286" s="675" t="s">
        <v>512</v>
      </c>
      <c r="C6286" s="676" t="s">
        <v>6240</v>
      </c>
      <c r="D6286" s="675"/>
      <c r="E6286" s="675"/>
      <c r="G6286" s="675"/>
      <c r="H6286" s="675"/>
      <c r="I6286" s="675"/>
      <c r="J6286" s="675"/>
      <c r="K6286" s="675"/>
      <c r="L6286" s="675"/>
      <c r="M6286" s="675"/>
    </row>
    <row r="6287" spans="1:13" x14ac:dyDescent="0.25">
      <c r="A6287" s="675" t="s">
        <v>6214</v>
      </c>
      <c r="B6287" s="675" t="s">
        <v>512</v>
      </c>
      <c r="C6287" s="676" t="s">
        <v>6241</v>
      </c>
      <c r="D6287" s="675"/>
      <c r="E6287" s="675"/>
      <c r="G6287" s="675"/>
      <c r="H6287" s="675"/>
      <c r="I6287" s="675"/>
      <c r="J6287" s="675"/>
      <c r="K6287" s="675"/>
      <c r="L6287" s="675"/>
      <c r="M6287" s="675"/>
    </row>
    <row r="6288" spans="1:13" x14ac:dyDescent="0.25">
      <c r="A6288" s="675" t="s">
        <v>6214</v>
      </c>
      <c r="B6288" s="675" t="s">
        <v>512</v>
      </c>
      <c r="C6288" s="676" t="s">
        <v>6242</v>
      </c>
      <c r="D6288" s="675"/>
      <c r="E6288" s="675"/>
      <c r="G6288" s="675"/>
      <c r="H6288" s="675"/>
      <c r="I6288" s="675"/>
      <c r="J6288" s="675"/>
      <c r="K6288" s="675"/>
      <c r="L6288" s="675"/>
      <c r="M6288" s="675"/>
    </row>
    <row r="6289" spans="1:13" x14ac:dyDescent="0.25">
      <c r="A6289" s="675" t="s">
        <v>6214</v>
      </c>
      <c r="B6289" s="675" t="s">
        <v>512</v>
      </c>
      <c r="C6289" s="676" t="s">
        <v>6243</v>
      </c>
      <c r="D6289" s="675"/>
      <c r="E6289" s="675"/>
      <c r="G6289" s="675"/>
      <c r="H6289" s="675"/>
      <c r="I6289" s="675"/>
      <c r="J6289" s="675"/>
      <c r="K6289" s="675"/>
      <c r="L6289" s="675"/>
      <c r="M6289" s="675"/>
    </row>
    <row r="6290" spans="1:13" x14ac:dyDescent="0.25">
      <c r="A6290" s="675" t="s">
        <v>6214</v>
      </c>
      <c r="B6290" s="675" t="s">
        <v>512</v>
      </c>
      <c r="C6290" s="676" t="s">
        <v>6244</v>
      </c>
      <c r="D6290" s="675"/>
      <c r="E6290" s="675"/>
      <c r="G6290" s="675"/>
      <c r="H6290" s="675"/>
      <c r="I6290" s="675"/>
      <c r="J6290" s="675"/>
      <c r="K6290" s="675"/>
      <c r="L6290" s="675"/>
      <c r="M6290" s="675"/>
    </row>
    <row r="6291" spans="1:13" ht="30" x14ac:dyDescent="0.25">
      <c r="A6291" s="675" t="s">
        <v>6245</v>
      </c>
      <c r="B6291" s="675" t="s">
        <v>545</v>
      </c>
      <c r="C6291" s="676" t="s">
        <v>6246</v>
      </c>
      <c r="D6291" s="675"/>
      <c r="E6291" s="675"/>
      <c r="G6291" s="675"/>
      <c r="H6291" s="675"/>
      <c r="I6291" s="675"/>
      <c r="J6291" s="675"/>
      <c r="K6291" s="675"/>
      <c r="L6291" s="675"/>
      <c r="M6291" s="675"/>
    </row>
    <row r="6292" spans="1:13" ht="30" x14ac:dyDescent="0.25">
      <c r="A6292" s="675" t="s">
        <v>6245</v>
      </c>
      <c r="B6292" s="675" t="s">
        <v>545</v>
      </c>
      <c r="C6292" s="676" t="s">
        <v>6247</v>
      </c>
      <c r="D6292" s="675"/>
      <c r="E6292" s="675"/>
      <c r="G6292" s="675"/>
      <c r="H6292" s="675"/>
      <c r="I6292" s="675"/>
      <c r="J6292" s="675"/>
      <c r="K6292" s="675"/>
      <c r="L6292" s="675"/>
      <c r="M6292" s="675"/>
    </row>
    <row r="6293" spans="1:13" x14ac:dyDescent="0.25">
      <c r="A6293" s="675" t="s">
        <v>6245</v>
      </c>
      <c r="B6293" s="675" t="s">
        <v>545</v>
      </c>
      <c r="C6293" s="676" t="s">
        <v>6248</v>
      </c>
      <c r="D6293" s="675"/>
      <c r="E6293" s="675"/>
      <c r="G6293" s="675"/>
      <c r="H6293" s="675"/>
      <c r="I6293" s="675"/>
      <c r="J6293" s="675"/>
      <c r="K6293" s="675"/>
      <c r="L6293" s="675"/>
      <c r="M6293" s="675"/>
    </row>
    <row r="6294" spans="1:13" ht="30" x14ac:dyDescent="0.25">
      <c r="A6294" s="675" t="s">
        <v>6245</v>
      </c>
      <c r="B6294" s="675" t="s">
        <v>545</v>
      </c>
      <c r="C6294" s="676" t="s">
        <v>6249</v>
      </c>
      <c r="D6294" s="675"/>
      <c r="E6294" s="675"/>
      <c r="G6294" s="675"/>
      <c r="H6294" s="675"/>
      <c r="I6294" s="675"/>
      <c r="J6294" s="675"/>
      <c r="K6294" s="675"/>
      <c r="L6294" s="675"/>
      <c r="M6294" s="675"/>
    </row>
    <row r="6295" spans="1:13" x14ac:dyDescent="0.25">
      <c r="A6295" s="675" t="s">
        <v>6245</v>
      </c>
      <c r="B6295" s="675" t="s">
        <v>545</v>
      </c>
      <c r="C6295" s="676" t="s">
        <v>6250</v>
      </c>
      <c r="D6295" s="675"/>
      <c r="E6295" s="675"/>
      <c r="G6295" s="675"/>
      <c r="H6295" s="675"/>
      <c r="I6295" s="675"/>
      <c r="J6295" s="675"/>
      <c r="K6295" s="675"/>
      <c r="L6295" s="675"/>
      <c r="M6295" s="675"/>
    </row>
    <row r="6296" spans="1:13" x14ac:dyDescent="0.25">
      <c r="A6296" s="675" t="s">
        <v>6245</v>
      </c>
      <c r="B6296" s="675" t="s">
        <v>545</v>
      </c>
      <c r="C6296" s="676" t="s">
        <v>6251</v>
      </c>
      <c r="D6296" s="675"/>
      <c r="E6296" s="675"/>
      <c r="G6296" s="675"/>
      <c r="H6296" s="675"/>
      <c r="I6296" s="675"/>
      <c r="J6296" s="675"/>
      <c r="K6296" s="675"/>
      <c r="L6296" s="675"/>
      <c r="M6296" s="675"/>
    </row>
    <row r="6297" spans="1:13" x14ac:dyDescent="0.25">
      <c r="A6297" s="675" t="s">
        <v>6245</v>
      </c>
      <c r="B6297" s="675" t="s">
        <v>545</v>
      </c>
      <c r="C6297" s="676" t="s">
        <v>6252</v>
      </c>
      <c r="D6297" s="675"/>
      <c r="E6297" s="675"/>
      <c r="G6297" s="675"/>
      <c r="H6297" s="675"/>
      <c r="I6297" s="675"/>
      <c r="J6297" s="675"/>
      <c r="K6297" s="675"/>
      <c r="L6297" s="675"/>
      <c r="M6297" s="675"/>
    </row>
    <row r="6298" spans="1:13" x14ac:dyDescent="0.25">
      <c r="A6298" s="675" t="s">
        <v>6245</v>
      </c>
      <c r="B6298" s="675" t="s">
        <v>545</v>
      </c>
      <c r="C6298" s="676" t="s">
        <v>6253</v>
      </c>
      <c r="D6298" s="675"/>
      <c r="E6298" s="675"/>
      <c r="G6298" s="675"/>
      <c r="H6298" s="675"/>
      <c r="I6298" s="675"/>
      <c r="J6298" s="675"/>
      <c r="K6298" s="675"/>
      <c r="L6298" s="675"/>
      <c r="M6298" s="675"/>
    </row>
    <row r="6299" spans="1:13" ht="30" x14ac:dyDescent="0.25">
      <c r="A6299" s="675" t="s">
        <v>6245</v>
      </c>
      <c r="B6299" s="675" t="s">
        <v>545</v>
      </c>
      <c r="C6299" s="676" t="s">
        <v>6254</v>
      </c>
      <c r="D6299" s="675"/>
      <c r="E6299" s="675"/>
      <c r="G6299" s="675"/>
      <c r="H6299" s="675"/>
      <c r="I6299" s="675"/>
      <c r="J6299" s="675"/>
      <c r="K6299" s="675"/>
      <c r="L6299" s="675"/>
      <c r="M6299" s="675"/>
    </row>
    <row r="6300" spans="1:13" ht="30" x14ac:dyDescent="0.25">
      <c r="A6300" s="675" t="s">
        <v>6245</v>
      </c>
      <c r="B6300" s="675" t="s">
        <v>545</v>
      </c>
      <c r="C6300" s="676" t="s">
        <v>6255</v>
      </c>
      <c r="D6300" s="675"/>
      <c r="E6300" s="675"/>
      <c r="G6300" s="675"/>
      <c r="H6300" s="675"/>
      <c r="I6300" s="675"/>
      <c r="J6300" s="675"/>
      <c r="K6300" s="675"/>
      <c r="L6300" s="675"/>
      <c r="M6300" s="675"/>
    </row>
    <row r="6301" spans="1:13" ht="30" x14ac:dyDescent="0.25">
      <c r="A6301" s="675" t="s">
        <v>6245</v>
      </c>
      <c r="B6301" s="675" t="s">
        <v>564</v>
      </c>
      <c r="C6301" s="676" t="s">
        <v>6256</v>
      </c>
      <c r="D6301" s="675"/>
      <c r="E6301" s="675"/>
      <c r="G6301" s="675"/>
      <c r="H6301" s="675"/>
      <c r="I6301" s="675"/>
      <c r="J6301" s="675"/>
      <c r="K6301" s="675"/>
      <c r="L6301" s="675"/>
      <c r="M6301" s="675"/>
    </row>
    <row r="6302" spans="1:13" x14ac:dyDescent="0.25">
      <c r="A6302" s="675" t="s">
        <v>6245</v>
      </c>
      <c r="B6302" s="675" t="s">
        <v>564</v>
      </c>
      <c r="C6302" s="676" t="s">
        <v>6257</v>
      </c>
      <c r="D6302" s="675"/>
      <c r="E6302" s="675"/>
      <c r="G6302" s="675"/>
      <c r="H6302" s="675"/>
      <c r="I6302" s="675"/>
      <c r="J6302" s="675"/>
      <c r="K6302" s="675"/>
      <c r="L6302" s="675"/>
      <c r="M6302" s="675"/>
    </row>
    <row r="6303" spans="1:13" x14ac:dyDescent="0.25">
      <c r="A6303" s="675" t="s">
        <v>6245</v>
      </c>
      <c r="B6303" s="675" t="s">
        <v>564</v>
      </c>
      <c r="C6303" s="676" t="s">
        <v>6258</v>
      </c>
      <c r="D6303" s="675"/>
      <c r="E6303" s="675"/>
      <c r="G6303" s="675"/>
      <c r="H6303" s="675"/>
      <c r="I6303" s="675"/>
      <c r="J6303" s="675"/>
      <c r="K6303" s="675"/>
      <c r="L6303" s="675"/>
      <c r="M6303" s="675"/>
    </row>
    <row r="6304" spans="1:13" x14ac:dyDescent="0.25">
      <c r="A6304" s="675" t="s">
        <v>6245</v>
      </c>
      <c r="B6304" s="675" t="s">
        <v>564</v>
      </c>
      <c r="C6304" s="676" t="s">
        <v>6259</v>
      </c>
      <c r="D6304" s="675"/>
      <c r="E6304" s="675"/>
      <c r="G6304" s="675"/>
      <c r="H6304" s="675"/>
      <c r="I6304" s="675"/>
      <c r="J6304" s="675"/>
      <c r="K6304" s="675"/>
      <c r="L6304" s="675"/>
      <c r="M6304" s="675"/>
    </row>
    <row r="6305" spans="1:13" ht="30" x14ac:dyDescent="0.25">
      <c r="A6305" s="675" t="s">
        <v>6245</v>
      </c>
      <c r="B6305" s="675" t="s">
        <v>564</v>
      </c>
      <c r="C6305" s="676" t="s">
        <v>6260</v>
      </c>
      <c r="D6305" s="675"/>
      <c r="E6305" s="675"/>
      <c r="G6305" s="675"/>
      <c r="H6305" s="675"/>
      <c r="I6305" s="675"/>
      <c r="J6305" s="675"/>
      <c r="K6305" s="675"/>
      <c r="L6305" s="675"/>
      <c r="M6305" s="675"/>
    </row>
    <row r="6306" spans="1:13" ht="30" x14ac:dyDescent="0.25">
      <c r="A6306" s="675" t="s">
        <v>6245</v>
      </c>
      <c r="B6306" s="675" t="s">
        <v>564</v>
      </c>
      <c r="C6306" s="676" t="s">
        <v>6261</v>
      </c>
      <c r="D6306" s="675"/>
      <c r="E6306" s="675"/>
      <c r="G6306" s="675"/>
      <c r="H6306" s="675"/>
      <c r="I6306" s="675"/>
      <c r="J6306" s="675"/>
      <c r="K6306" s="675"/>
      <c r="L6306" s="675"/>
      <c r="M6306" s="675"/>
    </row>
    <row r="6307" spans="1:13" x14ac:dyDescent="0.25">
      <c r="A6307" s="675" t="s">
        <v>6245</v>
      </c>
      <c r="B6307" s="675" t="s">
        <v>564</v>
      </c>
      <c r="C6307" s="676" t="s">
        <v>6262</v>
      </c>
      <c r="D6307" s="675"/>
      <c r="E6307" s="675"/>
      <c r="G6307" s="675"/>
      <c r="H6307" s="675"/>
      <c r="I6307" s="675"/>
      <c r="J6307" s="675"/>
      <c r="K6307" s="675"/>
      <c r="L6307" s="675"/>
      <c r="M6307" s="675"/>
    </row>
    <row r="6308" spans="1:13" ht="30" x14ac:dyDescent="0.25">
      <c r="A6308" s="675" t="s">
        <v>6245</v>
      </c>
      <c r="B6308" s="675" t="s">
        <v>564</v>
      </c>
      <c r="C6308" s="676" t="s">
        <v>6263</v>
      </c>
      <c r="D6308" s="675"/>
      <c r="E6308" s="675"/>
      <c r="G6308" s="675"/>
      <c r="H6308" s="675"/>
      <c r="I6308" s="675"/>
      <c r="J6308" s="675"/>
      <c r="K6308" s="675"/>
      <c r="L6308" s="675"/>
      <c r="M6308" s="675"/>
    </row>
    <row r="6309" spans="1:13" x14ac:dyDescent="0.25">
      <c r="A6309" s="675" t="s">
        <v>6245</v>
      </c>
      <c r="B6309" s="675" t="s">
        <v>564</v>
      </c>
      <c r="C6309" s="676" t="s">
        <v>6264</v>
      </c>
      <c r="D6309" s="675"/>
      <c r="E6309" s="675"/>
      <c r="G6309" s="675"/>
      <c r="H6309" s="675"/>
      <c r="I6309" s="675"/>
      <c r="J6309" s="675"/>
      <c r="K6309" s="675"/>
      <c r="L6309" s="675"/>
      <c r="M6309" s="675"/>
    </row>
    <row r="6310" spans="1:13" ht="30" x14ac:dyDescent="0.25">
      <c r="A6310" s="675" t="s">
        <v>6245</v>
      </c>
      <c r="B6310" s="675" t="s">
        <v>564</v>
      </c>
      <c r="C6310" s="676" t="s">
        <v>6265</v>
      </c>
      <c r="D6310" s="675"/>
      <c r="E6310" s="675"/>
      <c r="G6310" s="675"/>
      <c r="H6310" s="675"/>
      <c r="I6310" s="675"/>
      <c r="J6310" s="675"/>
      <c r="K6310" s="675"/>
      <c r="L6310" s="675"/>
      <c r="M6310" s="675"/>
    </row>
    <row r="6311" spans="1:13" ht="30" x14ac:dyDescent="0.25">
      <c r="A6311" s="675" t="s">
        <v>6245</v>
      </c>
      <c r="B6311" s="675" t="s">
        <v>512</v>
      </c>
      <c r="C6311" s="676" t="s">
        <v>6266</v>
      </c>
      <c r="D6311" s="675"/>
      <c r="E6311" s="675"/>
      <c r="G6311" s="675"/>
      <c r="H6311" s="675"/>
      <c r="I6311" s="675"/>
      <c r="J6311" s="675"/>
      <c r="K6311" s="675"/>
      <c r="L6311" s="675"/>
      <c r="M6311" s="675"/>
    </row>
    <row r="6312" spans="1:13" ht="30" x14ac:dyDescent="0.25">
      <c r="A6312" s="675" t="s">
        <v>6245</v>
      </c>
      <c r="B6312" s="675" t="s">
        <v>512</v>
      </c>
      <c r="C6312" s="676" t="s">
        <v>6267</v>
      </c>
      <c r="D6312" s="675"/>
      <c r="E6312" s="675"/>
      <c r="G6312" s="675"/>
      <c r="H6312" s="675"/>
      <c r="I6312" s="675"/>
      <c r="J6312" s="675"/>
      <c r="K6312" s="675"/>
      <c r="L6312" s="675"/>
      <c r="M6312" s="675"/>
    </row>
    <row r="6313" spans="1:13" x14ac:dyDescent="0.25">
      <c r="A6313" s="675" t="s">
        <v>6245</v>
      </c>
      <c r="B6313" s="675" t="s">
        <v>512</v>
      </c>
      <c r="C6313" s="676" t="s">
        <v>6268</v>
      </c>
      <c r="D6313" s="675"/>
      <c r="E6313" s="675"/>
      <c r="G6313" s="675"/>
      <c r="H6313" s="675"/>
      <c r="I6313" s="675"/>
      <c r="J6313" s="675"/>
      <c r="K6313" s="675"/>
      <c r="L6313" s="675"/>
      <c r="M6313" s="675"/>
    </row>
    <row r="6314" spans="1:13" x14ac:dyDescent="0.25">
      <c r="A6314" s="675" t="s">
        <v>6245</v>
      </c>
      <c r="B6314" s="675" t="s">
        <v>512</v>
      </c>
      <c r="C6314" s="676" t="s">
        <v>6269</v>
      </c>
      <c r="D6314" s="675"/>
      <c r="E6314" s="675"/>
      <c r="G6314" s="675"/>
      <c r="H6314" s="675"/>
      <c r="I6314" s="675"/>
      <c r="J6314" s="675"/>
      <c r="K6314" s="675"/>
      <c r="L6314" s="675"/>
      <c r="M6314" s="675"/>
    </row>
    <row r="6315" spans="1:13" x14ac:dyDescent="0.25">
      <c r="A6315" s="675" t="s">
        <v>6245</v>
      </c>
      <c r="B6315" s="675" t="s">
        <v>512</v>
      </c>
      <c r="C6315" s="676" t="s">
        <v>6270</v>
      </c>
      <c r="D6315" s="675"/>
      <c r="E6315" s="675"/>
      <c r="G6315" s="675"/>
      <c r="H6315" s="675"/>
      <c r="I6315" s="675"/>
      <c r="J6315" s="675"/>
      <c r="K6315" s="675"/>
      <c r="L6315" s="675"/>
      <c r="M6315" s="675"/>
    </row>
    <row r="6316" spans="1:13" x14ac:dyDescent="0.25">
      <c r="A6316" s="675" t="s">
        <v>6245</v>
      </c>
      <c r="B6316" s="675" t="s">
        <v>512</v>
      </c>
      <c r="C6316" s="676" t="s">
        <v>6271</v>
      </c>
      <c r="D6316" s="675"/>
      <c r="E6316" s="675"/>
      <c r="G6316" s="675"/>
      <c r="H6316" s="675"/>
      <c r="I6316" s="675"/>
      <c r="J6316" s="675"/>
      <c r="K6316" s="675"/>
      <c r="L6316" s="675"/>
      <c r="M6316" s="675"/>
    </row>
    <row r="6317" spans="1:13" x14ac:dyDescent="0.25">
      <c r="A6317" s="675" t="s">
        <v>6245</v>
      </c>
      <c r="B6317" s="675" t="s">
        <v>512</v>
      </c>
      <c r="C6317" s="676" t="s">
        <v>6272</v>
      </c>
      <c r="D6317" s="675"/>
      <c r="E6317" s="675"/>
      <c r="G6317" s="675"/>
      <c r="H6317" s="675"/>
      <c r="I6317" s="675"/>
      <c r="J6317" s="675"/>
      <c r="K6317" s="675"/>
      <c r="L6317" s="675"/>
      <c r="M6317" s="675"/>
    </row>
    <row r="6318" spans="1:13" x14ac:dyDescent="0.25">
      <c r="A6318" s="675" t="s">
        <v>6245</v>
      </c>
      <c r="B6318" s="675" t="s">
        <v>512</v>
      </c>
      <c r="C6318" s="676" t="s">
        <v>6273</v>
      </c>
      <c r="D6318" s="675"/>
      <c r="E6318" s="675"/>
      <c r="G6318" s="675"/>
      <c r="H6318" s="675"/>
      <c r="I6318" s="675"/>
      <c r="J6318" s="675"/>
      <c r="K6318" s="675"/>
      <c r="L6318" s="675"/>
      <c r="M6318" s="675"/>
    </row>
    <row r="6319" spans="1:13" ht="30" x14ac:dyDescent="0.25">
      <c r="A6319" s="675" t="s">
        <v>6245</v>
      </c>
      <c r="B6319" s="675" t="s">
        <v>512</v>
      </c>
      <c r="C6319" s="676" t="s">
        <v>6274</v>
      </c>
      <c r="D6319" s="675"/>
      <c r="E6319" s="675"/>
      <c r="G6319" s="675"/>
      <c r="H6319" s="675"/>
      <c r="I6319" s="675"/>
      <c r="J6319" s="675"/>
      <c r="K6319" s="675"/>
      <c r="L6319" s="675"/>
      <c r="M6319" s="675"/>
    </row>
    <row r="6320" spans="1:13" ht="30" x14ac:dyDescent="0.25">
      <c r="A6320" s="675" t="s">
        <v>6245</v>
      </c>
      <c r="B6320" s="675" t="s">
        <v>512</v>
      </c>
      <c r="C6320" s="676" t="s">
        <v>6275</v>
      </c>
      <c r="D6320" s="675"/>
      <c r="E6320" s="675"/>
      <c r="G6320" s="675"/>
      <c r="H6320" s="675"/>
      <c r="I6320" s="675"/>
      <c r="J6320" s="675"/>
      <c r="K6320" s="675"/>
      <c r="L6320" s="675"/>
      <c r="M6320" s="675"/>
    </row>
    <row r="6321" spans="1:13" x14ac:dyDescent="0.25">
      <c r="A6321" s="675" t="s">
        <v>6276</v>
      </c>
      <c r="B6321" s="675" t="s">
        <v>545</v>
      </c>
      <c r="C6321" s="676" t="s">
        <v>6277</v>
      </c>
      <c r="D6321" s="675"/>
      <c r="E6321" s="675"/>
      <c r="G6321" s="675"/>
      <c r="H6321" s="675"/>
      <c r="I6321" s="675"/>
      <c r="J6321" s="675"/>
      <c r="K6321" s="675"/>
      <c r="L6321" s="675"/>
      <c r="M6321" s="675"/>
    </row>
    <row r="6322" spans="1:13" ht="30" x14ac:dyDescent="0.25">
      <c r="A6322" s="675" t="s">
        <v>6276</v>
      </c>
      <c r="B6322" s="675" t="s">
        <v>545</v>
      </c>
      <c r="C6322" s="676" t="s">
        <v>6278</v>
      </c>
      <c r="D6322" s="675"/>
      <c r="E6322" s="675"/>
      <c r="G6322" s="675"/>
      <c r="H6322" s="675"/>
      <c r="I6322" s="675"/>
      <c r="J6322" s="675"/>
      <c r="K6322" s="675"/>
      <c r="L6322" s="675"/>
      <c r="M6322" s="675"/>
    </row>
    <row r="6323" spans="1:13" x14ac:dyDescent="0.25">
      <c r="A6323" s="675" t="s">
        <v>6276</v>
      </c>
      <c r="B6323" s="675" t="s">
        <v>545</v>
      </c>
      <c r="C6323" s="676" t="s">
        <v>6279</v>
      </c>
      <c r="D6323" s="675"/>
      <c r="E6323" s="675"/>
      <c r="G6323" s="675"/>
      <c r="H6323" s="675"/>
      <c r="I6323" s="675"/>
      <c r="J6323" s="675"/>
      <c r="K6323" s="675"/>
      <c r="L6323" s="675"/>
      <c r="M6323" s="675"/>
    </row>
    <row r="6324" spans="1:13" x14ac:dyDescent="0.25">
      <c r="A6324" s="675" t="s">
        <v>6276</v>
      </c>
      <c r="B6324" s="675" t="s">
        <v>545</v>
      </c>
      <c r="C6324" s="676" t="s">
        <v>6280</v>
      </c>
      <c r="D6324" s="675"/>
      <c r="E6324" s="675"/>
      <c r="G6324" s="675"/>
      <c r="H6324" s="675"/>
      <c r="I6324" s="675"/>
      <c r="J6324" s="675"/>
      <c r="K6324" s="675"/>
      <c r="L6324" s="675"/>
      <c r="M6324" s="675"/>
    </row>
    <row r="6325" spans="1:13" x14ac:dyDescent="0.25">
      <c r="A6325" s="675" t="s">
        <v>6276</v>
      </c>
      <c r="B6325" s="675" t="s">
        <v>545</v>
      </c>
      <c r="C6325" s="676" t="s">
        <v>6281</v>
      </c>
      <c r="D6325" s="675"/>
      <c r="E6325" s="675"/>
      <c r="G6325" s="675"/>
      <c r="H6325" s="675"/>
      <c r="I6325" s="675"/>
      <c r="J6325" s="675"/>
      <c r="K6325" s="675"/>
      <c r="L6325" s="675"/>
      <c r="M6325" s="675"/>
    </row>
    <row r="6326" spans="1:13" x14ac:dyDescent="0.25">
      <c r="A6326" s="675" t="s">
        <v>6276</v>
      </c>
      <c r="B6326" s="675" t="s">
        <v>545</v>
      </c>
      <c r="C6326" s="676" t="s">
        <v>6282</v>
      </c>
      <c r="D6326" s="675"/>
      <c r="E6326" s="675"/>
      <c r="G6326" s="675"/>
      <c r="H6326" s="675"/>
      <c r="I6326" s="675"/>
      <c r="J6326" s="675"/>
      <c r="K6326" s="675"/>
      <c r="L6326" s="675"/>
      <c r="M6326" s="675"/>
    </row>
    <row r="6327" spans="1:13" x14ac:dyDescent="0.25">
      <c r="A6327" s="675" t="s">
        <v>6276</v>
      </c>
      <c r="B6327" s="675" t="s">
        <v>545</v>
      </c>
      <c r="C6327" s="676" t="s">
        <v>6283</v>
      </c>
      <c r="D6327" s="675"/>
      <c r="E6327" s="675"/>
      <c r="G6327" s="675"/>
      <c r="H6327" s="675"/>
      <c r="I6327" s="675"/>
      <c r="J6327" s="675"/>
      <c r="K6327" s="675"/>
      <c r="L6327" s="675"/>
      <c r="M6327" s="675"/>
    </row>
    <row r="6328" spans="1:13" x14ac:dyDescent="0.25">
      <c r="A6328" s="675" t="s">
        <v>6276</v>
      </c>
      <c r="B6328" s="675" t="s">
        <v>545</v>
      </c>
      <c r="C6328" s="676" t="s">
        <v>6284</v>
      </c>
      <c r="D6328" s="675"/>
      <c r="E6328" s="675"/>
      <c r="G6328" s="675"/>
      <c r="H6328" s="675"/>
      <c r="I6328" s="675"/>
      <c r="J6328" s="675"/>
      <c r="K6328" s="675"/>
      <c r="L6328" s="675"/>
      <c r="M6328" s="675"/>
    </row>
    <row r="6329" spans="1:13" ht="30" x14ac:dyDescent="0.25">
      <c r="A6329" s="675" t="s">
        <v>6276</v>
      </c>
      <c r="B6329" s="675" t="s">
        <v>545</v>
      </c>
      <c r="C6329" s="676" t="s">
        <v>6285</v>
      </c>
      <c r="D6329" s="675"/>
      <c r="E6329" s="675"/>
      <c r="G6329" s="675"/>
      <c r="H6329" s="675"/>
      <c r="I6329" s="675"/>
      <c r="J6329" s="675"/>
      <c r="K6329" s="675"/>
      <c r="L6329" s="675"/>
      <c r="M6329" s="675"/>
    </row>
    <row r="6330" spans="1:13" ht="30" x14ac:dyDescent="0.25">
      <c r="A6330" s="675" t="s">
        <v>6276</v>
      </c>
      <c r="B6330" s="675" t="s">
        <v>545</v>
      </c>
      <c r="C6330" s="676" t="s">
        <v>6286</v>
      </c>
      <c r="D6330" s="675"/>
      <c r="E6330" s="675"/>
      <c r="G6330" s="675"/>
      <c r="H6330" s="675"/>
      <c r="I6330" s="675"/>
      <c r="J6330" s="675"/>
      <c r="K6330" s="675"/>
      <c r="L6330" s="675"/>
      <c r="M6330" s="675"/>
    </row>
    <row r="6331" spans="1:13" x14ac:dyDescent="0.25">
      <c r="A6331" s="675" t="s">
        <v>6276</v>
      </c>
      <c r="B6331" s="675" t="s">
        <v>564</v>
      </c>
      <c r="C6331" s="676" t="s">
        <v>6277</v>
      </c>
      <c r="D6331" s="675"/>
      <c r="E6331" s="675"/>
      <c r="G6331" s="675"/>
      <c r="H6331" s="675"/>
      <c r="I6331" s="675"/>
      <c r="J6331" s="675"/>
      <c r="K6331" s="675"/>
      <c r="L6331" s="675"/>
      <c r="M6331" s="675"/>
    </row>
    <row r="6332" spans="1:13" ht="30" x14ac:dyDescent="0.25">
      <c r="A6332" s="675" t="s">
        <v>6276</v>
      </c>
      <c r="B6332" s="675" t="s">
        <v>564</v>
      </c>
      <c r="C6332" s="676" t="s">
        <v>6278</v>
      </c>
      <c r="D6332" s="675"/>
      <c r="E6332" s="675"/>
      <c r="G6332" s="675"/>
      <c r="H6332" s="675"/>
      <c r="I6332" s="675"/>
      <c r="J6332" s="675"/>
      <c r="K6332" s="675"/>
      <c r="L6332" s="675"/>
      <c r="M6332" s="675"/>
    </row>
    <row r="6333" spans="1:13" x14ac:dyDescent="0.25">
      <c r="A6333" s="675" t="s">
        <v>6276</v>
      </c>
      <c r="B6333" s="675" t="s">
        <v>564</v>
      </c>
      <c r="C6333" s="676" t="s">
        <v>6279</v>
      </c>
      <c r="D6333" s="675"/>
      <c r="E6333" s="675"/>
      <c r="G6333" s="675"/>
      <c r="H6333" s="675"/>
      <c r="I6333" s="675"/>
      <c r="J6333" s="675"/>
      <c r="K6333" s="675"/>
      <c r="L6333" s="675"/>
      <c r="M6333" s="675"/>
    </row>
    <row r="6334" spans="1:13" x14ac:dyDescent="0.25">
      <c r="A6334" s="675" t="s">
        <v>6276</v>
      </c>
      <c r="B6334" s="675" t="s">
        <v>564</v>
      </c>
      <c r="C6334" s="676" t="s">
        <v>6280</v>
      </c>
      <c r="D6334" s="675"/>
      <c r="E6334" s="675"/>
      <c r="G6334" s="675"/>
      <c r="H6334" s="675"/>
      <c r="I6334" s="675"/>
      <c r="J6334" s="675"/>
      <c r="K6334" s="675"/>
      <c r="L6334" s="675"/>
      <c r="M6334" s="675"/>
    </row>
    <row r="6335" spans="1:13" x14ac:dyDescent="0.25">
      <c r="A6335" s="675" t="s">
        <v>6276</v>
      </c>
      <c r="B6335" s="675" t="s">
        <v>564</v>
      </c>
      <c r="C6335" s="676" t="s">
        <v>6281</v>
      </c>
      <c r="D6335" s="675"/>
      <c r="E6335" s="675"/>
      <c r="G6335" s="675"/>
      <c r="H6335" s="675"/>
      <c r="I6335" s="675"/>
      <c r="J6335" s="675"/>
      <c r="K6335" s="675"/>
      <c r="L6335" s="675"/>
      <c r="M6335" s="675"/>
    </row>
    <row r="6336" spans="1:13" x14ac:dyDescent="0.25">
      <c r="A6336" s="675" t="s">
        <v>6276</v>
      </c>
      <c r="B6336" s="675" t="s">
        <v>564</v>
      </c>
      <c r="C6336" s="676" t="s">
        <v>6282</v>
      </c>
      <c r="D6336" s="675"/>
      <c r="E6336" s="675"/>
      <c r="G6336" s="675"/>
      <c r="H6336" s="675"/>
      <c r="I6336" s="675"/>
      <c r="J6336" s="675"/>
      <c r="K6336" s="675"/>
      <c r="L6336" s="675"/>
      <c r="M6336" s="675"/>
    </row>
    <row r="6337" spans="1:13" x14ac:dyDescent="0.25">
      <c r="A6337" s="675" t="s">
        <v>6276</v>
      </c>
      <c r="B6337" s="675" t="s">
        <v>564</v>
      </c>
      <c r="C6337" s="676" t="s">
        <v>6283</v>
      </c>
      <c r="D6337" s="675"/>
      <c r="E6337" s="675"/>
      <c r="G6337" s="675"/>
      <c r="H6337" s="675"/>
      <c r="I6337" s="675"/>
      <c r="J6337" s="675"/>
      <c r="K6337" s="675"/>
      <c r="L6337" s="675"/>
      <c r="M6337" s="675"/>
    </row>
    <row r="6338" spans="1:13" x14ac:dyDescent="0.25">
      <c r="A6338" s="675" t="s">
        <v>6276</v>
      </c>
      <c r="B6338" s="675" t="s">
        <v>564</v>
      </c>
      <c r="C6338" s="676" t="s">
        <v>6284</v>
      </c>
      <c r="D6338" s="675"/>
      <c r="E6338" s="675"/>
      <c r="G6338" s="675"/>
      <c r="H6338" s="675"/>
      <c r="I6338" s="675"/>
      <c r="J6338" s="675"/>
      <c r="K6338" s="675"/>
      <c r="L6338" s="675"/>
      <c r="M6338" s="675"/>
    </row>
    <row r="6339" spans="1:13" ht="30" x14ac:dyDescent="0.25">
      <c r="A6339" s="675" t="s">
        <v>6276</v>
      </c>
      <c r="B6339" s="675" t="s">
        <v>564</v>
      </c>
      <c r="C6339" s="676" t="s">
        <v>6285</v>
      </c>
      <c r="D6339" s="675"/>
      <c r="E6339" s="675"/>
      <c r="G6339" s="675"/>
      <c r="H6339" s="675"/>
      <c r="I6339" s="675"/>
      <c r="J6339" s="675"/>
      <c r="K6339" s="675"/>
      <c r="L6339" s="675"/>
      <c r="M6339" s="675"/>
    </row>
    <row r="6340" spans="1:13" ht="30" x14ac:dyDescent="0.25">
      <c r="A6340" s="675" t="s">
        <v>6276</v>
      </c>
      <c r="B6340" s="675" t="s">
        <v>564</v>
      </c>
      <c r="C6340" s="676" t="s">
        <v>6286</v>
      </c>
      <c r="D6340" s="675"/>
      <c r="E6340" s="675"/>
      <c r="G6340" s="675"/>
      <c r="H6340" s="675"/>
      <c r="I6340" s="675"/>
      <c r="J6340" s="675"/>
      <c r="K6340" s="675"/>
      <c r="L6340" s="675"/>
      <c r="M6340" s="675"/>
    </row>
    <row r="6341" spans="1:13" x14ac:dyDescent="0.25">
      <c r="A6341" s="675" t="s">
        <v>6276</v>
      </c>
      <c r="B6341" s="675" t="s">
        <v>512</v>
      </c>
      <c r="C6341" s="676" t="s">
        <v>6287</v>
      </c>
      <c r="D6341" s="675"/>
      <c r="E6341" s="675"/>
      <c r="G6341" s="675"/>
      <c r="H6341" s="675"/>
      <c r="I6341" s="675"/>
      <c r="J6341" s="675"/>
      <c r="K6341" s="675"/>
      <c r="L6341" s="675"/>
      <c r="M6341" s="675"/>
    </row>
    <row r="6342" spans="1:13" x14ac:dyDescent="0.25">
      <c r="A6342" s="675" t="s">
        <v>6276</v>
      </c>
      <c r="B6342" s="675" t="s">
        <v>512</v>
      </c>
      <c r="C6342" s="676" t="s">
        <v>6288</v>
      </c>
      <c r="D6342" s="675"/>
      <c r="E6342" s="675"/>
      <c r="G6342" s="675"/>
      <c r="H6342" s="675"/>
      <c r="I6342" s="675"/>
      <c r="J6342" s="675"/>
      <c r="K6342" s="675"/>
      <c r="L6342" s="675"/>
      <c r="M6342" s="675"/>
    </row>
    <row r="6343" spans="1:13" ht="30" x14ac:dyDescent="0.25">
      <c r="A6343" s="675" t="s">
        <v>6276</v>
      </c>
      <c r="B6343" s="675" t="s">
        <v>512</v>
      </c>
      <c r="C6343" s="676" t="s">
        <v>6289</v>
      </c>
      <c r="D6343" s="675"/>
      <c r="E6343" s="675"/>
      <c r="G6343" s="675"/>
      <c r="H6343" s="675"/>
      <c r="I6343" s="675"/>
      <c r="J6343" s="675"/>
      <c r="K6343" s="675"/>
      <c r="L6343" s="675"/>
      <c r="M6343" s="675"/>
    </row>
    <row r="6344" spans="1:13" x14ac:dyDescent="0.25">
      <c r="A6344" s="675" t="s">
        <v>6276</v>
      </c>
      <c r="B6344" s="675" t="s">
        <v>512</v>
      </c>
      <c r="C6344" s="676" t="s">
        <v>6290</v>
      </c>
      <c r="D6344" s="675"/>
      <c r="E6344" s="675"/>
      <c r="G6344" s="675"/>
      <c r="H6344" s="675"/>
      <c r="I6344" s="675"/>
      <c r="J6344" s="675"/>
      <c r="K6344" s="675"/>
      <c r="L6344" s="675"/>
      <c r="M6344" s="675"/>
    </row>
    <row r="6345" spans="1:13" ht="30" x14ac:dyDescent="0.25">
      <c r="A6345" s="675" t="s">
        <v>6276</v>
      </c>
      <c r="B6345" s="675" t="s">
        <v>512</v>
      </c>
      <c r="C6345" s="676" t="s">
        <v>6291</v>
      </c>
      <c r="D6345" s="675"/>
      <c r="E6345" s="675"/>
      <c r="G6345" s="675"/>
      <c r="H6345" s="675"/>
      <c r="I6345" s="675"/>
      <c r="J6345" s="675"/>
      <c r="K6345" s="675"/>
      <c r="L6345" s="675"/>
      <c r="M6345" s="675"/>
    </row>
    <row r="6346" spans="1:13" ht="30" x14ac:dyDescent="0.25">
      <c r="A6346" s="675" t="s">
        <v>6276</v>
      </c>
      <c r="B6346" s="675" t="s">
        <v>512</v>
      </c>
      <c r="C6346" s="676" t="s">
        <v>6292</v>
      </c>
      <c r="D6346" s="675"/>
      <c r="E6346" s="675"/>
      <c r="G6346" s="675"/>
      <c r="H6346" s="675"/>
      <c r="I6346" s="675"/>
      <c r="J6346" s="675"/>
      <c r="K6346" s="675"/>
      <c r="L6346" s="675"/>
      <c r="M6346" s="675"/>
    </row>
    <row r="6347" spans="1:13" ht="30" x14ac:dyDescent="0.25">
      <c r="A6347" s="675" t="s">
        <v>6276</v>
      </c>
      <c r="B6347" s="675" t="s">
        <v>512</v>
      </c>
      <c r="C6347" s="676" t="s">
        <v>6293</v>
      </c>
      <c r="D6347" s="675"/>
      <c r="E6347" s="675"/>
      <c r="G6347" s="675"/>
      <c r="H6347" s="675"/>
      <c r="I6347" s="675"/>
      <c r="J6347" s="675"/>
      <c r="K6347" s="675"/>
      <c r="L6347" s="675"/>
      <c r="M6347" s="675"/>
    </row>
    <row r="6348" spans="1:13" x14ac:dyDescent="0.25">
      <c r="A6348" s="675" t="s">
        <v>6276</v>
      </c>
      <c r="B6348" s="675" t="s">
        <v>512</v>
      </c>
      <c r="C6348" s="676" t="s">
        <v>6294</v>
      </c>
      <c r="D6348" s="675"/>
      <c r="E6348" s="675"/>
      <c r="G6348" s="675"/>
      <c r="H6348" s="675"/>
      <c r="I6348" s="675"/>
      <c r="J6348" s="675"/>
      <c r="K6348" s="675"/>
      <c r="L6348" s="675"/>
      <c r="M6348" s="675"/>
    </row>
    <row r="6349" spans="1:13" x14ac:dyDescent="0.25">
      <c r="A6349" s="675" t="s">
        <v>6276</v>
      </c>
      <c r="B6349" s="675" t="s">
        <v>512</v>
      </c>
      <c r="C6349" s="676" t="s">
        <v>6295</v>
      </c>
      <c r="D6349" s="675"/>
      <c r="E6349" s="675"/>
      <c r="G6349" s="675"/>
      <c r="H6349" s="675"/>
      <c r="I6349" s="675"/>
      <c r="J6349" s="675"/>
      <c r="K6349" s="675"/>
      <c r="L6349" s="675"/>
      <c r="M6349" s="675"/>
    </row>
    <row r="6350" spans="1:13" x14ac:dyDescent="0.25">
      <c r="A6350" s="675" t="s">
        <v>6276</v>
      </c>
      <c r="B6350" s="675" t="s">
        <v>512</v>
      </c>
      <c r="C6350" s="676" t="s">
        <v>6296</v>
      </c>
      <c r="D6350" s="675"/>
      <c r="E6350" s="675"/>
      <c r="G6350" s="675"/>
      <c r="H6350" s="675"/>
      <c r="I6350" s="675"/>
      <c r="J6350" s="675"/>
      <c r="K6350" s="675"/>
      <c r="L6350" s="675"/>
      <c r="M6350" s="675"/>
    </row>
    <row r="6351" spans="1:13" x14ac:dyDescent="0.25">
      <c r="A6351" s="675" t="s">
        <v>6297</v>
      </c>
      <c r="B6351" s="675" t="s">
        <v>545</v>
      </c>
      <c r="C6351" s="676" t="s">
        <v>6298</v>
      </c>
      <c r="D6351" s="675"/>
      <c r="E6351" s="675"/>
      <c r="G6351" s="675"/>
      <c r="H6351" s="675"/>
      <c r="I6351" s="675"/>
      <c r="J6351" s="675"/>
      <c r="K6351" s="675"/>
      <c r="L6351" s="675"/>
      <c r="M6351" s="675"/>
    </row>
    <row r="6352" spans="1:13" x14ac:dyDescent="0.25">
      <c r="A6352" s="675" t="s">
        <v>6297</v>
      </c>
      <c r="B6352" s="675" t="s">
        <v>545</v>
      </c>
      <c r="C6352" s="676" t="s">
        <v>6299</v>
      </c>
      <c r="D6352" s="675"/>
      <c r="E6352" s="675"/>
      <c r="G6352" s="675"/>
      <c r="H6352" s="675"/>
      <c r="I6352" s="675"/>
      <c r="J6352" s="675"/>
      <c r="K6352" s="675"/>
      <c r="L6352" s="675"/>
      <c r="M6352" s="675"/>
    </row>
    <row r="6353" spans="1:13" x14ac:dyDescent="0.25">
      <c r="A6353" s="675" t="s">
        <v>6297</v>
      </c>
      <c r="B6353" s="675" t="s">
        <v>545</v>
      </c>
      <c r="C6353" s="676" t="s">
        <v>6300</v>
      </c>
      <c r="D6353" s="675"/>
      <c r="E6353" s="675"/>
      <c r="G6353" s="675"/>
      <c r="H6353" s="675"/>
      <c r="I6353" s="675"/>
      <c r="J6353" s="675"/>
      <c r="K6353" s="675"/>
      <c r="L6353" s="675"/>
      <c r="M6353" s="675"/>
    </row>
    <row r="6354" spans="1:13" x14ac:dyDescent="0.25">
      <c r="A6354" s="675" t="s">
        <v>6297</v>
      </c>
      <c r="B6354" s="675" t="s">
        <v>545</v>
      </c>
      <c r="C6354" s="676" t="s">
        <v>6301</v>
      </c>
      <c r="D6354" s="675"/>
      <c r="E6354" s="675"/>
      <c r="G6354" s="675"/>
      <c r="H6354" s="675"/>
      <c r="I6354" s="675"/>
      <c r="J6354" s="675"/>
      <c r="K6354" s="675"/>
      <c r="L6354" s="675"/>
      <c r="M6354" s="675"/>
    </row>
    <row r="6355" spans="1:13" x14ac:dyDescent="0.25">
      <c r="A6355" s="675" t="s">
        <v>6297</v>
      </c>
      <c r="B6355" s="675" t="s">
        <v>545</v>
      </c>
      <c r="C6355" s="676" t="s">
        <v>6302</v>
      </c>
      <c r="D6355" s="675"/>
      <c r="E6355" s="675"/>
      <c r="G6355" s="675"/>
      <c r="H6355" s="675"/>
      <c r="I6355" s="675"/>
      <c r="J6355" s="675"/>
      <c r="K6355" s="675"/>
      <c r="L6355" s="675"/>
      <c r="M6355" s="675"/>
    </row>
    <row r="6356" spans="1:13" ht="30" x14ac:dyDescent="0.25">
      <c r="A6356" s="675" t="s">
        <v>6297</v>
      </c>
      <c r="B6356" s="675" t="s">
        <v>545</v>
      </c>
      <c r="C6356" s="676" t="s">
        <v>6303</v>
      </c>
      <c r="D6356" s="675"/>
      <c r="E6356" s="675"/>
      <c r="G6356" s="675"/>
      <c r="H6356" s="675"/>
      <c r="I6356" s="675"/>
      <c r="J6356" s="675"/>
      <c r="K6356" s="675"/>
      <c r="L6356" s="675"/>
      <c r="M6356" s="675"/>
    </row>
    <row r="6357" spans="1:13" x14ac:dyDescent="0.25">
      <c r="A6357" s="675" t="s">
        <v>6297</v>
      </c>
      <c r="B6357" s="675" t="s">
        <v>545</v>
      </c>
      <c r="C6357" s="676" t="s">
        <v>6304</v>
      </c>
      <c r="D6357" s="675"/>
      <c r="E6357" s="675"/>
      <c r="G6357" s="675"/>
      <c r="H6357" s="675"/>
      <c r="I6357" s="675"/>
      <c r="J6357" s="675"/>
      <c r="K6357" s="675"/>
      <c r="L6357" s="675"/>
      <c r="M6357" s="675"/>
    </row>
    <row r="6358" spans="1:13" x14ac:dyDescent="0.25">
      <c r="A6358" s="675" t="s">
        <v>6297</v>
      </c>
      <c r="B6358" s="675" t="s">
        <v>545</v>
      </c>
      <c r="C6358" s="676" t="s">
        <v>6305</v>
      </c>
      <c r="D6358" s="675"/>
      <c r="E6358" s="675"/>
      <c r="G6358" s="675"/>
      <c r="H6358" s="675"/>
      <c r="I6358" s="675"/>
      <c r="J6358" s="675"/>
      <c r="K6358" s="675"/>
      <c r="L6358" s="675"/>
      <c r="M6358" s="675"/>
    </row>
    <row r="6359" spans="1:13" x14ac:dyDescent="0.25">
      <c r="A6359" s="675" t="s">
        <v>6297</v>
      </c>
      <c r="B6359" s="675" t="s">
        <v>545</v>
      </c>
      <c r="C6359" s="676" t="s">
        <v>6306</v>
      </c>
      <c r="D6359" s="675"/>
      <c r="E6359" s="675"/>
      <c r="G6359" s="675"/>
      <c r="H6359" s="675"/>
      <c r="I6359" s="675"/>
      <c r="J6359" s="675"/>
      <c r="K6359" s="675"/>
      <c r="L6359" s="675"/>
      <c r="M6359" s="675"/>
    </row>
    <row r="6360" spans="1:13" x14ac:dyDescent="0.25">
      <c r="A6360" s="675" t="s">
        <v>6297</v>
      </c>
      <c r="B6360" s="675" t="s">
        <v>545</v>
      </c>
      <c r="C6360" s="676" t="s">
        <v>6307</v>
      </c>
      <c r="D6360" s="675"/>
      <c r="E6360" s="675"/>
      <c r="G6360" s="675"/>
      <c r="H6360" s="675"/>
      <c r="I6360" s="675"/>
      <c r="J6360" s="675"/>
      <c r="K6360" s="675"/>
      <c r="L6360" s="675"/>
      <c r="M6360" s="675"/>
    </row>
    <row r="6361" spans="1:13" x14ac:dyDescent="0.25">
      <c r="A6361" s="675" t="s">
        <v>6297</v>
      </c>
      <c r="B6361" s="675" t="s">
        <v>564</v>
      </c>
      <c r="C6361" s="676" t="s">
        <v>6308</v>
      </c>
      <c r="D6361" s="675"/>
      <c r="E6361" s="675"/>
      <c r="G6361" s="675"/>
      <c r="H6361" s="675"/>
      <c r="I6361" s="675"/>
      <c r="J6361" s="675"/>
      <c r="K6361" s="675"/>
      <c r="L6361" s="675"/>
      <c r="M6361" s="675"/>
    </row>
    <row r="6362" spans="1:13" x14ac:dyDescent="0.25">
      <c r="A6362" s="675" t="s">
        <v>6297</v>
      </c>
      <c r="B6362" s="675" t="s">
        <v>564</v>
      </c>
      <c r="C6362" s="676" t="s">
        <v>6309</v>
      </c>
      <c r="D6362" s="675"/>
      <c r="E6362" s="675"/>
      <c r="G6362" s="675"/>
      <c r="H6362" s="675"/>
      <c r="I6362" s="675"/>
      <c r="J6362" s="675"/>
      <c r="K6362" s="675"/>
      <c r="L6362" s="675"/>
      <c r="M6362" s="675"/>
    </row>
    <row r="6363" spans="1:13" x14ac:dyDescent="0.25">
      <c r="A6363" s="675" t="s">
        <v>6297</v>
      </c>
      <c r="B6363" s="675" t="s">
        <v>564</v>
      </c>
      <c r="C6363" s="676" t="s">
        <v>6310</v>
      </c>
      <c r="D6363" s="675"/>
      <c r="E6363" s="675"/>
      <c r="G6363" s="675"/>
      <c r="H6363" s="675"/>
      <c r="I6363" s="675"/>
      <c r="J6363" s="675"/>
      <c r="K6363" s="675"/>
      <c r="L6363" s="675"/>
      <c r="M6363" s="675"/>
    </row>
    <row r="6364" spans="1:13" x14ac:dyDescent="0.25">
      <c r="A6364" s="675" t="s">
        <v>6297</v>
      </c>
      <c r="B6364" s="675" t="s">
        <v>564</v>
      </c>
      <c r="C6364" s="676" t="s">
        <v>6311</v>
      </c>
      <c r="D6364" s="675"/>
      <c r="E6364" s="675"/>
      <c r="G6364" s="675"/>
      <c r="H6364" s="675"/>
      <c r="I6364" s="675"/>
      <c r="J6364" s="675"/>
      <c r="K6364" s="675"/>
      <c r="L6364" s="675"/>
      <c r="M6364" s="675"/>
    </row>
    <row r="6365" spans="1:13" x14ac:dyDescent="0.25">
      <c r="A6365" s="675" t="s">
        <v>6297</v>
      </c>
      <c r="B6365" s="675" t="s">
        <v>564</v>
      </c>
      <c r="C6365" s="676" t="s">
        <v>6312</v>
      </c>
      <c r="D6365" s="675"/>
      <c r="E6365" s="675"/>
      <c r="G6365" s="675"/>
      <c r="H6365" s="675"/>
      <c r="I6365" s="675"/>
      <c r="J6365" s="675"/>
      <c r="K6365" s="675"/>
      <c r="L6365" s="675"/>
      <c r="M6365" s="675"/>
    </row>
    <row r="6366" spans="1:13" x14ac:dyDescent="0.25">
      <c r="A6366" s="675" t="s">
        <v>6297</v>
      </c>
      <c r="B6366" s="675" t="s">
        <v>564</v>
      </c>
      <c r="C6366" s="676" t="s">
        <v>6313</v>
      </c>
      <c r="D6366" s="675"/>
      <c r="E6366" s="675"/>
      <c r="G6366" s="675"/>
      <c r="H6366" s="675"/>
      <c r="I6366" s="675"/>
      <c r="J6366" s="675"/>
      <c r="K6366" s="675"/>
      <c r="L6366" s="675"/>
      <c r="M6366" s="675"/>
    </row>
    <row r="6367" spans="1:13" x14ac:dyDescent="0.25">
      <c r="A6367" s="675" t="s">
        <v>6297</v>
      </c>
      <c r="B6367" s="675" t="s">
        <v>564</v>
      </c>
      <c r="C6367" s="676" t="s">
        <v>6314</v>
      </c>
      <c r="D6367" s="675"/>
      <c r="E6367" s="675"/>
      <c r="G6367" s="675"/>
      <c r="H6367" s="675"/>
      <c r="I6367" s="675"/>
      <c r="J6367" s="675"/>
      <c r="K6367" s="675"/>
      <c r="L6367" s="675"/>
      <c r="M6367" s="675"/>
    </row>
    <row r="6368" spans="1:13" x14ac:dyDescent="0.25">
      <c r="A6368" s="675" t="s">
        <v>6297</v>
      </c>
      <c r="B6368" s="675" t="s">
        <v>564</v>
      </c>
      <c r="C6368" s="676" t="s">
        <v>6315</v>
      </c>
      <c r="D6368" s="675"/>
      <c r="E6368" s="675"/>
      <c r="G6368" s="675"/>
      <c r="H6368" s="675"/>
      <c r="I6368" s="675"/>
      <c r="J6368" s="675"/>
      <c r="K6368" s="675"/>
      <c r="L6368" s="675"/>
      <c r="M6368" s="675"/>
    </row>
    <row r="6369" spans="1:13" x14ac:dyDescent="0.25">
      <c r="A6369" s="675" t="s">
        <v>6297</v>
      </c>
      <c r="B6369" s="675" t="s">
        <v>564</v>
      </c>
      <c r="C6369" s="676" t="s">
        <v>6316</v>
      </c>
      <c r="D6369" s="675"/>
      <c r="E6369" s="675"/>
      <c r="G6369" s="675"/>
      <c r="H6369" s="675"/>
      <c r="I6369" s="675"/>
      <c r="J6369" s="675"/>
      <c r="K6369" s="675"/>
      <c r="L6369" s="675"/>
      <c r="M6369" s="675"/>
    </row>
    <row r="6370" spans="1:13" x14ac:dyDescent="0.25">
      <c r="A6370" s="675" t="s">
        <v>6297</v>
      </c>
      <c r="B6370" s="675" t="s">
        <v>564</v>
      </c>
      <c r="C6370" s="676" t="s">
        <v>6317</v>
      </c>
      <c r="D6370" s="675"/>
      <c r="E6370" s="675"/>
      <c r="G6370" s="675"/>
      <c r="H6370" s="675"/>
      <c r="I6370" s="675"/>
      <c r="J6370" s="675"/>
      <c r="K6370" s="675"/>
      <c r="L6370" s="675"/>
      <c r="M6370" s="675"/>
    </row>
    <row r="6371" spans="1:13" ht="30" x14ac:dyDescent="0.25">
      <c r="A6371" s="675" t="s">
        <v>6297</v>
      </c>
      <c r="B6371" s="675" t="s">
        <v>512</v>
      </c>
      <c r="C6371" s="676" t="s">
        <v>6318</v>
      </c>
      <c r="D6371" s="675"/>
      <c r="E6371" s="675"/>
      <c r="G6371" s="675"/>
      <c r="H6371" s="675"/>
      <c r="I6371" s="675"/>
      <c r="J6371" s="675"/>
      <c r="K6371" s="675"/>
      <c r="L6371" s="675"/>
      <c r="M6371" s="675"/>
    </row>
    <row r="6372" spans="1:13" x14ac:dyDescent="0.25">
      <c r="A6372" s="675" t="s">
        <v>6297</v>
      </c>
      <c r="B6372" s="675" t="s">
        <v>512</v>
      </c>
      <c r="C6372" s="676" t="s">
        <v>6319</v>
      </c>
      <c r="D6372" s="675"/>
      <c r="E6372" s="675"/>
      <c r="G6372" s="675"/>
      <c r="H6372" s="675"/>
      <c r="I6372" s="675"/>
      <c r="J6372" s="675"/>
      <c r="K6372" s="675"/>
      <c r="L6372" s="675"/>
      <c r="M6372" s="675"/>
    </row>
    <row r="6373" spans="1:13" x14ac:dyDescent="0.25">
      <c r="A6373" s="675" t="s">
        <v>6297</v>
      </c>
      <c r="B6373" s="675" t="s">
        <v>512</v>
      </c>
      <c r="C6373" s="676" t="s">
        <v>6320</v>
      </c>
      <c r="D6373" s="675"/>
      <c r="E6373" s="675"/>
      <c r="G6373" s="675"/>
      <c r="H6373" s="675"/>
      <c r="I6373" s="675"/>
      <c r="J6373" s="675"/>
      <c r="K6373" s="675"/>
      <c r="L6373" s="675"/>
      <c r="M6373" s="675"/>
    </row>
    <row r="6374" spans="1:13" x14ac:dyDescent="0.25">
      <c r="A6374" s="675" t="s">
        <v>6297</v>
      </c>
      <c r="B6374" s="675" t="s">
        <v>512</v>
      </c>
      <c r="C6374" s="676" t="s">
        <v>6321</v>
      </c>
      <c r="D6374" s="675"/>
      <c r="E6374" s="675"/>
      <c r="G6374" s="675"/>
      <c r="H6374" s="675"/>
      <c r="I6374" s="675"/>
      <c r="J6374" s="675"/>
      <c r="K6374" s="675"/>
      <c r="L6374" s="675"/>
      <c r="M6374" s="675"/>
    </row>
    <row r="6375" spans="1:13" x14ac:dyDescent="0.25">
      <c r="A6375" s="675" t="s">
        <v>6297</v>
      </c>
      <c r="B6375" s="675" t="s">
        <v>512</v>
      </c>
      <c r="C6375" s="676" t="s">
        <v>6322</v>
      </c>
      <c r="D6375" s="675"/>
      <c r="E6375" s="675"/>
      <c r="G6375" s="675"/>
      <c r="H6375" s="675"/>
      <c r="I6375" s="675"/>
      <c r="J6375" s="675"/>
      <c r="K6375" s="675"/>
      <c r="L6375" s="675"/>
      <c r="M6375" s="675"/>
    </row>
    <row r="6376" spans="1:13" x14ac:dyDescent="0.25">
      <c r="A6376" s="675" t="s">
        <v>6297</v>
      </c>
      <c r="B6376" s="675" t="s">
        <v>512</v>
      </c>
      <c r="C6376" s="676" t="s">
        <v>6323</v>
      </c>
      <c r="D6376" s="675"/>
      <c r="E6376" s="675"/>
      <c r="G6376" s="675"/>
      <c r="H6376" s="675"/>
      <c r="I6376" s="675"/>
      <c r="J6376" s="675"/>
      <c r="K6376" s="675"/>
      <c r="L6376" s="675"/>
      <c r="M6376" s="675"/>
    </row>
    <row r="6377" spans="1:13" x14ac:dyDescent="0.25">
      <c r="A6377" s="675" t="s">
        <v>6297</v>
      </c>
      <c r="B6377" s="675" t="s">
        <v>512</v>
      </c>
      <c r="C6377" s="676" t="s">
        <v>6324</v>
      </c>
      <c r="D6377" s="675"/>
      <c r="E6377" s="675"/>
      <c r="G6377" s="675"/>
      <c r="H6377" s="675"/>
      <c r="I6377" s="675"/>
      <c r="J6377" s="675"/>
      <c r="K6377" s="675"/>
      <c r="L6377" s="675"/>
      <c r="M6377" s="675"/>
    </row>
    <row r="6378" spans="1:13" ht="30" x14ac:dyDescent="0.25">
      <c r="A6378" s="675" t="s">
        <v>6297</v>
      </c>
      <c r="B6378" s="675" t="s">
        <v>512</v>
      </c>
      <c r="C6378" s="676" t="s">
        <v>6325</v>
      </c>
      <c r="D6378" s="675"/>
      <c r="E6378" s="675"/>
      <c r="G6378" s="675"/>
      <c r="H6378" s="675"/>
      <c r="I6378" s="675"/>
      <c r="J6378" s="675"/>
      <c r="K6378" s="675"/>
      <c r="L6378" s="675"/>
      <c r="M6378" s="675"/>
    </row>
    <row r="6379" spans="1:13" x14ac:dyDescent="0.25">
      <c r="A6379" s="675" t="s">
        <v>6297</v>
      </c>
      <c r="B6379" s="675" t="s">
        <v>512</v>
      </c>
      <c r="C6379" s="676" t="s">
        <v>6326</v>
      </c>
      <c r="D6379" s="675"/>
      <c r="E6379" s="675"/>
      <c r="G6379" s="675"/>
      <c r="H6379" s="675"/>
      <c r="I6379" s="675"/>
      <c r="J6379" s="675"/>
      <c r="K6379" s="675"/>
      <c r="L6379" s="675"/>
      <c r="M6379" s="675"/>
    </row>
    <row r="6380" spans="1:13" x14ac:dyDescent="0.25">
      <c r="A6380" s="675" t="s">
        <v>6297</v>
      </c>
      <c r="B6380" s="675" t="s">
        <v>512</v>
      </c>
      <c r="C6380" s="676" t="s">
        <v>6327</v>
      </c>
      <c r="D6380" s="675"/>
      <c r="E6380" s="675"/>
      <c r="G6380" s="675"/>
      <c r="H6380" s="675"/>
      <c r="I6380" s="675"/>
      <c r="J6380" s="675"/>
      <c r="K6380" s="675"/>
      <c r="L6380" s="675"/>
      <c r="M6380" s="675"/>
    </row>
    <row r="6381" spans="1:13" x14ac:dyDescent="0.25">
      <c r="A6381" s="675" t="s">
        <v>1660</v>
      </c>
      <c r="B6381" s="675" t="s">
        <v>545</v>
      </c>
      <c r="C6381" s="676" t="s">
        <v>6328</v>
      </c>
      <c r="D6381" s="675"/>
      <c r="E6381" s="675"/>
      <c r="G6381" s="675"/>
      <c r="H6381" s="675"/>
      <c r="I6381" s="675"/>
      <c r="J6381" s="675"/>
      <c r="K6381" s="675"/>
      <c r="L6381" s="675"/>
      <c r="M6381" s="675"/>
    </row>
    <row r="6382" spans="1:13" x14ac:dyDescent="0.25">
      <c r="A6382" s="675" t="s">
        <v>1660</v>
      </c>
      <c r="B6382" s="675" t="s">
        <v>545</v>
      </c>
      <c r="C6382" s="676" t="s">
        <v>6329</v>
      </c>
      <c r="D6382" s="675"/>
      <c r="E6382" s="675"/>
      <c r="G6382" s="675"/>
      <c r="H6382" s="675"/>
      <c r="I6382" s="675"/>
      <c r="J6382" s="675"/>
      <c r="K6382" s="675"/>
      <c r="L6382" s="675"/>
      <c r="M6382" s="675"/>
    </row>
    <row r="6383" spans="1:13" x14ac:dyDescent="0.25">
      <c r="A6383" s="675" t="s">
        <v>1660</v>
      </c>
      <c r="B6383" s="675" t="s">
        <v>545</v>
      </c>
      <c r="C6383" s="676" t="s">
        <v>6330</v>
      </c>
      <c r="D6383" s="675"/>
      <c r="E6383" s="675"/>
      <c r="G6383" s="675"/>
      <c r="H6383" s="675"/>
      <c r="I6383" s="675"/>
      <c r="J6383" s="675"/>
      <c r="K6383" s="675"/>
      <c r="L6383" s="675"/>
      <c r="M6383" s="675"/>
    </row>
    <row r="6384" spans="1:13" x14ac:dyDescent="0.25">
      <c r="A6384" s="675" t="s">
        <v>1660</v>
      </c>
      <c r="B6384" s="675" t="s">
        <v>545</v>
      </c>
      <c r="C6384" s="676" t="s">
        <v>6331</v>
      </c>
      <c r="D6384" s="675"/>
      <c r="E6384" s="675"/>
      <c r="G6384" s="675"/>
      <c r="H6384" s="675"/>
      <c r="I6384" s="675"/>
      <c r="J6384" s="675"/>
      <c r="K6384" s="675"/>
      <c r="L6384" s="675"/>
      <c r="M6384" s="675"/>
    </row>
    <row r="6385" spans="1:13" x14ac:dyDescent="0.25">
      <c r="A6385" s="675" t="s">
        <v>1660</v>
      </c>
      <c r="B6385" s="675" t="s">
        <v>545</v>
      </c>
      <c r="C6385" s="676" t="s">
        <v>6332</v>
      </c>
      <c r="D6385" s="675"/>
      <c r="E6385" s="675"/>
      <c r="G6385" s="675"/>
      <c r="H6385" s="675"/>
      <c r="I6385" s="675"/>
      <c r="J6385" s="675"/>
      <c r="K6385" s="675"/>
      <c r="L6385" s="675"/>
      <c r="M6385" s="675"/>
    </row>
    <row r="6386" spans="1:13" x14ac:dyDescent="0.25">
      <c r="A6386" s="675" t="s">
        <v>1660</v>
      </c>
      <c r="B6386" s="675" t="s">
        <v>545</v>
      </c>
      <c r="C6386" s="676" t="s">
        <v>6333</v>
      </c>
      <c r="D6386" s="675"/>
      <c r="E6386" s="675"/>
      <c r="G6386" s="675"/>
      <c r="H6386" s="675"/>
      <c r="I6386" s="675"/>
      <c r="J6386" s="675"/>
      <c r="K6386" s="675"/>
      <c r="L6386" s="675"/>
      <c r="M6386" s="675"/>
    </row>
    <row r="6387" spans="1:13" x14ac:dyDescent="0.25">
      <c r="A6387" s="675" t="s">
        <v>1660</v>
      </c>
      <c r="B6387" s="675" t="s">
        <v>545</v>
      </c>
      <c r="C6387" s="676" t="s">
        <v>6334</v>
      </c>
      <c r="D6387" s="675"/>
      <c r="E6387" s="675"/>
      <c r="G6387" s="675"/>
      <c r="H6387" s="675"/>
      <c r="I6387" s="675"/>
      <c r="J6387" s="675"/>
      <c r="K6387" s="675"/>
      <c r="L6387" s="675"/>
      <c r="M6387" s="675"/>
    </row>
    <row r="6388" spans="1:13" x14ac:dyDescent="0.25">
      <c r="A6388" s="675" t="s">
        <v>1660</v>
      </c>
      <c r="B6388" s="675" t="s">
        <v>545</v>
      </c>
      <c r="C6388" s="676" t="s">
        <v>6335</v>
      </c>
      <c r="D6388" s="675"/>
      <c r="E6388" s="675"/>
      <c r="G6388" s="675"/>
      <c r="H6388" s="675"/>
      <c r="I6388" s="675"/>
      <c r="J6388" s="675"/>
      <c r="K6388" s="675"/>
      <c r="L6388" s="675"/>
      <c r="M6388" s="675"/>
    </row>
    <row r="6389" spans="1:13" x14ac:dyDescent="0.25">
      <c r="A6389" s="675" t="s">
        <v>1660</v>
      </c>
      <c r="B6389" s="675" t="s">
        <v>545</v>
      </c>
      <c r="C6389" s="676" t="s">
        <v>6336</v>
      </c>
      <c r="D6389" s="675"/>
      <c r="E6389" s="675"/>
      <c r="G6389" s="675"/>
      <c r="H6389" s="675"/>
      <c r="I6389" s="675"/>
      <c r="J6389" s="675"/>
      <c r="K6389" s="675"/>
      <c r="L6389" s="675"/>
      <c r="M6389" s="675"/>
    </row>
    <row r="6390" spans="1:13" x14ac:dyDescent="0.25">
      <c r="A6390" s="675" t="s">
        <v>1660</v>
      </c>
      <c r="B6390" s="675" t="s">
        <v>545</v>
      </c>
      <c r="C6390" s="676" t="s">
        <v>6337</v>
      </c>
      <c r="D6390" s="675"/>
      <c r="E6390" s="675"/>
      <c r="G6390" s="675"/>
      <c r="H6390" s="675"/>
      <c r="I6390" s="675"/>
      <c r="J6390" s="675"/>
      <c r="K6390" s="675"/>
      <c r="L6390" s="675"/>
      <c r="M6390" s="675"/>
    </row>
    <row r="6391" spans="1:13" x14ac:dyDescent="0.25">
      <c r="A6391" s="675" t="s">
        <v>1660</v>
      </c>
      <c r="B6391" s="675" t="s">
        <v>564</v>
      </c>
      <c r="C6391" s="676" t="s">
        <v>6338</v>
      </c>
      <c r="D6391" s="675"/>
      <c r="E6391" s="675"/>
      <c r="G6391" s="675"/>
      <c r="H6391" s="675"/>
      <c r="I6391" s="675"/>
      <c r="J6391" s="675"/>
      <c r="K6391" s="675"/>
      <c r="L6391" s="675"/>
      <c r="M6391" s="675"/>
    </row>
    <row r="6392" spans="1:13" x14ac:dyDescent="0.25">
      <c r="A6392" s="675" t="s">
        <v>1660</v>
      </c>
      <c r="B6392" s="675" t="s">
        <v>564</v>
      </c>
      <c r="C6392" s="676" t="s">
        <v>6339</v>
      </c>
      <c r="D6392" s="675"/>
      <c r="E6392" s="675"/>
      <c r="G6392" s="675"/>
      <c r="H6392" s="675"/>
      <c r="I6392" s="675"/>
      <c r="J6392" s="675"/>
      <c r="K6392" s="675"/>
      <c r="L6392" s="675"/>
      <c r="M6392" s="675"/>
    </row>
    <row r="6393" spans="1:13" x14ac:dyDescent="0.25">
      <c r="A6393" s="675" t="s">
        <v>1660</v>
      </c>
      <c r="B6393" s="675" t="s">
        <v>564</v>
      </c>
      <c r="C6393" s="676" t="s">
        <v>6340</v>
      </c>
      <c r="D6393" s="675"/>
      <c r="E6393" s="675"/>
      <c r="G6393" s="675"/>
      <c r="H6393" s="675"/>
      <c r="I6393" s="675"/>
      <c r="J6393" s="675"/>
      <c r="K6393" s="675"/>
      <c r="L6393" s="675"/>
      <c r="M6393" s="675"/>
    </row>
    <row r="6394" spans="1:13" x14ac:dyDescent="0.25">
      <c r="A6394" s="675" t="s">
        <v>1660</v>
      </c>
      <c r="B6394" s="675" t="s">
        <v>564</v>
      </c>
      <c r="C6394" s="676" t="s">
        <v>6341</v>
      </c>
      <c r="D6394" s="675"/>
      <c r="E6394" s="675"/>
      <c r="G6394" s="675"/>
      <c r="H6394" s="675"/>
      <c r="I6394" s="675"/>
      <c r="J6394" s="675"/>
      <c r="K6394" s="675"/>
      <c r="L6394" s="675"/>
      <c r="M6394" s="675"/>
    </row>
    <row r="6395" spans="1:13" x14ac:dyDescent="0.25">
      <c r="A6395" s="675" t="s">
        <v>1660</v>
      </c>
      <c r="B6395" s="675" t="s">
        <v>564</v>
      </c>
      <c r="C6395" s="676" t="s">
        <v>6342</v>
      </c>
      <c r="D6395" s="675"/>
      <c r="E6395" s="675"/>
      <c r="G6395" s="675"/>
      <c r="H6395" s="675"/>
      <c r="I6395" s="675"/>
      <c r="J6395" s="675"/>
      <c r="K6395" s="675"/>
      <c r="L6395" s="675"/>
      <c r="M6395" s="675"/>
    </row>
    <row r="6396" spans="1:13" x14ac:dyDescent="0.25">
      <c r="A6396" s="675" t="s">
        <v>1660</v>
      </c>
      <c r="B6396" s="675" t="s">
        <v>564</v>
      </c>
      <c r="C6396" s="676" t="s">
        <v>6343</v>
      </c>
      <c r="D6396" s="675"/>
      <c r="E6396" s="675"/>
      <c r="G6396" s="675"/>
      <c r="H6396" s="675"/>
      <c r="I6396" s="675"/>
      <c r="J6396" s="675"/>
      <c r="K6396" s="675"/>
      <c r="L6396" s="675"/>
      <c r="M6396" s="675"/>
    </row>
    <row r="6397" spans="1:13" x14ac:dyDescent="0.25">
      <c r="A6397" s="675" t="s">
        <v>1660</v>
      </c>
      <c r="B6397" s="675" t="s">
        <v>564</v>
      </c>
      <c r="C6397" s="676" t="s">
        <v>6344</v>
      </c>
      <c r="D6397" s="675"/>
      <c r="E6397" s="675"/>
      <c r="G6397" s="675"/>
      <c r="H6397" s="675"/>
      <c r="I6397" s="675"/>
      <c r="J6397" s="675"/>
      <c r="K6397" s="675"/>
      <c r="L6397" s="675"/>
      <c r="M6397" s="675"/>
    </row>
    <row r="6398" spans="1:13" x14ac:dyDescent="0.25">
      <c r="A6398" s="675" t="s">
        <v>1660</v>
      </c>
      <c r="B6398" s="675" t="s">
        <v>564</v>
      </c>
      <c r="C6398" s="676" t="s">
        <v>6345</v>
      </c>
      <c r="D6398" s="675"/>
      <c r="E6398" s="675"/>
      <c r="G6398" s="675"/>
      <c r="H6398" s="675"/>
      <c r="I6398" s="675"/>
      <c r="J6398" s="675"/>
      <c r="K6398" s="675"/>
      <c r="L6398" s="675"/>
      <c r="M6398" s="675"/>
    </row>
    <row r="6399" spans="1:13" x14ac:dyDescent="0.25">
      <c r="A6399" s="675" t="s">
        <v>1660</v>
      </c>
      <c r="B6399" s="675" t="s">
        <v>564</v>
      </c>
      <c r="C6399" s="676" t="s">
        <v>6346</v>
      </c>
      <c r="D6399" s="675"/>
      <c r="E6399" s="675"/>
      <c r="G6399" s="675"/>
      <c r="H6399" s="675"/>
      <c r="I6399" s="675"/>
      <c r="J6399" s="675"/>
      <c r="K6399" s="675"/>
      <c r="L6399" s="675"/>
      <c r="M6399" s="675"/>
    </row>
    <row r="6400" spans="1:13" ht="30" x14ac:dyDescent="0.25">
      <c r="A6400" s="675" t="s">
        <v>1660</v>
      </c>
      <c r="B6400" s="675" t="s">
        <v>564</v>
      </c>
      <c r="C6400" s="676" t="s">
        <v>6347</v>
      </c>
      <c r="D6400" s="675"/>
      <c r="E6400" s="675"/>
      <c r="G6400" s="675"/>
      <c r="H6400" s="675"/>
      <c r="I6400" s="675"/>
      <c r="J6400" s="675"/>
      <c r="K6400" s="675"/>
      <c r="L6400" s="675"/>
      <c r="M6400" s="675"/>
    </row>
    <row r="6401" spans="1:13" x14ac:dyDescent="0.25">
      <c r="A6401" s="675" t="s">
        <v>1660</v>
      </c>
      <c r="B6401" s="675" t="s">
        <v>512</v>
      </c>
      <c r="C6401" s="676" t="s">
        <v>6348</v>
      </c>
      <c r="D6401" s="675"/>
      <c r="E6401" s="675"/>
      <c r="G6401" s="675"/>
      <c r="H6401" s="675"/>
      <c r="I6401" s="675"/>
      <c r="J6401" s="675"/>
      <c r="K6401" s="675"/>
      <c r="L6401" s="675"/>
      <c r="M6401" s="675"/>
    </row>
    <row r="6402" spans="1:13" x14ac:dyDescent="0.25">
      <c r="A6402" s="675" t="s">
        <v>1660</v>
      </c>
      <c r="B6402" s="675" t="s">
        <v>512</v>
      </c>
      <c r="C6402" s="676" t="s">
        <v>6349</v>
      </c>
      <c r="D6402" s="675"/>
      <c r="E6402" s="675"/>
      <c r="G6402" s="675"/>
      <c r="H6402" s="675"/>
      <c r="I6402" s="675"/>
      <c r="J6402" s="675"/>
      <c r="K6402" s="675"/>
      <c r="L6402" s="675"/>
      <c r="M6402" s="675"/>
    </row>
    <row r="6403" spans="1:13" x14ac:dyDescent="0.25">
      <c r="A6403" s="675" t="s">
        <v>1660</v>
      </c>
      <c r="B6403" s="675" t="s">
        <v>512</v>
      </c>
      <c r="C6403" s="676" t="s">
        <v>6350</v>
      </c>
      <c r="D6403" s="675"/>
      <c r="E6403" s="675"/>
      <c r="G6403" s="675"/>
      <c r="H6403" s="675"/>
      <c r="I6403" s="675"/>
      <c r="J6403" s="675"/>
      <c r="K6403" s="675"/>
      <c r="L6403" s="675"/>
      <c r="M6403" s="675"/>
    </row>
    <row r="6404" spans="1:13" x14ac:dyDescent="0.25">
      <c r="A6404" s="675" t="s">
        <v>1660</v>
      </c>
      <c r="B6404" s="675" t="s">
        <v>512</v>
      </c>
      <c r="C6404" s="676" t="s">
        <v>6351</v>
      </c>
      <c r="D6404" s="675"/>
      <c r="E6404" s="675"/>
      <c r="G6404" s="675"/>
      <c r="H6404" s="675"/>
      <c r="I6404" s="675"/>
      <c r="J6404" s="675"/>
      <c r="K6404" s="675"/>
      <c r="L6404" s="675"/>
      <c r="M6404" s="675"/>
    </row>
    <row r="6405" spans="1:13" x14ac:dyDescent="0.25">
      <c r="A6405" s="675" t="s">
        <v>1660</v>
      </c>
      <c r="B6405" s="675" t="s">
        <v>512</v>
      </c>
      <c r="C6405" s="676" t="s">
        <v>6352</v>
      </c>
      <c r="D6405" s="675"/>
      <c r="E6405" s="675"/>
      <c r="G6405" s="675"/>
      <c r="H6405" s="675"/>
      <c r="I6405" s="675"/>
      <c r="J6405" s="675"/>
      <c r="K6405" s="675"/>
      <c r="L6405" s="675"/>
      <c r="M6405" s="675"/>
    </row>
    <row r="6406" spans="1:13" x14ac:dyDescent="0.25">
      <c r="A6406" s="675" t="s">
        <v>1660</v>
      </c>
      <c r="B6406" s="675" t="s">
        <v>512</v>
      </c>
      <c r="C6406" s="676" t="s">
        <v>6353</v>
      </c>
      <c r="D6406" s="675"/>
      <c r="E6406" s="675"/>
      <c r="G6406" s="675"/>
      <c r="H6406" s="675"/>
      <c r="I6406" s="675"/>
      <c r="J6406" s="675"/>
      <c r="K6406" s="675"/>
      <c r="L6406" s="675"/>
      <c r="M6406" s="675"/>
    </row>
    <row r="6407" spans="1:13" x14ac:dyDescent="0.25">
      <c r="A6407" s="675" t="s">
        <v>1660</v>
      </c>
      <c r="B6407" s="675" t="s">
        <v>512</v>
      </c>
      <c r="C6407" s="676" t="s">
        <v>6354</v>
      </c>
      <c r="D6407" s="675"/>
      <c r="E6407" s="675"/>
      <c r="G6407" s="675"/>
      <c r="H6407" s="675"/>
      <c r="I6407" s="675"/>
      <c r="J6407" s="675"/>
      <c r="K6407" s="675"/>
      <c r="L6407" s="675"/>
      <c r="M6407" s="675"/>
    </row>
    <row r="6408" spans="1:13" x14ac:dyDescent="0.25">
      <c r="A6408" s="675" t="s">
        <v>1660</v>
      </c>
      <c r="B6408" s="675" t="s">
        <v>512</v>
      </c>
      <c r="C6408" s="676" t="s">
        <v>6355</v>
      </c>
      <c r="D6408" s="675"/>
      <c r="E6408" s="675"/>
      <c r="G6408" s="675"/>
      <c r="H6408" s="675"/>
      <c r="I6408" s="675"/>
      <c r="J6408" s="675"/>
      <c r="K6408" s="675"/>
      <c r="L6408" s="675"/>
      <c r="M6408" s="675"/>
    </row>
    <row r="6409" spans="1:13" x14ac:dyDescent="0.25">
      <c r="A6409" s="675" t="s">
        <v>1660</v>
      </c>
      <c r="B6409" s="675" t="s">
        <v>512</v>
      </c>
      <c r="C6409" s="676" t="s">
        <v>6356</v>
      </c>
      <c r="D6409" s="675"/>
      <c r="E6409" s="675"/>
      <c r="G6409" s="675"/>
      <c r="H6409" s="675"/>
      <c r="I6409" s="675"/>
      <c r="J6409" s="675"/>
      <c r="K6409" s="675"/>
      <c r="L6409" s="675"/>
      <c r="M6409" s="675"/>
    </row>
    <row r="6410" spans="1:13" x14ac:dyDescent="0.25">
      <c r="A6410" s="675" t="s">
        <v>1660</v>
      </c>
      <c r="B6410" s="675" t="s">
        <v>512</v>
      </c>
      <c r="C6410" s="676" t="s">
        <v>6357</v>
      </c>
      <c r="D6410" s="675"/>
      <c r="E6410" s="675"/>
      <c r="G6410" s="675"/>
      <c r="H6410" s="675"/>
      <c r="I6410" s="675"/>
      <c r="J6410" s="675"/>
      <c r="K6410" s="675"/>
      <c r="L6410" s="675"/>
      <c r="M6410" s="675"/>
    </row>
    <row r="6411" spans="1:13" x14ac:dyDescent="0.25">
      <c r="A6411" s="675" t="s">
        <v>6358</v>
      </c>
      <c r="B6411" s="675" t="s">
        <v>545</v>
      </c>
      <c r="C6411" s="676" t="s">
        <v>6359</v>
      </c>
      <c r="D6411" s="675"/>
      <c r="E6411" s="675"/>
      <c r="G6411" s="675"/>
      <c r="H6411" s="675"/>
      <c r="I6411" s="675"/>
      <c r="J6411" s="675"/>
      <c r="K6411" s="675"/>
      <c r="L6411" s="675"/>
      <c r="M6411" s="675"/>
    </row>
    <row r="6412" spans="1:13" x14ac:dyDescent="0.25">
      <c r="A6412" s="675" t="s">
        <v>6358</v>
      </c>
      <c r="B6412" s="675" t="s">
        <v>545</v>
      </c>
      <c r="C6412" s="676" t="s">
        <v>6360</v>
      </c>
      <c r="D6412" s="675"/>
      <c r="E6412" s="675"/>
      <c r="G6412" s="675"/>
      <c r="H6412" s="675"/>
      <c r="I6412" s="675"/>
      <c r="J6412" s="675"/>
      <c r="K6412" s="675"/>
      <c r="L6412" s="675"/>
      <c r="M6412" s="675"/>
    </row>
    <row r="6413" spans="1:13" ht="30" x14ac:dyDescent="0.25">
      <c r="A6413" s="675" t="s">
        <v>6358</v>
      </c>
      <c r="B6413" s="675" t="s">
        <v>545</v>
      </c>
      <c r="C6413" s="676" t="s">
        <v>6361</v>
      </c>
      <c r="D6413" s="675"/>
      <c r="E6413" s="675"/>
      <c r="G6413" s="675"/>
      <c r="H6413" s="675"/>
      <c r="I6413" s="675"/>
      <c r="J6413" s="675"/>
      <c r="K6413" s="675"/>
      <c r="L6413" s="675"/>
      <c r="M6413" s="675"/>
    </row>
    <row r="6414" spans="1:13" ht="30" x14ac:dyDescent="0.25">
      <c r="A6414" s="675" t="s">
        <v>6358</v>
      </c>
      <c r="B6414" s="675" t="s">
        <v>545</v>
      </c>
      <c r="C6414" s="676" t="s">
        <v>6362</v>
      </c>
      <c r="D6414" s="675"/>
      <c r="E6414" s="675"/>
      <c r="G6414" s="675"/>
      <c r="H6414" s="675"/>
      <c r="I6414" s="675"/>
      <c r="J6414" s="675"/>
      <c r="K6414" s="675"/>
      <c r="L6414" s="675"/>
      <c r="M6414" s="675"/>
    </row>
    <row r="6415" spans="1:13" x14ac:dyDescent="0.25">
      <c r="A6415" s="675" t="s">
        <v>6358</v>
      </c>
      <c r="B6415" s="675" t="s">
        <v>545</v>
      </c>
      <c r="C6415" s="676" t="s">
        <v>6363</v>
      </c>
      <c r="D6415" s="675"/>
      <c r="E6415" s="675"/>
      <c r="G6415" s="675"/>
      <c r="H6415" s="675"/>
      <c r="I6415" s="675"/>
      <c r="J6415" s="675"/>
      <c r="K6415" s="675"/>
      <c r="L6415" s="675"/>
      <c r="M6415" s="675"/>
    </row>
    <row r="6416" spans="1:13" x14ac:dyDescent="0.25">
      <c r="A6416" s="675" t="s">
        <v>6358</v>
      </c>
      <c r="B6416" s="675" t="s">
        <v>545</v>
      </c>
      <c r="C6416" s="676" t="s">
        <v>6364</v>
      </c>
      <c r="D6416" s="675"/>
      <c r="E6416" s="675"/>
      <c r="G6416" s="675"/>
      <c r="H6416" s="675"/>
      <c r="I6416" s="675"/>
      <c r="J6416" s="675"/>
      <c r="K6416" s="675"/>
      <c r="L6416" s="675"/>
      <c r="M6416" s="675"/>
    </row>
    <row r="6417" spans="1:13" x14ac:dyDescent="0.25">
      <c r="A6417" s="675" t="s">
        <v>6358</v>
      </c>
      <c r="B6417" s="675" t="s">
        <v>545</v>
      </c>
      <c r="C6417" s="676" t="s">
        <v>6365</v>
      </c>
      <c r="D6417" s="675"/>
      <c r="E6417" s="675"/>
      <c r="G6417" s="675"/>
      <c r="H6417" s="675"/>
      <c r="I6417" s="675"/>
      <c r="J6417" s="675"/>
      <c r="K6417" s="675"/>
      <c r="L6417" s="675"/>
      <c r="M6417" s="675"/>
    </row>
    <row r="6418" spans="1:13" x14ac:dyDescent="0.25">
      <c r="A6418" s="675" t="s">
        <v>6358</v>
      </c>
      <c r="B6418" s="675" t="s">
        <v>545</v>
      </c>
      <c r="C6418" s="676" t="s">
        <v>6366</v>
      </c>
      <c r="D6418" s="675"/>
      <c r="E6418" s="675"/>
      <c r="G6418" s="675"/>
      <c r="H6418" s="675"/>
      <c r="I6418" s="675"/>
      <c r="J6418" s="675"/>
      <c r="K6418" s="675"/>
      <c r="L6418" s="675"/>
      <c r="M6418" s="675"/>
    </row>
    <row r="6419" spans="1:13" x14ac:dyDescent="0.25">
      <c r="A6419" s="675" t="s">
        <v>6358</v>
      </c>
      <c r="B6419" s="675" t="s">
        <v>545</v>
      </c>
      <c r="C6419" s="676" t="s">
        <v>6367</v>
      </c>
      <c r="D6419" s="675"/>
      <c r="E6419" s="675"/>
      <c r="G6419" s="675"/>
      <c r="H6419" s="675"/>
      <c r="I6419" s="675"/>
      <c r="J6419" s="675"/>
      <c r="K6419" s="675"/>
      <c r="L6419" s="675"/>
      <c r="M6419" s="675"/>
    </row>
    <row r="6420" spans="1:13" x14ac:dyDescent="0.25">
      <c r="A6420" s="675" t="s">
        <v>6358</v>
      </c>
      <c r="B6420" s="675" t="s">
        <v>545</v>
      </c>
      <c r="C6420" s="676" t="s">
        <v>6368</v>
      </c>
      <c r="D6420" s="675"/>
      <c r="E6420" s="675"/>
      <c r="G6420" s="675"/>
      <c r="H6420" s="675"/>
      <c r="I6420" s="675"/>
      <c r="J6420" s="675"/>
      <c r="K6420" s="675"/>
      <c r="L6420" s="675"/>
      <c r="M6420" s="675"/>
    </row>
    <row r="6421" spans="1:13" x14ac:dyDescent="0.25">
      <c r="A6421" s="675" t="s">
        <v>6358</v>
      </c>
      <c r="B6421" s="675" t="s">
        <v>564</v>
      </c>
      <c r="C6421" s="676" t="s">
        <v>6369</v>
      </c>
      <c r="D6421" s="675"/>
      <c r="E6421" s="675"/>
      <c r="G6421" s="675"/>
      <c r="H6421" s="675"/>
      <c r="I6421" s="675"/>
      <c r="J6421" s="675"/>
      <c r="K6421" s="675"/>
      <c r="L6421" s="675"/>
      <c r="M6421" s="675"/>
    </row>
    <row r="6422" spans="1:13" x14ac:dyDescent="0.25">
      <c r="A6422" s="675" t="s">
        <v>6358</v>
      </c>
      <c r="B6422" s="675" t="s">
        <v>564</v>
      </c>
      <c r="C6422" s="676" t="s">
        <v>6370</v>
      </c>
      <c r="D6422" s="675"/>
      <c r="E6422" s="675"/>
      <c r="G6422" s="675"/>
      <c r="H6422" s="675"/>
      <c r="I6422" s="675"/>
      <c r="J6422" s="675"/>
      <c r="K6422" s="675"/>
      <c r="L6422" s="675"/>
      <c r="M6422" s="675"/>
    </row>
    <row r="6423" spans="1:13" ht="30" x14ac:dyDescent="0.25">
      <c r="A6423" s="675" t="s">
        <v>6358</v>
      </c>
      <c r="B6423" s="675" t="s">
        <v>564</v>
      </c>
      <c r="C6423" s="676" t="s">
        <v>6371</v>
      </c>
      <c r="D6423" s="675"/>
      <c r="E6423" s="675"/>
      <c r="G6423" s="675"/>
      <c r="H6423" s="675"/>
      <c r="I6423" s="675"/>
      <c r="J6423" s="675"/>
      <c r="K6423" s="675"/>
      <c r="L6423" s="675"/>
      <c r="M6423" s="675"/>
    </row>
    <row r="6424" spans="1:13" x14ac:dyDescent="0.25">
      <c r="A6424" s="675" t="s">
        <v>6358</v>
      </c>
      <c r="B6424" s="675" t="s">
        <v>564</v>
      </c>
      <c r="C6424" s="676" t="s">
        <v>6372</v>
      </c>
      <c r="D6424" s="675"/>
      <c r="E6424" s="675"/>
      <c r="G6424" s="675"/>
      <c r="H6424" s="675"/>
      <c r="I6424" s="675"/>
      <c r="J6424" s="675"/>
      <c r="K6424" s="675"/>
      <c r="L6424" s="675"/>
      <c r="M6424" s="675"/>
    </row>
    <row r="6425" spans="1:13" ht="30" x14ac:dyDescent="0.25">
      <c r="A6425" s="675" t="s">
        <v>6358</v>
      </c>
      <c r="B6425" s="675" t="s">
        <v>564</v>
      </c>
      <c r="C6425" s="676" t="s">
        <v>6373</v>
      </c>
      <c r="D6425" s="675"/>
      <c r="E6425" s="675"/>
      <c r="G6425" s="675"/>
      <c r="H6425" s="675"/>
      <c r="I6425" s="675"/>
      <c r="J6425" s="675"/>
      <c r="K6425" s="675"/>
      <c r="L6425" s="675"/>
      <c r="M6425" s="675"/>
    </row>
    <row r="6426" spans="1:13" x14ac:dyDescent="0.25">
      <c r="A6426" s="675" t="s">
        <v>6358</v>
      </c>
      <c r="B6426" s="675" t="s">
        <v>564</v>
      </c>
      <c r="C6426" s="676" t="s">
        <v>6374</v>
      </c>
      <c r="D6426" s="675"/>
      <c r="E6426" s="675"/>
      <c r="G6426" s="675"/>
      <c r="H6426" s="675"/>
      <c r="I6426" s="675"/>
      <c r="J6426" s="675"/>
      <c r="K6426" s="675"/>
      <c r="L6426" s="675"/>
      <c r="M6426" s="675"/>
    </row>
    <row r="6427" spans="1:13" x14ac:dyDescent="0.25">
      <c r="A6427" s="675" t="s">
        <v>6358</v>
      </c>
      <c r="B6427" s="675" t="s">
        <v>564</v>
      </c>
      <c r="C6427" s="676" t="s">
        <v>6375</v>
      </c>
      <c r="D6427" s="675"/>
      <c r="E6427" s="675"/>
      <c r="G6427" s="675"/>
      <c r="H6427" s="675"/>
      <c r="I6427" s="675"/>
      <c r="J6427" s="675"/>
      <c r="K6427" s="675"/>
      <c r="L6427" s="675"/>
      <c r="M6427" s="675"/>
    </row>
    <row r="6428" spans="1:13" x14ac:dyDescent="0.25">
      <c r="A6428" s="675" t="s">
        <v>6358</v>
      </c>
      <c r="B6428" s="675" t="s">
        <v>564</v>
      </c>
      <c r="C6428" s="676" t="s">
        <v>6376</v>
      </c>
      <c r="D6428" s="675"/>
      <c r="E6428" s="675"/>
      <c r="G6428" s="675"/>
      <c r="H6428" s="675"/>
      <c r="I6428" s="675"/>
      <c r="J6428" s="675"/>
      <c r="K6428" s="675"/>
      <c r="L6428" s="675"/>
      <c r="M6428" s="675"/>
    </row>
    <row r="6429" spans="1:13" x14ac:dyDescent="0.25">
      <c r="A6429" s="675" t="s">
        <v>6358</v>
      </c>
      <c r="B6429" s="675" t="s">
        <v>564</v>
      </c>
      <c r="C6429" s="676" t="s">
        <v>6377</v>
      </c>
      <c r="D6429" s="675"/>
      <c r="E6429" s="675"/>
      <c r="G6429" s="675"/>
      <c r="H6429" s="675"/>
      <c r="I6429" s="675"/>
      <c r="J6429" s="675"/>
      <c r="K6429" s="675"/>
      <c r="L6429" s="675"/>
      <c r="M6429" s="675"/>
    </row>
    <row r="6430" spans="1:13" x14ac:dyDescent="0.25">
      <c r="A6430" s="675" t="s">
        <v>6358</v>
      </c>
      <c r="B6430" s="675" t="s">
        <v>564</v>
      </c>
      <c r="C6430" s="676" t="s">
        <v>6378</v>
      </c>
      <c r="D6430" s="675"/>
      <c r="E6430" s="675"/>
      <c r="G6430" s="675"/>
      <c r="H6430" s="675"/>
      <c r="I6430" s="675"/>
      <c r="J6430" s="675"/>
      <c r="K6430" s="675"/>
      <c r="L6430" s="675"/>
      <c r="M6430" s="675"/>
    </row>
    <row r="6431" spans="1:13" x14ac:dyDescent="0.25">
      <c r="A6431" s="675" t="s">
        <v>6358</v>
      </c>
      <c r="B6431" s="675" t="s">
        <v>512</v>
      </c>
      <c r="C6431" s="676" t="s">
        <v>6379</v>
      </c>
      <c r="D6431" s="675"/>
      <c r="E6431" s="675"/>
      <c r="G6431" s="675"/>
      <c r="H6431" s="675"/>
      <c r="I6431" s="675"/>
      <c r="J6431" s="675"/>
      <c r="K6431" s="675"/>
      <c r="L6431" s="675"/>
      <c r="M6431" s="675"/>
    </row>
    <row r="6432" spans="1:13" x14ac:dyDescent="0.25">
      <c r="A6432" s="675" t="s">
        <v>6358</v>
      </c>
      <c r="B6432" s="675" t="s">
        <v>512</v>
      </c>
      <c r="C6432" s="676" t="s">
        <v>6380</v>
      </c>
      <c r="D6432" s="675"/>
      <c r="E6432" s="675"/>
      <c r="G6432" s="675"/>
      <c r="H6432" s="675"/>
      <c r="I6432" s="675"/>
      <c r="J6432" s="675"/>
      <c r="K6432" s="675"/>
      <c r="L6432" s="675"/>
      <c r="M6432" s="675"/>
    </row>
    <row r="6433" spans="1:13" x14ac:dyDescent="0.25">
      <c r="A6433" s="675" t="s">
        <v>6358</v>
      </c>
      <c r="B6433" s="675" t="s">
        <v>512</v>
      </c>
      <c r="C6433" s="676" t="s">
        <v>6381</v>
      </c>
      <c r="D6433" s="675"/>
      <c r="E6433" s="675"/>
      <c r="G6433" s="675"/>
      <c r="H6433" s="675"/>
      <c r="I6433" s="675"/>
      <c r="J6433" s="675"/>
      <c r="K6433" s="675"/>
      <c r="L6433" s="675"/>
      <c r="M6433" s="675"/>
    </row>
    <row r="6434" spans="1:13" ht="30" x14ac:dyDescent="0.25">
      <c r="A6434" s="675" t="s">
        <v>6358</v>
      </c>
      <c r="B6434" s="675" t="s">
        <v>512</v>
      </c>
      <c r="C6434" s="676" t="s">
        <v>6382</v>
      </c>
      <c r="D6434" s="675"/>
      <c r="E6434" s="675"/>
      <c r="G6434" s="675"/>
      <c r="H6434" s="675"/>
      <c r="I6434" s="675"/>
      <c r="J6434" s="675"/>
      <c r="K6434" s="675"/>
      <c r="L6434" s="675"/>
      <c r="M6434" s="675"/>
    </row>
    <row r="6435" spans="1:13" x14ac:dyDescent="0.25">
      <c r="A6435" s="675" t="s">
        <v>6358</v>
      </c>
      <c r="B6435" s="675" t="s">
        <v>512</v>
      </c>
      <c r="C6435" s="676" t="s">
        <v>6383</v>
      </c>
      <c r="D6435" s="675"/>
      <c r="E6435" s="675"/>
      <c r="G6435" s="675"/>
      <c r="H6435" s="675"/>
      <c r="I6435" s="675"/>
      <c r="J6435" s="675"/>
      <c r="K6435" s="675"/>
      <c r="L6435" s="675"/>
      <c r="M6435" s="675"/>
    </row>
    <row r="6436" spans="1:13" ht="30" x14ac:dyDescent="0.25">
      <c r="A6436" s="675" t="s">
        <v>6358</v>
      </c>
      <c r="B6436" s="675" t="s">
        <v>512</v>
      </c>
      <c r="C6436" s="676" t="s">
        <v>6384</v>
      </c>
      <c r="D6436" s="675"/>
      <c r="E6436" s="675"/>
      <c r="G6436" s="675"/>
      <c r="H6436" s="675"/>
      <c r="I6436" s="675"/>
      <c r="J6436" s="675"/>
      <c r="K6436" s="675"/>
      <c r="L6436" s="675"/>
      <c r="M6436" s="675"/>
    </row>
    <row r="6437" spans="1:13" x14ac:dyDescent="0.25">
      <c r="A6437" s="675" t="s">
        <v>6358</v>
      </c>
      <c r="B6437" s="675" t="s">
        <v>512</v>
      </c>
      <c r="C6437" s="676" t="s">
        <v>6385</v>
      </c>
      <c r="D6437" s="675"/>
      <c r="E6437" s="675"/>
      <c r="G6437" s="675"/>
      <c r="H6437" s="675"/>
      <c r="I6437" s="675"/>
      <c r="J6437" s="675"/>
      <c r="K6437" s="675"/>
      <c r="L6437" s="675"/>
      <c r="M6437" s="675"/>
    </row>
    <row r="6438" spans="1:13" x14ac:dyDescent="0.25">
      <c r="A6438" s="675" t="s">
        <v>6358</v>
      </c>
      <c r="B6438" s="675" t="s">
        <v>512</v>
      </c>
      <c r="C6438" s="676" t="s">
        <v>6386</v>
      </c>
      <c r="D6438" s="675"/>
      <c r="E6438" s="675"/>
      <c r="G6438" s="675"/>
      <c r="H6438" s="675"/>
      <c r="I6438" s="675"/>
      <c r="J6438" s="675"/>
      <c r="K6438" s="675"/>
      <c r="L6438" s="675"/>
      <c r="M6438" s="675"/>
    </row>
    <row r="6439" spans="1:13" x14ac:dyDescent="0.25">
      <c r="A6439" s="675" t="s">
        <v>6358</v>
      </c>
      <c r="B6439" s="675" t="s">
        <v>512</v>
      </c>
      <c r="C6439" s="676" t="s">
        <v>6387</v>
      </c>
      <c r="D6439" s="675"/>
      <c r="E6439" s="675"/>
      <c r="G6439" s="675"/>
      <c r="H6439" s="675"/>
      <c r="I6439" s="675"/>
      <c r="J6439" s="675"/>
      <c r="K6439" s="675"/>
      <c r="L6439" s="675"/>
      <c r="M6439" s="675"/>
    </row>
    <row r="6440" spans="1:13" x14ac:dyDescent="0.25">
      <c r="A6440" s="675" t="s">
        <v>6358</v>
      </c>
      <c r="B6440" s="675" t="s">
        <v>512</v>
      </c>
      <c r="C6440" s="676" t="s">
        <v>6388</v>
      </c>
      <c r="D6440" s="675"/>
      <c r="E6440" s="675"/>
      <c r="G6440" s="675"/>
      <c r="H6440" s="675"/>
      <c r="I6440" s="675"/>
      <c r="J6440" s="675"/>
      <c r="K6440" s="675"/>
      <c r="L6440" s="675"/>
      <c r="M6440" s="675"/>
    </row>
    <row r="6441" spans="1:13" x14ac:dyDescent="0.25">
      <c r="A6441" s="675" t="s">
        <v>6389</v>
      </c>
      <c r="B6441" s="675" t="s">
        <v>545</v>
      </c>
      <c r="C6441" s="676" t="s">
        <v>6390</v>
      </c>
      <c r="D6441" s="675"/>
      <c r="E6441" s="675"/>
      <c r="G6441" s="675"/>
      <c r="H6441" s="675"/>
      <c r="I6441" s="675"/>
      <c r="J6441" s="675"/>
      <c r="K6441" s="675"/>
      <c r="L6441" s="675"/>
      <c r="M6441" s="675"/>
    </row>
    <row r="6442" spans="1:13" x14ac:dyDescent="0.25">
      <c r="A6442" s="675" t="s">
        <v>6389</v>
      </c>
      <c r="B6442" s="675" t="s">
        <v>545</v>
      </c>
      <c r="C6442" s="676" t="s">
        <v>6391</v>
      </c>
      <c r="D6442" s="675"/>
      <c r="E6442" s="675"/>
      <c r="G6442" s="675"/>
      <c r="H6442" s="675"/>
      <c r="I6442" s="675"/>
      <c r="J6442" s="675"/>
      <c r="K6442" s="675"/>
      <c r="L6442" s="675"/>
      <c r="M6442" s="675"/>
    </row>
    <row r="6443" spans="1:13" x14ac:dyDescent="0.25">
      <c r="A6443" s="675" t="s">
        <v>6389</v>
      </c>
      <c r="B6443" s="675" t="s">
        <v>545</v>
      </c>
      <c r="C6443" s="676" t="s">
        <v>6392</v>
      </c>
      <c r="D6443" s="675"/>
      <c r="E6443" s="675"/>
      <c r="G6443" s="675"/>
      <c r="H6443" s="675"/>
      <c r="I6443" s="675"/>
      <c r="J6443" s="675"/>
      <c r="K6443" s="675"/>
      <c r="L6443" s="675"/>
      <c r="M6443" s="675"/>
    </row>
    <row r="6444" spans="1:13" x14ac:dyDescent="0.25">
      <c r="A6444" s="675" t="s">
        <v>6389</v>
      </c>
      <c r="B6444" s="675" t="s">
        <v>545</v>
      </c>
      <c r="C6444" s="676" t="s">
        <v>6393</v>
      </c>
      <c r="D6444" s="675"/>
      <c r="E6444" s="675"/>
      <c r="G6444" s="675"/>
      <c r="H6444" s="675"/>
      <c r="I6444" s="675"/>
      <c r="J6444" s="675"/>
      <c r="K6444" s="675"/>
      <c r="L6444" s="675"/>
      <c r="M6444" s="675"/>
    </row>
    <row r="6445" spans="1:13" x14ac:dyDescent="0.25">
      <c r="A6445" s="675" t="s">
        <v>6389</v>
      </c>
      <c r="B6445" s="675" t="s">
        <v>545</v>
      </c>
      <c r="C6445" s="676" t="s">
        <v>6394</v>
      </c>
      <c r="D6445" s="675"/>
      <c r="E6445" s="675"/>
      <c r="G6445" s="675"/>
      <c r="H6445" s="675"/>
      <c r="I6445" s="675"/>
      <c r="J6445" s="675"/>
      <c r="K6445" s="675"/>
      <c r="L6445" s="675"/>
      <c r="M6445" s="675"/>
    </row>
    <row r="6446" spans="1:13" ht="30" x14ac:dyDescent="0.25">
      <c r="A6446" s="675" t="s">
        <v>6389</v>
      </c>
      <c r="B6446" s="675" t="s">
        <v>545</v>
      </c>
      <c r="C6446" s="676" t="s">
        <v>6395</v>
      </c>
      <c r="D6446" s="675"/>
      <c r="E6446" s="675"/>
      <c r="G6446" s="675"/>
      <c r="H6446" s="675"/>
      <c r="I6446" s="675"/>
      <c r="J6446" s="675"/>
      <c r="K6446" s="675"/>
      <c r="L6446" s="675"/>
      <c r="M6446" s="675"/>
    </row>
    <row r="6447" spans="1:13" x14ac:dyDescent="0.25">
      <c r="A6447" s="675" t="s">
        <v>6389</v>
      </c>
      <c r="B6447" s="675" t="s">
        <v>545</v>
      </c>
      <c r="C6447" s="676" t="s">
        <v>6396</v>
      </c>
      <c r="D6447" s="675"/>
      <c r="E6447" s="675"/>
      <c r="G6447" s="675"/>
      <c r="H6447" s="675"/>
      <c r="I6447" s="675"/>
      <c r="J6447" s="675"/>
      <c r="K6447" s="675"/>
      <c r="L6447" s="675"/>
      <c r="M6447" s="675"/>
    </row>
    <row r="6448" spans="1:13" x14ac:dyDescent="0.25">
      <c r="A6448" s="675" t="s">
        <v>6389</v>
      </c>
      <c r="B6448" s="675" t="s">
        <v>545</v>
      </c>
      <c r="C6448" s="676" t="s">
        <v>6397</v>
      </c>
      <c r="D6448" s="675"/>
      <c r="E6448" s="675"/>
      <c r="G6448" s="675"/>
      <c r="H6448" s="675"/>
      <c r="I6448" s="675"/>
      <c r="J6448" s="675"/>
      <c r="K6448" s="675"/>
      <c r="L6448" s="675"/>
      <c r="M6448" s="675"/>
    </row>
    <row r="6449" spans="1:13" ht="30" x14ac:dyDescent="0.25">
      <c r="A6449" s="675" t="s">
        <v>6389</v>
      </c>
      <c r="B6449" s="675" t="s">
        <v>545</v>
      </c>
      <c r="C6449" s="676" t="s">
        <v>6398</v>
      </c>
      <c r="D6449" s="675"/>
      <c r="E6449" s="675"/>
      <c r="G6449" s="675"/>
      <c r="H6449" s="675"/>
      <c r="I6449" s="675"/>
      <c r="J6449" s="675"/>
      <c r="K6449" s="675"/>
      <c r="L6449" s="675"/>
      <c r="M6449" s="675"/>
    </row>
    <row r="6450" spans="1:13" x14ac:dyDescent="0.25">
      <c r="A6450" s="675" t="s">
        <v>6389</v>
      </c>
      <c r="B6450" s="675" t="s">
        <v>545</v>
      </c>
      <c r="C6450" s="676" t="s">
        <v>6399</v>
      </c>
      <c r="D6450" s="675"/>
      <c r="E6450" s="675"/>
      <c r="G6450" s="675"/>
      <c r="H6450" s="675"/>
      <c r="I6450" s="675"/>
      <c r="J6450" s="675"/>
      <c r="K6450" s="675"/>
      <c r="L6450" s="675"/>
      <c r="M6450" s="675"/>
    </row>
    <row r="6451" spans="1:13" x14ac:dyDescent="0.25">
      <c r="A6451" s="675" t="s">
        <v>6389</v>
      </c>
      <c r="B6451" s="675" t="s">
        <v>564</v>
      </c>
      <c r="C6451" s="676" t="s">
        <v>6400</v>
      </c>
      <c r="D6451" s="675"/>
      <c r="E6451" s="675"/>
      <c r="G6451" s="675"/>
      <c r="H6451" s="675"/>
      <c r="I6451" s="675"/>
      <c r="J6451" s="675"/>
      <c r="K6451" s="675"/>
      <c r="L6451" s="675"/>
      <c r="M6451" s="675"/>
    </row>
    <row r="6452" spans="1:13" x14ac:dyDescent="0.25">
      <c r="A6452" s="675" t="s">
        <v>6389</v>
      </c>
      <c r="B6452" s="675" t="s">
        <v>564</v>
      </c>
      <c r="C6452" s="676" t="s">
        <v>6401</v>
      </c>
      <c r="D6452" s="675"/>
      <c r="E6452" s="675"/>
      <c r="G6452" s="675"/>
      <c r="H6452" s="675"/>
      <c r="I6452" s="675"/>
      <c r="J6452" s="675"/>
      <c r="K6452" s="675"/>
      <c r="L6452" s="675"/>
      <c r="M6452" s="675"/>
    </row>
    <row r="6453" spans="1:13" x14ac:dyDescent="0.25">
      <c r="A6453" s="675" t="s">
        <v>6389</v>
      </c>
      <c r="B6453" s="675" t="s">
        <v>564</v>
      </c>
      <c r="C6453" s="676" t="s">
        <v>6402</v>
      </c>
      <c r="D6453" s="675"/>
      <c r="E6453" s="675"/>
      <c r="G6453" s="675"/>
      <c r="H6453" s="675"/>
      <c r="I6453" s="675"/>
      <c r="J6453" s="675"/>
      <c r="K6453" s="675"/>
      <c r="L6453" s="675"/>
      <c r="M6453" s="675"/>
    </row>
    <row r="6454" spans="1:13" x14ac:dyDescent="0.25">
      <c r="A6454" s="675" t="s">
        <v>6389</v>
      </c>
      <c r="B6454" s="675" t="s">
        <v>564</v>
      </c>
      <c r="C6454" s="676" t="s">
        <v>6403</v>
      </c>
      <c r="D6454" s="675"/>
      <c r="E6454" s="675"/>
      <c r="G6454" s="675"/>
      <c r="H6454" s="675"/>
      <c r="I6454" s="675"/>
      <c r="J6454" s="675"/>
      <c r="K6454" s="675"/>
      <c r="L6454" s="675"/>
      <c r="M6454" s="675"/>
    </row>
    <row r="6455" spans="1:13" x14ac:dyDescent="0.25">
      <c r="A6455" s="675" t="s">
        <v>6389</v>
      </c>
      <c r="B6455" s="675" t="s">
        <v>564</v>
      </c>
      <c r="C6455" s="676" t="s">
        <v>6404</v>
      </c>
      <c r="D6455" s="675"/>
      <c r="E6455" s="675"/>
      <c r="G6455" s="675"/>
      <c r="H6455" s="675"/>
      <c r="I6455" s="675"/>
      <c r="J6455" s="675"/>
      <c r="K6455" s="675"/>
      <c r="L6455" s="675"/>
      <c r="M6455" s="675"/>
    </row>
    <row r="6456" spans="1:13" x14ac:dyDescent="0.25">
      <c r="A6456" s="675" t="s">
        <v>6389</v>
      </c>
      <c r="B6456" s="675" t="s">
        <v>564</v>
      </c>
      <c r="C6456" s="676" t="s">
        <v>6405</v>
      </c>
      <c r="D6456" s="675"/>
      <c r="E6456" s="675"/>
      <c r="G6456" s="675"/>
      <c r="H6456" s="675"/>
      <c r="I6456" s="675"/>
      <c r="J6456" s="675"/>
      <c r="K6456" s="675"/>
      <c r="L6456" s="675"/>
      <c r="M6456" s="675"/>
    </row>
    <row r="6457" spans="1:13" x14ac:dyDescent="0.25">
      <c r="A6457" s="675" t="s">
        <v>6389</v>
      </c>
      <c r="B6457" s="675" t="s">
        <v>564</v>
      </c>
      <c r="C6457" s="676" t="s">
        <v>6406</v>
      </c>
      <c r="D6457" s="675"/>
      <c r="E6457" s="675"/>
      <c r="G6457" s="675"/>
      <c r="H6457" s="675"/>
      <c r="I6457" s="675"/>
      <c r="J6457" s="675"/>
      <c r="K6457" s="675"/>
      <c r="L6457" s="675"/>
      <c r="M6457" s="675"/>
    </row>
    <row r="6458" spans="1:13" x14ac:dyDescent="0.25">
      <c r="A6458" s="675" t="s">
        <v>6389</v>
      </c>
      <c r="B6458" s="675" t="s">
        <v>564</v>
      </c>
      <c r="C6458" s="676" t="s">
        <v>6407</v>
      </c>
      <c r="D6458" s="675"/>
      <c r="E6458" s="675"/>
      <c r="G6458" s="675"/>
      <c r="H6458" s="675"/>
      <c r="I6458" s="675"/>
      <c r="J6458" s="675"/>
      <c r="K6458" s="675"/>
      <c r="L6458" s="675"/>
      <c r="M6458" s="675"/>
    </row>
    <row r="6459" spans="1:13" x14ac:dyDescent="0.25">
      <c r="A6459" s="675" t="s">
        <v>6389</v>
      </c>
      <c r="B6459" s="675" t="s">
        <v>564</v>
      </c>
      <c r="C6459" s="676" t="s">
        <v>6408</v>
      </c>
      <c r="D6459" s="675"/>
      <c r="E6459" s="675"/>
      <c r="G6459" s="675"/>
      <c r="H6459" s="675"/>
      <c r="I6459" s="675"/>
      <c r="J6459" s="675"/>
      <c r="K6459" s="675"/>
      <c r="L6459" s="675"/>
      <c r="M6459" s="675"/>
    </row>
    <row r="6460" spans="1:13" x14ac:dyDescent="0.25">
      <c r="A6460" s="675" t="s">
        <v>6389</v>
      </c>
      <c r="B6460" s="675" t="s">
        <v>564</v>
      </c>
      <c r="C6460" s="676" t="s">
        <v>6409</v>
      </c>
      <c r="D6460" s="675"/>
      <c r="E6460" s="675"/>
      <c r="G6460" s="675"/>
      <c r="H6460" s="675"/>
      <c r="I6460" s="675"/>
      <c r="J6460" s="675"/>
      <c r="K6460" s="675"/>
      <c r="L6460" s="675"/>
      <c r="M6460" s="675"/>
    </row>
    <row r="6461" spans="1:13" x14ac:dyDescent="0.25">
      <c r="A6461" s="675" t="s">
        <v>6389</v>
      </c>
      <c r="B6461" s="675" t="s">
        <v>512</v>
      </c>
      <c r="C6461" s="676" t="s">
        <v>6410</v>
      </c>
      <c r="D6461" s="675"/>
      <c r="E6461" s="675"/>
      <c r="G6461" s="675"/>
      <c r="H6461" s="675"/>
      <c r="I6461" s="675"/>
      <c r="J6461" s="675"/>
      <c r="K6461" s="675"/>
      <c r="L6461" s="675"/>
      <c r="M6461" s="675"/>
    </row>
    <row r="6462" spans="1:13" x14ac:dyDescent="0.25">
      <c r="A6462" s="675" t="s">
        <v>6389</v>
      </c>
      <c r="B6462" s="675" t="s">
        <v>512</v>
      </c>
      <c r="C6462" s="676" t="s">
        <v>6411</v>
      </c>
      <c r="D6462" s="675"/>
      <c r="E6462" s="675"/>
      <c r="G6462" s="675"/>
      <c r="H6462" s="675"/>
      <c r="I6462" s="675"/>
      <c r="J6462" s="675"/>
      <c r="K6462" s="675"/>
      <c r="L6462" s="675"/>
      <c r="M6462" s="675"/>
    </row>
    <row r="6463" spans="1:13" x14ac:dyDescent="0.25">
      <c r="A6463" s="675" t="s">
        <v>6389</v>
      </c>
      <c r="B6463" s="675" t="s">
        <v>512</v>
      </c>
      <c r="C6463" s="676" t="s">
        <v>6412</v>
      </c>
      <c r="D6463" s="675"/>
      <c r="E6463" s="675"/>
      <c r="G6463" s="675"/>
      <c r="H6463" s="675"/>
      <c r="I6463" s="675"/>
      <c r="J6463" s="675"/>
      <c r="K6463" s="675"/>
      <c r="L6463" s="675"/>
      <c r="M6463" s="675"/>
    </row>
    <row r="6464" spans="1:13" x14ac:dyDescent="0.25">
      <c r="A6464" s="675" t="s">
        <v>6389</v>
      </c>
      <c r="B6464" s="675" t="s">
        <v>512</v>
      </c>
      <c r="C6464" s="676" t="s">
        <v>6413</v>
      </c>
      <c r="D6464" s="675"/>
      <c r="E6464" s="675"/>
      <c r="G6464" s="675"/>
      <c r="H6464" s="675"/>
      <c r="I6464" s="675"/>
      <c r="J6464" s="675"/>
      <c r="K6464" s="675"/>
      <c r="L6464" s="675"/>
      <c r="M6464" s="675"/>
    </row>
    <row r="6465" spans="1:13" x14ac:dyDescent="0.25">
      <c r="A6465" s="675" t="s">
        <v>6389</v>
      </c>
      <c r="B6465" s="675" t="s">
        <v>512</v>
      </c>
      <c r="C6465" s="676" t="s">
        <v>6414</v>
      </c>
      <c r="D6465" s="675"/>
      <c r="E6465" s="675"/>
      <c r="G6465" s="675"/>
      <c r="H6465" s="675"/>
      <c r="I6465" s="675"/>
      <c r="J6465" s="675"/>
      <c r="K6465" s="675"/>
      <c r="L6465" s="675"/>
      <c r="M6465" s="675"/>
    </row>
    <row r="6466" spans="1:13" x14ac:dyDescent="0.25">
      <c r="A6466" s="675" t="s">
        <v>6389</v>
      </c>
      <c r="B6466" s="675" t="s">
        <v>512</v>
      </c>
      <c r="C6466" s="676" t="s">
        <v>6415</v>
      </c>
      <c r="D6466" s="675"/>
      <c r="E6466" s="675"/>
      <c r="G6466" s="675"/>
      <c r="H6466" s="675"/>
      <c r="I6466" s="675"/>
      <c r="J6466" s="675"/>
      <c r="K6466" s="675"/>
      <c r="L6466" s="675"/>
      <c r="M6466" s="675"/>
    </row>
    <row r="6467" spans="1:13" x14ac:dyDescent="0.25">
      <c r="A6467" s="675" t="s">
        <v>6389</v>
      </c>
      <c r="B6467" s="675" t="s">
        <v>512</v>
      </c>
      <c r="C6467" s="676" t="s">
        <v>6416</v>
      </c>
      <c r="D6467" s="675"/>
      <c r="E6467" s="675"/>
      <c r="G6467" s="675"/>
      <c r="H6467" s="675"/>
      <c r="I6467" s="675"/>
      <c r="J6467" s="675"/>
      <c r="K6467" s="675"/>
      <c r="L6467" s="675"/>
      <c r="M6467" s="675"/>
    </row>
    <row r="6468" spans="1:13" x14ac:dyDescent="0.25">
      <c r="A6468" s="675" t="s">
        <v>6389</v>
      </c>
      <c r="B6468" s="675" t="s">
        <v>512</v>
      </c>
      <c r="C6468" s="676" t="s">
        <v>6417</v>
      </c>
      <c r="D6468" s="675"/>
      <c r="E6468" s="675"/>
      <c r="G6468" s="675"/>
      <c r="H6468" s="675"/>
      <c r="I6468" s="675"/>
      <c r="J6468" s="675"/>
      <c r="K6468" s="675"/>
      <c r="L6468" s="675"/>
      <c r="M6468" s="675"/>
    </row>
    <row r="6469" spans="1:13" x14ac:dyDescent="0.25">
      <c r="A6469" s="675" t="s">
        <v>6389</v>
      </c>
      <c r="B6469" s="675" t="s">
        <v>512</v>
      </c>
      <c r="C6469" s="676" t="s">
        <v>6418</v>
      </c>
      <c r="D6469" s="675"/>
      <c r="E6469" s="675"/>
      <c r="G6469" s="675"/>
      <c r="H6469" s="675"/>
      <c r="I6469" s="675"/>
      <c r="J6469" s="675"/>
      <c r="K6469" s="675"/>
      <c r="L6469" s="675"/>
      <c r="M6469" s="675"/>
    </row>
    <row r="6470" spans="1:13" x14ac:dyDescent="0.25">
      <c r="A6470" s="675" t="s">
        <v>6389</v>
      </c>
      <c r="B6470" s="675" t="s">
        <v>512</v>
      </c>
      <c r="C6470" s="676" t="s">
        <v>6419</v>
      </c>
      <c r="D6470" s="675"/>
      <c r="E6470" s="675"/>
      <c r="G6470" s="675"/>
      <c r="H6470" s="675"/>
      <c r="I6470" s="675"/>
      <c r="J6470" s="675"/>
      <c r="K6470" s="675"/>
      <c r="L6470" s="675"/>
      <c r="M6470" s="675"/>
    </row>
    <row r="6471" spans="1:13" ht="30" x14ac:dyDescent="0.25">
      <c r="A6471" s="675" t="s">
        <v>6420</v>
      </c>
      <c r="B6471" s="675" t="s">
        <v>545</v>
      </c>
      <c r="C6471" s="676" t="s">
        <v>6421</v>
      </c>
      <c r="D6471" s="675"/>
      <c r="E6471" s="675"/>
      <c r="G6471" s="675"/>
      <c r="H6471" s="675"/>
      <c r="I6471" s="675"/>
      <c r="J6471" s="675"/>
      <c r="K6471" s="675"/>
      <c r="L6471" s="675"/>
      <c r="M6471" s="675"/>
    </row>
    <row r="6472" spans="1:13" ht="30" x14ac:dyDescent="0.25">
      <c r="A6472" s="675" t="s">
        <v>6420</v>
      </c>
      <c r="B6472" s="675" t="s">
        <v>545</v>
      </c>
      <c r="C6472" s="676" t="s">
        <v>6422</v>
      </c>
      <c r="D6472" s="675"/>
      <c r="E6472" s="675"/>
      <c r="G6472" s="675"/>
      <c r="H6472" s="675"/>
      <c r="I6472" s="675"/>
      <c r="J6472" s="675"/>
      <c r="K6472" s="675"/>
      <c r="L6472" s="675"/>
      <c r="M6472" s="675"/>
    </row>
    <row r="6473" spans="1:13" x14ac:dyDescent="0.25">
      <c r="A6473" s="675" t="s">
        <v>6420</v>
      </c>
      <c r="B6473" s="675" t="s">
        <v>545</v>
      </c>
      <c r="C6473" s="676" t="s">
        <v>6423</v>
      </c>
      <c r="D6473" s="675"/>
      <c r="E6473" s="675"/>
      <c r="G6473" s="675"/>
      <c r="H6473" s="675"/>
      <c r="I6473" s="675"/>
      <c r="J6473" s="675"/>
      <c r="K6473" s="675"/>
      <c r="L6473" s="675"/>
      <c r="M6473" s="675"/>
    </row>
    <row r="6474" spans="1:13" ht="30" x14ac:dyDescent="0.25">
      <c r="A6474" s="675" t="s">
        <v>6420</v>
      </c>
      <c r="B6474" s="675" t="s">
        <v>545</v>
      </c>
      <c r="C6474" s="676" t="s">
        <v>6424</v>
      </c>
      <c r="D6474" s="675"/>
      <c r="E6474" s="675"/>
      <c r="G6474" s="675"/>
      <c r="H6474" s="675"/>
      <c r="I6474" s="675"/>
      <c r="J6474" s="675"/>
      <c r="K6474" s="675"/>
      <c r="L6474" s="675"/>
      <c r="M6474" s="675"/>
    </row>
    <row r="6475" spans="1:13" ht="30" x14ac:dyDescent="0.25">
      <c r="A6475" s="675" t="s">
        <v>6420</v>
      </c>
      <c r="B6475" s="675" t="s">
        <v>545</v>
      </c>
      <c r="C6475" s="676" t="s">
        <v>6425</v>
      </c>
      <c r="D6475" s="675"/>
      <c r="E6475" s="675"/>
      <c r="G6475" s="675"/>
      <c r="H6475" s="675"/>
      <c r="I6475" s="675"/>
      <c r="J6475" s="675"/>
      <c r="K6475" s="675"/>
      <c r="L6475" s="675"/>
      <c r="M6475" s="675"/>
    </row>
    <row r="6476" spans="1:13" x14ac:dyDescent="0.25">
      <c r="A6476" s="675" t="s">
        <v>6420</v>
      </c>
      <c r="B6476" s="675" t="s">
        <v>545</v>
      </c>
      <c r="C6476" s="676" t="s">
        <v>6426</v>
      </c>
      <c r="D6476" s="675"/>
      <c r="E6476" s="675"/>
      <c r="G6476" s="675"/>
      <c r="H6476" s="675"/>
      <c r="I6476" s="675"/>
      <c r="J6476" s="675"/>
      <c r="K6476" s="675"/>
      <c r="L6476" s="675"/>
      <c r="M6476" s="675"/>
    </row>
    <row r="6477" spans="1:13" ht="30" x14ac:dyDescent="0.25">
      <c r="A6477" s="675" t="s">
        <v>6420</v>
      </c>
      <c r="B6477" s="675" t="s">
        <v>545</v>
      </c>
      <c r="C6477" s="676" t="s">
        <v>6427</v>
      </c>
      <c r="D6477" s="675"/>
      <c r="E6477" s="675"/>
      <c r="G6477" s="675"/>
      <c r="H6477" s="675"/>
      <c r="I6477" s="675"/>
      <c r="J6477" s="675"/>
      <c r="K6477" s="675"/>
      <c r="L6477" s="675"/>
      <c r="M6477" s="675"/>
    </row>
    <row r="6478" spans="1:13" x14ac:dyDescent="0.25">
      <c r="A6478" s="675" t="s">
        <v>6420</v>
      </c>
      <c r="B6478" s="675" t="s">
        <v>545</v>
      </c>
      <c r="C6478" s="676" t="s">
        <v>6428</v>
      </c>
      <c r="D6478" s="675"/>
      <c r="E6478" s="675"/>
      <c r="G6478" s="675"/>
      <c r="H6478" s="675"/>
      <c r="I6478" s="675"/>
      <c r="J6478" s="675"/>
      <c r="K6478" s="675"/>
      <c r="L6478" s="675"/>
      <c r="M6478" s="675"/>
    </row>
    <row r="6479" spans="1:13" x14ac:dyDescent="0.25">
      <c r="A6479" s="675" t="s">
        <v>6420</v>
      </c>
      <c r="B6479" s="675" t="s">
        <v>545</v>
      </c>
      <c r="C6479" s="676" t="s">
        <v>6429</v>
      </c>
      <c r="D6479" s="675"/>
      <c r="E6479" s="675"/>
      <c r="G6479" s="675"/>
      <c r="H6479" s="675"/>
      <c r="I6479" s="675"/>
      <c r="J6479" s="675"/>
      <c r="K6479" s="675"/>
      <c r="L6479" s="675"/>
      <c r="M6479" s="675"/>
    </row>
    <row r="6480" spans="1:13" x14ac:dyDescent="0.25">
      <c r="A6480" s="675" t="s">
        <v>6420</v>
      </c>
      <c r="B6480" s="675" t="s">
        <v>545</v>
      </c>
      <c r="C6480" s="676" t="s">
        <v>6430</v>
      </c>
      <c r="D6480" s="675"/>
      <c r="E6480" s="675"/>
      <c r="G6480" s="675"/>
      <c r="H6480" s="675"/>
      <c r="I6480" s="675"/>
      <c r="J6480" s="675"/>
      <c r="K6480" s="675"/>
      <c r="L6480" s="675"/>
      <c r="M6480" s="675"/>
    </row>
    <row r="6481" spans="1:13" x14ac:dyDescent="0.25">
      <c r="A6481" s="675" t="s">
        <v>6420</v>
      </c>
      <c r="B6481" s="675" t="s">
        <v>564</v>
      </c>
      <c r="C6481" s="676" t="s">
        <v>6431</v>
      </c>
      <c r="D6481" s="675"/>
      <c r="E6481" s="675"/>
      <c r="G6481" s="675"/>
      <c r="H6481" s="675"/>
      <c r="I6481" s="675"/>
      <c r="J6481" s="675"/>
      <c r="K6481" s="675"/>
      <c r="L6481" s="675"/>
      <c r="M6481" s="675"/>
    </row>
    <row r="6482" spans="1:13" x14ac:dyDescent="0.25">
      <c r="A6482" s="675" t="s">
        <v>6420</v>
      </c>
      <c r="B6482" s="675" t="s">
        <v>564</v>
      </c>
      <c r="C6482" s="676" t="s">
        <v>6432</v>
      </c>
      <c r="D6482" s="675"/>
      <c r="E6482" s="675"/>
      <c r="G6482" s="675"/>
      <c r="H6482" s="675"/>
      <c r="I6482" s="675"/>
      <c r="J6482" s="675"/>
      <c r="K6482" s="675"/>
      <c r="L6482" s="675"/>
      <c r="M6482" s="675"/>
    </row>
    <row r="6483" spans="1:13" x14ac:dyDescent="0.25">
      <c r="A6483" s="675" t="s">
        <v>6420</v>
      </c>
      <c r="B6483" s="675" t="s">
        <v>564</v>
      </c>
      <c r="C6483" s="676" t="s">
        <v>6433</v>
      </c>
      <c r="D6483" s="675"/>
      <c r="E6483" s="675"/>
      <c r="G6483" s="675"/>
      <c r="H6483" s="675"/>
      <c r="I6483" s="675"/>
      <c r="J6483" s="675"/>
      <c r="K6483" s="675"/>
      <c r="L6483" s="675"/>
      <c r="M6483" s="675"/>
    </row>
    <row r="6484" spans="1:13" x14ac:dyDescent="0.25">
      <c r="A6484" s="675" t="s">
        <v>6420</v>
      </c>
      <c r="B6484" s="675" t="s">
        <v>564</v>
      </c>
      <c r="C6484" s="676" t="s">
        <v>6434</v>
      </c>
      <c r="D6484" s="675"/>
      <c r="E6484" s="675"/>
      <c r="G6484" s="675"/>
      <c r="H6484" s="675"/>
      <c r="I6484" s="675"/>
      <c r="J6484" s="675"/>
      <c r="K6484" s="675"/>
      <c r="L6484" s="675"/>
      <c r="M6484" s="675"/>
    </row>
    <row r="6485" spans="1:13" x14ac:dyDescent="0.25">
      <c r="A6485" s="675" t="s">
        <v>6420</v>
      </c>
      <c r="B6485" s="675" t="s">
        <v>564</v>
      </c>
      <c r="C6485" s="676" t="s">
        <v>6435</v>
      </c>
      <c r="D6485" s="675"/>
      <c r="E6485" s="675"/>
      <c r="G6485" s="675"/>
      <c r="H6485" s="675"/>
      <c r="I6485" s="675"/>
      <c r="J6485" s="675"/>
      <c r="K6485" s="675"/>
      <c r="L6485" s="675"/>
      <c r="M6485" s="675"/>
    </row>
    <row r="6486" spans="1:13" x14ac:dyDescent="0.25">
      <c r="A6486" s="675" t="s">
        <v>6420</v>
      </c>
      <c r="B6486" s="675" t="s">
        <v>564</v>
      </c>
      <c r="C6486" s="676" t="s">
        <v>6436</v>
      </c>
      <c r="D6486" s="675"/>
      <c r="E6486" s="675"/>
      <c r="G6486" s="675"/>
      <c r="H6486" s="675"/>
      <c r="I6486" s="675"/>
      <c r="J6486" s="675"/>
      <c r="K6486" s="675"/>
      <c r="L6486" s="675"/>
      <c r="M6486" s="675"/>
    </row>
    <row r="6487" spans="1:13" x14ac:dyDescent="0.25">
      <c r="A6487" s="675" t="s">
        <v>6420</v>
      </c>
      <c r="B6487" s="675" t="s">
        <v>564</v>
      </c>
      <c r="C6487" s="676" t="s">
        <v>6437</v>
      </c>
      <c r="D6487" s="675"/>
      <c r="E6487" s="675"/>
      <c r="G6487" s="675"/>
      <c r="H6487" s="675"/>
      <c r="I6487" s="675"/>
      <c r="J6487" s="675"/>
      <c r="K6487" s="675"/>
      <c r="L6487" s="675"/>
      <c r="M6487" s="675"/>
    </row>
    <row r="6488" spans="1:13" x14ac:dyDescent="0.25">
      <c r="A6488" s="675" t="s">
        <v>6420</v>
      </c>
      <c r="B6488" s="675" t="s">
        <v>564</v>
      </c>
      <c r="C6488" s="676" t="s">
        <v>6438</v>
      </c>
      <c r="D6488" s="675"/>
      <c r="E6488" s="675"/>
      <c r="G6488" s="675"/>
      <c r="H6488" s="675"/>
      <c r="I6488" s="675"/>
      <c r="J6488" s="675"/>
      <c r="K6488" s="675"/>
      <c r="L6488" s="675"/>
      <c r="M6488" s="675"/>
    </row>
    <row r="6489" spans="1:13" x14ac:dyDescent="0.25">
      <c r="A6489" s="675" t="s">
        <v>6420</v>
      </c>
      <c r="B6489" s="675" t="s">
        <v>564</v>
      </c>
      <c r="C6489" s="676" t="s">
        <v>6439</v>
      </c>
      <c r="D6489" s="675"/>
      <c r="E6489" s="675"/>
      <c r="G6489" s="675"/>
      <c r="H6489" s="675"/>
      <c r="I6489" s="675"/>
      <c r="J6489" s="675"/>
      <c r="K6489" s="675"/>
      <c r="L6489" s="675"/>
      <c r="M6489" s="675"/>
    </row>
    <row r="6490" spans="1:13" x14ac:dyDescent="0.25">
      <c r="A6490" s="675" t="s">
        <v>6420</v>
      </c>
      <c r="B6490" s="675" t="s">
        <v>564</v>
      </c>
      <c r="C6490" s="676" t="s">
        <v>6440</v>
      </c>
      <c r="D6490" s="675"/>
      <c r="E6490" s="675"/>
      <c r="G6490" s="675"/>
      <c r="H6490" s="675"/>
      <c r="I6490" s="675"/>
      <c r="J6490" s="675"/>
      <c r="K6490" s="675"/>
      <c r="L6490" s="675"/>
      <c r="M6490" s="675"/>
    </row>
    <row r="6491" spans="1:13" x14ac:dyDescent="0.25">
      <c r="A6491" s="675" t="s">
        <v>6420</v>
      </c>
      <c r="B6491" s="675" t="s">
        <v>512</v>
      </c>
      <c r="C6491" s="676" t="s">
        <v>6441</v>
      </c>
      <c r="D6491" s="675"/>
      <c r="E6491" s="675"/>
      <c r="G6491" s="675"/>
      <c r="H6491" s="675"/>
      <c r="I6491" s="675"/>
      <c r="J6491" s="675"/>
      <c r="K6491" s="675"/>
      <c r="L6491" s="675"/>
      <c r="M6491" s="675"/>
    </row>
    <row r="6492" spans="1:13" x14ac:dyDescent="0.25">
      <c r="A6492" s="675" t="s">
        <v>6420</v>
      </c>
      <c r="B6492" s="675" t="s">
        <v>512</v>
      </c>
      <c r="C6492" s="676" t="s">
        <v>6442</v>
      </c>
      <c r="D6492" s="675"/>
      <c r="E6492" s="675"/>
      <c r="G6492" s="675"/>
      <c r="H6492" s="675"/>
      <c r="I6492" s="675"/>
      <c r="J6492" s="675"/>
      <c r="K6492" s="675"/>
      <c r="L6492" s="675"/>
      <c r="M6492" s="675"/>
    </row>
    <row r="6493" spans="1:13" x14ac:dyDescent="0.25">
      <c r="A6493" s="675" t="s">
        <v>6420</v>
      </c>
      <c r="B6493" s="675" t="s">
        <v>512</v>
      </c>
      <c r="C6493" s="676" t="s">
        <v>6443</v>
      </c>
      <c r="D6493" s="675"/>
      <c r="E6493" s="675"/>
      <c r="G6493" s="675"/>
      <c r="H6493" s="675"/>
      <c r="I6493" s="675"/>
      <c r="J6493" s="675"/>
      <c r="K6493" s="675"/>
      <c r="L6493" s="675"/>
      <c r="M6493" s="675"/>
    </row>
    <row r="6494" spans="1:13" x14ac:dyDescent="0.25">
      <c r="A6494" s="675" t="s">
        <v>6420</v>
      </c>
      <c r="B6494" s="675" t="s">
        <v>512</v>
      </c>
      <c r="C6494" s="676" t="s">
        <v>6444</v>
      </c>
      <c r="D6494" s="675"/>
      <c r="E6494" s="675"/>
      <c r="G6494" s="675"/>
      <c r="H6494" s="675"/>
      <c r="I6494" s="675"/>
      <c r="J6494" s="675"/>
      <c r="K6494" s="675"/>
      <c r="L6494" s="675"/>
      <c r="M6494" s="675"/>
    </row>
    <row r="6495" spans="1:13" x14ac:dyDescent="0.25">
      <c r="A6495" s="675" t="s">
        <v>6420</v>
      </c>
      <c r="B6495" s="675" t="s">
        <v>512</v>
      </c>
      <c r="C6495" s="676" t="s">
        <v>6445</v>
      </c>
      <c r="D6495" s="675"/>
      <c r="E6495" s="675"/>
      <c r="G6495" s="675"/>
      <c r="H6495" s="675"/>
      <c r="I6495" s="675"/>
      <c r="J6495" s="675"/>
      <c r="K6495" s="675"/>
      <c r="L6495" s="675"/>
      <c r="M6495" s="675"/>
    </row>
    <row r="6496" spans="1:13" x14ac:dyDescent="0.25">
      <c r="A6496" s="675" t="s">
        <v>6420</v>
      </c>
      <c r="B6496" s="675" t="s">
        <v>512</v>
      </c>
      <c r="C6496" s="676" t="s">
        <v>6446</v>
      </c>
      <c r="D6496" s="675"/>
      <c r="E6496" s="675"/>
      <c r="G6496" s="675"/>
      <c r="H6496" s="675"/>
      <c r="I6496" s="675"/>
      <c r="J6496" s="675"/>
      <c r="K6496" s="675"/>
      <c r="L6496" s="675"/>
      <c r="M6496" s="675"/>
    </row>
    <row r="6497" spans="1:13" x14ac:dyDescent="0.25">
      <c r="A6497" s="675" t="s">
        <v>6420</v>
      </c>
      <c r="B6497" s="675" t="s">
        <v>512</v>
      </c>
      <c r="C6497" s="676" t="s">
        <v>6447</v>
      </c>
      <c r="D6497" s="675"/>
      <c r="E6497" s="675"/>
      <c r="G6497" s="675"/>
      <c r="H6497" s="675"/>
      <c r="I6497" s="675"/>
      <c r="J6497" s="675"/>
      <c r="K6497" s="675"/>
      <c r="L6497" s="675"/>
      <c r="M6497" s="675"/>
    </row>
    <row r="6498" spans="1:13" x14ac:dyDescent="0.25">
      <c r="A6498" s="675" t="s">
        <v>6420</v>
      </c>
      <c r="B6498" s="675" t="s">
        <v>512</v>
      </c>
      <c r="C6498" s="676" t="s">
        <v>6448</v>
      </c>
      <c r="D6498" s="675"/>
      <c r="E6498" s="675"/>
      <c r="G6498" s="675"/>
      <c r="H6498" s="675"/>
      <c r="I6498" s="675"/>
      <c r="J6498" s="675"/>
      <c r="K6498" s="675"/>
      <c r="L6498" s="675"/>
      <c r="M6498" s="675"/>
    </row>
    <row r="6499" spans="1:13" x14ac:dyDescent="0.25">
      <c r="A6499" s="675" t="s">
        <v>6420</v>
      </c>
      <c r="B6499" s="675" t="s">
        <v>512</v>
      </c>
      <c r="C6499" s="676" t="s">
        <v>6449</v>
      </c>
      <c r="D6499" s="675"/>
      <c r="E6499" s="675"/>
      <c r="G6499" s="675"/>
      <c r="H6499" s="675"/>
      <c r="I6499" s="675"/>
      <c r="J6499" s="675"/>
      <c r="K6499" s="675"/>
      <c r="L6499" s="675"/>
      <c r="M6499" s="675"/>
    </row>
    <row r="6500" spans="1:13" x14ac:dyDescent="0.25">
      <c r="A6500" s="675" t="s">
        <v>6420</v>
      </c>
      <c r="B6500" s="675" t="s">
        <v>512</v>
      </c>
      <c r="C6500" s="676" t="s">
        <v>6450</v>
      </c>
      <c r="D6500" s="675"/>
      <c r="E6500" s="675"/>
      <c r="G6500" s="675"/>
      <c r="H6500" s="675"/>
      <c r="I6500" s="675"/>
      <c r="J6500" s="675"/>
      <c r="K6500" s="675"/>
      <c r="L6500" s="675"/>
      <c r="M6500" s="675"/>
    </row>
    <row r="6501" spans="1:13" ht="30" x14ac:dyDescent="0.25">
      <c r="A6501" s="675" t="s">
        <v>6451</v>
      </c>
      <c r="B6501" s="675" t="s">
        <v>545</v>
      </c>
      <c r="C6501" s="676" t="s">
        <v>6452</v>
      </c>
      <c r="D6501" s="675"/>
      <c r="E6501" s="675"/>
      <c r="G6501" s="675"/>
      <c r="H6501" s="675"/>
      <c r="I6501" s="675"/>
      <c r="J6501" s="675"/>
      <c r="K6501" s="675"/>
      <c r="L6501" s="675"/>
      <c r="M6501" s="675"/>
    </row>
    <row r="6502" spans="1:13" ht="30" x14ac:dyDescent="0.25">
      <c r="A6502" s="675" t="s">
        <v>6451</v>
      </c>
      <c r="B6502" s="675" t="s">
        <v>545</v>
      </c>
      <c r="C6502" s="676" t="s">
        <v>6453</v>
      </c>
      <c r="D6502" s="675"/>
      <c r="E6502" s="675"/>
      <c r="G6502" s="675"/>
      <c r="H6502" s="675"/>
      <c r="I6502" s="675"/>
      <c r="J6502" s="675"/>
      <c r="K6502" s="675"/>
      <c r="L6502" s="675"/>
      <c r="M6502" s="675"/>
    </row>
    <row r="6503" spans="1:13" x14ac:dyDescent="0.25">
      <c r="A6503" s="675" t="s">
        <v>6451</v>
      </c>
      <c r="B6503" s="675" t="s">
        <v>545</v>
      </c>
      <c r="C6503" s="676" t="s">
        <v>6454</v>
      </c>
      <c r="D6503" s="675"/>
      <c r="E6503" s="675"/>
      <c r="G6503" s="675"/>
      <c r="H6503" s="675"/>
      <c r="I6503" s="675"/>
      <c r="J6503" s="675"/>
      <c r="K6503" s="675"/>
      <c r="L6503" s="675"/>
      <c r="M6503" s="675"/>
    </row>
    <row r="6504" spans="1:13" x14ac:dyDescent="0.25">
      <c r="A6504" s="675" t="s">
        <v>6451</v>
      </c>
      <c r="B6504" s="675" t="s">
        <v>545</v>
      </c>
      <c r="C6504" s="676" t="s">
        <v>6455</v>
      </c>
      <c r="D6504" s="675"/>
      <c r="E6504" s="675"/>
      <c r="G6504" s="675"/>
      <c r="H6504" s="675"/>
      <c r="I6504" s="675"/>
      <c r="J6504" s="675"/>
      <c r="K6504" s="675"/>
      <c r="L6504" s="675"/>
      <c r="M6504" s="675"/>
    </row>
    <row r="6505" spans="1:13" x14ac:dyDescent="0.25">
      <c r="A6505" s="675" t="s">
        <v>6451</v>
      </c>
      <c r="B6505" s="675" t="s">
        <v>545</v>
      </c>
      <c r="C6505" s="676" t="s">
        <v>6456</v>
      </c>
      <c r="D6505" s="675"/>
      <c r="E6505" s="675"/>
      <c r="G6505" s="675"/>
      <c r="H6505" s="675"/>
      <c r="I6505" s="675"/>
      <c r="J6505" s="675"/>
      <c r="K6505" s="675"/>
      <c r="L6505" s="675"/>
      <c r="M6505" s="675"/>
    </row>
    <row r="6506" spans="1:13" x14ac:dyDescent="0.25">
      <c r="A6506" s="675" t="s">
        <v>6451</v>
      </c>
      <c r="B6506" s="675" t="s">
        <v>545</v>
      </c>
      <c r="C6506" s="676" t="s">
        <v>6457</v>
      </c>
      <c r="D6506" s="675"/>
      <c r="E6506" s="675"/>
      <c r="G6506" s="675"/>
      <c r="H6506" s="675"/>
      <c r="I6506" s="675"/>
      <c r="J6506" s="675"/>
      <c r="K6506" s="675"/>
      <c r="L6506" s="675"/>
      <c r="M6506" s="675"/>
    </row>
    <row r="6507" spans="1:13" x14ac:dyDescent="0.25">
      <c r="A6507" s="675" t="s">
        <v>6451</v>
      </c>
      <c r="B6507" s="675" t="s">
        <v>545</v>
      </c>
      <c r="C6507" s="676" t="s">
        <v>6458</v>
      </c>
      <c r="D6507" s="675"/>
      <c r="E6507" s="675"/>
      <c r="G6507" s="675"/>
      <c r="H6507" s="675"/>
      <c r="I6507" s="675"/>
      <c r="J6507" s="675"/>
      <c r="K6507" s="675"/>
      <c r="L6507" s="675"/>
      <c r="M6507" s="675"/>
    </row>
    <row r="6508" spans="1:13" ht="30" x14ac:dyDescent="0.25">
      <c r="A6508" s="675" t="s">
        <v>6451</v>
      </c>
      <c r="B6508" s="675" t="s">
        <v>545</v>
      </c>
      <c r="C6508" s="676" t="s">
        <v>6459</v>
      </c>
      <c r="D6508" s="675"/>
      <c r="E6508" s="675"/>
      <c r="G6508" s="675"/>
      <c r="H6508" s="675"/>
      <c r="I6508" s="675"/>
      <c r="J6508" s="675"/>
      <c r="K6508" s="675"/>
      <c r="L6508" s="675"/>
      <c r="M6508" s="675"/>
    </row>
    <row r="6509" spans="1:13" ht="30" x14ac:dyDescent="0.25">
      <c r="A6509" s="675" t="s">
        <v>6451</v>
      </c>
      <c r="B6509" s="675" t="s">
        <v>545</v>
      </c>
      <c r="C6509" s="676" t="s">
        <v>6460</v>
      </c>
      <c r="D6509" s="675"/>
      <c r="E6509" s="675"/>
      <c r="G6509" s="675"/>
      <c r="H6509" s="675"/>
      <c r="I6509" s="675"/>
      <c r="J6509" s="675"/>
      <c r="K6509" s="675"/>
      <c r="L6509" s="675"/>
      <c r="M6509" s="675"/>
    </row>
    <row r="6510" spans="1:13" ht="30" x14ac:dyDescent="0.25">
      <c r="A6510" s="675" t="s">
        <v>6451</v>
      </c>
      <c r="B6510" s="675" t="s">
        <v>545</v>
      </c>
      <c r="C6510" s="676" t="s">
        <v>6461</v>
      </c>
      <c r="D6510" s="675"/>
      <c r="E6510" s="675"/>
      <c r="G6510" s="675"/>
      <c r="H6510" s="675"/>
      <c r="I6510" s="675"/>
      <c r="J6510" s="675"/>
      <c r="K6510" s="675"/>
      <c r="L6510" s="675"/>
      <c r="M6510" s="675"/>
    </row>
    <row r="6511" spans="1:13" x14ac:dyDescent="0.25">
      <c r="A6511" s="675" t="s">
        <v>6451</v>
      </c>
      <c r="B6511" s="675" t="s">
        <v>564</v>
      </c>
      <c r="C6511" s="676" t="s">
        <v>6462</v>
      </c>
      <c r="D6511" s="675"/>
      <c r="E6511" s="675"/>
      <c r="G6511" s="675"/>
      <c r="H6511" s="675"/>
      <c r="I6511" s="675"/>
      <c r="J6511" s="675"/>
      <c r="K6511" s="675"/>
      <c r="L6511" s="675"/>
      <c r="M6511" s="675"/>
    </row>
    <row r="6512" spans="1:13" x14ac:dyDescent="0.25">
      <c r="A6512" s="675" t="s">
        <v>6451</v>
      </c>
      <c r="B6512" s="675" t="s">
        <v>564</v>
      </c>
      <c r="C6512" s="676" t="s">
        <v>6463</v>
      </c>
      <c r="D6512" s="675"/>
      <c r="E6512" s="675"/>
      <c r="G6512" s="675"/>
      <c r="H6512" s="675"/>
      <c r="I6512" s="675"/>
      <c r="J6512" s="675"/>
      <c r="K6512" s="675"/>
      <c r="L6512" s="675"/>
      <c r="M6512" s="675"/>
    </row>
    <row r="6513" spans="1:13" ht="30" x14ac:dyDescent="0.25">
      <c r="A6513" s="675" t="s">
        <v>6451</v>
      </c>
      <c r="B6513" s="675" t="s">
        <v>564</v>
      </c>
      <c r="C6513" s="676" t="s">
        <v>6464</v>
      </c>
      <c r="D6513" s="675"/>
      <c r="E6513" s="675"/>
      <c r="G6513" s="675"/>
      <c r="H6513" s="675"/>
      <c r="I6513" s="675"/>
      <c r="J6513" s="675"/>
      <c r="K6513" s="675"/>
      <c r="L6513" s="675"/>
      <c r="M6513" s="675"/>
    </row>
    <row r="6514" spans="1:13" x14ac:dyDescent="0.25">
      <c r="A6514" s="675" t="s">
        <v>6451</v>
      </c>
      <c r="B6514" s="675" t="s">
        <v>564</v>
      </c>
      <c r="C6514" s="676" t="s">
        <v>6465</v>
      </c>
      <c r="D6514" s="675"/>
      <c r="E6514" s="675"/>
      <c r="G6514" s="675"/>
      <c r="H6514" s="675"/>
      <c r="I6514" s="675"/>
      <c r="J6514" s="675"/>
      <c r="K6514" s="675"/>
      <c r="L6514" s="675"/>
      <c r="M6514" s="675"/>
    </row>
    <row r="6515" spans="1:13" x14ac:dyDescent="0.25">
      <c r="A6515" s="675" t="s">
        <v>6451</v>
      </c>
      <c r="B6515" s="675" t="s">
        <v>564</v>
      </c>
      <c r="C6515" s="676" t="s">
        <v>6466</v>
      </c>
      <c r="D6515" s="675"/>
      <c r="E6515" s="675"/>
      <c r="G6515" s="675"/>
      <c r="H6515" s="675"/>
      <c r="I6515" s="675"/>
      <c r="J6515" s="675"/>
      <c r="K6515" s="675"/>
      <c r="L6515" s="675"/>
      <c r="M6515" s="675"/>
    </row>
    <row r="6516" spans="1:13" x14ac:dyDescent="0.25">
      <c r="A6516" s="675" t="s">
        <v>6451</v>
      </c>
      <c r="B6516" s="675" t="s">
        <v>564</v>
      </c>
      <c r="C6516" s="676" t="s">
        <v>6467</v>
      </c>
      <c r="D6516" s="675"/>
      <c r="E6516" s="675"/>
      <c r="G6516" s="675"/>
      <c r="H6516" s="675"/>
      <c r="I6516" s="675"/>
      <c r="J6516" s="675"/>
      <c r="K6516" s="675"/>
      <c r="L6516" s="675"/>
      <c r="M6516" s="675"/>
    </row>
    <row r="6517" spans="1:13" x14ac:dyDescent="0.25">
      <c r="A6517" s="675" t="s">
        <v>6451</v>
      </c>
      <c r="B6517" s="675" t="s">
        <v>564</v>
      </c>
      <c r="C6517" s="676" t="s">
        <v>6468</v>
      </c>
      <c r="D6517" s="675"/>
      <c r="E6517" s="675"/>
      <c r="G6517" s="675"/>
      <c r="H6517" s="675"/>
      <c r="I6517" s="675"/>
      <c r="J6517" s="675"/>
      <c r="K6517" s="675"/>
      <c r="L6517" s="675"/>
      <c r="M6517" s="675"/>
    </row>
    <row r="6518" spans="1:13" x14ac:dyDescent="0.25">
      <c r="A6518" s="675" t="s">
        <v>6451</v>
      </c>
      <c r="B6518" s="675" t="s">
        <v>564</v>
      </c>
      <c r="C6518" s="676" t="s">
        <v>6469</v>
      </c>
      <c r="D6518" s="675"/>
      <c r="E6518" s="675"/>
      <c r="G6518" s="675"/>
      <c r="H6518" s="675"/>
      <c r="I6518" s="675"/>
      <c r="J6518" s="675"/>
      <c r="K6518" s="675"/>
      <c r="L6518" s="675"/>
      <c r="M6518" s="675"/>
    </row>
    <row r="6519" spans="1:13" ht="30" x14ac:dyDescent="0.25">
      <c r="A6519" s="675" t="s">
        <v>6451</v>
      </c>
      <c r="B6519" s="675" t="s">
        <v>564</v>
      </c>
      <c r="C6519" s="676" t="s">
        <v>6470</v>
      </c>
      <c r="D6519" s="675"/>
      <c r="E6519" s="675"/>
      <c r="G6519" s="675"/>
      <c r="H6519" s="675"/>
      <c r="I6519" s="675"/>
      <c r="J6519" s="675"/>
      <c r="K6519" s="675"/>
      <c r="L6519" s="675"/>
      <c r="M6519" s="675"/>
    </row>
    <row r="6520" spans="1:13" x14ac:dyDescent="0.25">
      <c r="A6520" s="675" t="s">
        <v>6451</v>
      </c>
      <c r="B6520" s="675" t="s">
        <v>564</v>
      </c>
      <c r="C6520" s="676" t="s">
        <v>6471</v>
      </c>
      <c r="D6520" s="675"/>
      <c r="E6520" s="675"/>
      <c r="G6520" s="675"/>
      <c r="H6520" s="675"/>
      <c r="I6520" s="675"/>
      <c r="J6520" s="675"/>
      <c r="K6520" s="675"/>
      <c r="L6520" s="675"/>
      <c r="M6520" s="675"/>
    </row>
    <row r="6521" spans="1:13" x14ac:dyDescent="0.25">
      <c r="A6521" s="675" t="s">
        <v>6451</v>
      </c>
      <c r="B6521" s="675" t="s">
        <v>512</v>
      </c>
      <c r="C6521" s="676" t="s">
        <v>6472</v>
      </c>
      <c r="D6521" s="675"/>
      <c r="E6521" s="675"/>
      <c r="G6521" s="675"/>
      <c r="H6521" s="675"/>
      <c r="I6521" s="675"/>
      <c r="J6521" s="675"/>
      <c r="K6521" s="675"/>
      <c r="L6521" s="675"/>
      <c r="M6521" s="675"/>
    </row>
    <row r="6522" spans="1:13" x14ac:dyDescent="0.25">
      <c r="A6522" s="675" t="s">
        <v>6451</v>
      </c>
      <c r="B6522" s="675" t="s">
        <v>512</v>
      </c>
      <c r="C6522" s="676" t="s">
        <v>6473</v>
      </c>
      <c r="D6522" s="675"/>
      <c r="E6522" s="675"/>
      <c r="G6522" s="675"/>
      <c r="H6522" s="675"/>
      <c r="I6522" s="675"/>
      <c r="J6522" s="675"/>
      <c r="K6522" s="675"/>
      <c r="L6522" s="675"/>
      <c r="M6522" s="675"/>
    </row>
    <row r="6523" spans="1:13" x14ac:dyDescent="0.25">
      <c r="A6523" s="675" t="s">
        <v>6451</v>
      </c>
      <c r="B6523" s="675" t="s">
        <v>512</v>
      </c>
      <c r="C6523" s="676" t="s">
        <v>6474</v>
      </c>
      <c r="D6523" s="675"/>
      <c r="E6523" s="675"/>
      <c r="G6523" s="675"/>
      <c r="H6523" s="675"/>
      <c r="I6523" s="675"/>
      <c r="J6523" s="675"/>
      <c r="K6523" s="675"/>
      <c r="L6523" s="675"/>
      <c r="M6523" s="675"/>
    </row>
    <row r="6524" spans="1:13" x14ac:dyDescent="0.25">
      <c r="A6524" s="675" t="s">
        <v>6451</v>
      </c>
      <c r="B6524" s="675" t="s">
        <v>512</v>
      </c>
      <c r="C6524" s="676" t="s">
        <v>6475</v>
      </c>
      <c r="D6524" s="675"/>
      <c r="E6524" s="675"/>
      <c r="G6524" s="675"/>
      <c r="H6524" s="675"/>
      <c r="I6524" s="675"/>
      <c r="J6524" s="675"/>
      <c r="K6524" s="675"/>
      <c r="L6524" s="675"/>
      <c r="M6524" s="675"/>
    </row>
    <row r="6525" spans="1:13" ht="30" x14ac:dyDescent="0.25">
      <c r="A6525" s="675" t="s">
        <v>6451</v>
      </c>
      <c r="B6525" s="675" t="s">
        <v>512</v>
      </c>
      <c r="C6525" s="676" t="s">
        <v>6476</v>
      </c>
      <c r="D6525" s="675"/>
      <c r="E6525" s="675"/>
      <c r="G6525" s="675"/>
      <c r="H6525" s="675"/>
      <c r="I6525" s="675"/>
      <c r="J6525" s="675"/>
      <c r="K6525" s="675"/>
      <c r="L6525" s="675"/>
      <c r="M6525" s="675"/>
    </row>
    <row r="6526" spans="1:13" x14ac:dyDescent="0.25">
      <c r="A6526" s="675" t="s">
        <v>6451</v>
      </c>
      <c r="B6526" s="675" t="s">
        <v>512</v>
      </c>
      <c r="C6526" s="676" t="s">
        <v>6477</v>
      </c>
      <c r="D6526" s="675"/>
      <c r="E6526" s="675"/>
      <c r="G6526" s="675"/>
      <c r="H6526" s="675"/>
      <c r="I6526" s="675"/>
      <c r="J6526" s="675"/>
      <c r="K6526" s="675"/>
      <c r="L6526" s="675"/>
      <c r="M6526" s="675"/>
    </row>
    <row r="6527" spans="1:13" x14ac:dyDescent="0.25">
      <c r="A6527" s="675" t="s">
        <v>6451</v>
      </c>
      <c r="B6527" s="675" t="s">
        <v>512</v>
      </c>
      <c r="C6527" s="676" t="s">
        <v>6478</v>
      </c>
      <c r="D6527" s="675"/>
      <c r="E6527" s="675"/>
      <c r="G6527" s="675"/>
      <c r="H6527" s="675"/>
      <c r="I6527" s="675"/>
      <c r="J6527" s="675"/>
      <c r="K6527" s="675"/>
      <c r="L6527" s="675"/>
      <c r="M6527" s="675"/>
    </row>
    <row r="6528" spans="1:13" x14ac:dyDescent="0.25">
      <c r="A6528" s="675" t="s">
        <v>6451</v>
      </c>
      <c r="B6528" s="675" t="s">
        <v>512</v>
      </c>
      <c r="C6528" s="676" t="s">
        <v>6479</v>
      </c>
      <c r="D6528" s="675"/>
      <c r="E6528" s="675"/>
      <c r="G6528" s="675"/>
      <c r="H6528" s="675"/>
      <c r="I6528" s="675"/>
      <c r="J6528" s="675"/>
      <c r="K6528" s="675"/>
      <c r="L6528" s="675"/>
      <c r="M6528" s="675"/>
    </row>
    <row r="6529" spans="1:13" x14ac:dyDescent="0.25">
      <c r="A6529" s="675" t="s">
        <v>6451</v>
      </c>
      <c r="B6529" s="675" t="s">
        <v>512</v>
      </c>
      <c r="C6529" s="676" t="s">
        <v>6480</v>
      </c>
      <c r="D6529" s="675"/>
      <c r="E6529" s="675"/>
      <c r="G6529" s="675"/>
      <c r="H6529" s="675"/>
      <c r="I6529" s="675"/>
      <c r="J6529" s="675"/>
      <c r="K6529" s="675"/>
      <c r="L6529" s="675"/>
      <c r="M6529" s="675"/>
    </row>
    <row r="6530" spans="1:13" x14ac:dyDescent="0.25">
      <c r="A6530" s="675" t="s">
        <v>6451</v>
      </c>
      <c r="B6530" s="675" t="s">
        <v>512</v>
      </c>
      <c r="C6530" s="676" t="s">
        <v>6481</v>
      </c>
      <c r="D6530" s="675"/>
      <c r="E6530" s="675"/>
      <c r="G6530" s="675"/>
      <c r="H6530" s="675"/>
      <c r="I6530" s="675"/>
      <c r="J6530" s="675"/>
      <c r="K6530" s="675"/>
      <c r="L6530" s="675"/>
      <c r="M6530" s="675"/>
    </row>
    <row r="6531" spans="1:13" ht="30" x14ac:dyDescent="0.25">
      <c r="A6531" s="675" t="s">
        <v>6482</v>
      </c>
      <c r="B6531" s="675" t="s">
        <v>545</v>
      </c>
      <c r="C6531" s="676" t="s">
        <v>6483</v>
      </c>
      <c r="D6531" s="675"/>
      <c r="E6531" s="675"/>
      <c r="G6531" s="675"/>
      <c r="H6531" s="675"/>
      <c r="I6531" s="675"/>
      <c r="J6531" s="675"/>
      <c r="K6531" s="675"/>
      <c r="L6531" s="675"/>
      <c r="M6531" s="675"/>
    </row>
    <row r="6532" spans="1:13" ht="30" x14ac:dyDescent="0.25">
      <c r="A6532" s="675" t="s">
        <v>6482</v>
      </c>
      <c r="B6532" s="675" t="s">
        <v>545</v>
      </c>
      <c r="C6532" s="676" t="s">
        <v>6484</v>
      </c>
      <c r="D6532" s="675"/>
      <c r="E6532" s="675"/>
      <c r="G6532" s="675"/>
      <c r="H6532" s="675"/>
      <c r="I6532" s="675"/>
      <c r="J6532" s="675"/>
      <c r="K6532" s="675"/>
      <c r="L6532" s="675"/>
      <c r="M6532" s="675"/>
    </row>
    <row r="6533" spans="1:13" ht="30" x14ac:dyDescent="0.25">
      <c r="A6533" s="675" t="s">
        <v>6482</v>
      </c>
      <c r="B6533" s="675" t="s">
        <v>545</v>
      </c>
      <c r="C6533" s="676" t="s">
        <v>6485</v>
      </c>
      <c r="D6533" s="675"/>
      <c r="E6533" s="675"/>
      <c r="G6533" s="675"/>
      <c r="H6533" s="675"/>
      <c r="I6533" s="675"/>
      <c r="J6533" s="675"/>
      <c r="K6533" s="675"/>
      <c r="L6533" s="675"/>
      <c r="M6533" s="675"/>
    </row>
    <row r="6534" spans="1:13" x14ac:dyDescent="0.25">
      <c r="A6534" s="675" t="s">
        <v>6482</v>
      </c>
      <c r="B6534" s="675" t="s">
        <v>545</v>
      </c>
      <c r="C6534" s="676" t="s">
        <v>6486</v>
      </c>
      <c r="D6534" s="675"/>
      <c r="E6534" s="675"/>
      <c r="G6534" s="675"/>
      <c r="H6534" s="675"/>
      <c r="I6534" s="675"/>
      <c r="J6534" s="675"/>
      <c r="K6534" s="675"/>
      <c r="L6534" s="675"/>
      <c r="M6534" s="675"/>
    </row>
    <row r="6535" spans="1:13" ht="30" x14ac:dyDescent="0.25">
      <c r="A6535" s="675" t="s">
        <v>6482</v>
      </c>
      <c r="B6535" s="675" t="s">
        <v>545</v>
      </c>
      <c r="C6535" s="676" t="s">
        <v>6487</v>
      </c>
      <c r="D6535" s="675"/>
      <c r="E6535" s="675"/>
      <c r="G6535" s="675"/>
      <c r="H6535" s="675"/>
      <c r="I6535" s="675"/>
      <c r="J6535" s="675"/>
      <c r="K6535" s="675"/>
      <c r="L6535" s="675"/>
      <c r="M6535" s="675"/>
    </row>
    <row r="6536" spans="1:13" ht="30" x14ac:dyDescent="0.25">
      <c r="A6536" s="675" t="s">
        <v>6482</v>
      </c>
      <c r="B6536" s="675" t="s">
        <v>545</v>
      </c>
      <c r="C6536" s="676" t="s">
        <v>6488</v>
      </c>
      <c r="D6536" s="675"/>
      <c r="E6536" s="675"/>
      <c r="G6536" s="675"/>
      <c r="H6536" s="675"/>
      <c r="I6536" s="675"/>
      <c r="J6536" s="675"/>
      <c r="K6536" s="675"/>
      <c r="L6536" s="675"/>
      <c r="M6536" s="675"/>
    </row>
    <row r="6537" spans="1:13" ht="30" x14ac:dyDescent="0.25">
      <c r="A6537" s="675" t="s">
        <v>6482</v>
      </c>
      <c r="B6537" s="675" t="s">
        <v>545</v>
      </c>
      <c r="C6537" s="676" t="s">
        <v>6489</v>
      </c>
      <c r="D6537" s="675"/>
      <c r="E6537" s="675"/>
      <c r="G6537" s="675"/>
      <c r="H6537" s="675"/>
      <c r="I6537" s="675"/>
      <c r="J6537" s="675"/>
      <c r="K6537" s="675"/>
      <c r="L6537" s="675"/>
      <c r="M6537" s="675"/>
    </row>
    <row r="6538" spans="1:13" x14ac:dyDescent="0.25">
      <c r="A6538" s="675" t="s">
        <v>6482</v>
      </c>
      <c r="B6538" s="675" t="s">
        <v>545</v>
      </c>
      <c r="C6538" s="676" t="s">
        <v>6490</v>
      </c>
      <c r="D6538" s="675"/>
      <c r="E6538" s="675"/>
      <c r="G6538" s="675"/>
      <c r="H6538" s="675"/>
      <c r="I6538" s="675"/>
      <c r="J6538" s="675"/>
      <c r="K6538" s="675"/>
      <c r="L6538" s="675"/>
      <c r="M6538" s="675"/>
    </row>
    <row r="6539" spans="1:13" x14ac:dyDescent="0.25">
      <c r="A6539" s="675" t="s">
        <v>6482</v>
      </c>
      <c r="B6539" s="675" t="s">
        <v>545</v>
      </c>
      <c r="C6539" s="676" t="s">
        <v>6491</v>
      </c>
      <c r="D6539" s="675"/>
      <c r="E6539" s="675"/>
      <c r="G6539" s="675"/>
      <c r="H6539" s="675"/>
      <c r="I6539" s="675"/>
      <c r="J6539" s="675"/>
      <c r="K6539" s="675"/>
      <c r="L6539" s="675"/>
      <c r="M6539" s="675"/>
    </row>
    <row r="6540" spans="1:13" ht="30" x14ac:dyDescent="0.25">
      <c r="A6540" s="675" t="s">
        <v>6482</v>
      </c>
      <c r="B6540" s="675" t="s">
        <v>545</v>
      </c>
      <c r="C6540" s="676" t="s">
        <v>6492</v>
      </c>
      <c r="D6540" s="675"/>
      <c r="E6540" s="675"/>
      <c r="G6540" s="675"/>
      <c r="H6540" s="675"/>
      <c r="I6540" s="675"/>
      <c r="J6540" s="675"/>
      <c r="K6540" s="675"/>
      <c r="L6540" s="675"/>
      <c r="M6540" s="675"/>
    </row>
    <row r="6541" spans="1:13" ht="30" x14ac:dyDescent="0.25">
      <c r="A6541" s="675" t="s">
        <v>6482</v>
      </c>
      <c r="B6541" s="675" t="s">
        <v>564</v>
      </c>
      <c r="C6541" s="676" t="s">
        <v>6493</v>
      </c>
      <c r="D6541" s="675"/>
      <c r="E6541" s="675"/>
      <c r="G6541" s="675"/>
      <c r="H6541" s="675"/>
      <c r="I6541" s="675"/>
      <c r="J6541" s="675"/>
      <c r="K6541" s="675"/>
      <c r="L6541" s="675"/>
      <c r="M6541" s="675"/>
    </row>
    <row r="6542" spans="1:13" x14ac:dyDescent="0.25">
      <c r="A6542" s="675" t="s">
        <v>6482</v>
      </c>
      <c r="B6542" s="675" t="s">
        <v>564</v>
      </c>
      <c r="C6542" s="676" t="s">
        <v>6494</v>
      </c>
      <c r="D6542" s="675"/>
      <c r="E6542" s="675"/>
      <c r="G6542" s="675"/>
      <c r="H6542" s="675"/>
      <c r="I6542" s="675"/>
      <c r="J6542" s="675"/>
      <c r="K6542" s="675"/>
      <c r="L6542" s="675"/>
      <c r="M6542" s="675"/>
    </row>
    <row r="6543" spans="1:13" x14ac:dyDescent="0.25">
      <c r="A6543" s="675" t="s">
        <v>6482</v>
      </c>
      <c r="B6543" s="675" t="s">
        <v>564</v>
      </c>
      <c r="C6543" s="676" t="s">
        <v>6495</v>
      </c>
      <c r="D6543" s="675"/>
      <c r="E6543" s="675"/>
      <c r="G6543" s="675"/>
      <c r="H6543" s="675"/>
      <c r="I6543" s="675"/>
      <c r="J6543" s="675"/>
      <c r="K6543" s="675"/>
      <c r="L6543" s="675"/>
      <c r="M6543" s="675"/>
    </row>
    <row r="6544" spans="1:13" ht="30" x14ac:dyDescent="0.25">
      <c r="A6544" s="675" t="s">
        <v>6482</v>
      </c>
      <c r="B6544" s="675" t="s">
        <v>564</v>
      </c>
      <c r="C6544" s="676" t="s">
        <v>6496</v>
      </c>
      <c r="D6544" s="675"/>
      <c r="E6544" s="675"/>
      <c r="G6544" s="675"/>
      <c r="H6544" s="675"/>
      <c r="I6544" s="675"/>
      <c r="J6544" s="675"/>
      <c r="K6544" s="675"/>
      <c r="L6544" s="675"/>
      <c r="M6544" s="675"/>
    </row>
    <row r="6545" spans="1:13" x14ac:dyDescent="0.25">
      <c r="A6545" s="675" t="s">
        <v>6482</v>
      </c>
      <c r="B6545" s="675" t="s">
        <v>564</v>
      </c>
      <c r="C6545" s="676" t="s">
        <v>6497</v>
      </c>
      <c r="D6545" s="675"/>
      <c r="E6545" s="675"/>
      <c r="G6545" s="675"/>
      <c r="H6545" s="675"/>
      <c r="I6545" s="675"/>
      <c r="J6545" s="675"/>
      <c r="K6545" s="675"/>
      <c r="L6545" s="675"/>
      <c r="M6545" s="675"/>
    </row>
    <row r="6546" spans="1:13" x14ac:dyDescent="0.25">
      <c r="A6546" s="675" t="s">
        <v>6482</v>
      </c>
      <c r="B6546" s="675" t="s">
        <v>564</v>
      </c>
      <c r="C6546" s="676" t="s">
        <v>6498</v>
      </c>
      <c r="D6546" s="675"/>
      <c r="E6546" s="675"/>
      <c r="G6546" s="675"/>
      <c r="H6546" s="675"/>
      <c r="I6546" s="675"/>
      <c r="J6546" s="675"/>
      <c r="K6546" s="675"/>
      <c r="L6546" s="675"/>
      <c r="M6546" s="675"/>
    </row>
    <row r="6547" spans="1:13" x14ac:dyDescent="0.25">
      <c r="A6547" s="675" t="s">
        <v>6482</v>
      </c>
      <c r="B6547" s="675" t="s">
        <v>564</v>
      </c>
      <c r="C6547" s="676" t="s">
        <v>6499</v>
      </c>
      <c r="D6547" s="675"/>
      <c r="E6547" s="675"/>
      <c r="G6547" s="675"/>
      <c r="H6547" s="675"/>
      <c r="I6547" s="675"/>
      <c r="J6547" s="675"/>
      <c r="K6547" s="675"/>
      <c r="L6547" s="675"/>
      <c r="M6547" s="675"/>
    </row>
    <row r="6548" spans="1:13" x14ac:dyDescent="0.25">
      <c r="A6548" s="675" t="s">
        <v>6482</v>
      </c>
      <c r="B6548" s="675" t="s">
        <v>564</v>
      </c>
      <c r="C6548" s="676" t="s">
        <v>6500</v>
      </c>
      <c r="D6548" s="675"/>
      <c r="E6548" s="675"/>
      <c r="G6548" s="675"/>
      <c r="H6548" s="675"/>
      <c r="I6548" s="675"/>
      <c r="J6548" s="675"/>
      <c r="K6548" s="675"/>
      <c r="L6548" s="675"/>
      <c r="M6548" s="675"/>
    </row>
    <row r="6549" spans="1:13" ht="30" x14ac:dyDescent="0.25">
      <c r="A6549" s="675" t="s">
        <v>6482</v>
      </c>
      <c r="B6549" s="675" t="s">
        <v>564</v>
      </c>
      <c r="C6549" s="676" t="s">
        <v>6501</v>
      </c>
      <c r="D6549" s="675"/>
      <c r="E6549" s="675"/>
      <c r="G6549" s="675"/>
      <c r="H6549" s="675"/>
      <c r="I6549" s="675"/>
      <c r="J6549" s="675"/>
      <c r="K6549" s="675"/>
      <c r="L6549" s="675"/>
      <c r="M6549" s="675"/>
    </row>
    <row r="6550" spans="1:13" x14ac:dyDescent="0.25">
      <c r="A6550" s="675" t="s">
        <v>6482</v>
      </c>
      <c r="B6550" s="675" t="s">
        <v>564</v>
      </c>
      <c r="C6550" s="676" t="s">
        <v>6502</v>
      </c>
      <c r="D6550" s="675"/>
      <c r="E6550" s="675"/>
      <c r="G6550" s="675"/>
      <c r="H6550" s="675"/>
      <c r="I6550" s="675"/>
      <c r="J6550" s="675"/>
      <c r="K6550" s="675"/>
      <c r="L6550" s="675"/>
      <c r="M6550" s="675"/>
    </row>
    <row r="6551" spans="1:13" ht="30" x14ac:dyDescent="0.25">
      <c r="A6551" s="675" t="s">
        <v>6482</v>
      </c>
      <c r="B6551" s="675" t="s">
        <v>512</v>
      </c>
      <c r="C6551" s="676" t="s">
        <v>6503</v>
      </c>
      <c r="D6551" s="675"/>
      <c r="E6551" s="675"/>
      <c r="G6551" s="675"/>
      <c r="H6551" s="675"/>
      <c r="I6551" s="675"/>
      <c r="J6551" s="675"/>
      <c r="K6551" s="675"/>
      <c r="L6551" s="675"/>
      <c r="M6551" s="675"/>
    </row>
    <row r="6552" spans="1:13" ht="30" x14ac:dyDescent="0.25">
      <c r="A6552" s="675" t="s">
        <v>6482</v>
      </c>
      <c r="B6552" s="675" t="s">
        <v>512</v>
      </c>
      <c r="C6552" s="676" t="s">
        <v>6504</v>
      </c>
      <c r="D6552" s="675"/>
      <c r="E6552" s="675"/>
      <c r="G6552" s="675"/>
      <c r="H6552" s="675"/>
      <c r="I6552" s="675"/>
      <c r="J6552" s="675"/>
      <c r="K6552" s="675"/>
      <c r="L6552" s="675"/>
      <c r="M6552" s="675"/>
    </row>
    <row r="6553" spans="1:13" ht="30" x14ac:dyDescent="0.25">
      <c r="A6553" s="675" t="s">
        <v>6482</v>
      </c>
      <c r="B6553" s="675" t="s">
        <v>512</v>
      </c>
      <c r="C6553" s="676" t="s">
        <v>6505</v>
      </c>
      <c r="D6553" s="675"/>
      <c r="E6553" s="675"/>
      <c r="G6553" s="675"/>
      <c r="H6553" s="675"/>
      <c r="I6553" s="675"/>
      <c r="J6553" s="675"/>
      <c r="K6553" s="675"/>
      <c r="L6553" s="675"/>
      <c r="M6553" s="675"/>
    </row>
    <row r="6554" spans="1:13" x14ac:dyDescent="0.25">
      <c r="A6554" s="675" t="s">
        <v>6482</v>
      </c>
      <c r="B6554" s="675" t="s">
        <v>512</v>
      </c>
      <c r="C6554" s="676" t="s">
        <v>6506</v>
      </c>
      <c r="D6554" s="675"/>
      <c r="E6554" s="675"/>
      <c r="G6554" s="675"/>
      <c r="H6554" s="675"/>
      <c r="I6554" s="675"/>
      <c r="J6554" s="675"/>
      <c r="K6554" s="675"/>
      <c r="L6554" s="675"/>
      <c r="M6554" s="675"/>
    </row>
    <row r="6555" spans="1:13" x14ac:dyDescent="0.25">
      <c r="A6555" s="675" t="s">
        <v>6482</v>
      </c>
      <c r="B6555" s="675" t="s">
        <v>512</v>
      </c>
      <c r="C6555" s="676" t="s">
        <v>6507</v>
      </c>
      <c r="D6555" s="675"/>
      <c r="E6555" s="675"/>
      <c r="G6555" s="675"/>
      <c r="H6555" s="675"/>
      <c r="I6555" s="675"/>
      <c r="J6555" s="675"/>
      <c r="K6555" s="675"/>
      <c r="L6555" s="675"/>
      <c r="M6555" s="675"/>
    </row>
    <row r="6556" spans="1:13" ht="30" x14ac:dyDescent="0.25">
      <c r="A6556" s="675" t="s">
        <v>6482</v>
      </c>
      <c r="B6556" s="675" t="s">
        <v>512</v>
      </c>
      <c r="C6556" s="676" t="s">
        <v>6508</v>
      </c>
      <c r="D6556" s="675"/>
      <c r="E6556" s="675"/>
      <c r="G6556" s="675"/>
      <c r="H6556" s="675"/>
      <c r="I6556" s="675"/>
      <c r="J6556" s="675"/>
      <c r="K6556" s="675"/>
      <c r="L6556" s="675"/>
      <c r="M6556" s="675"/>
    </row>
    <row r="6557" spans="1:13" x14ac:dyDescent="0.25">
      <c r="A6557" s="675" t="s">
        <v>6482</v>
      </c>
      <c r="B6557" s="675" t="s">
        <v>512</v>
      </c>
      <c r="C6557" s="676" t="s">
        <v>6509</v>
      </c>
      <c r="D6557" s="675"/>
      <c r="E6557" s="675"/>
      <c r="G6557" s="675"/>
      <c r="H6557" s="675"/>
      <c r="I6557" s="675"/>
      <c r="J6557" s="675"/>
      <c r="K6557" s="675"/>
      <c r="L6557" s="675"/>
      <c r="M6557" s="675"/>
    </row>
    <row r="6558" spans="1:13" x14ac:dyDescent="0.25">
      <c r="A6558" s="675" t="s">
        <v>6482</v>
      </c>
      <c r="B6558" s="675" t="s">
        <v>512</v>
      </c>
      <c r="C6558" s="676" t="s">
        <v>6510</v>
      </c>
      <c r="D6558" s="675"/>
      <c r="E6558" s="675"/>
      <c r="G6558" s="675"/>
      <c r="H6558" s="675"/>
      <c r="I6558" s="675"/>
      <c r="J6558" s="675"/>
      <c r="K6558" s="675"/>
      <c r="L6558" s="675"/>
      <c r="M6558" s="675"/>
    </row>
    <row r="6559" spans="1:13" x14ac:dyDescent="0.25">
      <c r="A6559" s="675" t="s">
        <v>6482</v>
      </c>
      <c r="B6559" s="675" t="s">
        <v>512</v>
      </c>
      <c r="C6559" s="676" t="s">
        <v>6511</v>
      </c>
      <c r="D6559" s="675"/>
      <c r="E6559" s="675"/>
      <c r="G6559" s="675"/>
      <c r="H6559" s="675"/>
      <c r="I6559" s="675"/>
      <c r="J6559" s="675"/>
      <c r="K6559" s="675"/>
      <c r="L6559" s="675"/>
      <c r="M6559" s="675"/>
    </row>
    <row r="6560" spans="1:13" x14ac:dyDescent="0.25">
      <c r="A6560" s="675" t="s">
        <v>6482</v>
      </c>
      <c r="B6560" s="675" t="s">
        <v>512</v>
      </c>
      <c r="C6560" s="676" t="s">
        <v>6512</v>
      </c>
      <c r="D6560" s="675"/>
      <c r="E6560" s="675"/>
      <c r="G6560" s="675"/>
      <c r="H6560" s="675"/>
      <c r="I6560" s="675"/>
      <c r="J6560" s="675"/>
      <c r="K6560" s="675"/>
      <c r="L6560" s="675"/>
      <c r="M6560" s="675"/>
    </row>
    <row r="6561" spans="1:13" x14ac:dyDescent="0.25">
      <c r="A6561" s="675" t="s">
        <v>6513</v>
      </c>
      <c r="B6561" s="675" t="s">
        <v>545</v>
      </c>
      <c r="C6561" s="676" t="s">
        <v>6514</v>
      </c>
      <c r="D6561" s="675"/>
      <c r="E6561" s="675"/>
      <c r="G6561" s="675"/>
      <c r="H6561" s="675"/>
      <c r="I6561" s="675"/>
      <c r="J6561" s="675"/>
      <c r="K6561" s="675"/>
      <c r="L6561" s="675"/>
      <c r="M6561" s="675"/>
    </row>
    <row r="6562" spans="1:13" x14ac:dyDescent="0.25">
      <c r="A6562" s="675" t="s">
        <v>6513</v>
      </c>
      <c r="B6562" s="675" t="s">
        <v>545</v>
      </c>
      <c r="C6562" s="676" t="s">
        <v>6515</v>
      </c>
      <c r="D6562" s="675"/>
      <c r="E6562" s="675"/>
      <c r="G6562" s="675"/>
      <c r="H6562" s="675"/>
      <c r="I6562" s="675"/>
      <c r="J6562" s="675"/>
      <c r="K6562" s="675"/>
      <c r="L6562" s="675"/>
      <c r="M6562" s="675"/>
    </row>
    <row r="6563" spans="1:13" x14ac:dyDescent="0.25">
      <c r="A6563" s="675" t="s">
        <v>6513</v>
      </c>
      <c r="B6563" s="675" t="s">
        <v>545</v>
      </c>
      <c r="C6563" s="676" t="s">
        <v>6516</v>
      </c>
      <c r="D6563" s="675"/>
      <c r="E6563" s="675"/>
      <c r="G6563" s="675"/>
      <c r="H6563" s="675"/>
      <c r="I6563" s="675"/>
      <c r="J6563" s="675"/>
      <c r="K6563" s="675"/>
      <c r="L6563" s="675"/>
      <c r="M6563" s="675"/>
    </row>
    <row r="6564" spans="1:13" x14ac:dyDescent="0.25">
      <c r="A6564" s="675" t="s">
        <v>6513</v>
      </c>
      <c r="B6564" s="675" t="s">
        <v>545</v>
      </c>
      <c r="C6564" s="676" t="s">
        <v>6517</v>
      </c>
      <c r="D6564" s="675"/>
      <c r="E6564" s="675"/>
      <c r="G6564" s="675"/>
      <c r="H6564" s="675"/>
      <c r="I6564" s="675"/>
      <c r="J6564" s="675"/>
      <c r="K6564" s="675"/>
      <c r="L6564" s="675"/>
      <c r="M6564" s="675"/>
    </row>
    <row r="6565" spans="1:13" ht="30" x14ac:dyDescent="0.25">
      <c r="A6565" s="675" t="s">
        <v>6513</v>
      </c>
      <c r="B6565" s="675" t="s">
        <v>545</v>
      </c>
      <c r="C6565" s="676" t="s">
        <v>6518</v>
      </c>
      <c r="D6565" s="675"/>
      <c r="E6565" s="675"/>
      <c r="G6565" s="675"/>
      <c r="H6565" s="675"/>
      <c r="I6565" s="675"/>
      <c r="J6565" s="675"/>
      <c r="K6565" s="675"/>
      <c r="L6565" s="675"/>
      <c r="M6565" s="675"/>
    </row>
    <row r="6566" spans="1:13" x14ac:dyDescent="0.25">
      <c r="A6566" s="675" t="s">
        <v>6513</v>
      </c>
      <c r="B6566" s="675" t="s">
        <v>564</v>
      </c>
      <c r="C6566" s="676" t="s">
        <v>6519</v>
      </c>
      <c r="D6566" s="675"/>
      <c r="E6566" s="675"/>
      <c r="G6566" s="675"/>
      <c r="H6566" s="675"/>
      <c r="I6566" s="675"/>
      <c r="J6566" s="675"/>
      <c r="K6566" s="675"/>
      <c r="L6566" s="675"/>
      <c r="M6566" s="675"/>
    </row>
    <row r="6567" spans="1:13" x14ac:dyDescent="0.25">
      <c r="A6567" s="675" t="s">
        <v>6513</v>
      </c>
      <c r="B6567" s="675" t="s">
        <v>564</v>
      </c>
      <c r="C6567" s="676" t="s">
        <v>6520</v>
      </c>
      <c r="D6567" s="675"/>
      <c r="E6567" s="675"/>
      <c r="G6567" s="675"/>
      <c r="H6567" s="675"/>
      <c r="I6567" s="675"/>
      <c r="J6567" s="675"/>
      <c r="K6567" s="675"/>
      <c r="L6567" s="675"/>
      <c r="M6567" s="675"/>
    </row>
    <row r="6568" spans="1:13" x14ac:dyDescent="0.25">
      <c r="A6568" s="675" t="s">
        <v>6513</v>
      </c>
      <c r="B6568" s="675" t="s">
        <v>564</v>
      </c>
      <c r="C6568" s="676" t="s">
        <v>6521</v>
      </c>
      <c r="D6568" s="675"/>
      <c r="E6568" s="675"/>
      <c r="G6568" s="675"/>
      <c r="H6568" s="675"/>
      <c r="I6568" s="675"/>
      <c r="J6568" s="675"/>
      <c r="K6568" s="675"/>
      <c r="L6568" s="675"/>
      <c r="M6568" s="675"/>
    </row>
    <row r="6569" spans="1:13" x14ac:dyDescent="0.25">
      <c r="A6569" s="675" t="s">
        <v>6513</v>
      </c>
      <c r="B6569" s="675" t="s">
        <v>564</v>
      </c>
      <c r="C6569" s="676" t="s">
        <v>6522</v>
      </c>
      <c r="D6569" s="675"/>
      <c r="E6569" s="675"/>
      <c r="G6569" s="675"/>
      <c r="H6569" s="675"/>
      <c r="I6569" s="675"/>
      <c r="J6569" s="675"/>
      <c r="K6569" s="675"/>
      <c r="L6569" s="675"/>
      <c r="M6569" s="675"/>
    </row>
    <row r="6570" spans="1:13" x14ac:dyDescent="0.25">
      <c r="A6570" s="675" t="s">
        <v>6513</v>
      </c>
      <c r="B6570" s="675" t="s">
        <v>564</v>
      </c>
      <c r="C6570" s="676" t="s">
        <v>6523</v>
      </c>
      <c r="D6570" s="675"/>
      <c r="E6570" s="675"/>
      <c r="G6570" s="675"/>
      <c r="H6570" s="675"/>
      <c r="I6570" s="675"/>
      <c r="J6570" s="675"/>
      <c r="K6570" s="675"/>
      <c r="L6570" s="675"/>
      <c r="M6570" s="675"/>
    </row>
    <row r="6571" spans="1:13" x14ac:dyDescent="0.25">
      <c r="A6571" s="675" t="s">
        <v>6513</v>
      </c>
      <c r="B6571" s="675" t="s">
        <v>512</v>
      </c>
      <c r="C6571" s="676" t="s">
        <v>6524</v>
      </c>
      <c r="D6571" s="675"/>
      <c r="E6571" s="675"/>
      <c r="G6571" s="675"/>
      <c r="H6571" s="675"/>
      <c r="I6571" s="675"/>
      <c r="J6571" s="675"/>
      <c r="K6571" s="675"/>
      <c r="L6571" s="675"/>
      <c r="M6571" s="675"/>
    </row>
    <row r="6572" spans="1:13" x14ac:dyDescent="0.25">
      <c r="A6572" s="675" t="s">
        <v>6513</v>
      </c>
      <c r="B6572" s="675" t="s">
        <v>512</v>
      </c>
      <c r="C6572" s="676" t="s">
        <v>6525</v>
      </c>
      <c r="D6572" s="675"/>
      <c r="E6572" s="675"/>
      <c r="G6572" s="675"/>
      <c r="H6572" s="675"/>
      <c r="I6572" s="675"/>
      <c r="J6572" s="675"/>
      <c r="K6572" s="675"/>
      <c r="L6572" s="675"/>
      <c r="M6572" s="675"/>
    </row>
    <row r="6573" spans="1:13" x14ac:dyDescent="0.25">
      <c r="A6573" s="675" t="s">
        <v>6513</v>
      </c>
      <c r="B6573" s="675" t="s">
        <v>512</v>
      </c>
      <c r="C6573" s="676" t="s">
        <v>6526</v>
      </c>
      <c r="D6573" s="675"/>
      <c r="E6573" s="675"/>
      <c r="G6573" s="675"/>
      <c r="H6573" s="675"/>
      <c r="I6573" s="675"/>
      <c r="J6573" s="675"/>
      <c r="K6573" s="675"/>
      <c r="L6573" s="675"/>
      <c r="M6573" s="675"/>
    </row>
    <row r="6574" spans="1:13" x14ac:dyDescent="0.25">
      <c r="A6574" s="675" t="s">
        <v>6513</v>
      </c>
      <c r="B6574" s="675" t="s">
        <v>512</v>
      </c>
      <c r="C6574" s="676" t="s">
        <v>6527</v>
      </c>
      <c r="D6574" s="675"/>
      <c r="E6574" s="675"/>
      <c r="G6574" s="675"/>
      <c r="H6574" s="675"/>
      <c r="I6574" s="675"/>
      <c r="J6574" s="675"/>
      <c r="K6574" s="675"/>
      <c r="L6574" s="675"/>
      <c r="M6574" s="675"/>
    </row>
    <row r="6575" spans="1:13" ht="30" x14ac:dyDescent="0.25">
      <c r="A6575" s="675" t="s">
        <v>6513</v>
      </c>
      <c r="B6575" s="675" t="s">
        <v>512</v>
      </c>
      <c r="C6575" s="676" t="s">
        <v>6528</v>
      </c>
      <c r="D6575" s="675"/>
      <c r="E6575" s="675"/>
      <c r="G6575" s="675"/>
      <c r="H6575" s="675"/>
      <c r="I6575" s="675"/>
      <c r="J6575" s="675"/>
      <c r="K6575" s="675"/>
      <c r="L6575" s="675"/>
      <c r="M6575" s="675"/>
    </row>
    <row r="6576" spans="1:13" x14ac:dyDescent="0.25">
      <c r="A6576" s="675" t="s">
        <v>6529</v>
      </c>
      <c r="B6576" s="675" t="s">
        <v>545</v>
      </c>
      <c r="C6576" s="676" t="s">
        <v>6530</v>
      </c>
      <c r="D6576" s="675"/>
      <c r="E6576" s="675"/>
      <c r="G6576" s="675"/>
      <c r="H6576" s="675"/>
      <c r="I6576" s="675"/>
      <c r="J6576" s="675"/>
      <c r="K6576" s="675"/>
      <c r="L6576" s="675"/>
      <c r="M6576" s="675"/>
    </row>
    <row r="6577" spans="1:13" x14ac:dyDescent="0.25">
      <c r="A6577" s="675" t="s">
        <v>6529</v>
      </c>
      <c r="B6577" s="675" t="s">
        <v>545</v>
      </c>
      <c r="C6577" s="676" t="s">
        <v>6531</v>
      </c>
      <c r="D6577" s="675"/>
      <c r="E6577" s="675"/>
      <c r="G6577" s="675"/>
      <c r="H6577" s="675"/>
      <c r="I6577" s="675"/>
      <c r="J6577" s="675"/>
      <c r="K6577" s="675"/>
      <c r="L6577" s="675"/>
      <c r="M6577" s="675"/>
    </row>
    <row r="6578" spans="1:13" x14ac:dyDescent="0.25">
      <c r="A6578" s="675" t="s">
        <v>6529</v>
      </c>
      <c r="B6578" s="675" t="s">
        <v>545</v>
      </c>
      <c r="C6578" s="676" t="s">
        <v>6532</v>
      </c>
      <c r="D6578" s="675"/>
      <c r="E6578" s="675"/>
      <c r="G6578" s="675"/>
      <c r="H6578" s="675"/>
      <c r="I6578" s="675"/>
      <c r="J6578" s="675"/>
      <c r="K6578" s="675"/>
      <c r="L6578" s="675"/>
      <c r="M6578" s="675"/>
    </row>
    <row r="6579" spans="1:13" x14ac:dyDescent="0.25">
      <c r="A6579" s="675" t="s">
        <v>6529</v>
      </c>
      <c r="B6579" s="675" t="s">
        <v>545</v>
      </c>
      <c r="C6579" s="676" t="s">
        <v>6533</v>
      </c>
      <c r="D6579" s="675"/>
      <c r="E6579" s="675"/>
      <c r="G6579" s="675"/>
      <c r="H6579" s="675"/>
      <c r="I6579" s="675"/>
      <c r="J6579" s="675"/>
      <c r="K6579" s="675"/>
      <c r="L6579" s="675"/>
      <c r="M6579" s="675"/>
    </row>
    <row r="6580" spans="1:13" x14ac:dyDescent="0.25">
      <c r="A6580" s="675" t="s">
        <v>6529</v>
      </c>
      <c r="B6580" s="675" t="s">
        <v>545</v>
      </c>
      <c r="C6580" s="676" t="s">
        <v>6534</v>
      </c>
      <c r="D6580" s="675"/>
      <c r="E6580" s="675"/>
      <c r="G6580" s="675"/>
      <c r="H6580" s="675"/>
      <c r="I6580" s="675"/>
      <c r="J6580" s="675"/>
      <c r="K6580" s="675"/>
      <c r="L6580" s="675"/>
      <c r="M6580" s="675"/>
    </row>
    <row r="6581" spans="1:13" x14ac:dyDescent="0.25">
      <c r="A6581" s="675" t="s">
        <v>6529</v>
      </c>
      <c r="B6581" s="675" t="s">
        <v>564</v>
      </c>
      <c r="C6581" s="676" t="s">
        <v>6535</v>
      </c>
      <c r="D6581" s="675"/>
      <c r="E6581" s="675"/>
      <c r="G6581" s="675"/>
      <c r="H6581" s="675"/>
      <c r="I6581" s="675"/>
      <c r="J6581" s="675"/>
      <c r="K6581" s="675"/>
      <c r="L6581" s="675"/>
      <c r="M6581" s="675"/>
    </row>
    <row r="6582" spans="1:13" x14ac:dyDescent="0.25">
      <c r="A6582" s="675" t="s">
        <v>6529</v>
      </c>
      <c r="B6582" s="675" t="s">
        <v>564</v>
      </c>
      <c r="C6582" s="676" t="s">
        <v>6536</v>
      </c>
      <c r="D6582" s="675"/>
      <c r="E6582" s="675"/>
      <c r="G6582" s="675"/>
      <c r="H6582" s="675"/>
      <c r="I6582" s="675"/>
      <c r="J6582" s="675"/>
      <c r="K6582" s="675"/>
      <c r="L6582" s="675"/>
      <c r="M6582" s="675"/>
    </row>
    <row r="6583" spans="1:13" x14ac:dyDescent="0.25">
      <c r="A6583" s="675" t="s">
        <v>6529</v>
      </c>
      <c r="B6583" s="675" t="s">
        <v>564</v>
      </c>
      <c r="C6583" s="676" t="s">
        <v>6537</v>
      </c>
      <c r="D6583" s="675"/>
      <c r="E6583" s="675"/>
      <c r="G6583" s="675"/>
      <c r="H6583" s="675"/>
      <c r="I6583" s="675"/>
      <c r="J6583" s="675"/>
      <c r="K6583" s="675"/>
      <c r="L6583" s="675"/>
      <c r="M6583" s="675"/>
    </row>
    <row r="6584" spans="1:13" x14ac:dyDescent="0.25">
      <c r="A6584" s="675" t="s">
        <v>6529</v>
      </c>
      <c r="B6584" s="675" t="s">
        <v>564</v>
      </c>
      <c r="C6584" s="676" t="s">
        <v>6538</v>
      </c>
      <c r="D6584" s="675"/>
      <c r="E6584" s="675"/>
      <c r="G6584" s="675"/>
      <c r="H6584" s="675"/>
      <c r="I6584" s="675"/>
      <c r="J6584" s="675"/>
      <c r="K6584" s="675"/>
      <c r="L6584" s="675"/>
      <c r="M6584" s="675"/>
    </row>
    <row r="6585" spans="1:13" x14ac:dyDescent="0.25">
      <c r="A6585" s="675" t="s">
        <v>6529</v>
      </c>
      <c r="B6585" s="675" t="s">
        <v>564</v>
      </c>
      <c r="C6585" s="676" t="s">
        <v>6539</v>
      </c>
      <c r="D6585" s="675"/>
      <c r="E6585" s="675"/>
      <c r="G6585" s="675"/>
      <c r="H6585" s="675"/>
      <c r="I6585" s="675"/>
      <c r="J6585" s="675"/>
      <c r="K6585" s="675"/>
      <c r="L6585" s="675"/>
      <c r="M6585" s="675"/>
    </row>
    <row r="6586" spans="1:13" x14ac:dyDescent="0.25">
      <c r="A6586" s="675" t="s">
        <v>6529</v>
      </c>
      <c r="B6586" s="675" t="s">
        <v>512</v>
      </c>
      <c r="C6586" s="676" t="s">
        <v>6540</v>
      </c>
      <c r="D6586" s="675"/>
      <c r="E6586" s="675"/>
      <c r="G6586" s="675"/>
      <c r="H6586" s="675"/>
      <c r="I6586" s="675"/>
      <c r="J6586" s="675"/>
      <c r="K6586" s="675"/>
      <c r="L6586" s="675"/>
      <c r="M6586" s="675"/>
    </row>
    <row r="6587" spans="1:13" x14ac:dyDescent="0.25">
      <c r="A6587" s="675" t="s">
        <v>6529</v>
      </c>
      <c r="B6587" s="675" t="s">
        <v>512</v>
      </c>
      <c r="C6587" s="676" t="s">
        <v>6541</v>
      </c>
      <c r="D6587" s="675"/>
      <c r="E6587" s="675"/>
      <c r="G6587" s="675"/>
      <c r="H6587" s="675"/>
      <c r="I6587" s="675"/>
      <c r="J6587" s="675"/>
      <c r="K6587" s="675"/>
      <c r="L6587" s="675"/>
      <c r="M6587" s="675"/>
    </row>
    <row r="6588" spans="1:13" x14ac:dyDescent="0.25">
      <c r="A6588" s="675" t="s">
        <v>6529</v>
      </c>
      <c r="B6588" s="675" t="s">
        <v>512</v>
      </c>
      <c r="C6588" s="676" t="s">
        <v>6542</v>
      </c>
      <c r="D6588" s="675"/>
      <c r="E6588" s="675"/>
      <c r="G6588" s="675"/>
      <c r="H6588" s="675"/>
      <c r="I6588" s="675"/>
      <c r="J6588" s="675"/>
      <c r="K6588" s="675"/>
      <c r="L6588" s="675"/>
      <c r="M6588" s="675"/>
    </row>
    <row r="6589" spans="1:13" x14ac:dyDescent="0.25">
      <c r="A6589" s="675" t="s">
        <v>6529</v>
      </c>
      <c r="B6589" s="675" t="s">
        <v>512</v>
      </c>
      <c r="C6589" s="676" t="s">
        <v>6543</v>
      </c>
      <c r="D6589" s="675"/>
      <c r="E6589" s="675"/>
      <c r="G6589" s="675"/>
      <c r="H6589" s="675"/>
      <c r="I6589" s="675"/>
      <c r="J6589" s="675"/>
      <c r="K6589" s="675"/>
      <c r="L6589" s="675"/>
      <c r="M6589" s="675"/>
    </row>
    <row r="6590" spans="1:13" x14ac:dyDescent="0.25">
      <c r="A6590" s="675" t="s">
        <v>6529</v>
      </c>
      <c r="B6590" s="675" t="s">
        <v>512</v>
      </c>
      <c r="C6590" s="676" t="s">
        <v>6544</v>
      </c>
      <c r="D6590" s="675"/>
      <c r="E6590" s="675"/>
      <c r="G6590" s="675"/>
      <c r="H6590" s="675"/>
      <c r="I6590" s="675"/>
      <c r="J6590" s="675"/>
      <c r="K6590" s="675"/>
      <c r="L6590" s="675"/>
      <c r="M6590" s="675"/>
    </row>
    <row r="6591" spans="1:13" x14ac:dyDescent="0.25">
      <c r="A6591" s="675" t="s">
        <v>6545</v>
      </c>
      <c r="B6591" s="675" t="s">
        <v>545</v>
      </c>
      <c r="C6591" s="676" t="s">
        <v>6546</v>
      </c>
      <c r="D6591" s="675"/>
      <c r="E6591" s="675"/>
      <c r="G6591" s="675"/>
      <c r="H6591" s="675"/>
      <c r="I6591" s="675"/>
      <c r="J6591" s="675"/>
      <c r="K6591" s="675"/>
      <c r="L6591" s="675"/>
      <c r="M6591" s="675"/>
    </row>
    <row r="6592" spans="1:13" x14ac:dyDescent="0.25">
      <c r="A6592" s="675" t="s">
        <v>6545</v>
      </c>
      <c r="B6592" s="675" t="s">
        <v>545</v>
      </c>
      <c r="C6592" s="676" t="s">
        <v>6547</v>
      </c>
      <c r="D6592" s="675"/>
      <c r="E6592" s="675"/>
      <c r="G6592" s="675"/>
      <c r="H6592" s="675"/>
      <c r="I6592" s="675"/>
      <c r="J6592" s="675"/>
      <c r="K6592" s="675"/>
      <c r="L6592" s="675"/>
      <c r="M6592" s="675"/>
    </row>
    <row r="6593" spans="1:13" x14ac:dyDescent="0.25">
      <c r="A6593" s="675" t="s">
        <v>6545</v>
      </c>
      <c r="B6593" s="675" t="s">
        <v>545</v>
      </c>
      <c r="C6593" s="676" t="s">
        <v>6548</v>
      </c>
      <c r="D6593" s="675"/>
      <c r="E6593" s="675"/>
      <c r="G6593" s="675"/>
      <c r="H6593" s="675"/>
      <c r="I6593" s="675"/>
      <c r="J6593" s="675"/>
      <c r="K6593" s="675"/>
      <c r="L6593" s="675"/>
      <c r="M6593" s="675"/>
    </row>
    <row r="6594" spans="1:13" x14ac:dyDescent="0.25">
      <c r="A6594" s="675" t="s">
        <v>6545</v>
      </c>
      <c r="B6594" s="675" t="s">
        <v>545</v>
      </c>
      <c r="C6594" s="676" t="s">
        <v>6549</v>
      </c>
      <c r="D6594" s="675"/>
      <c r="E6594" s="675"/>
      <c r="G6594" s="675"/>
      <c r="H6594" s="675"/>
      <c r="I6594" s="675"/>
      <c r="J6594" s="675"/>
      <c r="K6594" s="675"/>
      <c r="L6594" s="675"/>
      <c r="M6594" s="675"/>
    </row>
    <row r="6595" spans="1:13" x14ac:dyDescent="0.25">
      <c r="A6595" s="675" t="s">
        <v>6545</v>
      </c>
      <c r="B6595" s="675" t="s">
        <v>545</v>
      </c>
      <c r="C6595" s="676" t="s">
        <v>6550</v>
      </c>
      <c r="D6595" s="675"/>
      <c r="E6595" s="675"/>
      <c r="G6595" s="675"/>
      <c r="H6595" s="675"/>
      <c r="I6595" s="675"/>
      <c r="J6595" s="675"/>
      <c r="K6595" s="675"/>
      <c r="L6595" s="675"/>
      <c r="M6595" s="675"/>
    </row>
    <row r="6596" spans="1:13" x14ac:dyDescent="0.25">
      <c r="A6596" s="675" t="s">
        <v>6545</v>
      </c>
      <c r="B6596" s="675" t="s">
        <v>564</v>
      </c>
      <c r="C6596" s="676" t="s">
        <v>6551</v>
      </c>
      <c r="D6596" s="675"/>
      <c r="E6596" s="675"/>
      <c r="G6596" s="675"/>
      <c r="H6596" s="675"/>
      <c r="I6596" s="675"/>
      <c r="J6596" s="675"/>
      <c r="K6596" s="675"/>
      <c r="L6596" s="675"/>
      <c r="M6596" s="675"/>
    </row>
    <row r="6597" spans="1:13" x14ac:dyDescent="0.25">
      <c r="A6597" s="675" t="s">
        <v>6545</v>
      </c>
      <c r="B6597" s="675" t="s">
        <v>564</v>
      </c>
      <c r="C6597" s="676" t="s">
        <v>6552</v>
      </c>
      <c r="D6597" s="675"/>
      <c r="E6597" s="675"/>
      <c r="G6597" s="675"/>
      <c r="H6597" s="675"/>
      <c r="I6597" s="675"/>
      <c r="J6597" s="675"/>
      <c r="K6597" s="675"/>
      <c r="L6597" s="675"/>
      <c r="M6597" s="675"/>
    </row>
    <row r="6598" spans="1:13" x14ac:dyDescent="0.25">
      <c r="A6598" s="675" t="s">
        <v>6545</v>
      </c>
      <c r="B6598" s="675" t="s">
        <v>564</v>
      </c>
      <c r="C6598" s="676" t="s">
        <v>6553</v>
      </c>
      <c r="D6598" s="675"/>
      <c r="E6598" s="675"/>
      <c r="G6598" s="675"/>
      <c r="H6598" s="675"/>
      <c r="I6598" s="675"/>
      <c r="J6598" s="675"/>
      <c r="K6598" s="675"/>
      <c r="L6598" s="675"/>
      <c r="M6598" s="675"/>
    </row>
    <row r="6599" spans="1:13" x14ac:dyDescent="0.25">
      <c r="A6599" s="675" t="s">
        <v>6545</v>
      </c>
      <c r="B6599" s="675" t="s">
        <v>564</v>
      </c>
      <c r="C6599" s="676" t="s">
        <v>6554</v>
      </c>
      <c r="D6599" s="675"/>
      <c r="E6599" s="675"/>
      <c r="G6599" s="675"/>
      <c r="H6599" s="675"/>
      <c r="I6599" s="675"/>
      <c r="J6599" s="675"/>
      <c r="K6599" s="675"/>
      <c r="L6599" s="675"/>
      <c r="M6599" s="675"/>
    </row>
    <row r="6600" spans="1:13" x14ac:dyDescent="0.25">
      <c r="A6600" s="675" t="s">
        <v>6545</v>
      </c>
      <c r="B6600" s="675" t="s">
        <v>564</v>
      </c>
      <c r="C6600" s="676" t="s">
        <v>6555</v>
      </c>
      <c r="D6600" s="675"/>
      <c r="E6600" s="675"/>
      <c r="G6600" s="675"/>
      <c r="H6600" s="675"/>
      <c r="I6600" s="675"/>
      <c r="J6600" s="675"/>
      <c r="K6600" s="675"/>
      <c r="L6600" s="675"/>
      <c r="M6600" s="675"/>
    </row>
    <row r="6601" spans="1:13" x14ac:dyDescent="0.25">
      <c r="A6601" s="675" t="s">
        <v>6545</v>
      </c>
      <c r="B6601" s="675" t="s">
        <v>512</v>
      </c>
      <c r="C6601" s="676" t="s">
        <v>6556</v>
      </c>
      <c r="D6601" s="675"/>
      <c r="E6601" s="675"/>
      <c r="G6601" s="675"/>
      <c r="H6601" s="675"/>
      <c r="I6601" s="675"/>
      <c r="J6601" s="675"/>
      <c r="K6601" s="675"/>
      <c r="L6601" s="675"/>
      <c r="M6601" s="675"/>
    </row>
    <row r="6602" spans="1:13" x14ac:dyDescent="0.25">
      <c r="A6602" s="675" t="s">
        <v>6545</v>
      </c>
      <c r="B6602" s="675" t="s">
        <v>512</v>
      </c>
      <c r="C6602" s="676" t="s">
        <v>6557</v>
      </c>
      <c r="D6602" s="675"/>
      <c r="E6602" s="675"/>
      <c r="G6602" s="675"/>
      <c r="H6602" s="675"/>
      <c r="I6602" s="675"/>
      <c r="J6602" s="675"/>
      <c r="K6602" s="675"/>
      <c r="L6602" s="675"/>
      <c r="M6602" s="675"/>
    </row>
    <row r="6603" spans="1:13" x14ac:dyDescent="0.25">
      <c r="A6603" s="675" t="s">
        <v>6545</v>
      </c>
      <c r="B6603" s="675" t="s">
        <v>512</v>
      </c>
      <c r="C6603" s="676" t="s">
        <v>6558</v>
      </c>
      <c r="D6603" s="675"/>
      <c r="E6603" s="675"/>
      <c r="G6603" s="675"/>
      <c r="H6603" s="675"/>
      <c r="I6603" s="675"/>
      <c r="J6603" s="675"/>
      <c r="K6603" s="675"/>
      <c r="L6603" s="675"/>
      <c r="M6603" s="675"/>
    </row>
    <row r="6604" spans="1:13" x14ac:dyDescent="0.25">
      <c r="A6604" s="675" t="s">
        <v>6545</v>
      </c>
      <c r="B6604" s="675" t="s">
        <v>512</v>
      </c>
      <c r="C6604" s="676" t="s">
        <v>6559</v>
      </c>
      <c r="D6604" s="675"/>
      <c r="E6604" s="675"/>
      <c r="G6604" s="675"/>
      <c r="H6604" s="675"/>
      <c r="I6604" s="675"/>
      <c r="J6604" s="675"/>
      <c r="K6604" s="675"/>
      <c r="L6604" s="675"/>
      <c r="M6604" s="675"/>
    </row>
    <row r="6605" spans="1:13" x14ac:dyDescent="0.25">
      <c r="A6605" s="675" t="s">
        <v>6545</v>
      </c>
      <c r="B6605" s="675" t="s">
        <v>512</v>
      </c>
      <c r="C6605" s="676" t="s">
        <v>6560</v>
      </c>
      <c r="D6605" s="675"/>
      <c r="E6605" s="675"/>
      <c r="G6605" s="675"/>
      <c r="H6605" s="675"/>
      <c r="I6605" s="675"/>
      <c r="J6605" s="675"/>
      <c r="K6605" s="675"/>
      <c r="L6605" s="675"/>
      <c r="M6605" s="675"/>
    </row>
    <row r="6606" spans="1:13" x14ac:dyDescent="0.25">
      <c r="A6606" s="675" t="s">
        <v>6561</v>
      </c>
      <c r="B6606" s="675" t="s">
        <v>545</v>
      </c>
      <c r="C6606" s="676" t="s">
        <v>6562</v>
      </c>
      <c r="D6606" s="675"/>
      <c r="E6606" s="675"/>
      <c r="G6606" s="675"/>
      <c r="H6606" s="675"/>
      <c r="I6606" s="675"/>
      <c r="J6606" s="675"/>
      <c r="K6606" s="675"/>
      <c r="L6606" s="675"/>
      <c r="M6606" s="675"/>
    </row>
    <row r="6607" spans="1:13" x14ac:dyDescent="0.25">
      <c r="A6607" s="675" t="s">
        <v>6561</v>
      </c>
      <c r="B6607" s="675" t="s">
        <v>545</v>
      </c>
      <c r="C6607" s="676" t="s">
        <v>6563</v>
      </c>
      <c r="D6607" s="675"/>
      <c r="E6607" s="675"/>
      <c r="G6607" s="675"/>
      <c r="H6607" s="675"/>
      <c r="I6607" s="675"/>
      <c r="J6607" s="675"/>
      <c r="K6607" s="675"/>
      <c r="L6607" s="675"/>
      <c r="M6607" s="675"/>
    </row>
    <row r="6608" spans="1:13" x14ac:dyDescent="0.25">
      <c r="A6608" s="675" t="s">
        <v>6561</v>
      </c>
      <c r="B6608" s="675" t="s">
        <v>545</v>
      </c>
      <c r="C6608" s="676" t="s">
        <v>6564</v>
      </c>
      <c r="D6608" s="675"/>
      <c r="E6608" s="675"/>
      <c r="G6608" s="675"/>
      <c r="H6608" s="675"/>
      <c r="I6608" s="675"/>
      <c r="J6608" s="675"/>
      <c r="K6608" s="675"/>
      <c r="L6608" s="675"/>
      <c r="M6608" s="675"/>
    </row>
    <row r="6609" spans="1:13" x14ac:dyDescent="0.25">
      <c r="A6609" s="675" t="s">
        <v>6561</v>
      </c>
      <c r="B6609" s="675" t="s">
        <v>545</v>
      </c>
      <c r="C6609" s="676" t="s">
        <v>6565</v>
      </c>
      <c r="D6609" s="675"/>
      <c r="E6609" s="675"/>
      <c r="G6609" s="675"/>
      <c r="H6609" s="675"/>
      <c r="I6609" s="675"/>
      <c r="J6609" s="675"/>
      <c r="K6609" s="675"/>
      <c r="L6609" s="675"/>
      <c r="M6609" s="675"/>
    </row>
    <row r="6610" spans="1:13" x14ac:dyDescent="0.25">
      <c r="A6610" s="675" t="s">
        <v>6561</v>
      </c>
      <c r="B6610" s="675" t="s">
        <v>545</v>
      </c>
      <c r="C6610" s="676" t="s">
        <v>6566</v>
      </c>
      <c r="D6610" s="675"/>
      <c r="E6610" s="675"/>
      <c r="G6610" s="675"/>
      <c r="H6610" s="675"/>
      <c r="I6610" s="675"/>
      <c r="J6610" s="675"/>
      <c r="K6610" s="675"/>
      <c r="L6610" s="675"/>
      <c r="M6610" s="675"/>
    </row>
    <row r="6611" spans="1:13" x14ac:dyDescent="0.25">
      <c r="A6611" s="675" t="s">
        <v>6561</v>
      </c>
      <c r="B6611" s="675" t="s">
        <v>545</v>
      </c>
      <c r="C6611" s="676" t="s">
        <v>6567</v>
      </c>
      <c r="D6611" s="675"/>
      <c r="E6611" s="675"/>
      <c r="G6611" s="675"/>
      <c r="H6611" s="675"/>
      <c r="I6611" s="675"/>
      <c r="J6611" s="675"/>
      <c r="K6611" s="675"/>
      <c r="L6611" s="675"/>
      <c r="M6611" s="675"/>
    </row>
    <row r="6612" spans="1:13" x14ac:dyDescent="0.25">
      <c r="A6612" s="675" t="s">
        <v>6561</v>
      </c>
      <c r="B6612" s="675" t="s">
        <v>545</v>
      </c>
      <c r="C6612" s="676" t="s">
        <v>6568</v>
      </c>
      <c r="D6612" s="675"/>
      <c r="E6612" s="675"/>
      <c r="G6612" s="675"/>
      <c r="H6612" s="675"/>
      <c r="I6612" s="675"/>
      <c r="J6612" s="675"/>
      <c r="K6612" s="675"/>
      <c r="L6612" s="675"/>
      <c r="M6612" s="675"/>
    </row>
    <row r="6613" spans="1:13" x14ac:dyDescent="0.25">
      <c r="A6613" s="675" t="s">
        <v>6561</v>
      </c>
      <c r="B6613" s="675" t="s">
        <v>545</v>
      </c>
      <c r="C6613" s="676" t="s">
        <v>6569</v>
      </c>
      <c r="D6613" s="675"/>
      <c r="E6613" s="675"/>
      <c r="G6613" s="675"/>
      <c r="H6613" s="675"/>
      <c r="I6613" s="675"/>
      <c r="J6613" s="675"/>
      <c r="K6613" s="675"/>
      <c r="L6613" s="675"/>
      <c r="M6613" s="675"/>
    </row>
    <row r="6614" spans="1:13" x14ac:dyDescent="0.25">
      <c r="A6614" s="675" t="s">
        <v>6561</v>
      </c>
      <c r="B6614" s="675" t="s">
        <v>545</v>
      </c>
      <c r="C6614" s="676" t="s">
        <v>6570</v>
      </c>
      <c r="D6614" s="675"/>
      <c r="E6614" s="675"/>
      <c r="G6614" s="675"/>
      <c r="H6614" s="675"/>
      <c r="I6614" s="675"/>
      <c r="J6614" s="675"/>
      <c r="K6614" s="675"/>
      <c r="L6614" s="675"/>
      <c r="M6614" s="675"/>
    </row>
    <row r="6615" spans="1:13" x14ac:dyDescent="0.25">
      <c r="A6615" s="675" t="s">
        <v>6561</v>
      </c>
      <c r="B6615" s="675" t="s">
        <v>545</v>
      </c>
      <c r="C6615" s="676" t="s">
        <v>6571</v>
      </c>
      <c r="D6615" s="675"/>
      <c r="E6615" s="675"/>
      <c r="G6615" s="675"/>
      <c r="H6615" s="675"/>
      <c r="I6615" s="675"/>
      <c r="J6615" s="675"/>
      <c r="K6615" s="675"/>
      <c r="L6615" s="675"/>
      <c r="M6615" s="675"/>
    </row>
    <row r="6616" spans="1:13" x14ac:dyDescent="0.25">
      <c r="A6616" s="675" t="s">
        <v>6561</v>
      </c>
      <c r="B6616" s="675" t="s">
        <v>564</v>
      </c>
      <c r="C6616" s="676" t="s">
        <v>6572</v>
      </c>
      <c r="D6616" s="675"/>
      <c r="E6616" s="675"/>
      <c r="G6616" s="675"/>
      <c r="H6616" s="675"/>
      <c r="I6616" s="675"/>
      <c r="J6616" s="675"/>
      <c r="K6616" s="675"/>
      <c r="L6616" s="675"/>
      <c r="M6616" s="675"/>
    </row>
    <row r="6617" spans="1:13" x14ac:dyDescent="0.25">
      <c r="A6617" s="675" t="s">
        <v>6561</v>
      </c>
      <c r="B6617" s="675" t="s">
        <v>564</v>
      </c>
      <c r="C6617" s="676" t="s">
        <v>6573</v>
      </c>
      <c r="D6617" s="675"/>
      <c r="E6617" s="675"/>
      <c r="G6617" s="675"/>
      <c r="H6617" s="675"/>
      <c r="I6617" s="675"/>
      <c r="J6617" s="675"/>
      <c r="K6617" s="675"/>
      <c r="L6617" s="675"/>
      <c r="M6617" s="675"/>
    </row>
    <row r="6618" spans="1:13" x14ac:dyDescent="0.25">
      <c r="A6618" s="675" t="s">
        <v>6561</v>
      </c>
      <c r="B6618" s="675" t="s">
        <v>564</v>
      </c>
      <c r="C6618" s="676" t="s">
        <v>6574</v>
      </c>
      <c r="D6618" s="675"/>
      <c r="E6618" s="675"/>
      <c r="G6618" s="675"/>
      <c r="H6618" s="675"/>
      <c r="I6618" s="675"/>
      <c r="J6618" s="675"/>
      <c r="K6618" s="675"/>
      <c r="L6618" s="675"/>
      <c r="M6618" s="675"/>
    </row>
    <row r="6619" spans="1:13" x14ac:dyDescent="0.25">
      <c r="A6619" s="675" t="s">
        <v>6561</v>
      </c>
      <c r="B6619" s="675" t="s">
        <v>564</v>
      </c>
      <c r="C6619" s="676" t="s">
        <v>6575</v>
      </c>
      <c r="D6619" s="675"/>
      <c r="E6619" s="675"/>
      <c r="G6619" s="675"/>
      <c r="H6619" s="675"/>
      <c r="I6619" s="675"/>
      <c r="J6619" s="675"/>
      <c r="K6619" s="675"/>
      <c r="L6619" s="675"/>
      <c r="M6619" s="675"/>
    </row>
    <row r="6620" spans="1:13" x14ac:dyDescent="0.25">
      <c r="A6620" s="675" t="s">
        <v>6561</v>
      </c>
      <c r="B6620" s="675" t="s">
        <v>564</v>
      </c>
      <c r="C6620" s="676" t="s">
        <v>6576</v>
      </c>
      <c r="D6620" s="675"/>
      <c r="E6620" s="675"/>
      <c r="G6620" s="675"/>
      <c r="H6620" s="675"/>
      <c r="I6620" s="675"/>
      <c r="J6620" s="675"/>
      <c r="K6620" s="675"/>
      <c r="L6620" s="675"/>
      <c r="M6620" s="675"/>
    </row>
    <row r="6621" spans="1:13" x14ac:dyDescent="0.25">
      <c r="A6621" s="675" t="s">
        <v>6561</v>
      </c>
      <c r="B6621" s="675" t="s">
        <v>564</v>
      </c>
      <c r="C6621" s="676" t="s">
        <v>6577</v>
      </c>
      <c r="D6621" s="675"/>
      <c r="E6621" s="675"/>
      <c r="G6621" s="675"/>
      <c r="H6621" s="675"/>
      <c r="I6621" s="675"/>
      <c r="J6621" s="675"/>
      <c r="K6621" s="675"/>
      <c r="L6621" s="675"/>
      <c r="M6621" s="675"/>
    </row>
    <row r="6622" spans="1:13" x14ac:dyDescent="0.25">
      <c r="A6622" s="675" t="s">
        <v>6561</v>
      </c>
      <c r="B6622" s="675" t="s">
        <v>564</v>
      </c>
      <c r="C6622" s="676" t="s">
        <v>6578</v>
      </c>
      <c r="D6622" s="675"/>
      <c r="E6622" s="675"/>
      <c r="G6622" s="675"/>
      <c r="H6622" s="675"/>
      <c r="I6622" s="675"/>
      <c r="J6622" s="675"/>
      <c r="K6622" s="675"/>
      <c r="L6622" s="675"/>
      <c r="M6622" s="675"/>
    </row>
    <row r="6623" spans="1:13" x14ac:dyDescent="0.25">
      <c r="A6623" s="675" t="s">
        <v>6561</v>
      </c>
      <c r="B6623" s="675" t="s">
        <v>564</v>
      </c>
      <c r="C6623" s="676" t="s">
        <v>6579</v>
      </c>
      <c r="D6623" s="675"/>
      <c r="E6623" s="675"/>
      <c r="G6623" s="675"/>
      <c r="H6623" s="675"/>
      <c r="I6623" s="675"/>
      <c r="J6623" s="675"/>
      <c r="K6623" s="675"/>
      <c r="L6623" s="675"/>
      <c r="M6623" s="675"/>
    </row>
    <row r="6624" spans="1:13" x14ac:dyDescent="0.25">
      <c r="A6624" s="675" t="s">
        <v>6561</v>
      </c>
      <c r="B6624" s="675" t="s">
        <v>564</v>
      </c>
      <c r="C6624" s="676" t="s">
        <v>6580</v>
      </c>
      <c r="D6624" s="675"/>
      <c r="E6624" s="675"/>
      <c r="G6624" s="675"/>
      <c r="H6624" s="675"/>
      <c r="I6624" s="675"/>
      <c r="J6624" s="675"/>
      <c r="K6624" s="675"/>
      <c r="L6624" s="675"/>
      <c r="M6624" s="675"/>
    </row>
    <row r="6625" spans="1:13" x14ac:dyDescent="0.25">
      <c r="A6625" s="675" t="s">
        <v>6561</v>
      </c>
      <c r="B6625" s="675" t="s">
        <v>564</v>
      </c>
      <c r="C6625" s="676" t="s">
        <v>6581</v>
      </c>
      <c r="D6625" s="675"/>
      <c r="E6625" s="675"/>
      <c r="G6625" s="675"/>
      <c r="H6625" s="675"/>
      <c r="I6625" s="675"/>
      <c r="J6625" s="675"/>
      <c r="K6625" s="675"/>
      <c r="L6625" s="675"/>
      <c r="M6625" s="675"/>
    </row>
    <row r="6626" spans="1:13" x14ac:dyDescent="0.25">
      <c r="A6626" s="675" t="s">
        <v>6561</v>
      </c>
      <c r="B6626" s="675" t="s">
        <v>512</v>
      </c>
      <c r="C6626" s="676" t="s">
        <v>6582</v>
      </c>
      <c r="D6626" s="675"/>
      <c r="E6626" s="675"/>
      <c r="G6626" s="675"/>
      <c r="H6626" s="675"/>
      <c r="I6626" s="675"/>
      <c r="J6626" s="675"/>
      <c r="K6626" s="675"/>
      <c r="L6626" s="675"/>
      <c r="M6626" s="675"/>
    </row>
    <row r="6627" spans="1:13" x14ac:dyDescent="0.25">
      <c r="A6627" s="675" t="s">
        <v>6561</v>
      </c>
      <c r="B6627" s="675" t="s">
        <v>512</v>
      </c>
      <c r="C6627" s="676" t="s">
        <v>6583</v>
      </c>
      <c r="D6627" s="675"/>
      <c r="E6627" s="675"/>
      <c r="G6627" s="675"/>
      <c r="H6627" s="675"/>
      <c r="I6627" s="675"/>
      <c r="J6627" s="675"/>
      <c r="K6627" s="675"/>
      <c r="L6627" s="675"/>
      <c r="M6627" s="675"/>
    </row>
    <row r="6628" spans="1:13" x14ac:dyDescent="0.25">
      <c r="A6628" s="675" t="s">
        <v>6561</v>
      </c>
      <c r="B6628" s="675" t="s">
        <v>512</v>
      </c>
      <c r="C6628" s="676" t="s">
        <v>6584</v>
      </c>
      <c r="D6628" s="675"/>
      <c r="E6628" s="675"/>
      <c r="G6628" s="675"/>
      <c r="H6628" s="675"/>
      <c r="I6628" s="675"/>
      <c r="J6628" s="675"/>
      <c r="K6628" s="675"/>
      <c r="L6628" s="675"/>
      <c r="M6628" s="675"/>
    </row>
    <row r="6629" spans="1:13" x14ac:dyDescent="0.25">
      <c r="A6629" s="675" t="s">
        <v>6561</v>
      </c>
      <c r="B6629" s="675" t="s">
        <v>512</v>
      </c>
      <c r="C6629" s="676" t="s">
        <v>6585</v>
      </c>
      <c r="D6629" s="675"/>
      <c r="E6629" s="675"/>
      <c r="G6629" s="675"/>
      <c r="H6629" s="675"/>
      <c r="I6629" s="675"/>
      <c r="J6629" s="675"/>
      <c r="K6629" s="675"/>
      <c r="L6629" s="675"/>
      <c r="M6629" s="675"/>
    </row>
    <row r="6630" spans="1:13" x14ac:dyDescent="0.25">
      <c r="A6630" s="675" t="s">
        <v>6561</v>
      </c>
      <c r="B6630" s="675" t="s">
        <v>512</v>
      </c>
      <c r="C6630" s="676" t="s">
        <v>6586</v>
      </c>
      <c r="D6630" s="675"/>
      <c r="E6630" s="675"/>
      <c r="G6630" s="675"/>
      <c r="H6630" s="675"/>
      <c r="I6630" s="675"/>
      <c r="J6630" s="675"/>
      <c r="K6630" s="675"/>
      <c r="L6630" s="675"/>
      <c r="M6630" s="675"/>
    </row>
    <row r="6631" spans="1:13" x14ac:dyDescent="0.25">
      <c r="A6631" s="675" t="s">
        <v>6561</v>
      </c>
      <c r="B6631" s="675" t="s">
        <v>512</v>
      </c>
      <c r="C6631" s="676" t="s">
        <v>6587</v>
      </c>
      <c r="D6631" s="675"/>
      <c r="E6631" s="675"/>
      <c r="G6631" s="675"/>
      <c r="H6631" s="675"/>
      <c r="I6631" s="675"/>
      <c r="J6631" s="675"/>
      <c r="K6631" s="675"/>
      <c r="L6631" s="675"/>
      <c r="M6631" s="675"/>
    </row>
    <row r="6632" spans="1:13" x14ac:dyDescent="0.25">
      <c r="A6632" s="675" t="s">
        <v>6561</v>
      </c>
      <c r="B6632" s="675" t="s">
        <v>512</v>
      </c>
      <c r="C6632" s="676" t="s">
        <v>6588</v>
      </c>
      <c r="D6632" s="675"/>
      <c r="E6632" s="675"/>
      <c r="G6632" s="675"/>
      <c r="H6632" s="675"/>
      <c r="I6632" s="675"/>
      <c r="J6632" s="675"/>
      <c r="K6632" s="675"/>
      <c r="L6632" s="675"/>
      <c r="M6632" s="675"/>
    </row>
    <row r="6633" spans="1:13" x14ac:dyDescent="0.25">
      <c r="A6633" s="675" t="s">
        <v>6561</v>
      </c>
      <c r="B6633" s="675" t="s">
        <v>512</v>
      </c>
      <c r="C6633" s="676" t="s">
        <v>6589</v>
      </c>
      <c r="D6633" s="675"/>
      <c r="E6633" s="675"/>
      <c r="G6633" s="675"/>
      <c r="H6633" s="675"/>
      <c r="I6633" s="675"/>
      <c r="J6633" s="675"/>
      <c r="K6633" s="675"/>
      <c r="L6633" s="675"/>
      <c r="M6633" s="675"/>
    </row>
    <row r="6634" spans="1:13" x14ac:dyDescent="0.25">
      <c r="A6634" s="675" t="s">
        <v>6561</v>
      </c>
      <c r="B6634" s="675" t="s">
        <v>512</v>
      </c>
      <c r="C6634" s="676" t="s">
        <v>6590</v>
      </c>
      <c r="D6634" s="675"/>
      <c r="E6634" s="675"/>
      <c r="G6634" s="675"/>
      <c r="H6634" s="675"/>
      <c r="I6634" s="675"/>
      <c r="J6634" s="675"/>
      <c r="K6634" s="675"/>
      <c r="L6634" s="675"/>
      <c r="M6634" s="675"/>
    </row>
    <row r="6635" spans="1:13" x14ac:dyDescent="0.25">
      <c r="A6635" s="675" t="s">
        <v>6561</v>
      </c>
      <c r="B6635" s="675" t="s">
        <v>512</v>
      </c>
      <c r="C6635" s="676" t="s">
        <v>6591</v>
      </c>
      <c r="D6635" s="675"/>
      <c r="E6635" s="675"/>
      <c r="G6635" s="675"/>
      <c r="H6635" s="675"/>
      <c r="I6635" s="675"/>
      <c r="J6635" s="675"/>
      <c r="K6635" s="675"/>
      <c r="L6635" s="675"/>
      <c r="M6635" s="675"/>
    </row>
    <row r="6636" spans="1:13" x14ac:dyDescent="0.25">
      <c r="A6636" s="675" t="s">
        <v>6592</v>
      </c>
      <c r="B6636" s="675" t="s">
        <v>545</v>
      </c>
      <c r="C6636" s="676" t="s">
        <v>6593</v>
      </c>
      <c r="D6636" s="675"/>
      <c r="E6636" s="675"/>
      <c r="G6636" s="675"/>
      <c r="H6636" s="675"/>
      <c r="I6636" s="675"/>
      <c r="J6636" s="675"/>
      <c r="K6636" s="675"/>
      <c r="L6636" s="675"/>
      <c r="M6636" s="675"/>
    </row>
    <row r="6637" spans="1:13" x14ac:dyDescent="0.25">
      <c r="A6637" s="675" t="s">
        <v>6592</v>
      </c>
      <c r="B6637" s="675" t="s">
        <v>545</v>
      </c>
      <c r="C6637" s="676" t="s">
        <v>6594</v>
      </c>
      <c r="D6637" s="675"/>
      <c r="E6637" s="675"/>
      <c r="G6637" s="675"/>
      <c r="H6637" s="675"/>
      <c r="I6637" s="675"/>
      <c r="J6637" s="675"/>
      <c r="K6637" s="675"/>
      <c r="L6637" s="675"/>
      <c r="M6637" s="675"/>
    </row>
    <row r="6638" spans="1:13" x14ac:dyDescent="0.25">
      <c r="A6638" s="675" t="s">
        <v>6592</v>
      </c>
      <c r="B6638" s="675" t="s">
        <v>545</v>
      </c>
      <c r="C6638" s="676" t="s">
        <v>6595</v>
      </c>
      <c r="D6638" s="675"/>
      <c r="E6638" s="675"/>
      <c r="G6638" s="675"/>
      <c r="H6638" s="675"/>
      <c r="I6638" s="675"/>
      <c r="J6638" s="675"/>
      <c r="K6638" s="675"/>
      <c r="L6638" s="675"/>
      <c r="M6638" s="675"/>
    </row>
    <row r="6639" spans="1:13" x14ac:dyDescent="0.25">
      <c r="A6639" s="675" t="s">
        <v>6592</v>
      </c>
      <c r="B6639" s="675" t="s">
        <v>545</v>
      </c>
      <c r="C6639" s="676" t="s">
        <v>6596</v>
      </c>
      <c r="D6639" s="675"/>
      <c r="E6639" s="675"/>
      <c r="G6639" s="675"/>
      <c r="H6639" s="675"/>
      <c r="I6639" s="675"/>
      <c r="J6639" s="675"/>
      <c r="K6639" s="675"/>
      <c r="L6639" s="675"/>
      <c r="M6639" s="675"/>
    </row>
    <row r="6640" spans="1:13" x14ac:dyDescent="0.25">
      <c r="A6640" s="675" t="s">
        <v>6592</v>
      </c>
      <c r="B6640" s="675" t="s">
        <v>545</v>
      </c>
      <c r="C6640" s="676" t="s">
        <v>6597</v>
      </c>
      <c r="D6640" s="675"/>
      <c r="E6640" s="675"/>
      <c r="G6640" s="675"/>
      <c r="H6640" s="675"/>
      <c r="I6640" s="675"/>
      <c r="J6640" s="675"/>
      <c r="K6640" s="675"/>
      <c r="L6640" s="675"/>
      <c r="M6640" s="675"/>
    </row>
    <row r="6641" spans="1:13" x14ac:dyDescent="0.25">
      <c r="A6641" s="675" t="s">
        <v>6592</v>
      </c>
      <c r="B6641" s="675" t="s">
        <v>545</v>
      </c>
      <c r="C6641" s="676" t="s">
        <v>6598</v>
      </c>
      <c r="D6641" s="675"/>
      <c r="E6641" s="675"/>
      <c r="G6641" s="675"/>
      <c r="H6641" s="675"/>
      <c r="I6641" s="675"/>
      <c r="J6641" s="675"/>
      <c r="K6641" s="675"/>
      <c r="L6641" s="675"/>
      <c r="M6641" s="675"/>
    </row>
    <row r="6642" spans="1:13" x14ac:dyDescent="0.25">
      <c r="A6642" s="675" t="s">
        <v>6592</v>
      </c>
      <c r="B6642" s="675" t="s">
        <v>545</v>
      </c>
      <c r="C6642" s="676" t="s">
        <v>6599</v>
      </c>
      <c r="D6642" s="675"/>
      <c r="E6642" s="675"/>
      <c r="G6642" s="675"/>
      <c r="H6642" s="675"/>
      <c r="I6642" s="675"/>
      <c r="J6642" s="675"/>
      <c r="K6642" s="675"/>
      <c r="L6642" s="675"/>
      <c r="M6642" s="675"/>
    </row>
    <row r="6643" spans="1:13" x14ac:dyDescent="0.25">
      <c r="A6643" s="675" t="s">
        <v>6592</v>
      </c>
      <c r="B6643" s="675" t="s">
        <v>545</v>
      </c>
      <c r="C6643" s="676" t="s">
        <v>6600</v>
      </c>
      <c r="D6643" s="675"/>
      <c r="E6643" s="675"/>
      <c r="G6643" s="675"/>
      <c r="H6643" s="675"/>
      <c r="I6643" s="675"/>
      <c r="J6643" s="675"/>
      <c r="K6643" s="675"/>
      <c r="L6643" s="675"/>
      <c r="M6643" s="675"/>
    </row>
    <row r="6644" spans="1:13" x14ac:dyDescent="0.25">
      <c r="A6644" s="675" t="s">
        <v>6592</v>
      </c>
      <c r="B6644" s="675" t="s">
        <v>545</v>
      </c>
      <c r="C6644" s="676" t="s">
        <v>6601</v>
      </c>
      <c r="D6644" s="675"/>
      <c r="E6644" s="675"/>
      <c r="G6644" s="675"/>
      <c r="H6644" s="675"/>
      <c r="I6644" s="675"/>
      <c r="J6644" s="675"/>
      <c r="K6644" s="675"/>
      <c r="L6644" s="675"/>
      <c r="M6644" s="675"/>
    </row>
    <row r="6645" spans="1:13" x14ac:dyDescent="0.25">
      <c r="A6645" s="675" t="s">
        <v>6592</v>
      </c>
      <c r="B6645" s="675" t="s">
        <v>545</v>
      </c>
      <c r="C6645" s="676" t="s">
        <v>6602</v>
      </c>
      <c r="D6645" s="675"/>
      <c r="E6645" s="675"/>
      <c r="G6645" s="675"/>
      <c r="H6645" s="675"/>
      <c r="I6645" s="675"/>
      <c r="J6645" s="675"/>
      <c r="K6645" s="675"/>
      <c r="L6645" s="675"/>
      <c r="M6645" s="675"/>
    </row>
    <row r="6646" spans="1:13" x14ac:dyDescent="0.25">
      <c r="A6646" s="675" t="s">
        <v>6592</v>
      </c>
      <c r="B6646" s="675" t="s">
        <v>564</v>
      </c>
      <c r="C6646" s="676" t="s">
        <v>6603</v>
      </c>
      <c r="D6646" s="675"/>
      <c r="E6646" s="675"/>
      <c r="G6646" s="675"/>
      <c r="H6646" s="675"/>
      <c r="I6646" s="675"/>
      <c r="J6646" s="675"/>
      <c r="K6646" s="675"/>
      <c r="L6646" s="675"/>
      <c r="M6646" s="675"/>
    </row>
    <row r="6647" spans="1:13" x14ac:dyDescent="0.25">
      <c r="A6647" s="675" t="s">
        <v>6592</v>
      </c>
      <c r="B6647" s="675" t="s">
        <v>564</v>
      </c>
      <c r="C6647" s="676" t="s">
        <v>6604</v>
      </c>
      <c r="D6647" s="675"/>
      <c r="E6647" s="675"/>
      <c r="G6647" s="675"/>
      <c r="H6647" s="675"/>
      <c r="I6647" s="675"/>
      <c r="J6647" s="675"/>
      <c r="K6647" s="675"/>
      <c r="L6647" s="675"/>
      <c r="M6647" s="675"/>
    </row>
    <row r="6648" spans="1:13" x14ac:dyDescent="0.25">
      <c r="A6648" s="675" t="s">
        <v>6592</v>
      </c>
      <c r="B6648" s="675" t="s">
        <v>564</v>
      </c>
      <c r="C6648" s="676" t="s">
        <v>6605</v>
      </c>
      <c r="D6648" s="675"/>
      <c r="E6648" s="675"/>
      <c r="G6648" s="675"/>
      <c r="H6648" s="675"/>
      <c r="I6648" s="675"/>
      <c r="J6648" s="675"/>
      <c r="K6648" s="675"/>
      <c r="L6648" s="675"/>
      <c r="M6648" s="675"/>
    </row>
    <row r="6649" spans="1:13" x14ac:dyDescent="0.25">
      <c r="A6649" s="675" t="s">
        <v>6592</v>
      </c>
      <c r="B6649" s="675" t="s">
        <v>564</v>
      </c>
      <c r="C6649" s="676" t="s">
        <v>6606</v>
      </c>
      <c r="D6649" s="675"/>
      <c r="E6649" s="675"/>
      <c r="G6649" s="675"/>
      <c r="H6649" s="675"/>
      <c r="I6649" s="675"/>
      <c r="J6649" s="675"/>
      <c r="K6649" s="675"/>
      <c r="L6649" s="675"/>
      <c r="M6649" s="675"/>
    </row>
    <row r="6650" spans="1:13" x14ac:dyDescent="0.25">
      <c r="A6650" s="675" t="s">
        <v>6592</v>
      </c>
      <c r="B6650" s="675" t="s">
        <v>564</v>
      </c>
      <c r="C6650" s="676" t="s">
        <v>6607</v>
      </c>
      <c r="D6650" s="675"/>
      <c r="E6650" s="675"/>
      <c r="G6650" s="675"/>
      <c r="H6650" s="675"/>
      <c r="I6650" s="675"/>
      <c r="J6650" s="675"/>
      <c r="K6650" s="675"/>
      <c r="L6650" s="675"/>
      <c r="M6650" s="675"/>
    </row>
    <row r="6651" spans="1:13" x14ac:dyDescent="0.25">
      <c r="A6651" s="675" t="s">
        <v>6592</v>
      </c>
      <c r="B6651" s="675" t="s">
        <v>564</v>
      </c>
      <c r="C6651" s="676" t="s">
        <v>6608</v>
      </c>
      <c r="D6651" s="675"/>
      <c r="E6651" s="675"/>
      <c r="G6651" s="675"/>
      <c r="H6651" s="675"/>
      <c r="I6651" s="675"/>
      <c r="J6651" s="675"/>
      <c r="K6651" s="675"/>
      <c r="L6651" s="675"/>
      <c r="M6651" s="675"/>
    </row>
    <row r="6652" spans="1:13" x14ac:dyDescent="0.25">
      <c r="A6652" s="675" t="s">
        <v>6592</v>
      </c>
      <c r="B6652" s="675" t="s">
        <v>564</v>
      </c>
      <c r="C6652" s="676" t="s">
        <v>6609</v>
      </c>
      <c r="D6652" s="675"/>
      <c r="E6652" s="675"/>
      <c r="G6652" s="675"/>
      <c r="H6652" s="675"/>
      <c r="I6652" s="675"/>
      <c r="J6652" s="675"/>
      <c r="K6652" s="675"/>
      <c r="L6652" s="675"/>
      <c r="M6652" s="675"/>
    </row>
    <row r="6653" spans="1:13" x14ac:dyDescent="0.25">
      <c r="A6653" s="675" t="s">
        <v>6592</v>
      </c>
      <c r="B6653" s="675" t="s">
        <v>564</v>
      </c>
      <c r="C6653" s="676" t="s">
        <v>6610</v>
      </c>
      <c r="D6653" s="675"/>
      <c r="E6653" s="675"/>
      <c r="G6653" s="675"/>
      <c r="H6653" s="675"/>
      <c r="I6653" s="675"/>
      <c r="J6653" s="675"/>
      <c r="K6653" s="675"/>
      <c r="L6653" s="675"/>
      <c r="M6653" s="675"/>
    </row>
    <row r="6654" spans="1:13" x14ac:dyDescent="0.25">
      <c r="A6654" s="675" t="s">
        <v>6592</v>
      </c>
      <c r="B6654" s="675" t="s">
        <v>564</v>
      </c>
      <c r="C6654" s="676" t="s">
        <v>6611</v>
      </c>
      <c r="D6654" s="675"/>
      <c r="E6654" s="675"/>
      <c r="G6654" s="675"/>
      <c r="H6654" s="675"/>
      <c r="I6654" s="675"/>
      <c r="J6654" s="675"/>
      <c r="K6654" s="675"/>
      <c r="L6654" s="675"/>
      <c r="M6654" s="675"/>
    </row>
    <row r="6655" spans="1:13" x14ac:dyDescent="0.25">
      <c r="A6655" s="675" t="s">
        <v>6592</v>
      </c>
      <c r="B6655" s="675" t="s">
        <v>564</v>
      </c>
      <c r="C6655" s="676" t="s">
        <v>6612</v>
      </c>
      <c r="D6655" s="675"/>
      <c r="E6655" s="675"/>
      <c r="G6655" s="675"/>
      <c r="H6655" s="675"/>
      <c r="I6655" s="675"/>
      <c r="J6655" s="675"/>
      <c r="K6655" s="675"/>
      <c r="L6655" s="675"/>
      <c r="M6655" s="675"/>
    </row>
    <row r="6656" spans="1:13" x14ac:dyDescent="0.25">
      <c r="A6656" s="675" t="s">
        <v>6592</v>
      </c>
      <c r="B6656" s="675" t="s">
        <v>512</v>
      </c>
      <c r="C6656" s="676" t="s">
        <v>6613</v>
      </c>
      <c r="D6656" s="675"/>
      <c r="E6656" s="675"/>
      <c r="G6656" s="675"/>
      <c r="H6656" s="675"/>
      <c r="I6656" s="675"/>
      <c r="J6656" s="675"/>
      <c r="K6656" s="675"/>
      <c r="L6656" s="675"/>
      <c r="M6656" s="675"/>
    </row>
    <row r="6657" spans="1:13" x14ac:dyDescent="0.25">
      <c r="A6657" s="675" t="s">
        <v>6592</v>
      </c>
      <c r="B6657" s="675" t="s">
        <v>512</v>
      </c>
      <c r="C6657" s="676" t="s">
        <v>6614</v>
      </c>
      <c r="D6657" s="675"/>
      <c r="E6657" s="675"/>
      <c r="G6657" s="675"/>
      <c r="H6657" s="675"/>
      <c r="I6657" s="675"/>
      <c r="J6657" s="675"/>
      <c r="K6657" s="675"/>
      <c r="L6657" s="675"/>
      <c r="M6657" s="675"/>
    </row>
    <row r="6658" spans="1:13" x14ac:dyDescent="0.25">
      <c r="A6658" s="675" t="s">
        <v>6592</v>
      </c>
      <c r="B6658" s="675" t="s">
        <v>512</v>
      </c>
      <c r="C6658" s="676" t="s">
        <v>6615</v>
      </c>
      <c r="D6658" s="675"/>
      <c r="E6658" s="675"/>
      <c r="G6658" s="675"/>
      <c r="H6658" s="675"/>
      <c r="I6658" s="675"/>
      <c r="J6658" s="675"/>
      <c r="K6658" s="675"/>
      <c r="L6658" s="675"/>
      <c r="M6658" s="675"/>
    </row>
    <row r="6659" spans="1:13" x14ac:dyDescent="0.25">
      <c r="A6659" s="675" t="s">
        <v>6592</v>
      </c>
      <c r="B6659" s="675" t="s">
        <v>512</v>
      </c>
      <c r="C6659" s="676" t="s">
        <v>6616</v>
      </c>
      <c r="D6659" s="675"/>
      <c r="E6659" s="675"/>
      <c r="G6659" s="675"/>
      <c r="H6659" s="675"/>
      <c r="I6659" s="675"/>
      <c r="J6659" s="675"/>
      <c r="K6659" s="675"/>
      <c r="L6659" s="675"/>
      <c r="M6659" s="675"/>
    </row>
    <row r="6660" spans="1:13" x14ac:dyDescent="0.25">
      <c r="A6660" s="675" t="s">
        <v>6592</v>
      </c>
      <c r="B6660" s="675" t="s">
        <v>512</v>
      </c>
      <c r="C6660" s="676" t="s">
        <v>6617</v>
      </c>
      <c r="D6660" s="675"/>
      <c r="E6660" s="675"/>
      <c r="G6660" s="675"/>
      <c r="H6660" s="675"/>
      <c r="I6660" s="675"/>
      <c r="J6660" s="675"/>
      <c r="K6660" s="675"/>
      <c r="L6660" s="675"/>
      <c r="M6660" s="675"/>
    </row>
    <row r="6661" spans="1:13" x14ac:dyDescent="0.25">
      <c r="A6661" s="675" t="s">
        <v>6592</v>
      </c>
      <c r="B6661" s="675" t="s">
        <v>512</v>
      </c>
      <c r="C6661" s="676" t="s">
        <v>6618</v>
      </c>
      <c r="D6661" s="675"/>
      <c r="E6661" s="675"/>
      <c r="G6661" s="675"/>
      <c r="H6661" s="675"/>
      <c r="I6661" s="675"/>
      <c r="J6661" s="675"/>
      <c r="K6661" s="675"/>
      <c r="L6661" s="675"/>
      <c r="M6661" s="675"/>
    </row>
    <row r="6662" spans="1:13" x14ac:dyDescent="0.25">
      <c r="A6662" s="675" t="s">
        <v>6592</v>
      </c>
      <c r="B6662" s="675" t="s">
        <v>512</v>
      </c>
      <c r="C6662" s="676" t="s">
        <v>6619</v>
      </c>
      <c r="D6662" s="675"/>
      <c r="E6662" s="675"/>
      <c r="G6662" s="675"/>
      <c r="H6662" s="675"/>
      <c r="I6662" s="675"/>
      <c r="J6662" s="675"/>
      <c r="K6662" s="675"/>
      <c r="L6662" s="675"/>
      <c r="M6662" s="675"/>
    </row>
    <row r="6663" spans="1:13" x14ac:dyDescent="0.25">
      <c r="A6663" s="675" t="s">
        <v>6592</v>
      </c>
      <c r="B6663" s="675" t="s">
        <v>512</v>
      </c>
      <c r="C6663" s="676" t="s">
        <v>6620</v>
      </c>
      <c r="D6663" s="675"/>
      <c r="E6663" s="675"/>
      <c r="G6663" s="675"/>
      <c r="H6663" s="675"/>
      <c r="I6663" s="675"/>
      <c r="J6663" s="675"/>
      <c r="K6663" s="675"/>
      <c r="L6663" s="675"/>
      <c r="M6663" s="675"/>
    </row>
    <row r="6664" spans="1:13" x14ac:dyDescent="0.25">
      <c r="A6664" s="675" t="s">
        <v>6592</v>
      </c>
      <c r="B6664" s="675" t="s">
        <v>512</v>
      </c>
      <c r="C6664" s="676" t="s">
        <v>6621</v>
      </c>
      <c r="D6664" s="675"/>
      <c r="E6664" s="675"/>
      <c r="G6664" s="675"/>
      <c r="H6664" s="675"/>
      <c r="I6664" s="675"/>
      <c r="J6664" s="675"/>
      <c r="K6664" s="675"/>
      <c r="L6664" s="675"/>
      <c r="M6664" s="675"/>
    </row>
    <row r="6665" spans="1:13" x14ac:dyDescent="0.25">
      <c r="A6665" s="675" t="s">
        <v>6592</v>
      </c>
      <c r="B6665" s="675" t="s">
        <v>512</v>
      </c>
      <c r="C6665" s="676" t="s">
        <v>6622</v>
      </c>
      <c r="D6665" s="675"/>
      <c r="E6665" s="675"/>
      <c r="G6665" s="675"/>
      <c r="H6665" s="675"/>
      <c r="I6665" s="675"/>
      <c r="J6665" s="675"/>
      <c r="K6665" s="675"/>
      <c r="L6665" s="675"/>
      <c r="M6665" s="675"/>
    </row>
    <row r="6666" spans="1:13" x14ac:dyDescent="0.25">
      <c r="A6666" s="675" t="s">
        <v>5645</v>
      </c>
      <c r="B6666" s="675" t="s">
        <v>545</v>
      </c>
      <c r="C6666" s="676" t="s">
        <v>6623</v>
      </c>
      <c r="D6666" s="675"/>
      <c r="E6666" s="675"/>
      <c r="G6666" s="675"/>
      <c r="H6666" s="675"/>
      <c r="I6666" s="675"/>
      <c r="J6666" s="675"/>
      <c r="K6666" s="675"/>
      <c r="L6666" s="675"/>
      <c r="M6666" s="675"/>
    </row>
    <row r="6667" spans="1:13" x14ac:dyDescent="0.25">
      <c r="A6667" s="675" t="s">
        <v>5645</v>
      </c>
      <c r="B6667" s="675" t="s">
        <v>545</v>
      </c>
      <c r="C6667" s="676" t="s">
        <v>6624</v>
      </c>
      <c r="D6667" s="675"/>
      <c r="E6667" s="675"/>
      <c r="G6667" s="675"/>
      <c r="H6667" s="675"/>
      <c r="I6667" s="675"/>
      <c r="J6667" s="675"/>
      <c r="K6667" s="675"/>
      <c r="L6667" s="675"/>
      <c r="M6667" s="675"/>
    </row>
    <row r="6668" spans="1:13" x14ac:dyDescent="0.25">
      <c r="A6668" s="675" t="s">
        <v>5645</v>
      </c>
      <c r="B6668" s="675" t="s">
        <v>545</v>
      </c>
      <c r="C6668" s="676" t="s">
        <v>6625</v>
      </c>
      <c r="D6668" s="675"/>
      <c r="E6668" s="675"/>
      <c r="G6668" s="675"/>
      <c r="H6668" s="675"/>
      <c r="I6668" s="675"/>
      <c r="J6668" s="675"/>
      <c r="K6668" s="675"/>
      <c r="L6668" s="675"/>
      <c r="M6668" s="675"/>
    </row>
    <row r="6669" spans="1:13" x14ac:dyDescent="0.25">
      <c r="A6669" s="675" t="s">
        <v>5645</v>
      </c>
      <c r="B6669" s="675" t="s">
        <v>545</v>
      </c>
      <c r="C6669" s="676" t="s">
        <v>6626</v>
      </c>
      <c r="D6669" s="675"/>
      <c r="E6669" s="675"/>
      <c r="G6669" s="675"/>
      <c r="H6669" s="675"/>
      <c r="I6669" s="675"/>
      <c r="J6669" s="675"/>
      <c r="K6669" s="675"/>
      <c r="L6669" s="675"/>
      <c r="M6669" s="675"/>
    </row>
    <row r="6670" spans="1:13" x14ac:dyDescent="0.25">
      <c r="A6670" s="675" t="s">
        <v>5645</v>
      </c>
      <c r="B6670" s="675" t="s">
        <v>545</v>
      </c>
      <c r="C6670" s="676" t="s">
        <v>6627</v>
      </c>
      <c r="D6670" s="675"/>
      <c r="E6670" s="675"/>
      <c r="G6670" s="675"/>
      <c r="H6670" s="675"/>
      <c r="I6670" s="675"/>
      <c r="J6670" s="675"/>
      <c r="K6670" s="675"/>
      <c r="L6670" s="675"/>
      <c r="M6670" s="675"/>
    </row>
    <row r="6671" spans="1:13" x14ac:dyDescent="0.25">
      <c r="A6671" s="675" t="s">
        <v>5645</v>
      </c>
      <c r="B6671" s="675" t="s">
        <v>545</v>
      </c>
      <c r="C6671" s="676" t="s">
        <v>6628</v>
      </c>
      <c r="D6671" s="675"/>
      <c r="E6671" s="675"/>
      <c r="G6671" s="675"/>
      <c r="H6671" s="675"/>
      <c r="I6671" s="675"/>
      <c r="J6671" s="675"/>
      <c r="K6671" s="675"/>
      <c r="L6671" s="675"/>
      <c r="M6671" s="675"/>
    </row>
    <row r="6672" spans="1:13" x14ac:dyDescent="0.25">
      <c r="A6672" s="675" t="s">
        <v>5645</v>
      </c>
      <c r="B6672" s="675" t="s">
        <v>545</v>
      </c>
      <c r="C6672" s="676" t="s">
        <v>6629</v>
      </c>
      <c r="D6672" s="675"/>
      <c r="E6672" s="675"/>
      <c r="G6672" s="675"/>
      <c r="H6672" s="675"/>
      <c r="I6672" s="675"/>
      <c r="J6672" s="675"/>
      <c r="K6672" s="675"/>
      <c r="L6672" s="675"/>
      <c r="M6672" s="675"/>
    </row>
    <row r="6673" spans="1:13" x14ac:dyDescent="0.25">
      <c r="A6673" s="675" t="s">
        <v>5645</v>
      </c>
      <c r="B6673" s="675" t="s">
        <v>545</v>
      </c>
      <c r="C6673" s="676" t="s">
        <v>6630</v>
      </c>
      <c r="D6673" s="675"/>
      <c r="E6673" s="675"/>
      <c r="G6673" s="675"/>
      <c r="H6673" s="675"/>
      <c r="I6673" s="675"/>
      <c r="J6673" s="675"/>
      <c r="K6673" s="675"/>
      <c r="L6673" s="675"/>
      <c r="M6673" s="675"/>
    </row>
    <row r="6674" spans="1:13" x14ac:dyDescent="0.25">
      <c r="A6674" s="675" t="s">
        <v>5645</v>
      </c>
      <c r="B6674" s="675" t="s">
        <v>545</v>
      </c>
      <c r="C6674" s="676" t="s">
        <v>6631</v>
      </c>
      <c r="D6674" s="675"/>
      <c r="E6674" s="675"/>
      <c r="G6674" s="675"/>
      <c r="H6674" s="675"/>
      <c r="I6674" s="675"/>
      <c r="J6674" s="675"/>
      <c r="K6674" s="675"/>
      <c r="L6674" s="675"/>
      <c r="M6674" s="675"/>
    </row>
    <row r="6675" spans="1:13" x14ac:dyDescent="0.25">
      <c r="A6675" s="675" t="s">
        <v>5645</v>
      </c>
      <c r="B6675" s="675" t="s">
        <v>545</v>
      </c>
      <c r="C6675" s="676" t="s">
        <v>6632</v>
      </c>
      <c r="D6675" s="675"/>
      <c r="E6675" s="675"/>
      <c r="G6675" s="675"/>
      <c r="H6675" s="675"/>
      <c r="I6675" s="675"/>
      <c r="J6675" s="675"/>
      <c r="K6675" s="675"/>
      <c r="L6675" s="675"/>
      <c r="M6675" s="675"/>
    </row>
    <row r="6676" spans="1:13" x14ac:dyDescent="0.25">
      <c r="A6676" s="675" t="s">
        <v>5645</v>
      </c>
      <c r="B6676" s="675" t="s">
        <v>564</v>
      </c>
      <c r="C6676" s="676" t="s">
        <v>6633</v>
      </c>
      <c r="D6676" s="675"/>
      <c r="E6676" s="675"/>
      <c r="G6676" s="675"/>
      <c r="H6676" s="675"/>
      <c r="I6676" s="675"/>
      <c r="J6676" s="675"/>
      <c r="K6676" s="675"/>
      <c r="L6676" s="675"/>
      <c r="M6676" s="675"/>
    </row>
    <row r="6677" spans="1:13" x14ac:dyDescent="0.25">
      <c r="A6677" s="675" t="s">
        <v>5645</v>
      </c>
      <c r="B6677" s="675" t="s">
        <v>564</v>
      </c>
      <c r="C6677" s="676" t="s">
        <v>6634</v>
      </c>
      <c r="D6677" s="675"/>
      <c r="E6677" s="675"/>
      <c r="G6677" s="675"/>
      <c r="H6677" s="675"/>
      <c r="I6677" s="675"/>
      <c r="J6677" s="675"/>
      <c r="K6677" s="675"/>
      <c r="L6677" s="675"/>
      <c r="M6677" s="675"/>
    </row>
    <row r="6678" spans="1:13" x14ac:dyDescent="0.25">
      <c r="A6678" s="675" t="s">
        <v>5645</v>
      </c>
      <c r="B6678" s="675" t="s">
        <v>564</v>
      </c>
      <c r="C6678" s="676" t="s">
        <v>6635</v>
      </c>
      <c r="D6678" s="675"/>
      <c r="E6678" s="675"/>
      <c r="G6678" s="675"/>
      <c r="H6678" s="675"/>
      <c r="I6678" s="675"/>
      <c r="J6678" s="675"/>
      <c r="K6678" s="675"/>
      <c r="L6678" s="675"/>
      <c r="M6678" s="675"/>
    </row>
    <row r="6679" spans="1:13" x14ac:dyDescent="0.25">
      <c r="A6679" s="675" t="s">
        <v>5645</v>
      </c>
      <c r="B6679" s="675" t="s">
        <v>564</v>
      </c>
      <c r="C6679" s="676" t="s">
        <v>6636</v>
      </c>
      <c r="D6679" s="675"/>
      <c r="E6679" s="675"/>
      <c r="G6679" s="675"/>
      <c r="H6679" s="675"/>
      <c r="I6679" s="675"/>
      <c r="J6679" s="675"/>
      <c r="K6679" s="675"/>
      <c r="L6679" s="675"/>
      <c r="M6679" s="675"/>
    </row>
    <row r="6680" spans="1:13" x14ac:dyDescent="0.25">
      <c r="A6680" s="675" t="s">
        <v>5645</v>
      </c>
      <c r="B6680" s="675" t="s">
        <v>564</v>
      </c>
      <c r="C6680" s="676" t="s">
        <v>6637</v>
      </c>
      <c r="D6680" s="675"/>
      <c r="E6680" s="675"/>
      <c r="G6680" s="675"/>
      <c r="H6680" s="675"/>
      <c r="I6680" s="675"/>
      <c r="J6680" s="675"/>
      <c r="K6680" s="675"/>
      <c r="L6680" s="675"/>
      <c r="M6680" s="675"/>
    </row>
    <row r="6681" spans="1:13" x14ac:dyDescent="0.25">
      <c r="A6681" s="675" t="s">
        <v>5645</v>
      </c>
      <c r="B6681" s="675" t="s">
        <v>564</v>
      </c>
      <c r="C6681" s="676" t="s">
        <v>6638</v>
      </c>
      <c r="D6681" s="675"/>
      <c r="E6681" s="675"/>
      <c r="G6681" s="675"/>
      <c r="H6681" s="675"/>
      <c r="I6681" s="675"/>
      <c r="J6681" s="675"/>
      <c r="K6681" s="675"/>
      <c r="L6681" s="675"/>
      <c r="M6681" s="675"/>
    </row>
    <row r="6682" spans="1:13" x14ac:dyDescent="0.25">
      <c r="A6682" s="675" t="s">
        <v>5645</v>
      </c>
      <c r="B6682" s="675" t="s">
        <v>564</v>
      </c>
      <c r="C6682" s="676" t="s">
        <v>6639</v>
      </c>
      <c r="D6682" s="675"/>
      <c r="E6682" s="675"/>
      <c r="G6682" s="675"/>
      <c r="H6682" s="675"/>
      <c r="I6682" s="675"/>
      <c r="J6682" s="675"/>
      <c r="K6682" s="675"/>
      <c r="L6682" s="675"/>
      <c r="M6682" s="675"/>
    </row>
    <row r="6683" spans="1:13" x14ac:dyDescent="0.25">
      <c r="A6683" s="675" t="s">
        <v>5645</v>
      </c>
      <c r="B6683" s="675" t="s">
        <v>564</v>
      </c>
      <c r="C6683" s="676" t="s">
        <v>6640</v>
      </c>
      <c r="D6683" s="675"/>
      <c r="E6683" s="675"/>
      <c r="G6683" s="675"/>
      <c r="H6683" s="675"/>
      <c r="I6683" s="675"/>
      <c r="J6683" s="675"/>
      <c r="K6683" s="675"/>
      <c r="L6683" s="675"/>
      <c r="M6683" s="675"/>
    </row>
    <row r="6684" spans="1:13" x14ac:dyDescent="0.25">
      <c r="A6684" s="675" t="s">
        <v>5645</v>
      </c>
      <c r="B6684" s="675" t="s">
        <v>564</v>
      </c>
      <c r="C6684" s="676" t="s">
        <v>6641</v>
      </c>
      <c r="D6684" s="675"/>
      <c r="E6684" s="675"/>
      <c r="G6684" s="675"/>
      <c r="H6684" s="675"/>
      <c r="I6684" s="675"/>
      <c r="J6684" s="675"/>
      <c r="K6684" s="675"/>
      <c r="L6684" s="675"/>
      <c r="M6684" s="675"/>
    </row>
    <row r="6685" spans="1:13" x14ac:dyDescent="0.25">
      <c r="A6685" s="675" t="s">
        <v>5645</v>
      </c>
      <c r="B6685" s="675" t="s">
        <v>564</v>
      </c>
      <c r="C6685" s="676" t="s">
        <v>6642</v>
      </c>
      <c r="D6685" s="675"/>
      <c r="E6685" s="675"/>
      <c r="G6685" s="675"/>
      <c r="H6685" s="675"/>
      <c r="I6685" s="675"/>
      <c r="J6685" s="675"/>
      <c r="K6685" s="675"/>
      <c r="L6685" s="675"/>
      <c r="M6685" s="675"/>
    </row>
    <row r="6686" spans="1:13" x14ac:dyDescent="0.25">
      <c r="A6686" s="675" t="s">
        <v>5645</v>
      </c>
      <c r="B6686" s="675" t="s">
        <v>512</v>
      </c>
      <c r="C6686" s="676" t="s">
        <v>6643</v>
      </c>
      <c r="D6686" s="675"/>
      <c r="E6686" s="675"/>
      <c r="G6686" s="675"/>
      <c r="H6686" s="675"/>
      <c r="I6686" s="675"/>
      <c r="J6686" s="675"/>
      <c r="K6686" s="675"/>
      <c r="L6686" s="675"/>
      <c r="M6686" s="675"/>
    </row>
    <row r="6687" spans="1:13" x14ac:dyDescent="0.25">
      <c r="A6687" s="675" t="s">
        <v>5645</v>
      </c>
      <c r="B6687" s="675" t="s">
        <v>512</v>
      </c>
      <c r="C6687" s="676" t="s">
        <v>6644</v>
      </c>
      <c r="D6687" s="675"/>
      <c r="E6687" s="675"/>
      <c r="G6687" s="675"/>
      <c r="H6687" s="675"/>
      <c r="I6687" s="675"/>
      <c r="J6687" s="675"/>
      <c r="K6687" s="675"/>
      <c r="L6687" s="675"/>
      <c r="M6687" s="675"/>
    </row>
    <row r="6688" spans="1:13" x14ac:dyDescent="0.25">
      <c r="A6688" s="675" t="s">
        <v>5645</v>
      </c>
      <c r="B6688" s="675" t="s">
        <v>512</v>
      </c>
      <c r="C6688" s="676" t="s">
        <v>6645</v>
      </c>
      <c r="D6688" s="675"/>
      <c r="E6688" s="675"/>
      <c r="G6688" s="675"/>
      <c r="H6688" s="675"/>
      <c r="I6688" s="675"/>
      <c r="J6688" s="675"/>
      <c r="K6688" s="675"/>
      <c r="L6688" s="675"/>
      <c r="M6688" s="675"/>
    </row>
    <row r="6689" spans="1:13" x14ac:dyDescent="0.25">
      <c r="A6689" s="675" t="s">
        <v>5645</v>
      </c>
      <c r="B6689" s="675" t="s">
        <v>512</v>
      </c>
      <c r="C6689" s="676" t="s">
        <v>6646</v>
      </c>
      <c r="D6689" s="675"/>
      <c r="E6689" s="675"/>
      <c r="G6689" s="675"/>
      <c r="H6689" s="675"/>
      <c r="I6689" s="675"/>
      <c r="J6689" s="675"/>
      <c r="K6689" s="675"/>
      <c r="L6689" s="675"/>
      <c r="M6689" s="675"/>
    </row>
    <row r="6690" spans="1:13" x14ac:dyDescent="0.25">
      <c r="A6690" s="675" t="s">
        <v>5645</v>
      </c>
      <c r="B6690" s="675" t="s">
        <v>512</v>
      </c>
      <c r="C6690" s="676" t="s">
        <v>6647</v>
      </c>
      <c r="D6690" s="675"/>
      <c r="E6690" s="675"/>
      <c r="G6690" s="675"/>
      <c r="H6690" s="675"/>
      <c r="I6690" s="675"/>
      <c r="J6690" s="675"/>
      <c r="K6690" s="675"/>
      <c r="L6690" s="675"/>
      <c r="M6690" s="675"/>
    </row>
    <row r="6691" spans="1:13" x14ac:dyDescent="0.25">
      <c r="A6691" s="675" t="s">
        <v>5645</v>
      </c>
      <c r="B6691" s="675" t="s">
        <v>512</v>
      </c>
      <c r="C6691" s="676" t="s">
        <v>6648</v>
      </c>
      <c r="D6691" s="675"/>
      <c r="E6691" s="675"/>
      <c r="G6691" s="675"/>
      <c r="H6691" s="675"/>
      <c r="I6691" s="675"/>
      <c r="J6691" s="675"/>
      <c r="K6691" s="675"/>
      <c r="L6691" s="675"/>
      <c r="M6691" s="675"/>
    </row>
    <row r="6692" spans="1:13" x14ac:dyDescent="0.25">
      <c r="A6692" s="675" t="s">
        <v>5645</v>
      </c>
      <c r="B6692" s="675" t="s">
        <v>512</v>
      </c>
      <c r="C6692" s="676" t="s">
        <v>6649</v>
      </c>
      <c r="D6692" s="675"/>
      <c r="E6692" s="675"/>
      <c r="G6692" s="675"/>
      <c r="H6692" s="675"/>
      <c r="I6692" s="675"/>
      <c r="J6692" s="675"/>
      <c r="K6692" s="675"/>
      <c r="L6692" s="675"/>
      <c r="M6692" s="675"/>
    </row>
    <row r="6693" spans="1:13" x14ac:dyDescent="0.25">
      <c r="A6693" s="675" t="s">
        <v>5645</v>
      </c>
      <c r="B6693" s="675" t="s">
        <v>512</v>
      </c>
      <c r="C6693" s="676" t="s">
        <v>6650</v>
      </c>
      <c r="D6693" s="675"/>
      <c r="E6693" s="675"/>
      <c r="G6693" s="675"/>
      <c r="H6693" s="675"/>
      <c r="I6693" s="675"/>
      <c r="J6693" s="675"/>
      <c r="K6693" s="675"/>
      <c r="L6693" s="675"/>
      <c r="M6693" s="675"/>
    </row>
    <row r="6694" spans="1:13" x14ac:dyDescent="0.25">
      <c r="A6694" s="675" t="s">
        <v>5645</v>
      </c>
      <c r="B6694" s="675" t="s">
        <v>512</v>
      </c>
      <c r="C6694" s="676" t="s">
        <v>6651</v>
      </c>
      <c r="D6694" s="675"/>
      <c r="E6694" s="675"/>
      <c r="G6694" s="675"/>
      <c r="H6694" s="675"/>
      <c r="I6694" s="675"/>
      <c r="J6694" s="675"/>
      <c r="K6694" s="675"/>
      <c r="L6694" s="675"/>
      <c r="M6694" s="675"/>
    </row>
    <row r="6695" spans="1:13" x14ac:dyDescent="0.25">
      <c r="A6695" s="675" t="s">
        <v>5645</v>
      </c>
      <c r="B6695" s="675" t="s">
        <v>512</v>
      </c>
      <c r="C6695" s="676" t="s">
        <v>6652</v>
      </c>
      <c r="D6695" s="675"/>
      <c r="E6695" s="675"/>
      <c r="G6695" s="675"/>
      <c r="H6695" s="675"/>
      <c r="I6695" s="675"/>
      <c r="J6695" s="675"/>
      <c r="K6695" s="675"/>
      <c r="L6695" s="675"/>
      <c r="M6695" s="675"/>
    </row>
    <row r="6696" spans="1:13" x14ac:dyDescent="0.25">
      <c r="A6696" s="675" t="s">
        <v>643</v>
      </c>
      <c r="B6696" s="675" t="s">
        <v>545</v>
      </c>
      <c r="C6696" s="676" t="s">
        <v>6653</v>
      </c>
      <c r="D6696" s="675"/>
      <c r="E6696" s="675"/>
      <c r="G6696" s="675"/>
      <c r="H6696" s="675"/>
      <c r="I6696" s="675"/>
      <c r="J6696" s="675"/>
      <c r="K6696" s="675"/>
      <c r="L6696" s="675"/>
      <c r="M6696" s="675"/>
    </row>
    <row r="6697" spans="1:13" x14ac:dyDescent="0.25">
      <c r="A6697" s="675" t="s">
        <v>643</v>
      </c>
      <c r="B6697" s="675" t="s">
        <v>545</v>
      </c>
      <c r="C6697" s="676" t="s">
        <v>6654</v>
      </c>
      <c r="D6697" s="675"/>
      <c r="E6697" s="675"/>
      <c r="G6697" s="675"/>
      <c r="H6697" s="675"/>
      <c r="I6697" s="675"/>
      <c r="J6697" s="675"/>
      <c r="K6697" s="675"/>
      <c r="L6697" s="675"/>
      <c r="M6697" s="675"/>
    </row>
    <row r="6698" spans="1:13" x14ac:dyDescent="0.25">
      <c r="A6698" s="675" t="s">
        <v>643</v>
      </c>
      <c r="B6698" s="675" t="s">
        <v>545</v>
      </c>
      <c r="C6698" s="676" t="s">
        <v>6655</v>
      </c>
      <c r="D6698" s="675"/>
      <c r="E6698" s="675"/>
      <c r="G6698" s="675"/>
      <c r="H6698" s="675"/>
      <c r="I6698" s="675"/>
      <c r="J6698" s="675"/>
      <c r="K6698" s="675"/>
      <c r="L6698" s="675"/>
      <c r="M6698" s="675"/>
    </row>
    <row r="6699" spans="1:13" x14ac:dyDescent="0.25">
      <c r="A6699" s="675" t="s">
        <v>643</v>
      </c>
      <c r="B6699" s="675" t="s">
        <v>545</v>
      </c>
      <c r="C6699" s="676" t="s">
        <v>6656</v>
      </c>
      <c r="D6699" s="675"/>
      <c r="E6699" s="675"/>
      <c r="G6699" s="675"/>
      <c r="H6699" s="675"/>
      <c r="I6699" s="675"/>
      <c r="J6699" s="675"/>
      <c r="K6699" s="675"/>
      <c r="L6699" s="675"/>
      <c r="M6699" s="675"/>
    </row>
    <row r="6700" spans="1:13" x14ac:dyDescent="0.25">
      <c r="A6700" s="675" t="s">
        <v>643</v>
      </c>
      <c r="B6700" s="675" t="s">
        <v>545</v>
      </c>
      <c r="C6700" s="676" t="s">
        <v>6657</v>
      </c>
      <c r="D6700" s="675"/>
      <c r="E6700" s="675"/>
      <c r="G6700" s="675"/>
      <c r="H6700" s="675"/>
      <c r="I6700" s="675"/>
      <c r="J6700" s="675"/>
      <c r="K6700" s="675"/>
      <c r="L6700" s="675"/>
      <c r="M6700" s="675"/>
    </row>
    <row r="6701" spans="1:13" x14ac:dyDescent="0.25">
      <c r="A6701" s="675" t="s">
        <v>643</v>
      </c>
      <c r="B6701" s="675" t="s">
        <v>545</v>
      </c>
      <c r="C6701" s="676" t="s">
        <v>6658</v>
      </c>
      <c r="D6701" s="675"/>
      <c r="E6701" s="675"/>
      <c r="G6701" s="675"/>
      <c r="H6701" s="675"/>
      <c r="I6701" s="675"/>
      <c r="J6701" s="675"/>
      <c r="K6701" s="675"/>
      <c r="L6701" s="675"/>
      <c r="M6701" s="675"/>
    </row>
    <row r="6702" spans="1:13" x14ac:dyDescent="0.25">
      <c r="A6702" s="675" t="s">
        <v>643</v>
      </c>
      <c r="B6702" s="675" t="s">
        <v>545</v>
      </c>
      <c r="C6702" s="676" t="s">
        <v>6659</v>
      </c>
      <c r="D6702" s="675"/>
      <c r="E6702" s="675"/>
      <c r="G6702" s="675"/>
      <c r="H6702" s="675"/>
      <c r="I6702" s="675"/>
      <c r="J6702" s="675"/>
      <c r="K6702" s="675"/>
      <c r="L6702" s="675"/>
      <c r="M6702" s="675"/>
    </row>
    <row r="6703" spans="1:13" x14ac:dyDescent="0.25">
      <c r="A6703" s="675" t="s">
        <v>643</v>
      </c>
      <c r="B6703" s="675" t="s">
        <v>545</v>
      </c>
      <c r="C6703" s="676" t="s">
        <v>6660</v>
      </c>
      <c r="D6703" s="675"/>
      <c r="E6703" s="675"/>
      <c r="G6703" s="675"/>
      <c r="H6703" s="675"/>
      <c r="I6703" s="675"/>
      <c r="J6703" s="675"/>
      <c r="K6703" s="675"/>
      <c r="L6703" s="675"/>
      <c r="M6703" s="675"/>
    </row>
    <row r="6704" spans="1:13" x14ac:dyDescent="0.25">
      <c r="A6704" s="675" t="s">
        <v>643</v>
      </c>
      <c r="B6704" s="675" t="s">
        <v>545</v>
      </c>
      <c r="C6704" s="676" t="s">
        <v>6661</v>
      </c>
      <c r="D6704" s="675"/>
      <c r="E6704" s="675"/>
      <c r="G6704" s="675"/>
      <c r="H6704" s="675"/>
      <c r="I6704" s="675"/>
      <c r="J6704" s="675"/>
      <c r="K6704" s="675"/>
      <c r="L6704" s="675"/>
      <c r="M6704" s="675"/>
    </row>
    <row r="6705" spans="1:13" x14ac:dyDescent="0.25">
      <c r="A6705" s="675" t="s">
        <v>643</v>
      </c>
      <c r="B6705" s="675" t="s">
        <v>545</v>
      </c>
      <c r="C6705" s="676" t="s">
        <v>6662</v>
      </c>
      <c r="D6705" s="675"/>
      <c r="E6705" s="675"/>
      <c r="G6705" s="675"/>
      <c r="H6705" s="675"/>
      <c r="I6705" s="675"/>
      <c r="J6705" s="675"/>
      <c r="K6705" s="675"/>
      <c r="L6705" s="675"/>
      <c r="M6705" s="675"/>
    </row>
    <row r="6706" spans="1:13" x14ac:dyDescent="0.25">
      <c r="A6706" s="675" t="s">
        <v>643</v>
      </c>
      <c r="B6706" s="675" t="s">
        <v>564</v>
      </c>
      <c r="C6706" s="676" t="s">
        <v>6663</v>
      </c>
      <c r="D6706" s="675"/>
      <c r="E6706" s="675"/>
      <c r="G6706" s="675"/>
      <c r="H6706" s="675"/>
      <c r="I6706" s="675"/>
      <c r="J6706" s="675"/>
      <c r="K6706" s="675"/>
      <c r="L6706" s="675"/>
      <c r="M6706" s="675"/>
    </row>
    <row r="6707" spans="1:13" x14ac:dyDescent="0.25">
      <c r="A6707" s="675" t="s">
        <v>643</v>
      </c>
      <c r="B6707" s="675" t="s">
        <v>564</v>
      </c>
      <c r="C6707" s="676" t="s">
        <v>6664</v>
      </c>
      <c r="D6707" s="675"/>
      <c r="E6707" s="675"/>
      <c r="G6707" s="675"/>
      <c r="H6707" s="675"/>
      <c r="I6707" s="675"/>
      <c r="J6707" s="675"/>
      <c r="K6707" s="675"/>
      <c r="L6707" s="675"/>
      <c r="M6707" s="675"/>
    </row>
    <row r="6708" spans="1:13" x14ac:dyDescent="0.25">
      <c r="A6708" s="675" t="s">
        <v>643</v>
      </c>
      <c r="B6708" s="675" t="s">
        <v>564</v>
      </c>
      <c r="C6708" s="676" t="s">
        <v>6665</v>
      </c>
      <c r="D6708" s="675"/>
      <c r="E6708" s="675"/>
      <c r="G6708" s="675"/>
      <c r="H6708" s="675"/>
      <c r="I6708" s="675"/>
      <c r="J6708" s="675"/>
      <c r="K6708" s="675"/>
      <c r="L6708" s="675"/>
      <c r="M6708" s="675"/>
    </row>
    <row r="6709" spans="1:13" x14ac:dyDescent="0.25">
      <c r="A6709" s="675" t="s">
        <v>643</v>
      </c>
      <c r="B6709" s="675" t="s">
        <v>564</v>
      </c>
      <c r="C6709" s="676" t="s">
        <v>6666</v>
      </c>
      <c r="D6709" s="675"/>
      <c r="E6709" s="675"/>
      <c r="G6709" s="675"/>
      <c r="H6709" s="675"/>
      <c r="I6709" s="675"/>
      <c r="J6709" s="675"/>
      <c r="K6709" s="675"/>
      <c r="L6709" s="675"/>
      <c r="M6709" s="675"/>
    </row>
    <row r="6710" spans="1:13" x14ac:dyDescent="0.25">
      <c r="A6710" s="675" t="s">
        <v>643</v>
      </c>
      <c r="B6710" s="675" t="s">
        <v>564</v>
      </c>
      <c r="C6710" s="676" t="s">
        <v>6667</v>
      </c>
      <c r="D6710" s="675"/>
      <c r="E6710" s="675"/>
      <c r="G6710" s="675"/>
      <c r="H6710" s="675"/>
      <c r="I6710" s="675"/>
      <c r="J6710" s="675"/>
      <c r="K6710" s="675"/>
      <c r="L6710" s="675"/>
      <c r="M6710" s="675"/>
    </row>
    <row r="6711" spans="1:13" x14ac:dyDescent="0.25">
      <c r="A6711" s="675" t="s">
        <v>643</v>
      </c>
      <c r="B6711" s="675" t="s">
        <v>564</v>
      </c>
      <c r="C6711" s="676" t="s">
        <v>6668</v>
      </c>
      <c r="D6711" s="675"/>
      <c r="E6711" s="675"/>
      <c r="G6711" s="675"/>
      <c r="H6711" s="675"/>
      <c r="I6711" s="675"/>
      <c r="J6711" s="675"/>
      <c r="K6711" s="675"/>
      <c r="L6711" s="675"/>
      <c r="M6711" s="675"/>
    </row>
    <row r="6712" spans="1:13" x14ac:dyDescent="0.25">
      <c r="A6712" s="675" t="s">
        <v>643</v>
      </c>
      <c r="B6712" s="675" t="s">
        <v>564</v>
      </c>
      <c r="C6712" s="676" t="s">
        <v>6669</v>
      </c>
      <c r="D6712" s="675"/>
      <c r="E6712" s="675"/>
      <c r="G6712" s="675"/>
      <c r="H6712" s="675"/>
      <c r="I6712" s="675"/>
      <c r="J6712" s="675"/>
      <c r="K6712" s="675"/>
      <c r="L6712" s="675"/>
      <c r="M6712" s="675"/>
    </row>
    <row r="6713" spans="1:13" x14ac:dyDescent="0.25">
      <c r="A6713" s="675" t="s">
        <v>643</v>
      </c>
      <c r="B6713" s="675" t="s">
        <v>564</v>
      </c>
      <c r="C6713" s="676" t="s">
        <v>6670</v>
      </c>
      <c r="D6713" s="675"/>
      <c r="E6713" s="675"/>
      <c r="G6713" s="675"/>
      <c r="H6713" s="675"/>
      <c r="I6713" s="675"/>
      <c r="J6713" s="675"/>
      <c r="K6713" s="675"/>
      <c r="L6713" s="675"/>
      <c r="M6713" s="675"/>
    </row>
    <row r="6714" spans="1:13" x14ac:dyDescent="0.25">
      <c r="A6714" s="675" t="s">
        <v>643</v>
      </c>
      <c r="B6714" s="675" t="s">
        <v>564</v>
      </c>
      <c r="C6714" s="676" t="s">
        <v>6671</v>
      </c>
      <c r="D6714" s="675"/>
      <c r="E6714" s="675"/>
      <c r="G6714" s="675"/>
      <c r="H6714" s="675"/>
      <c r="I6714" s="675"/>
      <c r="J6714" s="675"/>
      <c r="K6714" s="675"/>
      <c r="L6714" s="675"/>
      <c r="M6714" s="675"/>
    </row>
    <row r="6715" spans="1:13" x14ac:dyDescent="0.25">
      <c r="A6715" s="675" t="s">
        <v>643</v>
      </c>
      <c r="B6715" s="675" t="s">
        <v>564</v>
      </c>
      <c r="C6715" s="676" t="s">
        <v>6672</v>
      </c>
      <c r="D6715" s="675"/>
      <c r="E6715" s="675"/>
      <c r="G6715" s="675"/>
      <c r="H6715" s="675"/>
      <c r="I6715" s="675"/>
      <c r="J6715" s="675"/>
      <c r="K6715" s="675"/>
      <c r="L6715" s="675"/>
      <c r="M6715" s="675"/>
    </row>
    <row r="6716" spans="1:13" x14ac:dyDescent="0.25">
      <c r="A6716" s="675" t="s">
        <v>643</v>
      </c>
      <c r="B6716" s="675" t="s">
        <v>512</v>
      </c>
      <c r="C6716" s="676" t="s">
        <v>6673</v>
      </c>
      <c r="D6716" s="675"/>
      <c r="E6716" s="675"/>
      <c r="G6716" s="675"/>
      <c r="H6716" s="675"/>
      <c r="I6716" s="675"/>
      <c r="J6716" s="675"/>
      <c r="K6716" s="675"/>
      <c r="L6716" s="675"/>
      <c r="M6716" s="675"/>
    </row>
    <row r="6717" spans="1:13" x14ac:dyDescent="0.25">
      <c r="A6717" s="675" t="s">
        <v>643</v>
      </c>
      <c r="B6717" s="675" t="s">
        <v>512</v>
      </c>
      <c r="C6717" s="676" t="s">
        <v>6674</v>
      </c>
      <c r="D6717" s="675"/>
      <c r="E6717" s="675"/>
      <c r="G6717" s="675"/>
      <c r="H6717" s="675"/>
      <c r="I6717" s="675"/>
      <c r="J6717" s="675"/>
      <c r="K6717" s="675"/>
      <c r="L6717" s="675"/>
      <c r="M6717" s="675"/>
    </row>
    <row r="6718" spans="1:13" x14ac:dyDescent="0.25">
      <c r="A6718" s="675" t="s">
        <v>643</v>
      </c>
      <c r="B6718" s="675" t="s">
        <v>512</v>
      </c>
      <c r="C6718" s="676" t="s">
        <v>6675</v>
      </c>
      <c r="D6718" s="675"/>
      <c r="E6718" s="675"/>
      <c r="G6718" s="675"/>
      <c r="H6718" s="675"/>
      <c r="I6718" s="675"/>
      <c r="J6718" s="675"/>
      <c r="K6718" s="675"/>
      <c r="L6718" s="675"/>
      <c r="M6718" s="675"/>
    </row>
    <row r="6719" spans="1:13" x14ac:dyDescent="0.25">
      <c r="A6719" s="675" t="s">
        <v>643</v>
      </c>
      <c r="B6719" s="675" t="s">
        <v>512</v>
      </c>
      <c r="C6719" s="676" t="s">
        <v>6676</v>
      </c>
      <c r="D6719" s="675"/>
      <c r="E6719" s="675"/>
      <c r="G6719" s="675"/>
      <c r="H6719" s="675"/>
      <c r="I6719" s="675"/>
      <c r="J6719" s="675"/>
      <c r="K6719" s="675"/>
      <c r="L6719" s="675"/>
      <c r="M6719" s="675"/>
    </row>
    <row r="6720" spans="1:13" x14ac:dyDescent="0.25">
      <c r="A6720" s="675" t="s">
        <v>643</v>
      </c>
      <c r="B6720" s="675" t="s">
        <v>512</v>
      </c>
      <c r="C6720" s="676" t="s">
        <v>6677</v>
      </c>
      <c r="D6720" s="675"/>
      <c r="E6720" s="675"/>
      <c r="G6720" s="675"/>
      <c r="H6720" s="675"/>
      <c r="I6720" s="675"/>
      <c r="J6720" s="675"/>
      <c r="K6720" s="675"/>
      <c r="L6720" s="675"/>
      <c r="M6720" s="675"/>
    </row>
    <row r="6721" spans="1:13" x14ac:dyDescent="0.25">
      <c r="A6721" s="675" t="s">
        <v>643</v>
      </c>
      <c r="B6721" s="675" t="s">
        <v>512</v>
      </c>
      <c r="C6721" s="676" t="s">
        <v>6678</v>
      </c>
      <c r="D6721" s="675"/>
      <c r="E6721" s="675"/>
      <c r="G6721" s="675"/>
      <c r="H6721" s="675"/>
      <c r="I6721" s="675"/>
      <c r="J6721" s="675"/>
      <c r="K6721" s="675"/>
      <c r="L6721" s="675"/>
      <c r="M6721" s="675"/>
    </row>
    <row r="6722" spans="1:13" x14ac:dyDescent="0.25">
      <c r="A6722" s="675" t="s">
        <v>643</v>
      </c>
      <c r="B6722" s="675" t="s">
        <v>512</v>
      </c>
      <c r="C6722" s="676" t="s">
        <v>6679</v>
      </c>
      <c r="D6722" s="675"/>
      <c r="E6722" s="675"/>
      <c r="G6722" s="675"/>
      <c r="H6722" s="675"/>
      <c r="I6722" s="675"/>
      <c r="J6722" s="675"/>
      <c r="K6722" s="675"/>
      <c r="L6722" s="675"/>
      <c r="M6722" s="675"/>
    </row>
    <row r="6723" spans="1:13" x14ac:dyDescent="0.25">
      <c r="A6723" s="675" t="s">
        <v>643</v>
      </c>
      <c r="B6723" s="675" t="s">
        <v>512</v>
      </c>
      <c r="C6723" s="676" t="s">
        <v>6680</v>
      </c>
      <c r="D6723" s="675"/>
      <c r="E6723" s="675"/>
      <c r="G6723" s="675"/>
      <c r="H6723" s="675"/>
      <c r="I6723" s="675"/>
      <c r="J6723" s="675"/>
      <c r="K6723" s="675"/>
      <c r="L6723" s="675"/>
      <c r="M6723" s="675"/>
    </row>
    <row r="6724" spans="1:13" x14ac:dyDescent="0.25">
      <c r="A6724" s="675" t="s">
        <v>643</v>
      </c>
      <c r="B6724" s="675" t="s">
        <v>512</v>
      </c>
      <c r="C6724" s="676" t="s">
        <v>6681</v>
      </c>
      <c r="D6724" s="675"/>
      <c r="E6724" s="675"/>
      <c r="G6724" s="675"/>
      <c r="H6724" s="675"/>
      <c r="I6724" s="675"/>
      <c r="J6724" s="675"/>
      <c r="K6724" s="675"/>
      <c r="L6724" s="675"/>
      <c r="M6724" s="675"/>
    </row>
    <row r="6725" spans="1:13" x14ac:dyDescent="0.25">
      <c r="A6725" s="675" t="s">
        <v>643</v>
      </c>
      <c r="B6725" s="675" t="s">
        <v>512</v>
      </c>
      <c r="C6725" s="676" t="s">
        <v>6682</v>
      </c>
      <c r="D6725" s="675"/>
      <c r="E6725" s="675"/>
      <c r="G6725" s="675"/>
      <c r="H6725" s="675"/>
      <c r="I6725" s="675"/>
      <c r="J6725" s="675"/>
      <c r="K6725" s="675"/>
      <c r="L6725" s="675"/>
      <c r="M6725" s="675"/>
    </row>
    <row r="6726" spans="1:13" x14ac:dyDescent="0.25">
      <c r="A6726" s="675" t="s">
        <v>6683</v>
      </c>
      <c r="B6726" s="675" t="s">
        <v>545</v>
      </c>
      <c r="C6726" s="676" t="s">
        <v>6684</v>
      </c>
      <c r="D6726" s="675"/>
      <c r="E6726" s="675"/>
      <c r="G6726" s="675"/>
      <c r="H6726" s="675"/>
      <c r="I6726" s="675"/>
      <c r="J6726" s="675"/>
      <c r="K6726" s="675"/>
      <c r="L6726" s="675"/>
      <c r="M6726" s="675"/>
    </row>
    <row r="6727" spans="1:13" x14ac:dyDescent="0.25">
      <c r="A6727" s="675" t="s">
        <v>6683</v>
      </c>
      <c r="B6727" s="675" t="s">
        <v>545</v>
      </c>
      <c r="C6727" s="676" t="s">
        <v>6685</v>
      </c>
      <c r="D6727" s="675"/>
      <c r="E6727" s="675"/>
      <c r="G6727" s="675"/>
      <c r="H6727" s="675"/>
      <c r="I6727" s="675"/>
      <c r="J6727" s="675"/>
      <c r="K6727" s="675"/>
      <c r="L6727" s="675"/>
      <c r="M6727" s="675"/>
    </row>
    <row r="6728" spans="1:13" x14ac:dyDescent="0.25">
      <c r="A6728" s="675" t="s">
        <v>6683</v>
      </c>
      <c r="B6728" s="675" t="s">
        <v>545</v>
      </c>
      <c r="C6728" s="676" t="s">
        <v>6686</v>
      </c>
      <c r="D6728" s="675"/>
      <c r="E6728" s="675"/>
      <c r="G6728" s="675"/>
      <c r="H6728" s="675"/>
      <c r="I6728" s="675"/>
      <c r="J6728" s="675"/>
      <c r="K6728" s="675"/>
      <c r="L6728" s="675"/>
      <c r="M6728" s="675"/>
    </row>
    <row r="6729" spans="1:13" x14ac:dyDescent="0.25">
      <c r="A6729" s="675" t="s">
        <v>6683</v>
      </c>
      <c r="B6729" s="675" t="s">
        <v>545</v>
      </c>
      <c r="C6729" s="676" t="s">
        <v>6687</v>
      </c>
      <c r="D6729" s="675"/>
      <c r="E6729" s="675"/>
      <c r="G6729" s="675"/>
      <c r="H6729" s="675"/>
      <c r="I6729" s="675"/>
      <c r="J6729" s="675"/>
      <c r="K6729" s="675"/>
      <c r="L6729" s="675"/>
      <c r="M6729" s="675"/>
    </row>
    <row r="6730" spans="1:13" x14ac:dyDescent="0.25">
      <c r="A6730" s="675" t="s">
        <v>6683</v>
      </c>
      <c r="B6730" s="675" t="s">
        <v>545</v>
      </c>
      <c r="C6730" s="676" t="s">
        <v>6688</v>
      </c>
      <c r="D6730" s="675"/>
      <c r="E6730" s="675"/>
      <c r="G6730" s="675"/>
      <c r="H6730" s="675"/>
      <c r="I6730" s="675"/>
      <c r="J6730" s="675"/>
      <c r="K6730" s="675"/>
      <c r="L6730" s="675"/>
      <c r="M6730" s="675"/>
    </row>
    <row r="6731" spans="1:13" x14ac:dyDescent="0.25">
      <c r="A6731" s="675" t="s">
        <v>6683</v>
      </c>
      <c r="B6731" s="675" t="s">
        <v>545</v>
      </c>
      <c r="C6731" s="676" t="s">
        <v>6689</v>
      </c>
      <c r="D6731" s="675"/>
      <c r="E6731" s="675"/>
      <c r="G6731" s="675"/>
      <c r="H6731" s="675"/>
      <c r="I6731" s="675"/>
      <c r="J6731" s="675"/>
      <c r="K6731" s="675"/>
      <c r="L6731" s="675"/>
      <c r="M6731" s="675"/>
    </row>
    <row r="6732" spans="1:13" x14ac:dyDescent="0.25">
      <c r="A6732" s="675" t="s">
        <v>6683</v>
      </c>
      <c r="B6732" s="675" t="s">
        <v>545</v>
      </c>
      <c r="C6732" s="676" t="s">
        <v>6690</v>
      </c>
      <c r="D6732" s="675"/>
      <c r="E6732" s="675"/>
      <c r="G6732" s="675"/>
      <c r="H6732" s="675"/>
      <c r="I6732" s="675"/>
      <c r="J6732" s="675"/>
      <c r="K6732" s="675"/>
      <c r="L6732" s="675"/>
      <c r="M6732" s="675"/>
    </row>
    <row r="6733" spans="1:13" x14ac:dyDescent="0.25">
      <c r="A6733" s="675" t="s">
        <v>6683</v>
      </c>
      <c r="B6733" s="675" t="s">
        <v>545</v>
      </c>
      <c r="C6733" s="676" t="s">
        <v>6691</v>
      </c>
      <c r="D6733" s="675"/>
      <c r="E6733" s="675"/>
      <c r="G6733" s="675"/>
      <c r="H6733" s="675"/>
      <c r="I6733" s="675"/>
      <c r="J6733" s="675"/>
      <c r="K6733" s="675"/>
      <c r="L6733" s="675"/>
      <c r="M6733" s="675"/>
    </row>
    <row r="6734" spans="1:13" x14ac:dyDescent="0.25">
      <c r="A6734" s="675" t="s">
        <v>6683</v>
      </c>
      <c r="B6734" s="675" t="s">
        <v>545</v>
      </c>
      <c r="C6734" s="676" t="s">
        <v>6692</v>
      </c>
      <c r="D6734" s="675"/>
      <c r="E6734" s="675"/>
      <c r="G6734" s="675"/>
      <c r="H6734" s="675"/>
      <c r="I6734" s="675"/>
      <c r="J6734" s="675"/>
      <c r="K6734" s="675"/>
      <c r="L6734" s="675"/>
      <c r="M6734" s="675"/>
    </row>
    <row r="6735" spans="1:13" ht="30" x14ac:dyDescent="0.25">
      <c r="A6735" s="675" t="s">
        <v>6683</v>
      </c>
      <c r="B6735" s="675" t="s">
        <v>545</v>
      </c>
      <c r="C6735" s="676" t="s">
        <v>6693</v>
      </c>
      <c r="D6735" s="675"/>
      <c r="E6735" s="675"/>
      <c r="G6735" s="675"/>
      <c r="H6735" s="675"/>
      <c r="I6735" s="675"/>
      <c r="J6735" s="675"/>
      <c r="K6735" s="675"/>
      <c r="L6735" s="675"/>
      <c r="M6735" s="675"/>
    </row>
    <row r="6736" spans="1:13" x14ac:dyDescent="0.25">
      <c r="A6736" s="675" t="s">
        <v>6683</v>
      </c>
      <c r="B6736" s="675" t="s">
        <v>564</v>
      </c>
      <c r="C6736" s="676" t="s">
        <v>6694</v>
      </c>
      <c r="D6736" s="675"/>
      <c r="E6736" s="675"/>
      <c r="G6736" s="675"/>
      <c r="H6736" s="675"/>
      <c r="I6736" s="675"/>
      <c r="J6736" s="675"/>
      <c r="K6736" s="675"/>
      <c r="L6736" s="675"/>
      <c r="M6736" s="675"/>
    </row>
    <row r="6737" spans="1:13" x14ac:dyDescent="0.25">
      <c r="A6737" s="675" t="s">
        <v>6683</v>
      </c>
      <c r="B6737" s="675" t="s">
        <v>564</v>
      </c>
      <c r="C6737" s="676" t="s">
        <v>6695</v>
      </c>
      <c r="D6737" s="675"/>
      <c r="E6737" s="675"/>
      <c r="G6737" s="675"/>
      <c r="H6737" s="675"/>
      <c r="I6737" s="675"/>
      <c r="J6737" s="675"/>
      <c r="K6737" s="675"/>
      <c r="L6737" s="675"/>
      <c r="M6737" s="675"/>
    </row>
    <row r="6738" spans="1:13" x14ac:dyDescent="0.25">
      <c r="A6738" s="675" t="s">
        <v>6683</v>
      </c>
      <c r="B6738" s="675" t="s">
        <v>564</v>
      </c>
      <c r="C6738" s="676" t="s">
        <v>6696</v>
      </c>
      <c r="D6738" s="675"/>
      <c r="E6738" s="675"/>
      <c r="G6738" s="675"/>
      <c r="H6738" s="675"/>
      <c r="I6738" s="675"/>
      <c r="J6738" s="675"/>
      <c r="K6738" s="675"/>
      <c r="L6738" s="675"/>
      <c r="M6738" s="675"/>
    </row>
    <row r="6739" spans="1:13" x14ac:dyDescent="0.25">
      <c r="A6739" s="675" t="s">
        <v>6683</v>
      </c>
      <c r="B6739" s="675" t="s">
        <v>564</v>
      </c>
      <c r="C6739" s="676" t="s">
        <v>6697</v>
      </c>
      <c r="D6739" s="675"/>
      <c r="E6739" s="675"/>
      <c r="G6739" s="675"/>
      <c r="H6739" s="675"/>
      <c r="I6739" s="675"/>
      <c r="J6739" s="675"/>
      <c r="K6739" s="675"/>
      <c r="L6739" s="675"/>
      <c r="M6739" s="675"/>
    </row>
    <row r="6740" spans="1:13" x14ac:dyDescent="0.25">
      <c r="A6740" s="675" t="s">
        <v>6683</v>
      </c>
      <c r="B6740" s="675" t="s">
        <v>564</v>
      </c>
      <c r="C6740" s="676" t="s">
        <v>6698</v>
      </c>
      <c r="D6740" s="675"/>
      <c r="E6740" s="675"/>
      <c r="G6740" s="675"/>
      <c r="H6740" s="675"/>
      <c r="I6740" s="675"/>
      <c r="J6740" s="675"/>
      <c r="K6740" s="675"/>
      <c r="L6740" s="675"/>
      <c r="M6740" s="675"/>
    </row>
    <row r="6741" spans="1:13" x14ac:dyDescent="0.25">
      <c r="A6741" s="675" t="s">
        <v>6683</v>
      </c>
      <c r="B6741" s="675" t="s">
        <v>564</v>
      </c>
      <c r="C6741" s="676" t="s">
        <v>6699</v>
      </c>
      <c r="D6741" s="675"/>
      <c r="E6741" s="675"/>
      <c r="G6741" s="675"/>
      <c r="H6741" s="675"/>
      <c r="I6741" s="675"/>
      <c r="J6741" s="675"/>
      <c r="K6741" s="675"/>
      <c r="L6741" s="675"/>
      <c r="M6741" s="675"/>
    </row>
    <row r="6742" spans="1:13" x14ac:dyDescent="0.25">
      <c r="A6742" s="675" t="s">
        <v>6683</v>
      </c>
      <c r="B6742" s="675" t="s">
        <v>564</v>
      </c>
      <c r="C6742" s="676" t="s">
        <v>6700</v>
      </c>
      <c r="D6742" s="675"/>
      <c r="E6742" s="675"/>
      <c r="G6742" s="675"/>
      <c r="H6742" s="675"/>
      <c r="I6742" s="675"/>
      <c r="J6742" s="675"/>
      <c r="K6742" s="675"/>
      <c r="L6742" s="675"/>
      <c r="M6742" s="675"/>
    </row>
    <row r="6743" spans="1:13" x14ac:dyDescent="0.25">
      <c r="A6743" s="675" t="s">
        <v>6683</v>
      </c>
      <c r="B6743" s="675" t="s">
        <v>564</v>
      </c>
      <c r="C6743" s="676" t="s">
        <v>6701</v>
      </c>
      <c r="D6743" s="675"/>
      <c r="E6743" s="675"/>
      <c r="G6743" s="675"/>
      <c r="H6743" s="675"/>
      <c r="I6743" s="675"/>
      <c r="J6743" s="675"/>
      <c r="K6743" s="675"/>
      <c r="L6743" s="675"/>
      <c r="M6743" s="675"/>
    </row>
    <row r="6744" spans="1:13" x14ac:dyDescent="0.25">
      <c r="A6744" s="675" t="s">
        <v>6683</v>
      </c>
      <c r="B6744" s="675" t="s">
        <v>564</v>
      </c>
      <c r="C6744" s="676" t="s">
        <v>6702</v>
      </c>
      <c r="D6744" s="675"/>
      <c r="E6744" s="675"/>
      <c r="G6744" s="675"/>
      <c r="H6744" s="675"/>
      <c r="I6744" s="675"/>
      <c r="J6744" s="675"/>
      <c r="K6744" s="675"/>
      <c r="L6744" s="675"/>
      <c r="M6744" s="675"/>
    </row>
    <row r="6745" spans="1:13" x14ac:dyDescent="0.25">
      <c r="A6745" s="675" t="s">
        <v>6683</v>
      </c>
      <c r="B6745" s="675" t="s">
        <v>564</v>
      </c>
      <c r="C6745" s="676" t="s">
        <v>6703</v>
      </c>
      <c r="D6745" s="675"/>
      <c r="E6745" s="675"/>
      <c r="G6745" s="675"/>
      <c r="H6745" s="675"/>
      <c r="I6745" s="675"/>
      <c r="J6745" s="675"/>
      <c r="K6745" s="675"/>
      <c r="L6745" s="675"/>
      <c r="M6745" s="675"/>
    </row>
    <row r="6746" spans="1:13" x14ac:dyDescent="0.25">
      <c r="A6746" s="675" t="s">
        <v>6683</v>
      </c>
      <c r="B6746" s="675" t="s">
        <v>512</v>
      </c>
      <c r="C6746" s="676" t="s">
        <v>6704</v>
      </c>
      <c r="D6746" s="675"/>
      <c r="E6746" s="675"/>
      <c r="G6746" s="675"/>
      <c r="H6746" s="675"/>
      <c r="I6746" s="675"/>
      <c r="J6746" s="675"/>
      <c r="K6746" s="675"/>
      <c r="L6746" s="675"/>
      <c r="M6746" s="675"/>
    </row>
    <row r="6747" spans="1:13" x14ac:dyDescent="0.25">
      <c r="A6747" s="675" t="s">
        <v>6683</v>
      </c>
      <c r="B6747" s="675" t="s">
        <v>512</v>
      </c>
      <c r="C6747" s="676" t="s">
        <v>6705</v>
      </c>
      <c r="D6747" s="675"/>
      <c r="E6747" s="675"/>
      <c r="G6747" s="675"/>
      <c r="H6747" s="675"/>
      <c r="I6747" s="675"/>
      <c r="J6747" s="675"/>
      <c r="K6747" s="675"/>
      <c r="L6747" s="675"/>
      <c r="M6747" s="675"/>
    </row>
    <row r="6748" spans="1:13" x14ac:dyDescent="0.25">
      <c r="A6748" s="675" t="s">
        <v>6683</v>
      </c>
      <c r="B6748" s="675" t="s">
        <v>512</v>
      </c>
      <c r="C6748" s="676" t="s">
        <v>6706</v>
      </c>
      <c r="D6748" s="675"/>
      <c r="E6748" s="675"/>
      <c r="G6748" s="675"/>
      <c r="H6748" s="675"/>
      <c r="I6748" s="675"/>
      <c r="J6748" s="675"/>
      <c r="K6748" s="675"/>
      <c r="L6748" s="675"/>
      <c r="M6748" s="675"/>
    </row>
    <row r="6749" spans="1:13" x14ac:dyDescent="0.25">
      <c r="A6749" s="675" t="s">
        <v>6683</v>
      </c>
      <c r="B6749" s="675" t="s">
        <v>512</v>
      </c>
      <c r="C6749" s="676" t="s">
        <v>6707</v>
      </c>
      <c r="D6749" s="675"/>
      <c r="E6749" s="675"/>
      <c r="G6749" s="675"/>
      <c r="H6749" s="675"/>
      <c r="I6749" s="675"/>
      <c r="J6749" s="675"/>
      <c r="K6749" s="675"/>
      <c r="L6749" s="675"/>
      <c r="M6749" s="675"/>
    </row>
    <row r="6750" spans="1:13" x14ac:dyDescent="0.25">
      <c r="A6750" s="675" t="s">
        <v>6683</v>
      </c>
      <c r="B6750" s="675" t="s">
        <v>512</v>
      </c>
      <c r="C6750" s="676" t="s">
        <v>6708</v>
      </c>
      <c r="D6750" s="675"/>
      <c r="E6750" s="675"/>
      <c r="G6750" s="675"/>
      <c r="H6750" s="675"/>
      <c r="I6750" s="675"/>
      <c r="J6750" s="675"/>
      <c r="K6750" s="675"/>
      <c r="L6750" s="675"/>
      <c r="M6750" s="675"/>
    </row>
    <row r="6751" spans="1:13" x14ac:dyDescent="0.25">
      <c r="A6751" s="675" t="s">
        <v>6683</v>
      </c>
      <c r="B6751" s="675" t="s">
        <v>512</v>
      </c>
      <c r="C6751" s="676" t="s">
        <v>6709</v>
      </c>
      <c r="D6751" s="675"/>
      <c r="E6751" s="675"/>
      <c r="G6751" s="675"/>
      <c r="H6751" s="675"/>
      <c r="I6751" s="675"/>
      <c r="J6751" s="675"/>
      <c r="K6751" s="675"/>
      <c r="L6751" s="675"/>
      <c r="M6751" s="675"/>
    </row>
    <row r="6752" spans="1:13" x14ac:dyDescent="0.25">
      <c r="A6752" s="675" t="s">
        <v>6683</v>
      </c>
      <c r="B6752" s="675" t="s">
        <v>512</v>
      </c>
      <c r="C6752" s="676" t="s">
        <v>6710</v>
      </c>
      <c r="D6752" s="675"/>
      <c r="E6752" s="675"/>
      <c r="G6752" s="675"/>
      <c r="H6752" s="675"/>
      <c r="I6752" s="675"/>
      <c r="J6752" s="675"/>
      <c r="K6752" s="675"/>
      <c r="L6752" s="675"/>
      <c r="M6752" s="675"/>
    </row>
    <row r="6753" spans="1:13" x14ac:dyDescent="0.25">
      <c r="A6753" s="675" t="s">
        <v>6683</v>
      </c>
      <c r="B6753" s="675" t="s">
        <v>512</v>
      </c>
      <c r="C6753" s="676" t="s">
        <v>6711</v>
      </c>
      <c r="D6753" s="675"/>
      <c r="E6753" s="675"/>
      <c r="G6753" s="675"/>
      <c r="H6753" s="675"/>
      <c r="I6753" s="675"/>
      <c r="J6753" s="675"/>
      <c r="K6753" s="675"/>
      <c r="L6753" s="675"/>
      <c r="M6753" s="675"/>
    </row>
    <row r="6754" spans="1:13" x14ac:dyDescent="0.25">
      <c r="A6754" s="675" t="s">
        <v>6683</v>
      </c>
      <c r="B6754" s="675" t="s">
        <v>512</v>
      </c>
      <c r="C6754" s="676" t="s">
        <v>6712</v>
      </c>
      <c r="D6754" s="675"/>
      <c r="E6754" s="675"/>
      <c r="G6754" s="675"/>
      <c r="H6754" s="675"/>
      <c r="I6754" s="675"/>
      <c r="J6754" s="675"/>
      <c r="K6754" s="675"/>
      <c r="L6754" s="675"/>
      <c r="M6754" s="675"/>
    </row>
    <row r="6755" spans="1:13" x14ac:dyDescent="0.25">
      <c r="A6755" s="675" t="s">
        <v>6683</v>
      </c>
      <c r="B6755" s="675" t="s">
        <v>512</v>
      </c>
      <c r="C6755" s="676" t="s">
        <v>6713</v>
      </c>
      <c r="D6755" s="675"/>
      <c r="E6755" s="675"/>
      <c r="G6755" s="675"/>
      <c r="H6755" s="675"/>
      <c r="I6755" s="675"/>
      <c r="J6755" s="675"/>
      <c r="K6755" s="675"/>
      <c r="L6755" s="675"/>
      <c r="M6755" s="675"/>
    </row>
    <row r="6756" spans="1:13" ht="30" x14ac:dyDescent="0.25">
      <c r="A6756" s="675" t="s">
        <v>6714</v>
      </c>
      <c r="B6756" s="675" t="s">
        <v>545</v>
      </c>
      <c r="C6756" s="676" t="s">
        <v>6715</v>
      </c>
      <c r="D6756" s="675"/>
      <c r="E6756" s="675"/>
      <c r="G6756" s="675"/>
      <c r="H6756" s="675"/>
      <c r="I6756" s="675"/>
      <c r="J6756" s="675"/>
      <c r="K6756" s="675"/>
      <c r="L6756" s="675"/>
      <c r="M6756" s="675"/>
    </row>
    <row r="6757" spans="1:13" x14ac:dyDescent="0.25">
      <c r="A6757" s="675" t="s">
        <v>6714</v>
      </c>
      <c r="B6757" s="675" t="s">
        <v>545</v>
      </c>
      <c r="C6757" s="676" t="s">
        <v>6716</v>
      </c>
      <c r="D6757" s="675"/>
      <c r="E6757" s="675"/>
      <c r="G6757" s="675"/>
      <c r="H6757" s="675"/>
      <c r="I6757" s="675"/>
      <c r="J6757" s="675"/>
      <c r="K6757" s="675"/>
      <c r="L6757" s="675"/>
      <c r="M6757" s="675"/>
    </row>
    <row r="6758" spans="1:13" ht="30" x14ac:dyDescent="0.25">
      <c r="A6758" s="675" t="s">
        <v>6714</v>
      </c>
      <c r="B6758" s="675" t="s">
        <v>545</v>
      </c>
      <c r="C6758" s="676" t="s">
        <v>6717</v>
      </c>
      <c r="D6758" s="675"/>
      <c r="E6758" s="675"/>
      <c r="G6758" s="675"/>
      <c r="H6758" s="675"/>
      <c r="I6758" s="675"/>
      <c r="J6758" s="675"/>
      <c r="K6758" s="675"/>
      <c r="L6758" s="675"/>
      <c r="M6758" s="675"/>
    </row>
    <row r="6759" spans="1:13" x14ac:dyDescent="0.25">
      <c r="A6759" s="675" t="s">
        <v>6714</v>
      </c>
      <c r="B6759" s="675" t="s">
        <v>545</v>
      </c>
      <c r="C6759" s="676" t="s">
        <v>6718</v>
      </c>
      <c r="D6759" s="675"/>
      <c r="E6759" s="675"/>
      <c r="G6759" s="675"/>
      <c r="H6759" s="675"/>
      <c r="I6759" s="675"/>
      <c r="J6759" s="675"/>
      <c r="K6759" s="675"/>
      <c r="L6759" s="675"/>
      <c r="M6759" s="675"/>
    </row>
    <row r="6760" spans="1:13" x14ac:dyDescent="0.25">
      <c r="A6760" s="675" t="s">
        <v>6714</v>
      </c>
      <c r="B6760" s="675" t="s">
        <v>545</v>
      </c>
      <c r="C6760" s="676" t="s">
        <v>6719</v>
      </c>
      <c r="D6760" s="675"/>
      <c r="E6760" s="675"/>
      <c r="G6760" s="675"/>
      <c r="H6760" s="675"/>
      <c r="I6760" s="675"/>
      <c r="J6760" s="675"/>
      <c r="K6760" s="675"/>
      <c r="L6760" s="675"/>
      <c r="M6760" s="675"/>
    </row>
    <row r="6761" spans="1:13" ht="30" x14ac:dyDescent="0.25">
      <c r="A6761" s="675" t="s">
        <v>6714</v>
      </c>
      <c r="B6761" s="675" t="s">
        <v>545</v>
      </c>
      <c r="C6761" s="676" t="s">
        <v>6720</v>
      </c>
      <c r="D6761" s="675"/>
      <c r="E6761" s="675"/>
      <c r="G6761" s="675"/>
      <c r="H6761" s="675"/>
      <c r="I6761" s="675"/>
      <c r="J6761" s="675"/>
      <c r="K6761" s="675"/>
      <c r="L6761" s="675"/>
      <c r="M6761" s="675"/>
    </row>
    <row r="6762" spans="1:13" ht="30" x14ac:dyDescent="0.25">
      <c r="A6762" s="675" t="s">
        <v>6714</v>
      </c>
      <c r="B6762" s="675" t="s">
        <v>545</v>
      </c>
      <c r="C6762" s="676" t="s">
        <v>6721</v>
      </c>
      <c r="D6762" s="675"/>
      <c r="E6762" s="675"/>
      <c r="G6762" s="675"/>
      <c r="H6762" s="675"/>
      <c r="I6762" s="675"/>
      <c r="J6762" s="675"/>
      <c r="K6762" s="675"/>
      <c r="L6762" s="675"/>
      <c r="M6762" s="675"/>
    </row>
    <row r="6763" spans="1:13" x14ac:dyDescent="0.25">
      <c r="A6763" s="675" t="s">
        <v>6714</v>
      </c>
      <c r="B6763" s="675" t="s">
        <v>545</v>
      </c>
      <c r="C6763" s="676" t="s">
        <v>6722</v>
      </c>
      <c r="D6763" s="675"/>
      <c r="E6763" s="675"/>
      <c r="G6763" s="675"/>
      <c r="H6763" s="675"/>
      <c r="I6763" s="675"/>
      <c r="J6763" s="675"/>
      <c r="K6763" s="675"/>
      <c r="L6763" s="675"/>
      <c r="M6763" s="675"/>
    </row>
    <row r="6764" spans="1:13" x14ac:dyDescent="0.25">
      <c r="A6764" s="675" t="s">
        <v>6714</v>
      </c>
      <c r="B6764" s="675" t="s">
        <v>545</v>
      </c>
      <c r="C6764" s="676" t="s">
        <v>6723</v>
      </c>
      <c r="D6764" s="675"/>
      <c r="E6764" s="675"/>
      <c r="G6764" s="675"/>
      <c r="H6764" s="675"/>
      <c r="I6764" s="675"/>
      <c r="J6764" s="675"/>
      <c r="K6764" s="675"/>
      <c r="L6764" s="675"/>
      <c r="M6764" s="675"/>
    </row>
    <row r="6765" spans="1:13" ht="30" x14ac:dyDescent="0.25">
      <c r="A6765" s="675" t="s">
        <v>6714</v>
      </c>
      <c r="B6765" s="675" t="s">
        <v>545</v>
      </c>
      <c r="C6765" s="676" t="s">
        <v>6724</v>
      </c>
      <c r="D6765" s="675"/>
      <c r="E6765" s="675"/>
      <c r="G6765" s="675"/>
      <c r="H6765" s="675"/>
      <c r="I6765" s="675"/>
      <c r="J6765" s="675"/>
      <c r="K6765" s="675"/>
      <c r="L6765" s="675"/>
      <c r="M6765" s="675"/>
    </row>
    <row r="6766" spans="1:13" x14ac:dyDescent="0.25">
      <c r="A6766" s="675" t="s">
        <v>6714</v>
      </c>
      <c r="B6766" s="675" t="s">
        <v>564</v>
      </c>
      <c r="C6766" s="676" t="s">
        <v>6725</v>
      </c>
      <c r="D6766" s="675"/>
      <c r="E6766" s="675"/>
      <c r="G6766" s="675"/>
      <c r="H6766" s="675"/>
      <c r="I6766" s="675"/>
      <c r="J6766" s="675"/>
      <c r="K6766" s="675"/>
      <c r="L6766" s="675"/>
      <c r="M6766" s="675"/>
    </row>
    <row r="6767" spans="1:13" x14ac:dyDescent="0.25">
      <c r="A6767" s="675" t="s">
        <v>6714</v>
      </c>
      <c r="B6767" s="675" t="s">
        <v>564</v>
      </c>
      <c r="C6767" s="676" t="s">
        <v>6726</v>
      </c>
      <c r="D6767" s="675"/>
      <c r="E6767" s="675"/>
      <c r="G6767" s="675"/>
      <c r="H6767" s="675"/>
      <c r="I6767" s="675"/>
      <c r="J6767" s="675"/>
      <c r="K6767" s="675"/>
      <c r="L6767" s="675"/>
      <c r="M6767" s="675"/>
    </row>
    <row r="6768" spans="1:13" x14ac:dyDescent="0.25">
      <c r="A6768" s="675" t="s">
        <v>6714</v>
      </c>
      <c r="B6768" s="675" t="s">
        <v>564</v>
      </c>
      <c r="C6768" s="676" t="s">
        <v>6727</v>
      </c>
      <c r="D6768" s="675"/>
      <c r="E6768" s="675"/>
      <c r="G6768" s="675"/>
      <c r="H6768" s="675"/>
      <c r="I6768" s="675"/>
      <c r="J6768" s="675"/>
      <c r="K6768" s="675"/>
      <c r="L6768" s="675"/>
      <c r="M6768" s="675"/>
    </row>
    <row r="6769" spans="1:13" x14ac:dyDescent="0.25">
      <c r="A6769" s="675" t="s">
        <v>6714</v>
      </c>
      <c r="B6769" s="675" t="s">
        <v>564</v>
      </c>
      <c r="C6769" s="676" t="s">
        <v>6728</v>
      </c>
      <c r="D6769" s="675"/>
      <c r="E6769" s="675"/>
      <c r="G6769" s="675"/>
      <c r="H6769" s="675"/>
      <c r="I6769" s="675"/>
      <c r="J6769" s="675"/>
      <c r="K6769" s="675"/>
      <c r="L6769" s="675"/>
      <c r="M6769" s="675"/>
    </row>
    <row r="6770" spans="1:13" ht="30" x14ac:dyDescent="0.25">
      <c r="A6770" s="675" t="s">
        <v>6714</v>
      </c>
      <c r="B6770" s="675" t="s">
        <v>564</v>
      </c>
      <c r="C6770" s="676" t="s">
        <v>6729</v>
      </c>
      <c r="D6770" s="675"/>
      <c r="E6770" s="675"/>
      <c r="G6770" s="675"/>
      <c r="H6770" s="675"/>
      <c r="I6770" s="675"/>
      <c r="J6770" s="675"/>
      <c r="K6770" s="675"/>
      <c r="L6770" s="675"/>
      <c r="M6770" s="675"/>
    </row>
    <row r="6771" spans="1:13" x14ac:dyDescent="0.25">
      <c r="A6771" s="675" t="s">
        <v>6714</v>
      </c>
      <c r="B6771" s="675" t="s">
        <v>564</v>
      </c>
      <c r="C6771" s="676" t="s">
        <v>6730</v>
      </c>
      <c r="D6771" s="675"/>
      <c r="E6771" s="675"/>
      <c r="G6771" s="675"/>
      <c r="H6771" s="675"/>
      <c r="I6771" s="675"/>
      <c r="J6771" s="675"/>
      <c r="K6771" s="675"/>
      <c r="L6771" s="675"/>
      <c r="M6771" s="675"/>
    </row>
    <row r="6772" spans="1:13" x14ac:dyDescent="0.25">
      <c r="A6772" s="675" t="s">
        <v>6714</v>
      </c>
      <c r="B6772" s="675" t="s">
        <v>564</v>
      </c>
      <c r="C6772" s="676" t="s">
        <v>6731</v>
      </c>
      <c r="D6772" s="675"/>
      <c r="E6772" s="675"/>
      <c r="G6772" s="675"/>
      <c r="H6772" s="675"/>
      <c r="I6772" s="675"/>
      <c r="J6772" s="675"/>
      <c r="K6772" s="675"/>
      <c r="L6772" s="675"/>
      <c r="M6772" s="675"/>
    </row>
    <row r="6773" spans="1:13" x14ac:dyDescent="0.25">
      <c r="A6773" s="675" t="s">
        <v>6714</v>
      </c>
      <c r="B6773" s="675" t="s">
        <v>564</v>
      </c>
      <c r="C6773" s="676" t="s">
        <v>6732</v>
      </c>
      <c r="D6773" s="675"/>
      <c r="E6773" s="675"/>
      <c r="G6773" s="675"/>
      <c r="H6773" s="675"/>
      <c r="I6773" s="675"/>
      <c r="J6773" s="675"/>
      <c r="K6773" s="675"/>
      <c r="L6773" s="675"/>
      <c r="M6773" s="675"/>
    </row>
    <row r="6774" spans="1:13" x14ac:dyDescent="0.25">
      <c r="A6774" s="675" t="s">
        <v>6714</v>
      </c>
      <c r="B6774" s="675" t="s">
        <v>564</v>
      </c>
      <c r="C6774" s="676" t="s">
        <v>6733</v>
      </c>
      <c r="D6774" s="675"/>
      <c r="E6774" s="675"/>
      <c r="G6774" s="675"/>
      <c r="H6774" s="675"/>
      <c r="I6774" s="675"/>
      <c r="J6774" s="675"/>
      <c r="K6774" s="675"/>
      <c r="L6774" s="675"/>
      <c r="M6774" s="675"/>
    </row>
    <row r="6775" spans="1:13" x14ac:dyDescent="0.25">
      <c r="A6775" s="675" t="s">
        <v>6714</v>
      </c>
      <c r="B6775" s="675" t="s">
        <v>564</v>
      </c>
      <c r="C6775" s="676" t="s">
        <v>6734</v>
      </c>
      <c r="D6775" s="675"/>
      <c r="E6775" s="675"/>
      <c r="G6775" s="675"/>
      <c r="H6775" s="675"/>
      <c r="I6775" s="675"/>
      <c r="J6775" s="675"/>
      <c r="K6775" s="675"/>
      <c r="L6775" s="675"/>
      <c r="M6775" s="675"/>
    </row>
    <row r="6776" spans="1:13" x14ac:dyDescent="0.25">
      <c r="A6776" s="675" t="s">
        <v>6714</v>
      </c>
      <c r="B6776" s="675" t="s">
        <v>512</v>
      </c>
      <c r="C6776" s="676" t="s">
        <v>6735</v>
      </c>
      <c r="D6776" s="675"/>
      <c r="E6776" s="675"/>
      <c r="G6776" s="675"/>
      <c r="H6776" s="675"/>
      <c r="I6776" s="675"/>
      <c r="J6776" s="675"/>
      <c r="K6776" s="675"/>
      <c r="L6776" s="675"/>
      <c r="M6776" s="675"/>
    </row>
    <row r="6777" spans="1:13" x14ac:dyDescent="0.25">
      <c r="A6777" s="675" t="s">
        <v>6714</v>
      </c>
      <c r="B6777" s="675" t="s">
        <v>512</v>
      </c>
      <c r="C6777" s="676" t="s">
        <v>6736</v>
      </c>
      <c r="D6777" s="675"/>
      <c r="E6777" s="675"/>
      <c r="G6777" s="675"/>
      <c r="H6777" s="675"/>
      <c r="I6777" s="675"/>
      <c r="J6777" s="675"/>
      <c r="K6777" s="675"/>
      <c r="L6777" s="675"/>
      <c r="M6777" s="675"/>
    </row>
    <row r="6778" spans="1:13" x14ac:dyDescent="0.25">
      <c r="A6778" s="675" t="s">
        <v>6714</v>
      </c>
      <c r="B6778" s="675" t="s">
        <v>512</v>
      </c>
      <c r="C6778" s="676" t="s">
        <v>6737</v>
      </c>
      <c r="D6778" s="675"/>
      <c r="E6778" s="675"/>
      <c r="G6778" s="675"/>
      <c r="H6778" s="675"/>
      <c r="I6778" s="675"/>
      <c r="J6778" s="675"/>
      <c r="K6778" s="675"/>
      <c r="L6778" s="675"/>
      <c r="M6778" s="675"/>
    </row>
    <row r="6779" spans="1:13" ht="30" x14ac:dyDescent="0.25">
      <c r="A6779" s="675" t="s">
        <v>6714</v>
      </c>
      <c r="B6779" s="675" t="s">
        <v>512</v>
      </c>
      <c r="C6779" s="676" t="s">
        <v>6738</v>
      </c>
      <c r="D6779" s="675"/>
      <c r="E6779" s="675"/>
      <c r="G6779" s="675"/>
      <c r="H6779" s="675"/>
      <c r="I6779" s="675"/>
      <c r="J6779" s="675"/>
      <c r="K6779" s="675"/>
      <c r="L6779" s="675"/>
      <c r="M6779" s="675"/>
    </row>
    <row r="6780" spans="1:13" x14ac:dyDescent="0.25">
      <c r="A6780" s="675" t="s">
        <v>6714</v>
      </c>
      <c r="B6780" s="675" t="s">
        <v>512</v>
      </c>
      <c r="C6780" s="676" t="s">
        <v>6739</v>
      </c>
      <c r="D6780" s="675"/>
      <c r="E6780" s="675"/>
      <c r="G6780" s="675"/>
      <c r="H6780" s="675"/>
      <c r="I6780" s="675"/>
      <c r="J6780" s="675"/>
      <c r="K6780" s="675"/>
      <c r="L6780" s="675"/>
      <c r="M6780" s="675"/>
    </row>
    <row r="6781" spans="1:13" x14ac:dyDescent="0.25">
      <c r="A6781" s="675" t="s">
        <v>6714</v>
      </c>
      <c r="B6781" s="675" t="s">
        <v>512</v>
      </c>
      <c r="C6781" s="676" t="s">
        <v>6740</v>
      </c>
      <c r="D6781" s="675"/>
      <c r="E6781" s="675"/>
      <c r="G6781" s="675"/>
      <c r="H6781" s="675"/>
      <c r="I6781" s="675"/>
      <c r="J6781" s="675"/>
      <c r="K6781" s="675"/>
      <c r="L6781" s="675"/>
      <c r="M6781" s="675"/>
    </row>
    <row r="6782" spans="1:13" x14ac:dyDescent="0.25">
      <c r="A6782" s="675" t="s">
        <v>6714</v>
      </c>
      <c r="B6782" s="675" t="s">
        <v>512</v>
      </c>
      <c r="C6782" s="676" t="s">
        <v>6741</v>
      </c>
      <c r="D6782" s="675"/>
      <c r="E6782" s="675"/>
      <c r="G6782" s="675"/>
      <c r="H6782" s="675"/>
      <c r="I6782" s="675"/>
      <c r="J6782" s="675"/>
      <c r="K6782" s="675"/>
      <c r="L6782" s="675"/>
      <c r="M6782" s="675"/>
    </row>
    <row r="6783" spans="1:13" x14ac:dyDescent="0.25">
      <c r="A6783" s="675" t="s">
        <v>6714</v>
      </c>
      <c r="B6783" s="675" t="s">
        <v>512</v>
      </c>
      <c r="C6783" s="676" t="s">
        <v>6742</v>
      </c>
      <c r="D6783" s="675"/>
      <c r="E6783" s="675"/>
      <c r="G6783" s="675"/>
      <c r="H6783" s="675"/>
      <c r="I6783" s="675"/>
      <c r="J6783" s="675"/>
      <c r="K6783" s="675"/>
      <c r="L6783" s="675"/>
      <c r="M6783" s="675"/>
    </row>
    <row r="6784" spans="1:13" ht="30" x14ac:dyDescent="0.25">
      <c r="A6784" s="675" t="s">
        <v>6714</v>
      </c>
      <c r="B6784" s="675" t="s">
        <v>512</v>
      </c>
      <c r="C6784" s="676" t="s">
        <v>6743</v>
      </c>
      <c r="D6784" s="675"/>
      <c r="E6784" s="675"/>
      <c r="G6784" s="675"/>
      <c r="H6784" s="675"/>
      <c r="I6784" s="675"/>
      <c r="J6784" s="675"/>
      <c r="K6784" s="675"/>
      <c r="L6784" s="675"/>
      <c r="M6784" s="675"/>
    </row>
    <row r="6785" spans="1:13" ht="30" x14ac:dyDescent="0.25">
      <c r="A6785" s="675" t="s">
        <v>6714</v>
      </c>
      <c r="B6785" s="675" t="s">
        <v>512</v>
      </c>
      <c r="C6785" s="676" t="s">
        <v>6744</v>
      </c>
      <c r="D6785" s="675"/>
      <c r="E6785" s="675"/>
      <c r="G6785" s="675"/>
      <c r="H6785" s="675"/>
      <c r="I6785" s="675"/>
      <c r="J6785" s="675"/>
      <c r="K6785" s="675"/>
      <c r="L6785" s="675"/>
      <c r="M6785" s="675"/>
    </row>
    <row r="6786" spans="1:13" x14ac:dyDescent="0.25">
      <c r="A6786" s="675" t="s">
        <v>6745</v>
      </c>
      <c r="B6786" s="675" t="s">
        <v>545</v>
      </c>
      <c r="C6786" s="676" t="s">
        <v>6746</v>
      </c>
      <c r="D6786" s="675"/>
      <c r="E6786" s="675"/>
      <c r="G6786" s="675"/>
      <c r="H6786" s="675"/>
      <c r="I6786" s="675"/>
      <c r="J6786" s="675"/>
      <c r="K6786" s="675"/>
      <c r="L6786" s="675"/>
      <c r="M6786" s="675"/>
    </row>
    <row r="6787" spans="1:13" x14ac:dyDescent="0.25">
      <c r="A6787" s="675" t="s">
        <v>6745</v>
      </c>
      <c r="B6787" s="675" t="s">
        <v>545</v>
      </c>
      <c r="C6787" s="676" t="s">
        <v>6747</v>
      </c>
      <c r="D6787" s="675"/>
      <c r="E6787" s="675"/>
      <c r="G6787" s="675"/>
      <c r="H6787" s="675"/>
      <c r="I6787" s="675"/>
      <c r="J6787" s="675"/>
      <c r="K6787" s="675"/>
      <c r="L6787" s="675"/>
      <c r="M6787" s="675"/>
    </row>
    <row r="6788" spans="1:13" x14ac:dyDescent="0.25">
      <c r="A6788" s="675" t="s">
        <v>6745</v>
      </c>
      <c r="B6788" s="675" t="s">
        <v>545</v>
      </c>
      <c r="C6788" s="676" t="s">
        <v>6748</v>
      </c>
      <c r="D6788" s="675"/>
      <c r="E6788" s="675"/>
      <c r="G6788" s="675"/>
      <c r="H6788" s="675"/>
      <c r="I6788" s="675"/>
      <c r="J6788" s="675"/>
      <c r="K6788" s="675"/>
      <c r="L6788" s="675"/>
      <c r="M6788" s="675"/>
    </row>
    <row r="6789" spans="1:13" x14ac:dyDescent="0.25">
      <c r="A6789" s="675" t="s">
        <v>6745</v>
      </c>
      <c r="B6789" s="675" t="s">
        <v>545</v>
      </c>
      <c r="C6789" s="676" t="s">
        <v>6749</v>
      </c>
      <c r="D6789" s="675"/>
      <c r="E6789" s="675"/>
      <c r="G6789" s="675"/>
      <c r="H6789" s="675"/>
      <c r="I6789" s="675"/>
      <c r="J6789" s="675"/>
      <c r="K6789" s="675"/>
      <c r="L6789" s="675"/>
      <c r="M6789" s="675"/>
    </row>
    <row r="6790" spans="1:13" x14ac:dyDescent="0.25">
      <c r="A6790" s="675" t="s">
        <v>6745</v>
      </c>
      <c r="B6790" s="675" t="s">
        <v>545</v>
      </c>
      <c r="C6790" s="676" t="s">
        <v>6750</v>
      </c>
      <c r="D6790" s="675"/>
      <c r="E6790" s="675"/>
      <c r="G6790" s="675"/>
      <c r="H6790" s="675"/>
      <c r="I6790" s="675"/>
      <c r="J6790" s="675"/>
      <c r="K6790" s="675"/>
      <c r="L6790" s="675"/>
      <c r="M6790" s="675"/>
    </row>
    <row r="6791" spans="1:13" x14ac:dyDescent="0.25">
      <c r="A6791" s="675" t="s">
        <v>6745</v>
      </c>
      <c r="B6791" s="675" t="s">
        <v>545</v>
      </c>
      <c r="C6791" s="676" t="s">
        <v>6751</v>
      </c>
      <c r="D6791" s="675"/>
      <c r="E6791" s="675"/>
      <c r="G6791" s="675"/>
      <c r="H6791" s="675"/>
      <c r="I6791" s="675"/>
      <c r="J6791" s="675"/>
      <c r="K6791" s="675"/>
      <c r="L6791" s="675"/>
      <c r="M6791" s="675"/>
    </row>
    <row r="6792" spans="1:13" x14ac:dyDescent="0.25">
      <c r="A6792" s="675" t="s">
        <v>6745</v>
      </c>
      <c r="B6792" s="675" t="s">
        <v>545</v>
      </c>
      <c r="C6792" s="676" t="s">
        <v>6752</v>
      </c>
      <c r="D6792" s="675"/>
      <c r="E6792" s="675"/>
      <c r="G6792" s="675"/>
      <c r="H6792" s="675"/>
      <c r="I6792" s="675"/>
      <c r="J6792" s="675"/>
      <c r="K6792" s="675"/>
      <c r="L6792" s="675"/>
      <c r="M6792" s="675"/>
    </row>
    <row r="6793" spans="1:13" x14ac:dyDescent="0.25">
      <c r="A6793" s="675" t="s">
        <v>6745</v>
      </c>
      <c r="B6793" s="675" t="s">
        <v>545</v>
      </c>
      <c r="C6793" s="676" t="s">
        <v>6753</v>
      </c>
      <c r="D6793" s="675"/>
      <c r="E6793" s="675"/>
      <c r="G6793" s="675"/>
      <c r="H6793" s="675"/>
      <c r="I6793" s="675"/>
      <c r="J6793" s="675"/>
      <c r="K6793" s="675"/>
      <c r="L6793" s="675"/>
      <c r="M6793" s="675"/>
    </row>
    <row r="6794" spans="1:13" x14ac:dyDescent="0.25">
      <c r="A6794" s="675" t="s">
        <v>6745</v>
      </c>
      <c r="B6794" s="675" t="s">
        <v>545</v>
      </c>
      <c r="C6794" s="676" t="s">
        <v>6754</v>
      </c>
      <c r="D6794" s="675"/>
      <c r="E6794" s="675"/>
      <c r="G6794" s="675"/>
      <c r="H6794" s="675"/>
      <c r="I6794" s="675"/>
      <c r="J6794" s="675"/>
      <c r="K6794" s="675"/>
      <c r="L6794" s="675"/>
      <c r="M6794" s="675"/>
    </row>
    <row r="6795" spans="1:13" x14ac:dyDescent="0.25">
      <c r="A6795" s="675" t="s">
        <v>6745</v>
      </c>
      <c r="B6795" s="675" t="s">
        <v>545</v>
      </c>
      <c r="C6795" s="676" t="s">
        <v>6755</v>
      </c>
      <c r="D6795" s="675"/>
      <c r="E6795" s="675"/>
      <c r="G6795" s="675"/>
      <c r="H6795" s="675"/>
      <c r="I6795" s="675"/>
      <c r="J6795" s="675"/>
      <c r="K6795" s="675"/>
      <c r="L6795" s="675"/>
      <c r="M6795" s="675"/>
    </row>
    <row r="6796" spans="1:13" x14ac:dyDescent="0.25">
      <c r="A6796" s="675" t="s">
        <v>6745</v>
      </c>
      <c r="B6796" s="675" t="s">
        <v>564</v>
      </c>
      <c r="C6796" s="676" t="s">
        <v>6756</v>
      </c>
      <c r="D6796" s="675"/>
      <c r="E6796" s="675"/>
      <c r="G6796" s="675"/>
      <c r="H6796" s="675"/>
      <c r="I6796" s="675"/>
      <c r="J6796" s="675"/>
      <c r="K6796" s="675"/>
      <c r="L6796" s="675"/>
      <c r="M6796" s="675"/>
    </row>
    <row r="6797" spans="1:13" x14ac:dyDescent="0.25">
      <c r="A6797" s="675" t="s">
        <v>6745</v>
      </c>
      <c r="B6797" s="675" t="s">
        <v>564</v>
      </c>
      <c r="C6797" s="676" t="s">
        <v>6757</v>
      </c>
      <c r="D6797" s="675"/>
      <c r="E6797" s="675"/>
      <c r="G6797" s="675"/>
      <c r="H6797" s="675"/>
      <c r="I6797" s="675"/>
      <c r="J6797" s="675"/>
      <c r="K6797" s="675"/>
      <c r="L6797" s="675"/>
      <c r="M6797" s="675"/>
    </row>
    <row r="6798" spans="1:13" x14ac:dyDescent="0.25">
      <c r="A6798" s="675" t="s">
        <v>6745</v>
      </c>
      <c r="B6798" s="675" t="s">
        <v>564</v>
      </c>
      <c r="C6798" s="676" t="s">
        <v>6758</v>
      </c>
      <c r="D6798" s="675"/>
      <c r="E6798" s="675"/>
      <c r="G6798" s="675"/>
      <c r="H6798" s="675"/>
      <c r="I6798" s="675"/>
      <c r="J6798" s="675"/>
      <c r="K6798" s="675"/>
      <c r="L6798" s="675"/>
      <c r="M6798" s="675"/>
    </row>
    <row r="6799" spans="1:13" x14ac:dyDescent="0.25">
      <c r="A6799" s="675" t="s">
        <v>6745</v>
      </c>
      <c r="B6799" s="675" t="s">
        <v>564</v>
      </c>
      <c r="C6799" s="676" t="s">
        <v>6759</v>
      </c>
      <c r="D6799" s="675"/>
      <c r="E6799" s="675"/>
      <c r="G6799" s="675"/>
      <c r="H6799" s="675"/>
      <c r="I6799" s="675"/>
      <c r="J6799" s="675"/>
      <c r="K6799" s="675"/>
      <c r="L6799" s="675"/>
      <c r="M6799" s="675"/>
    </row>
    <row r="6800" spans="1:13" x14ac:dyDescent="0.25">
      <c r="A6800" s="675" t="s">
        <v>6745</v>
      </c>
      <c r="B6800" s="675" t="s">
        <v>564</v>
      </c>
      <c r="C6800" s="676" t="s">
        <v>6760</v>
      </c>
      <c r="D6800" s="675"/>
      <c r="E6800" s="675"/>
      <c r="G6800" s="675"/>
      <c r="H6800" s="675"/>
      <c r="I6800" s="675"/>
      <c r="J6800" s="675"/>
      <c r="K6800" s="675"/>
      <c r="L6800" s="675"/>
      <c r="M6800" s="675"/>
    </row>
    <row r="6801" spans="1:13" x14ac:dyDescent="0.25">
      <c r="A6801" s="675" t="s">
        <v>6745</v>
      </c>
      <c r="B6801" s="675" t="s">
        <v>564</v>
      </c>
      <c r="C6801" s="676" t="s">
        <v>6761</v>
      </c>
      <c r="D6801" s="675"/>
      <c r="E6801" s="675"/>
      <c r="G6801" s="675"/>
      <c r="H6801" s="675"/>
      <c r="I6801" s="675"/>
      <c r="J6801" s="675"/>
      <c r="K6801" s="675"/>
      <c r="L6801" s="675"/>
      <c r="M6801" s="675"/>
    </row>
    <row r="6802" spans="1:13" x14ac:dyDescent="0.25">
      <c r="A6802" s="675" t="s">
        <v>6745</v>
      </c>
      <c r="B6802" s="675" t="s">
        <v>564</v>
      </c>
      <c r="C6802" s="676" t="s">
        <v>6762</v>
      </c>
      <c r="D6802" s="675"/>
      <c r="E6802" s="675"/>
      <c r="G6802" s="675"/>
      <c r="H6802" s="675"/>
      <c r="I6802" s="675"/>
      <c r="J6802" s="675"/>
      <c r="K6802" s="675"/>
      <c r="L6802" s="675"/>
      <c r="M6802" s="675"/>
    </row>
    <row r="6803" spans="1:13" x14ac:dyDescent="0.25">
      <c r="A6803" s="675" t="s">
        <v>6745</v>
      </c>
      <c r="B6803" s="675" t="s">
        <v>564</v>
      </c>
      <c r="C6803" s="676" t="s">
        <v>6763</v>
      </c>
      <c r="D6803" s="675"/>
      <c r="E6803" s="675"/>
      <c r="G6803" s="675"/>
      <c r="H6803" s="675"/>
      <c r="I6803" s="675"/>
      <c r="J6803" s="675"/>
      <c r="K6803" s="675"/>
      <c r="L6803" s="675"/>
      <c r="M6803" s="675"/>
    </row>
    <row r="6804" spans="1:13" x14ac:dyDescent="0.25">
      <c r="A6804" s="675" t="s">
        <v>6745</v>
      </c>
      <c r="B6804" s="675" t="s">
        <v>564</v>
      </c>
      <c r="C6804" s="676" t="s">
        <v>6764</v>
      </c>
      <c r="D6804" s="675"/>
      <c r="E6804" s="675"/>
      <c r="G6804" s="675"/>
      <c r="H6804" s="675"/>
      <c r="I6804" s="675"/>
      <c r="J6804" s="675"/>
      <c r="K6804" s="675"/>
      <c r="L6804" s="675"/>
      <c r="M6804" s="675"/>
    </row>
    <row r="6805" spans="1:13" x14ac:dyDescent="0.25">
      <c r="A6805" s="675" t="s">
        <v>6745</v>
      </c>
      <c r="B6805" s="675" t="s">
        <v>564</v>
      </c>
      <c r="C6805" s="676" t="s">
        <v>6765</v>
      </c>
      <c r="D6805" s="675"/>
      <c r="E6805" s="675"/>
      <c r="G6805" s="675"/>
      <c r="H6805" s="675"/>
      <c r="I6805" s="675"/>
      <c r="J6805" s="675"/>
      <c r="K6805" s="675"/>
      <c r="L6805" s="675"/>
      <c r="M6805" s="675"/>
    </row>
    <row r="6806" spans="1:13" x14ac:dyDescent="0.25">
      <c r="A6806" s="675" t="s">
        <v>6745</v>
      </c>
      <c r="B6806" s="675" t="s">
        <v>512</v>
      </c>
      <c r="C6806" s="676" t="s">
        <v>6766</v>
      </c>
      <c r="D6806" s="675"/>
      <c r="E6806" s="675"/>
      <c r="G6806" s="675"/>
      <c r="H6806" s="675"/>
      <c r="I6806" s="675"/>
      <c r="J6806" s="675"/>
      <c r="K6806" s="675"/>
      <c r="L6806" s="675"/>
      <c r="M6806" s="675"/>
    </row>
    <row r="6807" spans="1:13" x14ac:dyDescent="0.25">
      <c r="A6807" s="675" t="s">
        <v>6745</v>
      </c>
      <c r="B6807" s="675" t="s">
        <v>512</v>
      </c>
      <c r="C6807" s="676" t="s">
        <v>6767</v>
      </c>
      <c r="D6807" s="675"/>
      <c r="E6807" s="675"/>
      <c r="G6807" s="675"/>
      <c r="H6807" s="675"/>
      <c r="I6807" s="675"/>
      <c r="J6807" s="675"/>
      <c r="K6807" s="675"/>
      <c r="L6807" s="675"/>
      <c r="M6807" s="675"/>
    </row>
    <row r="6808" spans="1:13" x14ac:dyDescent="0.25">
      <c r="A6808" s="675" t="s">
        <v>6745</v>
      </c>
      <c r="B6808" s="675" t="s">
        <v>512</v>
      </c>
      <c r="C6808" s="676" t="s">
        <v>6768</v>
      </c>
      <c r="D6808" s="675"/>
      <c r="E6808" s="675"/>
      <c r="G6808" s="675"/>
      <c r="H6808" s="675"/>
      <c r="I6808" s="675"/>
      <c r="J6808" s="675"/>
      <c r="K6808" s="675"/>
      <c r="L6808" s="675"/>
      <c r="M6808" s="675"/>
    </row>
    <row r="6809" spans="1:13" x14ac:dyDescent="0.25">
      <c r="A6809" s="675" t="s">
        <v>6745</v>
      </c>
      <c r="B6809" s="675" t="s">
        <v>512</v>
      </c>
      <c r="C6809" s="676" t="s">
        <v>6769</v>
      </c>
      <c r="D6809" s="675"/>
      <c r="E6809" s="675"/>
      <c r="G6809" s="675"/>
      <c r="H6809" s="675"/>
      <c r="I6809" s="675"/>
      <c r="J6809" s="675"/>
      <c r="K6809" s="675"/>
      <c r="L6809" s="675"/>
      <c r="M6809" s="675"/>
    </row>
    <row r="6810" spans="1:13" x14ac:dyDescent="0.25">
      <c r="A6810" s="675" t="s">
        <v>6745</v>
      </c>
      <c r="B6810" s="675" t="s">
        <v>512</v>
      </c>
      <c r="C6810" s="676" t="s">
        <v>6770</v>
      </c>
      <c r="D6810" s="675"/>
      <c r="E6810" s="675"/>
      <c r="G6810" s="675"/>
      <c r="H6810" s="675"/>
      <c r="I6810" s="675"/>
      <c r="J6810" s="675"/>
      <c r="K6810" s="675"/>
      <c r="L6810" s="675"/>
      <c r="M6810" s="675"/>
    </row>
    <row r="6811" spans="1:13" x14ac:dyDescent="0.25">
      <c r="A6811" s="675" t="s">
        <v>6745</v>
      </c>
      <c r="B6811" s="675" t="s">
        <v>512</v>
      </c>
      <c r="C6811" s="676" t="s">
        <v>6771</v>
      </c>
      <c r="D6811" s="675"/>
      <c r="E6811" s="675"/>
      <c r="G6811" s="675"/>
      <c r="H6811" s="675"/>
      <c r="I6811" s="675"/>
      <c r="J6811" s="675"/>
      <c r="K6811" s="675"/>
      <c r="L6811" s="675"/>
      <c r="M6811" s="675"/>
    </row>
    <row r="6812" spans="1:13" x14ac:dyDescent="0.25">
      <c r="A6812" s="675" t="s">
        <v>6745</v>
      </c>
      <c r="B6812" s="675" t="s">
        <v>512</v>
      </c>
      <c r="C6812" s="676" t="s">
        <v>6772</v>
      </c>
      <c r="D6812" s="675"/>
      <c r="E6812" s="675"/>
      <c r="G6812" s="675"/>
      <c r="H6812" s="675"/>
      <c r="I6812" s="675"/>
      <c r="J6812" s="675"/>
      <c r="K6812" s="675"/>
      <c r="L6812" s="675"/>
      <c r="M6812" s="675"/>
    </row>
    <row r="6813" spans="1:13" x14ac:dyDescent="0.25">
      <c r="A6813" s="675" t="s">
        <v>6745</v>
      </c>
      <c r="B6813" s="675" t="s">
        <v>512</v>
      </c>
      <c r="C6813" s="676" t="s">
        <v>6773</v>
      </c>
      <c r="D6813" s="675"/>
      <c r="E6813" s="675"/>
      <c r="G6813" s="675"/>
      <c r="H6813" s="675"/>
      <c r="I6813" s="675"/>
      <c r="J6813" s="675"/>
      <c r="K6813" s="675"/>
      <c r="L6813" s="675"/>
      <c r="M6813" s="675"/>
    </row>
    <row r="6814" spans="1:13" x14ac:dyDescent="0.25">
      <c r="A6814" s="675" t="s">
        <v>6745</v>
      </c>
      <c r="B6814" s="675" t="s">
        <v>512</v>
      </c>
      <c r="C6814" s="676" t="s">
        <v>6774</v>
      </c>
      <c r="D6814" s="675"/>
      <c r="E6814" s="675"/>
      <c r="G6814" s="675"/>
      <c r="H6814" s="675"/>
      <c r="I6814" s="675"/>
      <c r="J6814" s="675"/>
      <c r="K6814" s="675"/>
      <c r="L6814" s="675"/>
      <c r="M6814" s="675"/>
    </row>
    <row r="6815" spans="1:13" x14ac:dyDescent="0.25">
      <c r="A6815" s="675" t="s">
        <v>6745</v>
      </c>
      <c r="B6815" s="675" t="s">
        <v>512</v>
      </c>
      <c r="C6815" s="676" t="s">
        <v>6775</v>
      </c>
      <c r="D6815" s="675"/>
      <c r="E6815" s="675"/>
      <c r="G6815" s="675"/>
      <c r="H6815" s="675"/>
      <c r="I6815" s="675"/>
      <c r="J6815" s="675"/>
      <c r="K6815" s="675"/>
      <c r="L6815" s="675"/>
      <c r="M6815" s="675"/>
    </row>
    <row r="6816" spans="1:13" x14ac:dyDescent="0.25">
      <c r="A6816" s="675" t="s">
        <v>1444</v>
      </c>
      <c r="B6816" s="675" t="s">
        <v>545</v>
      </c>
      <c r="C6816" s="676" t="s">
        <v>6776</v>
      </c>
      <c r="D6816" s="675"/>
      <c r="E6816" s="675"/>
      <c r="G6816" s="675"/>
      <c r="H6816" s="675"/>
      <c r="I6816" s="675"/>
      <c r="J6816" s="675"/>
      <c r="K6816" s="675"/>
      <c r="L6816" s="675"/>
      <c r="M6816" s="675"/>
    </row>
    <row r="6817" spans="1:13" ht="30" x14ac:dyDescent="0.25">
      <c r="A6817" s="675" t="s">
        <v>1444</v>
      </c>
      <c r="B6817" s="675" t="s">
        <v>545</v>
      </c>
      <c r="C6817" s="676" t="s">
        <v>6777</v>
      </c>
      <c r="D6817" s="675"/>
      <c r="E6817" s="675"/>
      <c r="G6817" s="675"/>
      <c r="H6817" s="675"/>
      <c r="I6817" s="675"/>
      <c r="J6817" s="675"/>
      <c r="K6817" s="675"/>
      <c r="L6817" s="675"/>
      <c r="M6817" s="675"/>
    </row>
    <row r="6818" spans="1:13" x14ac:dyDescent="0.25">
      <c r="A6818" s="675" t="s">
        <v>1444</v>
      </c>
      <c r="B6818" s="675" t="s">
        <v>545</v>
      </c>
      <c r="C6818" s="676" t="s">
        <v>6778</v>
      </c>
      <c r="D6818" s="675"/>
      <c r="E6818" s="675"/>
      <c r="G6818" s="675"/>
      <c r="H6818" s="675"/>
      <c r="I6818" s="675"/>
      <c r="J6818" s="675"/>
      <c r="K6818" s="675"/>
      <c r="L6818" s="675"/>
      <c r="M6818" s="675"/>
    </row>
    <row r="6819" spans="1:13" x14ac:dyDescent="0.25">
      <c r="A6819" s="675" t="s">
        <v>1444</v>
      </c>
      <c r="B6819" s="675" t="s">
        <v>545</v>
      </c>
      <c r="C6819" s="676" t="s">
        <v>6779</v>
      </c>
      <c r="D6819" s="675"/>
      <c r="E6819" s="675"/>
      <c r="G6819" s="675"/>
      <c r="H6819" s="675"/>
      <c r="I6819" s="675"/>
      <c r="J6819" s="675"/>
      <c r="K6819" s="675"/>
      <c r="L6819" s="675"/>
      <c r="M6819" s="675"/>
    </row>
    <row r="6820" spans="1:13" x14ac:dyDescent="0.25">
      <c r="A6820" s="675" t="s">
        <v>1444</v>
      </c>
      <c r="B6820" s="675" t="s">
        <v>545</v>
      </c>
      <c r="C6820" s="676" t="s">
        <v>6780</v>
      </c>
      <c r="D6820" s="675"/>
      <c r="E6820" s="675"/>
      <c r="G6820" s="675"/>
      <c r="H6820" s="675"/>
      <c r="I6820" s="675"/>
      <c r="J6820" s="675"/>
      <c r="K6820" s="675"/>
      <c r="L6820" s="675"/>
      <c r="M6820" s="675"/>
    </row>
    <row r="6821" spans="1:13" ht="30" x14ac:dyDescent="0.25">
      <c r="A6821" s="675" t="s">
        <v>1444</v>
      </c>
      <c r="B6821" s="675" t="s">
        <v>545</v>
      </c>
      <c r="C6821" s="676" t="s">
        <v>6781</v>
      </c>
      <c r="D6821" s="675"/>
      <c r="E6821" s="675"/>
      <c r="G6821" s="675"/>
      <c r="H6821" s="675"/>
      <c r="I6821" s="675"/>
      <c r="J6821" s="675"/>
      <c r="K6821" s="675"/>
      <c r="L6821" s="675"/>
      <c r="M6821" s="675"/>
    </row>
    <row r="6822" spans="1:13" x14ac:dyDescent="0.25">
      <c r="A6822" s="675" t="s">
        <v>1444</v>
      </c>
      <c r="B6822" s="675" t="s">
        <v>545</v>
      </c>
      <c r="C6822" s="676" t="s">
        <v>6782</v>
      </c>
      <c r="D6822" s="675"/>
      <c r="E6822" s="675"/>
      <c r="G6822" s="675"/>
      <c r="H6822" s="675"/>
      <c r="I6822" s="675"/>
      <c r="J6822" s="675"/>
      <c r="K6822" s="675"/>
      <c r="L6822" s="675"/>
      <c r="M6822" s="675"/>
    </row>
    <row r="6823" spans="1:13" x14ac:dyDescent="0.25">
      <c r="A6823" s="675" t="s">
        <v>1444</v>
      </c>
      <c r="B6823" s="675" t="s">
        <v>545</v>
      </c>
      <c r="C6823" s="676" t="s">
        <v>6783</v>
      </c>
      <c r="D6823" s="675"/>
      <c r="E6823" s="675"/>
      <c r="G6823" s="675"/>
      <c r="H6823" s="675"/>
      <c r="I6823" s="675"/>
      <c r="J6823" s="675"/>
      <c r="K6823" s="675"/>
      <c r="L6823" s="675"/>
      <c r="M6823" s="675"/>
    </row>
    <row r="6824" spans="1:13" x14ac:dyDescent="0.25">
      <c r="A6824" s="675" t="s">
        <v>1444</v>
      </c>
      <c r="B6824" s="675" t="s">
        <v>545</v>
      </c>
      <c r="C6824" s="676" t="s">
        <v>6784</v>
      </c>
      <c r="D6824" s="675"/>
      <c r="E6824" s="675"/>
      <c r="G6824" s="675"/>
      <c r="H6824" s="675"/>
      <c r="I6824" s="675"/>
      <c r="J6824" s="675"/>
      <c r="K6824" s="675"/>
      <c r="L6824" s="675"/>
      <c r="M6824" s="675"/>
    </row>
    <row r="6825" spans="1:13" x14ac:dyDescent="0.25">
      <c r="A6825" s="675" t="s">
        <v>1444</v>
      </c>
      <c r="B6825" s="675" t="s">
        <v>545</v>
      </c>
      <c r="C6825" s="676" t="s">
        <v>6785</v>
      </c>
      <c r="D6825" s="675"/>
      <c r="E6825" s="675"/>
      <c r="G6825" s="675"/>
      <c r="H6825" s="675"/>
      <c r="I6825" s="675"/>
      <c r="J6825" s="675"/>
      <c r="K6825" s="675"/>
      <c r="L6825" s="675"/>
      <c r="M6825" s="675"/>
    </row>
    <row r="6826" spans="1:13" x14ac:dyDescent="0.25">
      <c r="A6826" s="675" t="s">
        <v>1444</v>
      </c>
      <c r="B6826" s="675" t="s">
        <v>564</v>
      </c>
      <c r="C6826" s="676" t="s">
        <v>6786</v>
      </c>
      <c r="D6826" s="675"/>
      <c r="E6826" s="675"/>
      <c r="G6826" s="675"/>
      <c r="H6826" s="675"/>
      <c r="I6826" s="675"/>
      <c r="J6826" s="675"/>
      <c r="K6826" s="675"/>
      <c r="L6826" s="675"/>
      <c r="M6826" s="675"/>
    </row>
    <row r="6827" spans="1:13" ht="30" x14ac:dyDescent="0.25">
      <c r="A6827" s="675" t="s">
        <v>1444</v>
      </c>
      <c r="B6827" s="675" t="s">
        <v>564</v>
      </c>
      <c r="C6827" s="676" t="s">
        <v>6787</v>
      </c>
      <c r="D6827" s="675"/>
      <c r="E6827" s="675"/>
      <c r="G6827" s="675"/>
      <c r="H6827" s="675"/>
      <c r="I6827" s="675"/>
      <c r="J6827" s="675"/>
      <c r="K6827" s="675"/>
      <c r="L6827" s="675"/>
      <c r="M6827" s="675"/>
    </row>
    <row r="6828" spans="1:13" x14ac:dyDescent="0.25">
      <c r="A6828" s="675" t="s">
        <v>1444</v>
      </c>
      <c r="B6828" s="675" t="s">
        <v>564</v>
      </c>
      <c r="C6828" s="676" t="s">
        <v>6788</v>
      </c>
      <c r="D6828" s="675"/>
      <c r="E6828" s="675"/>
      <c r="G6828" s="675"/>
      <c r="H6828" s="675"/>
      <c r="I6828" s="675"/>
      <c r="J6828" s="675"/>
      <c r="K6828" s="675"/>
      <c r="L6828" s="675"/>
      <c r="M6828" s="675"/>
    </row>
    <row r="6829" spans="1:13" x14ac:dyDescent="0.25">
      <c r="A6829" s="675" t="s">
        <v>1444</v>
      </c>
      <c r="B6829" s="675" t="s">
        <v>564</v>
      </c>
      <c r="C6829" s="676" t="s">
        <v>6789</v>
      </c>
      <c r="D6829" s="675"/>
      <c r="E6829" s="675"/>
      <c r="G6829" s="675"/>
      <c r="H6829" s="675"/>
      <c r="I6829" s="675"/>
      <c r="J6829" s="675"/>
      <c r="K6829" s="675"/>
      <c r="L6829" s="675"/>
      <c r="M6829" s="675"/>
    </row>
    <row r="6830" spans="1:13" x14ac:dyDescent="0.25">
      <c r="A6830" s="675" t="s">
        <v>1444</v>
      </c>
      <c r="B6830" s="675" t="s">
        <v>564</v>
      </c>
      <c r="C6830" s="676" t="s">
        <v>6790</v>
      </c>
      <c r="D6830" s="675"/>
      <c r="E6830" s="675"/>
      <c r="G6830" s="675"/>
      <c r="H6830" s="675"/>
      <c r="I6830" s="675"/>
      <c r="J6830" s="675"/>
      <c r="K6830" s="675"/>
      <c r="L6830" s="675"/>
      <c r="M6830" s="675"/>
    </row>
    <row r="6831" spans="1:13" x14ac:dyDescent="0.25">
      <c r="A6831" s="675" t="s">
        <v>1444</v>
      </c>
      <c r="B6831" s="675" t="s">
        <v>564</v>
      </c>
      <c r="C6831" s="676" t="s">
        <v>6791</v>
      </c>
      <c r="D6831" s="675"/>
      <c r="E6831" s="675"/>
      <c r="G6831" s="675"/>
      <c r="H6831" s="675"/>
      <c r="I6831" s="675"/>
      <c r="J6831" s="675"/>
      <c r="K6831" s="675"/>
      <c r="L6831" s="675"/>
      <c r="M6831" s="675"/>
    </row>
    <row r="6832" spans="1:13" x14ac:dyDescent="0.25">
      <c r="A6832" s="675" t="s">
        <v>1444</v>
      </c>
      <c r="B6832" s="675" t="s">
        <v>564</v>
      </c>
      <c r="C6832" s="676" t="s">
        <v>6792</v>
      </c>
      <c r="D6832" s="675"/>
      <c r="E6832" s="675"/>
      <c r="G6832" s="675"/>
      <c r="H6832" s="675"/>
      <c r="I6832" s="675"/>
      <c r="J6832" s="675"/>
      <c r="K6832" s="675"/>
      <c r="L6832" s="675"/>
      <c r="M6832" s="675"/>
    </row>
    <row r="6833" spans="1:13" x14ac:dyDescent="0.25">
      <c r="A6833" s="675" t="s">
        <v>1444</v>
      </c>
      <c r="B6833" s="675" t="s">
        <v>564</v>
      </c>
      <c r="C6833" s="676" t="s">
        <v>6793</v>
      </c>
      <c r="D6833" s="675"/>
      <c r="E6833" s="675"/>
      <c r="G6833" s="675"/>
      <c r="H6833" s="675"/>
      <c r="I6833" s="675"/>
      <c r="J6833" s="675"/>
      <c r="K6833" s="675"/>
      <c r="L6833" s="675"/>
      <c r="M6833" s="675"/>
    </row>
    <row r="6834" spans="1:13" x14ac:dyDescent="0.25">
      <c r="A6834" s="675" t="s">
        <v>1444</v>
      </c>
      <c r="B6834" s="675" t="s">
        <v>564</v>
      </c>
      <c r="C6834" s="676" t="s">
        <v>6794</v>
      </c>
      <c r="D6834" s="675"/>
      <c r="E6834" s="675"/>
      <c r="G6834" s="675"/>
      <c r="H6834" s="675"/>
      <c r="I6834" s="675"/>
      <c r="J6834" s="675"/>
      <c r="K6834" s="675"/>
      <c r="L6834" s="675"/>
      <c r="M6834" s="675"/>
    </row>
    <row r="6835" spans="1:13" x14ac:dyDescent="0.25">
      <c r="A6835" s="675" t="s">
        <v>1444</v>
      </c>
      <c r="B6835" s="675" t="s">
        <v>564</v>
      </c>
      <c r="C6835" s="676" t="s">
        <v>6795</v>
      </c>
      <c r="D6835" s="675"/>
      <c r="E6835" s="675"/>
      <c r="G6835" s="675"/>
      <c r="H6835" s="675"/>
      <c r="I6835" s="675"/>
      <c r="J6835" s="675"/>
      <c r="K6835" s="675"/>
      <c r="L6835" s="675"/>
      <c r="M6835" s="675"/>
    </row>
    <row r="6836" spans="1:13" x14ac:dyDescent="0.25">
      <c r="A6836" s="675" t="s">
        <v>1444</v>
      </c>
      <c r="B6836" s="675" t="s">
        <v>512</v>
      </c>
      <c r="C6836" s="676" t="s">
        <v>6796</v>
      </c>
      <c r="D6836" s="675"/>
      <c r="E6836" s="675"/>
      <c r="G6836" s="675"/>
      <c r="H6836" s="675"/>
      <c r="I6836" s="675"/>
      <c r="J6836" s="675"/>
      <c r="K6836" s="675"/>
      <c r="L6836" s="675"/>
      <c r="M6836" s="675"/>
    </row>
    <row r="6837" spans="1:13" x14ac:dyDescent="0.25">
      <c r="A6837" s="675" t="s">
        <v>1444</v>
      </c>
      <c r="B6837" s="675" t="s">
        <v>512</v>
      </c>
      <c r="C6837" s="676" t="s">
        <v>6797</v>
      </c>
      <c r="D6837" s="675"/>
      <c r="E6837" s="675"/>
      <c r="G6837" s="675"/>
      <c r="H6837" s="675"/>
      <c r="I6837" s="675"/>
      <c r="J6837" s="675"/>
      <c r="K6837" s="675"/>
      <c r="L6837" s="675"/>
      <c r="M6837" s="675"/>
    </row>
    <row r="6838" spans="1:13" x14ac:dyDescent="0.25">
      <c r="A6838" s="675" t="s">
        <v>1444</v>
      </c>
      <c r="B6838" s="675" t="s">
        <v>512</v>
      </c>
      <c r="C6838" s="676" t="s">
        <v>6798</v>
      </c>
      <c r="D6838" s="675"/>
      <c r="E6838" s="675"/>
      <c r="G6838" s="675"/>
      <c r="H6838" s="675"/>
      <c r="I6838" s="675"/>
      <c r="J6838" s="675"/>
      <c r="K6838" s="675"/>
      <c r="L6838" s="675"/>
      <c r="M6838" s="675"/>
    </row>
    <row r="6839" spans="1:13" x14ac:dyDescent="0.25">
      <c r="A6839" s="675" t="s">
        <v>1444</v>
      </c>
      <c r="B6839" s="675" t="s">
        <v>512</v>
      </c>
      <c r="C6839" s="676" t="s">
        <v>6799</v>
      </c>
      <c r="D6839" s="675"/>
      <c r="E6839" s="675"/>
      <c r="G6839" s="675"/>
      <c r="H6839" s="675"/>
      <c r="I6839" s="675"/>
      <c r="J6839" s="675"/>
      <c r="K6839" s="675"/>
      <c r="L6839" s="675"/>
      <c r="M6839" s="675"/>
    </row>
    <row r="6840" spans="1:13" x14ac:dyDescent="0.25">
      <c r="A6840" s="675" t="s">
        <v>1444</v>
      </c>
      <c r="B6840" s="675" t="s">
        <v>512</v>
      </c>
      <c r="C6840" s="676" t="s">
        <v>6800</v>
      </c>
      <c r="D6840" s="675"/>
      <c r="E6840" s="675"/>
      <c r="G6840" s="675"/>
      <c r="H6840" s="675"/>
      <c r="I6840" s="675"/>
      <c r="J6840" s="675"/>
      <c r="K6840" s="675"/>
      <c r="L6840" s="675"/>
      <c r="M6840" s="675"/>
    </row>
    <row r="6841" spans="1:13" x14ac:dyDescent="0.25">
      <c r="A6841" s="675" t="s">
        <v>1444</v>
      </c>
      <c r="B6841" s="675" t="s">
        <v>512</v>
      </c>
      <c r="C6841" s="676" t="s">
        <v>6801</v>
      </c>
      <c r="D6841" s="675"/>
      <c r="E6841" s="675"/>
      <c r="G6841" s="675"/>
      <c r="H6841" s="675"/>
      <c r="I6841" s="675"/>
      <c r="J6841" s="675"/>
      <c r="K6841" s="675"/>
      <c r="L6841" s="675"/>
      <c r="M6841" s="675"/>
    </row>
    <row r="6842" spans="1:13" x14ac:dyDescent="0.25">
      <c r="A6842" s="675" t="s">
        <v>1444</v>
      </c>
      <c r="B6842" s="675" t="s">
        <v>512</v>
      </c>
      <c r="C6842" s="676" t="s">
        <v>6802</v>
      </c>
      <c r="D6842" s="675"/>
      <c r="E6842" s="675"/>
      <c r="G6842" s="675"/>
      <c r="H6842" s="675"/>
      <c r="I6842" s="675"/>
      <c r="J6842" s="675"/>
      <c r="K6842" s="675"/>
      <c r="L6842" s="675"/>
      <c r="M6842" s="675"/>
    </row>
    <row r="6843" spans="1:13" x14ac:dyDescent="0.25">
      <c r="A6843" s="675" t="s">
        <v>1444</v>
      </c>
      <c r="B6843" s="675" t="s">
        <v>512</v>
      </c>
      <c r="C6843" s="676" t="s">
        <v>6803</v>
      </c>
      <c r="D6843" s="675"/>
      <c r="E6843" s="675"/>
      <c r="G6843" s="675"/>
      <c r="H6843" s="675"/>
      <c r="I6843" s="675"/>
      <c r="J6843" s="675"/>
      <c r="K6843" s="675"/>
      <c r="L6843" s="675"/>
      <c r="M6843" s="675"/>
    </row>
    <row r="6844" spans="1:13" x14ac:dyDescent="0.25">
      <c r="A6844" s="675" t="s">
        <v>1444</v>
      </c>
      <c r="B6844" s="675" t="s">
        <v>512</v>
      </c>
      <c r="C6844" s="676" t="s">
        <v>6804</v>
      </c>
      <c r="D6844" s="675"/>
      <c r="E6844" s="675"/>
      <c r="G6844" s="675"/>
      <c r="H6844" s="675"/>
      <c r="I6844" s="675"/>
      <c r="J6844" s="675"/>
      <c r="K6844" s="675"/>
      <c r="L6844" s="675"/>
      <c r="M6844" s="675"/>
    </row>
    <row r="6845" spans="1:13" x14ac:dyDescent="0.25">
      <c r="A6845" s="675" t="s">
        <v>1444</v>
      </c>
      <c r="B6845" s="675" t="s">
        <v>512</v>
      </c>
      <c r="C6845" s="676" t="s">
        <v>6805</v>
      </c>
      <c r="D6845" s="675"/>
      <c r="E6845" s="675"/>
      <c r="G6845" s="675"/>
      <c r="H6845" s="675"/>
      <c r="I6845" s="675"/>
      <c r="J6845" s="675"/>
      <c r="K6845" s="675"/>
      <c r="L6845" s="675"/>
      <c r="M6845" s="675"/>
    </row>
    <row r="6846" spans="1:13" x14ac:dyDescent="0.25">
      <c r="A6846" s="675" t="s">
        <v>1900</v>
      </c>
      <c r="B6846" s="675" t="s">
        <v>545</v>
      </c>
      <c r="C6846" s="676" t="s">
        <v>6806</v>
      </c>
      <c r="D6846" s="675"/>
      <c r="E6846" s="675"/>
      <c r="G6846" s="675"/>
      <c r="H6846" s="675"/>
      <c r="I6846" s="675"/>
      <c r="J6846" s="675"/>
      <c r="K6846" s="675"/>
      <c r="L6846" s="675"/>
      <c r="M6846" s="675"/>
    </row>
    <row r="6847" spans="1:13" x14ac:dyDescent="0.25">
      <c r="A6847" s="675" t="s">
        <v>1900</v>
      </c>
      <c r="B6847" s="675" t="s">
        <v>545</v>
      </c>
      <c r="C6847" s="676" t="s">
        <v>6807</v>
      </c>
      <c r="D6847" s="675"/>
      <c r="E6847" s="675"/>
      <c r="G6847" s="675"/>
      <c r="H6847" s="675"/>
      <c r="I6847" s="675"/>
      <c r="J6847" s="675"/>
      <c r="K6847" s="675"/>
      <c r="L6847" s="675"/>
      <c r="M6847" s="675"/>
    </row>
    <row r="6848" spans="1:13" x14ac:dyDescent="0.25">
      <c r="A6848" s="675" t="s">
        <v>1900</v>
      </c>
      <c r="B6848" s="675" t="s">
        <v>545</v>
      </c>
      <c r="C6848" s="676" t="s">
        <v>6808</v>
      </c>
      <c r="D6848" s="675"/>
      <c r="E6848" s="675"/>
      <c r="G6848" s="675"/>
      <c r="H6848" s="675"/>
      <c r="I6848" s="675"/>
      <c r="J6848" s="675"/>
      <c r="K6848" s="675"/>
      <c r="L6848" s="675"/>
      <c r="M6848" s="675"/>
    </row>
    <row r="6849" spans="1:13" x14ac:dyDescent="0.25">
      <c r="A6849" s="675" t="s">
        <v>1900</v>
      </c>
      <c r="B6849" s="675" t="s">
        <v>545</v>
      </c>
      <c r="C6849" s="676" t="s">
        <v>6809</v>
      </c>
      <c r="D6849" s="675"/>
      <c r="E6849" s="675"/>
      <c r="G6849" s="675"/>
      <c r="H6849" s="675"/>
      <c r="I6849" s="675"/>
      <c r="J6849" s="675"/>
      <c r="K6849" s="675"/>
      <c r="L6849" s="675"/>
      <c r="M6849" s="675"/>
    </row>
    <row r="6850" spans="1:13" x14ac:dyDescent="0.25">
      <c r="A6850" s="675" t="s">
        <v>1900</v>
      </c>
      <c r="B6850" s="675" t="s">
        <v>545</v>
      </c>
      <c r="C6850" s="676" t="s">
        <v>6810</v>
      </c>
      <c r="D6850" s="675"/>
      <c r="E6850" s="675"/>
      <c r="G6850" s="675"/>
      <c r="H6850" s="675"/>
      <c r="I6850" s="675"/>
      <c r="J6850" s="675"/>
      <c r="K6850" s="675"/>
      <c r="L6850" s="675"/>
      <c r="M6850" s="675"/>
    </row>
    <row r="6851" spans="1:13" x14ac:dyDescent="0.25">
      <c r="A6851" s="675" t="s">
        <v>1900</v>
      </c>
      <c r="B6851" s="675" t="s">
        <v>545</v>
      </c>
      <c r="C6851" s="676" t="s">
        <v>6811</v>
      </c>
      <c r="D6851" s="675"/>
      <c r="E6851" s="675"/>
      <c r="G6851" s="675"/>
      <c r="H6851" s="675"/>
      <c r="I6851" s="675"/>
      <c r="J6851" s="675"/>
      <c r="K6851" s="675"/>
      <c r="L6851" s="675"/>
      <c r="M6851" s="675"/>
    </row>
    <row r="6852" spans="1:13" x14ac:dyDescent="0.25">
      <c r="A6852" s="675" t="s">
        <v>1900</v>
      </c>
      <c r="B6852" s="675" t="s">
        <v>545</v>
      </c>
      <c r="C6852" s="676" t="s">
        <v>6812</v>
      </c>
      <c r="D6852" s="675"/>
      <c r="E6852" s="675"/>
      <c r="G6852" s="675"/>
      <c r="H6852" s="675"/>
      <c r="I6852" s="675"/>
      <c r="J6852" s="675"/>
      <c r="K6852" s="675"/>
      <c r="L6852" s="675"/>
      <c r="M6852" s="675"/>
    </row>
    <row r="6853" spans="1:13" x14ac:dyDescent="0.25">
      <c r="A6853" s="675" t="s">
        <v>1900</v>
      </c>
      <c r="B6853" s="675" t="s">
        <v>545</v>
      </c>
      <c r="C6853" s="676" t="s">
        <v>6813</v>
      </c>
      <c r="D6853" s="675"/>
      <c r="E6853" s="675"/>
      <c r="G6853" s="675"/>
      <c r="H6853" s="675"/>
      <c r="I6853" s="675"/>
      <c r="J6853" s="675"/>
      <c r="K6853" s="675"/>
      <c r="L6853" s="675"/>
      <c r="M6853" s="675"/>
    </row>
    <row r="6854" spans="1:13" x14ac:dyDescent="0.25">
      <c r="A6854" s="675" t="s">
        <v>1900</v>
      </c>
      <c r="B6854" s="675" t="s">
        <v>545</v>
      </c>
      <c r="C6854" s="676" t="s">
        <v>6814</v>
      </c>
      <c r="D6854" s="675"/>
      <c r="E6854" s="675"/>
      <c r="G6854" s="675"/>
      <c r="H6854" s="675"/>
      <c r="I6854" s="675"/>
      <c r="J6854" s="675"/>
      <c r="K6854" s="675"/>
      <c r="L6854" s="675"/>
      <c r="M6854" s="675"/>
    </row>
    <row r="6855" spans="1:13" x14ac:dyDescent="0.25">
      <c r="A6855" s="675" t="s">
        <v>1900</v>
      </c>
      <c r="B6855" s="675" t="s">
        <v>545</v>
      </c>
      <c r="C6855" s="676" t="s">
        <v>6815</v>
      </c>
      <c r="D6855" s="675"/>
      <c r="E6855" s="675"/>
      <c r="G6855" s="675"/>
      <c r="H6855" s="675"/>
      <c r="I6855" s="675"/>
      <c r="J6855" s="675"/>
      <c r="K6855" s="675"/>
      <c r="L6855" s="675"/>
      <c r="M6855" s="675"/>
    </row>
    <row r="6856" spans="1:13" x14ac:dyDescent="0.25">
      <c r="A6856" s="675" t="s">
        <v>1900</v>
      </c>
      <c r="B6856" s="675" t="s">
        <v>564</v>
      </c>
      <c r="C6856" s="676" t="s">
        <v>6816</v>
      </c>
      <c r="D6856" s="675"/>
      <c r="E6856" s="675"/>
      <c r="G6856" s="675"/>
      <c r="H6856" s="675"/>
      <c r="I6856" s="675"/>
      <c r="J6856" s="675"/>
      <c r="K6856" s="675"/>
      <c r="L6856" s="675"/>
      <c r="M6856" s="675"/>
    </row>
    <row r="6857" spans="1:13" x14ac:dyDescent="0.25">
      <c r="A6857" s="675" t="s">
        <v>1900</v>
      </c>
      <c r="B6857" s="675" t="s">
        <v>564</v>
      </c>
      <c r="C6857" s="676" t="s">
        <v>6817</v>
      </c>
      <c r="D6857" s="675"/>
      <c r="E6857" s="675"/>
      <c r="G6857" s="675"/>
      <c r="H6857" s="675"/>
      <c r="I6857" s="675"/>
      <c r="J6857" s="675"/>
      <c r="K6857" s="675"/>
      <c r="L6857" s="675"/>
      <c r="M6857" s="675"/>
    </row>
    <row r="6858" spans="1:13" x14ac:dyDescent="0.25">
      <c r="A6858" s="675" t="s">
        <v>1900</v>
      </c>
      <c r="B6858" s="675" t="s">
        <v>564</v>
      </c>
      <c r="C6858" s="676" t="s">
        <v>6818</v>
      </c>
      <c r="D6858" s="675"/>
      <c r="E6858" s="675"/>
      <c r="G6858" s="675"/>
      <c r="H6858" s="675"/>
      <c r="I6858" s="675"/>
      <c r="J6858" s="675"/>
      <c r="K6858" s="675"/>
      <c r="L6858" s="675"/>
      <c r="M6858" s="675"/>
    </row>
    <row r="6859" spans="1:13" x14ac:dyDescent="0.25">
      <c r="A6859" s="675" t="s">
        <v>1900</v>
      </c>
      <c r="B6859" s="675" t="s">
        <v>564</v>
      </c>
      <c r="C6859" s="676" t="s">
        <v>6819</v>
      </c>
      <c r="D6859" s="675"/>
      <c r="E6859" s="675"/>
      <c r="G6859" s="675"/>
      <c r="H6859" s="675"/>
      <c r="I6859" s="675"/>
      <c r="J6859" s="675"/>
      <c r="K6859" s="675"/>
      <c r="L6859" s="675"/>
      <c r="M6859" s="675"/>
    </row>
    <row r="6860" spans="1:13" x14ac:dyDescent="0.25">
      <c r="A6860" s="675" t="s">
        <v>1900</v>
      </c>
      <c r="B6860" s="675" t="s">
        <v>564</v>
      </c>
      <c r="C6860" s="676" t="s">
        <v>6820</v>
      </c>
      <c r="D6860" s="675"/>
      <c r="E6860" s="675"/>
      <c r="G6860" s="675"/>
      <c r="H6860" s="675"/>
      <c r="I6860" s="675"/>
      <c r="J6860" s="675"/>
      <c r="K6860" s="675"/>
      <c r="L6860" s="675"/>
      <c r="M6860" s="675"/>
    </row>
    <row r="6861" spans="1:13" x14ac:dyDescent="0.25">
      <c r="A6861" s="675" t="s">
        <v>1900</v>
      </c>
      <c r="B6861" s="675" t="s">
        <v>564</v>
      </c>
      <c r="C6861" s="676" t="s">
        <v>6821</v>
      </c>
      <c r="D6861" s="675"/>
      <c r="E6861" s="675"/>
      <c r="G6861" s="675"/>
      <c r="H6861" s="675"/>
      <c r="I6861" s="675"/>
      <c r="J6861" s="675"/>
      <c r="K6861" s="675"/>
      <c r="L6861" s="675"/>
      <c r="M6861" s="675"/>
    </row>
    <row r="6862" spans="1:13" x14ac:dyDescent="0.25">
      <c r="A6862" s="675" t="s">
        <v>1900</v>
      </c>
      <c r="B6862" s="675" t="s">
        <v>564</v>
      </c>
      <c r="C6862" s="676" t="s">
        <v>6822</v>
      </c>
      <c r="D6862" s="675"/>
      <c r="E6862" s="675"/>
      <c r="G6862" s="675"/>
      <c r="H6862" s="675"/>
      <c r="I6862" s="675"/>
      <c r="J6862" s="675"/>
      <c r="K6862" s="675"/>
      <c r="L6862" s="675"/>
      <c r="M6862" s="675"/>
    </row>
    <row r="6863" spans="1:13" x14ac:dyDescent="0.25">
      <c r="A6863" s="675" t="s">
        <v>1900</v>
      </c>
      <c r="B6863" s="675" t="s">
        <v>564</v>
      </c>
      <c r="C6863" s="676" t="s">
        <v>6823</v>
      </c>
      <c r="D6863" s="675"/>
      <c r="E6863" s="675"/>
      <c r="G6863" s="675"/>
      <c r="H6863" s="675"/>
      <c r="I6863" s="675"/>
      <c r="J6863" s="675"/>
      <c r="K6863" s="675"/>
      <c r="L6863" s="675"/>
      <c r="M6863" s="675"/>
    </row>
    <row r="6864" spans="1:13" x14ac:dyDescent="0.25">
      <c r="A6864" s="675" t="s">
        <v>1900</v>
      </c>
      <c r="B6864" s="675" t="s">
        <v>564</v>
      </c>
      <c r="C6864" s="676" t="s">
        <v>6824</v>
      </c>
      <c r="D6864" s="675"/>
      <c r="E6864" s="675"/>
      <c r="G6864" s="675"/>
      <c r="H6864" s="675"/>
      <c r="I6864" s="675"/>
      <c r="J6864" s="675"/>
      <c r="K6864" s="675"/>
      <c r="L6864" s="675"/>
      <c r="M6864" s="675"/>
    </row>
    <row r="6865" spans="1:13" x14ac:dyDescent="0.25">
      <c r="A6865" s="675" t="s">
        <v>1900</v>
      </c>
      <c r="B6865" s="675" t="s">
        <v>564</v>
      </c>
      <c r="C6865" s="676" t="s">
        <v>6825</v>
      </c>
      <c r="D6865" s="675"/>
      <c r="E6865" s="675"/>
      <c r="G6865" s="675"/>
      <c r="H6865" s="675"/>
      <c r="I6865" s="675"/>
      <c r="J6865" s="675"/>
      <c r="K6865" s="675"/>
      <c r="L6865" s="675"/>
      <c r="M6865" s="675"/>
    </row>
    <row r="6866" spans="1:13" x14ac:dyDescent="0.25">
      <c r="A6866" s="675" t="s">
        <v>1900</v>
      </c>
      <c r="B6866" s="675" t="s">
        <v>512</v>
      </c>
      <c r="C6866" s="676" t="s">
        <v>6826</v>
      </c>
      <c r="D6866" s="675"/>
      <c r="E6866" s="675"/>
      <c r="G6866" s="675"/>
      <c r="H6866" s="675"/>
      <c r="I6866" s="675"/>
      <c r="J6866" s="675"/>
      <c r="K6866" s="675"/>
      <c r="L6866" s="675"/>
      <c r="M6866" s="675"/>
    </row>
    <row r="6867" spans="1:13" x14ac:dyDescent="0.25">
      <c r="A6867" s="675" t="s">
        <v>1900</v>
      </c>
      <c r="B6867" s="675" t="s">
        <v>512</v>
      </c>
      <c r="C6867" s="676" t="s">
        <v>6827</v>
      </c>
      <c r="D6867" s="675"/>
      <c r="E6867" s="675"/>
      <c r="G6867" s="675"/>
      <c r="H6867" s="675"/>
      <c r="I6867" s="675"/>
      <c r="J6867" s="675"/>
      <c r="K6867" s="675"/>
      <c r="L6867" s="675"/>
      <c r="M6867" s="675"/>
    </row>
    <row r="6868" spans="1:13" x14ac:dyDescent="0.25">
      <c r="A6868" s="675" t="s">
        <v>1900</v>
      </c>
      <c r="B6868" s="675" t="s">
        <v>512</v>
      </c>
      <c r="C6868" s="676" t="s">
        <v>6828</v>
      </c>
      <c r="D6868" s="675"/>
      <c r="E6868" s="675"/>
      <c r="G6868" s="675"/>
      <c r="H6868" s="675"/>
      <c r="I6868" s="675"/>
      <c r="J6868" s="675"/>
      <c r="K6868" s="675"/>
      <c r="L6868" s="675"/>
      <c r="M6868" s="675"/>
    </row>
    <row r="6869" spans="1:13" x14ac:dyDescent="0.25">
      <c r="A6869" s="675" t="s">
        <v>1900</v>
      </c>
      <c r="B6869" s="675" t="s">
        <v>512</v>
      </c>
      <c r="C6869" s="676" t="s">
        <v>6829</v>
      </c>
      <c r="D6869" s="675"/>
      <c r="E6869" s="675"/>
      <c r="G6869" s="675"/>
      <c r="H6869" s="675"/>
      <c r="I6869" s="675"/>
      <c r="J6869" s="675"/>
      <c r="K6869" s="675"/>
      <c r="L6869" s="675"/>
      <c r="M6869" s="675"/>
    </row>
    <row r="6870" spans="1:13" x14ac:dyDescent="0.25">
      <c r="A6870" s="675" t="s">
        <v>1900</v>
      </c>
      <c r="B6870" s="675" t="s">
        <v>512</v>
      </c>
      <c r="C6870" s="676" t="s">
        <v>6830</v>
      </c>
      <c r="D6870" s="675"/>
      <c r="E6870" s="675"/>
      <c r="G6870" s="675"/>
      <c r="H6870" s="675"/>
      <c r="I6870" s="675"/>
      <c r="J6870" s="675"/>
      <c r="K6870" s="675"/>
      <c r="L6870" s="675"/>
      <c r="M6870" s="675"/>
    </row>
    <row r="6871" spans="1:13" x14ac:dyDescent="0.25">
      <c r="A6871" s="675" t="s">
        <v>1900</v>
      </c>
      <c r="B6871" s="675" t="s">
        <v>512</v>
      </c>
      <c r="C6871" s="676" t="s">
        <v>6831</v>
      </c>
      <c r="D6871" s="675"/>
      <c r="E6871" s="675"/>
      <c r="G6871" s="675"/>
      <c r="H6871" s="675"/>
      <c r="I6871" s="675"/>
      <c r="J6871" s="675"/>
      <c r="K6871" s="675"/>
      <c r="L6871" s="675"/>
      <c r="M6871" s="675"/>
    </row>
    <row r="6872" spans="1:13" x14ac:dyDescent="0.25">
      <c r="A6872" s="675" t="s">
        <v>1900</v>
      </c>
      <c r="B6872" s="675" t="s">
        <v>512</v>
      </c>
      <c r="C6872" s="676" t="s">
        <v>6832</v>
      </c>
      <c r="D6872" s="675"/>
      <c r="E6872" s="675"/>
      <c r="G6872" s="675"/>
      <c r="H6872" s="675"/>
      <c r="I6872" s="675"/>
      <c r="J6872" s="675"/>
      <c r="K6872" s="675"/>
      <c r="L6872" s="675"/>
      <c r="M6872" s="675"/>
    </row>
    <row r="6873" spans="1:13" x14ac:dyDescent="0.25">
      <c r="A6873" s="675" t="s">
        <v>1900</v>
      </c>
      <c r="B6873" s="675" t="s">
        <v>512</v>
      </c>
      <c r="C6873" s="676" t="s">
        <v>6833</v>
      </c>
      <c r="D6873" s="675"/>
      <c r="E6873" s="675"/>
      <c r="G6873" s="675"/>
      <c r="H6873" s="675"/>
      <c r="I6873" s="675"/>
      <c r="J6873" s="675"/>
      <c r="K6873" s="675"/>
      <c r="L6873" s="675"/>
      <c r="M6873" s="675"/>
    </row>
    <row r="6874" spans="1:13" x14ac:dyDescent="0.25">
      <c r="A6874" s="675" t="s">
        <v>1900</v>
      </c>
      <c r="B6874" s="675" t="s">
        <v>512</v>
      </c>
      <c r="C6874" s="676" t="s">
        <v>6834</v>
      </c>
      <c r="D6874" s="675"/>
      <c r="E6874" s="675"/>
      <c r="G6874" s="675"/>
      <c r="H6874" s="675"/>
      <c r="I6874" s="675"/>
      <c r="J6874" s="675"/>
      <c r="K6874" s="675"/>
      <c r="L6874" s="675"/>
      <c r="M6874" s="675"/>
    </row>
    <row r="6875" spans="1:13" ht="30" x14ac:dyDescent="0.25">
      <c r="A6875" s="675" t="s">
        <v>1900</v>
      </c>
      <c r="B6875" s="675" t="s">
        <v>512</v>
      </c>
      <c r="C6875" s="676" t="s">
        <v>6835</v>
      </c>
      <c r="D6875" s="675"/>
      <c r="E6875" s="675"/>
      <c r="G6875" s="675"/>
      <c r="H6875" s="675"/>
      <c r="I6875" s="675"/>
      <c r="J6875" s="675"/>
      <c r="K6875" s="675"/>
      <c r="L6875" s="675"/>
      <c r="M6875" s="675"/>
    </row>
    <row r="6876" spans="1:13" ht="30" x14ac:dyDescent="0.25">
      <c r="A6876" s="675" t="s">
        <v>6836</v>
      </c>
      <c r="B6876" s="675" t="s">
        <v>545</v>
      </c>
      <c r="C6876" s="676" t="s">
        <v>6837</v>
      </c>
      <c r="D6876" s="675"/>
      <c r="E6876" s="675"/>
      <c r="G6876" s="675"/>
      <c r="H6876" s="675"/>
      <c r="I6876" s="675"/>
      <c r="J6876" s="675"/>
      <c r="K6876" s="675"/>
      <c r="L6876" s="675"/>
      <c r="M6876" s="675"/>
    </row>
    <row r="6877" spans="1:13" x14ac:dyDescent="0.25">
      <c r="A6877" s="675" t="s">
        <v>6836</v>
      </c>
      <c r="B6877" s="675" t="s">
        <v>545</v>
      </c>
      <c r="C6877" s="676" t="s">
        <v>6838</v>
      </c>
      <c r="D6877" s="675"/>
      <c r="E6877" s="675"/>
      <c r="G6877" s="675"/>
      <c r="H6877" s="675"/>
      <c r="I6877" s="675"/>
      <c r="J6877" s="675"/>
      <c r="K6877" s="675"/>
      <c r="L6877" s="675"/>
      <c r="M6877" s="675"/>
    </row>
    <row r="6878" spans="1:13" x14ac:dyDescent="0.25">
      <c r="A6878" s="675" t="s">
        <v>6836</v>
      </c>
      <c r="B6878" s="675" t="s">
        <v>545</v>
      </c>
      <c r="C6878" s="676" t="s">
        <v>6839</v>
      </c>
      <c r="D6878" s="675"/>
      <c r="E6878" s="675"/>
      <c r="G6878" s="675"/>
      <c r="H6878" s="675"/>
      <c r="I6878" s="675"/>
      <c r="J6878" s="675"/>
      <c r="K6878" s="675"/>
      <c r="L6878" s="675"/>
      <c r="M6878" s="675"/>
    </row>
    <row r="6879" spans="1:13" x14ac:dyDescent="0.25">
      <c r="A6879" s="675" t="s">
        <v>6836</v>
      </c>
      <c r="B6879" s="675" t="s">
        <v>545</v>
      </c>
      <c r="C6879" s="676" t="s">
        <v>6840</v>
      </c>
      <c r="D6879" s="675"/>
      <c r="E6879" s="675"/>
      <c r="G6879" s="675"/>
      <c r="H6879" s="675"/>
      <c r="I6879" s="675"/>
      <c r="J6879" s="675"/>
      <c r="K6879" s="675"/>
      <c r="L6879" s="675"/>
      <c r="M6879" s="675"/>
    </row>
    <row r="6880" spans="1:13" x14ac:dyDescent="0.25">
      <c r="A6880" s="675" t="s">
        <v>6836</v>
      </c>
      <c r="B6880" s="675" t="s">
        <v>545</v>
      </c>
      <c r="C6880" s="676" t="s">
        <v>6841</v>
      </c>
      <c r="D6880" s="675"/>
      <c r="E6880" s="675"/>
      <c r="G6880" s="675"/>
      <c r="H6880" s="675"/>
      <c r="I6880" s="675"/>
      <c r="J6880" s="675"/>
      <c r="K6880" s="675"/>
      <c r="L6880" s="675"/>
      <c r="M6880" s="675"/>
    </row>
    <row r="6881" spans="1:13" x14ac:dyDescent="0.25">
      <c r="A6881" s="675" t="s">
        <v>6836</v>
      </c>
      <c r="B6881" s="675" t="s">
        <v>545</v>
      </c>
      <c r="C6881" s="676" t="s">
        <v>6842</v>
      </c>
      <c r="D6881" s="675"/>
      <c r="E6881" s="675"/>
      <c r="G6881" s="675"/>
      <c r="H6881" s="675"/>
      <c r="I6881" s="675"/>
      <c r="J6881" s="675"/>
      <c r="K6881" s="675"/>
      <c r="L6881" s="675"/>
      <c r="M6881" s="675"/>
    </row>
    <row r="6882" spans="1:13" x14ac:dyDescent="0.25">
      <c r="A6882" s="675" t="s">
        <v>6836</v>
      </c>
      <c r="B6882" s="675" t="s">
        <v>545</v>
      </c>
      <c r="C6882" s="676" t="s">
        <v>6843</v>
      </c>
      <c r="D6882" s="675"/>
      <c r="E6882" s="675"/>
      <c r="G6882" s="675"/>
      <c r="H6882" s="675"/>
      <c r="I6882" s="675"/>
      <c r="J6882" s="675"/>
      <c r="K6882" s="675"/>
      <c r="L6882" s="675"/>
      <c r="M6882" s="675"/>
    </row>
    <row r="6883" spans="1:13" x14ac:dyDescent="0.25">
      <c r="A6883" s="675" t="s">
        <v>6836</v>
      </c>
      <c r="B6883" s="675" t="s">
        <v>545</v>
      </c>
      <c r="C6883" s="676" t="s">
        <v>6844</v>
      </c>
      <c r="D6883" s="675"/>
      <c r="E6883" s="675"/>
      <c r="G6883" s="675"/>
      <c r="H6883" s="675"/>
      <c r="I6883" s="675"/>
      <c r="J6883" s="675"/>
      <c r="K6883" s="675"/>
      <c r="L6883" s="675"/>
      <c r="M6883" s="675"/>
    </row>
    <row r="6884" spans="1:13" x14ac:dyDescent="0.25">
      <c r="A6884" s="675" t="s">
        <v>6836</v>
      </c>
      <c r="B6884" s="675" t="s">
        <v>545</v>
      </c>
      <c r="C6884" s="676" t="s">
        <v>6845</v>
      </c>
      <c r="D6884" s="675"/>
      <c r="E6884" s="675"/>
      <c r="G6884" s="675"/>
      <c r="H6884" s="675"/>
      <c r="I6884" s="675"/>
      <c r="J6884" s="675"/>
      <c r="K6884" s="675"/>
      <c r="L6884" s="675"/>
      <c r="M6884" s="675"/>
    </row>
    <row r="6885" spans="1:13" x14ac:dyDescent="0.25">
      <c r="A6885" s="675" t="s">
        <v>6836</v>
      </c>
      <c r="B6885" s="675" t="s">
        <v>545</v>
      </c>
      <c r="C6885" s="676" t="s">
        <v>6846</v>
      </c>
      <c r="D6885" s="675"/>
      <c r="E6885" s="675"/>
      <c r="G6885" s="675"/>
      <c r="H6885" s="675"/>
      <c r="I6885" s="675"/>
      <c r="J6885" s="675"/>
      <c r="K6885" s="675"/>
      <c r="L6885" s="675"/>
      <c r="M6885" s="675"/>
    </row>
    <row r="6886" spans="1:13" x14ac:dyDescent="0.25">
      <c r="A6886" s="675" t="s">
        <v>6836</v>
      </c>
      <c r="B6886" s="675" t="s">
        <v>564</v>
      </c>
      <c r="C6886" s="676" t="s">
        <v>6847</v>
      </c>
      <c r="D6886" s="675"/>
      <c r="E6886" s="675"/>
      <c r="G6886" s="675"/>
      <c r="H6886" s="675"/>
      <c r="I6886" s="675"/>
      <c r="J6886" s="675"/>
      <c r="K6886" s="675"/>
      <c r="L6886" s="675"/>
      <c r="M6886" s="675"/>
    </row>
    <row r="6887" spans="1:13" x14ac:dyDescent="0.25">
      <c r="A6887" s="675" t="s">
        <v>6836</v>
      </c>
      <c r="B6887" s="675" t="s">
        <v>564</v>
      </c>
      <c r="C6887" s="676" t="s">
        <v>6848</v>
      </c>
      <c r="D6887" s="675"/>
      <c r="E6887" s="675"/>
      <c r="G6887" s="675"/>
      <c r="H6887" s="675"/>
      <c r="I6887" s="675"/>
      <c r="J6887" s="675"/>
      <c r="K6887" s="675"/>
      <c r="L6887" s="675"/>
      <c r="M6887" s="675"/>
    </row>
    <row r="6888" spans="1:13" x14ac:dyDescent="0.25">
      <c r="A6888" s="675" t="s">
        <v>6836</v>
      </c>
      <c r="B6888" s="675" t="s">
        <v>564</v>
      </c>
      <c r="C6888" s="676" t="s">
        <v>6849</v>
      </c>
      <c r="D6888" s="675"/>
      <c r="E6888" s="675"/>
      <c r="G6888" s="675"/>
      <c r="H6888" s="675"/>
      <c r="I6888" s="675"/>
      <c r="J6888" s="675"/>
      <c r="K6888" s="675"/>
      <c r="L6888" s="675"/>
      <c r="M6888" s="675"/>
    </row>
    <row r="6889" spans="1:13" x14ac:dyDescent="0.25">
      <c r="A6889" s="675" t="s">
        <v>6836</v>
      </c>
      <c r="B6889" s="675" t="s">
        <v>564</v>
      </c>
      <c r="C6889" s="676" t="s">
        <v>5621</v>
      </c>
      <c r="D6889" s="675"/>
      <c r="E6889" s="675"/>
      <c r="G6889" s="675"/>
      <c r="H6889" s="675"/>
      <c r="I6889" s="675"/>
      <c r="J6889" s="675"/>
      <c r="K6889" s="675"/>
      <c r="L6889" s="675"/>
      <c r="M6889" s="675"/>
    </row>
    <row r="6890" spans="1:13" x14ac:dyDescent="0.25">
      <c r="A6890" s="675" t="s">
        <v>6836</v>
      </c>
      <c r="B6890" s="675" t="s">
        <v>564</v>
      </c>
      <c r="C6890" s="676" t="s">
        <v>6850</v>
      </c>
      <c r="D6890" s="675"/>
      <c r="E6890" s="675"/>
      <c r="G6890" s="675"/>
      <c r="H6890" s="675"/>
      <c r="I6890" s="675"/>
      <c r="J6890" s="675"/>
      <c r="K6890" s="675"/>
      <c r="L6890" s="675"/>
      <c r="M6890" s="675"/>
    </row>
    <row r="6891" spans="1:13" x14ac:dyDescent="0.25">
      <c r="A6891" s="675" t="s">
        <v>6836</v>
      </c>
      <c r="B6891" s="675" t="s">
        <v>564</v>
      </c>
      <c r="C6891" s="676" t="s">
        <v>6851</v>
      </c>
      <c r="D6891" s="675"/>
      <c r="E6891" s="675"/>
      <c r="G6891" s="675"/>
      <c r="H6891" s="675"/>
      <c r="I6891" s="675"/>
      <c r="J6891" s="675"/>
      <c r="K6891" s="675"/>
      <c r="L6891" s="675"/>
      <c r="M6891" s="675"/>
    </row>
    <row r="6892" spans="1:13" x14ac:dyDescent="0.25">
      <c r="A6892" s="675" t="s">
        <v>6836</v>
      </c>
      <c r="B6892" s="675" t="s">
        <v>564</v>
      </c>
      <c r="C6892" s="676" t="s">
        <v>6852</v>
      </c>
      <c r="D6892" s="675"/>
      <c r="E6892" s="675"/>
      <c r="G6892" s="675"/>
      <c r="H6892" s="675"/>
      <c r="I6892" s="675"/>
      <c r="J6892" s="675"/>
      <c r="K6892" s="675"/>
      <c r="L6892" s="675"/>
      <c r="M6892" s="675"/>
    </row>
    <row r="6893" spans="1:13" x14ac:dyDescent="0.25">
      <c r="A6893" s="675" t="s">
        <v>6836</v>
      </c>
      <c r="B6893" s="675" t="s">
        <v>564</v>
      </c>
      <c r="C6893" s="676" t="s">
        <v>6853</v>
      </c>
      <c r="D6893" s="675"/>
      <c r="E6893" s="675"/>
      <c r="G6893" s="675"/>
      <c r="H6893" s="675"/>
      <c r="I6893" s="675"/>
      <c r="J6893" s="675"/>
      <c r="K6893" s="675"/>
      <c r="L6893" s="675"/>
      <c r="M6893" s="675"/>
    </row>
    <row r="6894" spans="1:13" x14ac:dyDescent="0.25">
      <c r="A6894" s="675" t="s">
        <v>6836</v>
      </c>
      <c r="B6894" s="675" t="s">
        <v>564</v>
      </c>
      <c r="C6894" s="676" t="s">
        <v>6854</v>
      </c>
      <c r="D6894" s="675"/>
      <c r="E6894" s="675"/>
      <c r="G6894" s="675"/>
      <c r="H6894" s="675"/>
      <c r="I6894" s="675"/>
      <c r="J6894" s="675"/>
      <c r="K6894" s="675"/>
      <c r="L6894" s="675"/>
      <c r="M6894" s="675"/>
    </row>
    <row r="6895" spans="1:13" x14ac:dyDescent="0.25">
      <c r="A6895" s="675" t="s">
        <v>6836</v>
      </c>
      <c r="B6895" s="675" t="s">
        <v>564</v>
      </c>
      <c r="C6895" s="676" t="s">
        <v>6855</v>
      </c>
      <c r="D6895" s="675"/>
      <c r="E6895" s="675"/>
      <c r="G6895" s="675"/>
      <c r="H6895" s="675"/>
      <c r="I6895" s="675"/>
      <c r="J6895" s="675"/>
      <c r="K6895" s="675"/>
      <c r="L6895" s="675"/>
      <c r="M6895" s="675"/>
    </row>
    <row r="6896" spans="1:13" x14ac:dyDescent="0.25">
      <c r="A6896" s="675" t="s">
        <v>6836</v>
      </c>
      <c r="B6896" s="675" t="s">
        <v>512</v>
      </c>
      <c r="C6896" s="676" t="s">
        <v>6856</v>
      </c>
      <c r="D6896" s="675"/>
      <c r="E6896" s="675"/>
      <c r="G6896" s="675"/>
      <c r="H6896" s="675"/>
      <c r="I6896" s="675"/>
      <c r="J6896" s="675"/>
      <c r="K6896" s="675"/>
      <c r="L6896" s="675"/>
      <c r="M6896" s="675"/>
    </row>
    <row r="6897" spans="1:13" x14ac:dyDescent="0.25">
      <c r="A6897" s="675" t="s">
        <v>6836</v>
      </c>
      <c r="B6897" s="675" t="s">
        <v>512</v>
      </c>
      <c r="C6897" s="676" t="s">
        <v>6857</v>
      </c>
      <c r="D6897" s="675"/>
      <c r="E6897" s="675"/>
      <c r="G6897" s="675"/>
      <c r="H6897" s="675"/>
      <c r="I6897" s="675"/>
      <c r="J6897" s="675"/>
      <c r="K6897" s="675"/>
      <c r="L6897" s="675"/>
      <c r="M6897" s="675"/>
    </row>
    <row r="6898" spans="1:13" x14ac:dyDescent="0.25">
      <c r="A6898" s="675" t="s">
        <v>6836</v>
      </c>
      <c r="B6898" s="675" t="s">
        <v>512</v>
      </c>
      <c r="C6898" s="676" t="s">
        <v>6858</v>
      </c>
      <c r="D6898" s="675"/>
      <c r="E6898" s="675"/>
      <c r="G6898" s="675"/>
      <c r="H6898" s="675"/>
      <c r="I6898" s="675"/>
      <c r="J6898" s="675"/>
      <c r="K6898" s="675"/>
      <c r="L6898" s="675"/>
      <c r="M6898" s="675"/>
    </row>
    <row r="6899" spans="1:13" x14ac:dyDescent="0.25">
      <c r="A6899" s="675" t="s">
        <v>6836</v>
      </c>
      <c r="B6899" s="675" t="s">
        <v>512</v>
      </c>
      <c r="C6899" s="676" t="s">
        <v>6859</v>
      </c>
      <c r="D6899" s="675"/>
      <c r="E6899" s="675"/>
      <c r="G6899" s="675"/>
      <c r="H6899" s="675"/>
      <c r="I6899" s="675"/>
      <c r="J6899" s="675"/>
      <c r="K6899" s="675"/>
      <c r="L6899" s="675"/>
      <c r="M6899" s="675"/>
    </row>
    <row r="6900" spans="1:13" x14ac:dyDescent="0.25">
      <c r="A6900" s="675" t="s">
        <v>6836</v>
      </c>
      <c r="B6900" s="675" t="s">
        <v>512</v>
      </c>
      <c r="C6900" s="676" t="s">
        <v>6860</v>
      </c>
      <c r="D6900" s="675"/>
      <c r="E6900" s="675"/>
      <c r="G6900" s="675"/>
      <c r="H6900" s="675"/>
      <c r="I6900" s="675"/>
      <c r="J6900" s="675"/>
      <c r="K6900" s="675"/>
      <c r="L6900" s="675"/>
      <c r="M6900" s="675"/>
    </row>
    <row r="6901" spans="1:13" x14ac:dyDescent="0.25">
      <c r="A6901" s="675" t="s">
        <v>6836</v>
      </c>
      <c r="B6901" s="675" t="s">
        <v>512</v>
      </c>
      <c r="C6901" s="676" t="s">
        <v>6861</v>
      </c>
      <c r="D6901" s="675"/>
      <c r="E6901" s="675"/>
      <c r="G6901" s="675"/>
      <c r="H6901" s="675"/>
      <c r="I6901" s="675"/>
      <c r="J6901" s="675"/>
      <c r="K6901" s="675"/>
      <c r="L6901" s="675"/>
      <c r="M6901" s="675"/>
    </row>
    <row r="6902" spans="1:13" x14ac:dyDescent="0.25">
      <c r="A6902" s="675" t="s">
        <v>6836</v>
      </c>
      <c r="B6902" s="675" t="s">
        <v>512</v>
      </c>
      <c r="C6902" s="676" t="s">
        <v>6862</v>
      </c>
      <c r="D6902" s="675"/>
      <c r="E6902" s="675"/>
      <c r="G6902" s="675"/>
      <c r="H6902" s="675"/>
      <c r="I6902" s="675"/>
      <c r="J6902" s="675"/>
      <c r="K6902" s="675"/>
      <c r="L6902" s="675"/>
      <c r="M6902" s="675"/>
    </row>
    <row r="6903" spans="1:13" x14ac:dyDescent="0.25">
      <c r="A6903" s="675" t="s">
        <v>6836</v>
      </c>
      <c r="B6903" s="675" t="s">
        <v>512</v>
      </c>
      <c r="C6903" s="676" t="s">
        <v>6863</v>
      </c>
      <c r="D6903" s="675"/>
      <c r="E6903" s="675"/>
      <c r="G6903" s="675"/>
      <c r="H6903" s="675"/>
      <c r="I6903" s="675"/>
      <c r="J6903" s="675"/>
      <c r="K6903" s="675"/>
      <c r="L6903" s="675"/>
      <c r="M6903" s="675"/>
    </row>
    <row r="6904" spans="1:13" x14ac:dyDescent="0.25">
      <c r="A6904" s="675" t="s">
        <v>6836</v>
      </c>
      <c r="B6904" s="675" t="s">
        <v>512</v>
      </c>
      <c r="C6904" s="676" t="s">
        <v>6864</v>
      </c>
      <c r="D6904" s="675"/>
      <c r="E6904" s="675"/>
      <c r="G6904" s="675"/>
      <c r="H6904" s="675"/>
      <c r="I6904" s="675"/>
      <c r="J6904" s="675"/>
      <c r="K6904" s="675"/>
      <c r="L6904" s="675"/>
      <c r="M6904" s="675"/>
    </row>
    <row r="6905" spans="1:13" ht="30" x14ac:dyDescent="0.25">
      <c r="A6905" s="675" t="s">
        <v>6836</v>
      </c>
      <c r="B6905" s="675" t="s">
        <v>512</v>
      </c>
      <c r="C6905" s="676" t="s">
        <v>6865</v>
      </c>
      <c r="D6905" s="675"/>
      <c r="E6905" s="675"/>
      <c r="G6905" s="675"/>
      <c r="H6905" s="675"/>
      <c r="I6905" s="675"/>
      <c r="J6905" s="675"/>
      <c r="K6905" s="675"/>
      <c r="L6905" s="675"/>
      <c r="M6905" s="675"/>
    </row>
    <row r="6906" spans="1:13" x14ac:dyDescent="0.25">
      <c r="A6906" s="675" t="s">
        <v>6866</v>
      </c>
      <c r="B6906" s="675" t="s">
        <v>545</v>
      </c>
      <c r="C6906" s="676" t="s">
        <v>6867</v>
      </c>
      <c r="D6906" s="675"/>
      <c r="E6906" s="675"/>
      <c r="G6906" s="675"/>
      <c r="H6906" s="675"/>
      <c r="I6906" s="675"/>
      <c r="J6906" s="675"/>
      <c r="K6906" s="675"/>
      <c r="L6906" s="675"/>
      <c r="M6906" s="675"/>
    </row>
    <row r="6907" spans="1:13" x14ac:dyDescent="0.25">
      <c r="A6907" s="675" t="s">
        <v>6866</v>
      </c>
      <c r="B6907" s="675" t="s">
        <v>545</v>
      </c>
      <c r="C6907" s="676" t="s">
        <v>6868</v>
      </c>
      <c r="D6907" s="675"/>
      <c r="E6907" s="675"/>
      <c r="G6907" s="675"/>
      <c r="H6907" s="675"/>
      <c r="I6907" s="675"/>
      <c r="J6907" s="675"/>
      <c r="K6907" s="675"/>
      <c r="L6907" s="675"/>
      <c r="M6907" s="675"/>
    </row>
    <row r="6908" spans="1:13" x14ac:dyDescent="0.25">
      <c r="A6908" s="675" t="s">
        <v>6866</v>
      </c>
      <c r="B6908" s="675" t="s">
        <v>545</v>
      </c>
      <c r="C6908" s="676" t="s">
        <v>6869</v>
      </c>
      <c r="D6908" s="675"/>
      <c r="E6908" s="675"/>
      <c r="G6908" s="675"/>
      <c r="H6908" s="675"/>
      <c r="I6908" s="675"/>
      <c r="J6908" s="675"/>
      <c r="K6908" s="675"/>
      <c r="L6908" s="675"/>
      <c r="M6908" s="675"/>
    </row>
    <row r="6909" spans="1:13" x14ac:dyDescent="0.25">
      <c r="A6909" s="675" t="s">
        <v>6866</v>
      </c>
      <c r="B6909" s="675" t="s">
        <v>545</v>
      </c>
      <c r="C6909" s="676" t="s">
        <v>6870</v>
      </c>
      <c r="D6909" s="675"/>
      <c r="E6909" s="675"/>
      <c r="G6909" s="675"/>
      <c r="H6909" s="675"/>
      <c r="I6909" s="675"/>
      <c r="J6909" s="675"/>
      <c r="K6909" s="675"/>
      <c r="L6909" s="675"/>
      <c r="M6909" s="675"/>
    </row>
    <row r="6910" spans="1:13" x14ac:dyDescent="0.25">
      <c r="A6910" s="675" t="s">
        <v>6866</v>
      </c>
      <c r="B6910" s="675" t="s">
        <v>545</v>
      </c>
      <c r="C6910" s="676" t="s">
        <v>6871</v>
      </c>
      <c r="D6910" s="675"/>
      <c r="E6910" s="675"/>
      <c r="G6910" s="675"/>
      <c r="H6910" s="675"/>
      <c r="I6910" s="675"/>
      <c r="J6910" s="675"/>
      <c r="K6910" s="675"/>
      <c r="L6910" s="675"/>
      <c r="M6910" s="675"/>
    </row>
    <row r="6911" spans="1:13" x14ac:dyDescent="0.25">
      <c r="A6911" s="675" t="s">
        <v>6866</v>
      </c>
      <c r="B6911" s="675" t="s">
        <v>545</v>
      </c>
      <c r="C6911" s="676" t="s">
        <v>6872</v>
      </c>
      <c r="D6911" s="675"/>
      <c r="E6911" s="675"/>
      <c r="G6911" s="675"/>
      <c r="H6911" s="675"/>
      <c r="I6911" s="675"/>
      <c r="J6911" s="675"/>
      <c r="K6911" s="675"/>
      <c r="L6911" s="675"/>
      <c r="M6911" s="675"/>
    </row>
    <row r="6912" spans="1:13" x14ac:dyDescent="0.25">
      <c r="A6912" s="675" t="s">
        <v>6866</v>
      </c>
      <c r="B6912" s="675" t="s">
        <v>545</v>
      </c>
      <c r="C6912" s="676" t="s">
        <v>6873</v>
      </c>
      <c r="D6912" s="675"/>
      <c r="E6912" s="675"/>
      <c r="G6912" s="675"/>
      <c r="H6912" s="675"/>
      <c r="I6912" s="675"/>
      <c r="J6912" s="675"/>
      <c r="K6912" s="675"/>
      <c r="L6912" s="675"/>
      <c r="M6912" s="675"/>
    </row>
    <row r="6913" spans="1:13" x14ac:dyDescent="0.25">
      <c r="A6913" s="675" t="s">
        <v>6866</v>
      </c>
      <c r="B6913" s="675" t="s">
        <v>545</v>
      </c>
      <c r="C6913" s="676" t="s">
        <v>6874</v>
      </c>
      <c r="D6913" s="675"/>
      <c r="E6913" s="675"/>
      <c r="G6913" s="675"/>
      <c r="H6913" s="675"/>
      <c r="I6913" s="675"/>
      <c r="J6913" s="675"/>
      <c r="K6913" s="675"/>
      <c r="L6913" s="675"/>
      <c r="M6913" s="675"/>
    </row>
    <row r="6914" spans="1:13" x14ac:dyDescent="0.25">
      <c r="A6914" s="675" t="s">
        <v>6866</v>
      </c>
      <c r="B6914" s="675" t="s">
        <v>545</v>
      </c>
      <c r="C6914" s="676" t="s">
        <v>6875</v>
      </c>
      <c r="D6914" s="675"/>
      <c r="E6914" s="675"/>
      <c r="G6914" s="675"/>
      <c r="H6914" s="675"/>
      <c r="I6914" s="675"/>
      <c r="J6914" s="675"/>
      <c r="K6914" s="675"/>
      <c r="L6914" s="675"/>
      <c r="M6914" s="675"/>
    </row>
    <row r="6915" spans="1:13" x14ac:dyDescent="0.25">
      <c r="A6915" s="675" t="s">
        <v>6866</v>
      </c>
      <c r="B6915" s="675" t="s">
        <v>545</v>
      </c>
      <c r="C6915" s="676" t="s">
        <v>6876</v>
      </c>
      <c r="D6915" s="675"/>
      <c r="E6915" s="675"/>
      <c r="G6915" s="675"/>
      <c r="H6915" s="675"/>
      <c r="I6915" s="675"/>
      <c r="J6915" s="675"/>
      <c r="K6915" s="675"/>
      <c r="L6915" s="675"/>
      <c r="M6915" s="675"/>
    </row>
    <row r="6916" spans="1:13" x14ac:dyDescent="0.25">
      <c r="A6916" s="675" t="s">
        <v>6866</v>
      </c>
      <c r="B6916" s="675" t="s">
        <v>564</v>
      </c>
      <c r="C6916" s="676" t="s">
        <v>6877</v>
      </c>
      <c r="D6916" s="675"/>
      <c r="E6916" s="675"/>
      <c r="G6916" s="675"/>
      <c r="H6916" s="675"/>
      <c r="I6916" s="675"/>
      <c r="J6916" s="675"/>
      <c r="K6916" s="675"/>
      <c r="L6916" s="675"/>
      <c r="M6916" s="675"/>
    </row>
    <row r="6917" spans="1:13" x14ac:dyDescent="0.25">
      <c r="A6917" s="675" t="s">
        <v>6866</v>
      </c>
      <c r="B6917" s="675" t="s">
        <v>564</v>
      </c>
      <c r="C6917" s="676" t="s">
        <v>6878</v>
      </c>
      <c r="D6917" s="675"/>
      <c r="E6917" s="675"/>
      <c r="G6917" s="675"/>
      <c r="H6917" s="675"/>
      <c r="I6917" s="675"/>
      <c r="J6917" s="675"/>
      <c r="K6917" s="675"/>
      <c r="L6917" s="675"/>
      <c r="M6917" s="675"/>
    </row>
    <row r="6918" spans="1:13" x14ac:dyDescent="0.25">
      <c r="A6918" s="675" t="s">
        <v>6866</v>
      </c>
      <c r="B6918" s="675" t="s">
        <v>564</v>
      </c>
      <c r="C6918" s="676" t="s">
        <v>6879</v>
      </c>
      <c r="D6918" s="675"/>
      <c r="E6918" s="675"/>
      <c r="G6918" s="675"/>
      <c r="H6918" s="675"/>
      <c r="I6918" s="675"/>
      <c r="J6918" s="675"/>
      <c r="K6918" s="675"/>
      <c r="L6918" s="675"/>
      <c r="M6918" s="675"/>
    </row>
    <row r="6919" spans="1:13" x14ac:dyDescent="0.25">
      <c r="A6919" s="675" t="s">
        <v>6866</v>
      </c>
      <c r="B6919" s="675" t="s">
        <v>564</v>
      </c>
      <c r="C6919" s="676" t="s">
        <v>6880</v>
      </c>
      <c r="D6919" s="675"/>
      <c r="E6919" s="675"/>
      <c r="G6919" s="675"/>
      <c r="H6919" s="675"/>
      <c r="I6919" s="675"/>
      <c r="J6919" s="675"/>
      <c r="K6919" s="675"/>
      <c r="L6919" s="675"/>
      <c r="M6919" s="675"/>
    </row>
    <row r="6920" spans="1:13" x14ac:dyDescent="0.25">
      <c r="A6920" s="675" t="s">
        <v>6866</v>
      </c>
      <c r="B6920" s="675" t="s">
        <v>564</v>
      </c>
      <c r="C6920" s="676" t="s">
        <v>6881</v>
      </c>
      <c r="D6920" s="675"/>
      <c r="E6920" s="675"/>
      <c r="G6920" s="675"/>
      <c r="H6920" s="675"/>
      <c r="I6920" s="675"/>
      <c r="J6920" s="675"/>
      <c r="K6920" s="675"/>
      <c r="L6920" s="675"/>
      <c r="M6920" s="675"/>
    </row>
    <row r="6921" spans="1:13" x14ac:dyDescent="0.25">
      <c r="A6921" s="675" t="s">
        <v>6866</v>
      </c>
      <c r="B6921" s="675" t="s">
        <v>564</v>
      </c>
      <c r="C6921" s="676" t="s">
        <v>6882</v>
      </c>
      <c r="D6921" s="675"/>
      <c r="E6921" s="675"/>
      <c r="G6921" s="675"/>
      <c r="H6921" s="675"/>
      <c r="I6921" s="675"/>
      <c r="J6921" s="675"/>
      <c r="K6921" s="675"/>
      <c r="L6921" s="675"/>
      <c r="M6921" s="675"/>
    </row>
    <row r="6922" spans="1:13" x14ac:dyDescent="0.25">
      <c r="A6922" s="675" t="s">
        <v>6866</v>
      </c>
      <c r="B6922" s="675" t="s">
        <v>564</v>
      </c>
      <c r="C6922" s="676" t="s">
        <v>6883</v>
      </c>
      <c r="D6922" s="675"/>
      <c r="E6922" s="675"/>
      <c r="G6922" s="675"/>
      <c r="H6922" s="675"/>
      <c r="I6922" s="675"/>
      <c r="J6922" s="675"/>
      <c r="K6922" s="675"/>
      <c r="L6922" s="675"/>
      <c r="M6922" s="675"/>
    </row>
    <row r="6923" spans="1:13" x14ac:dyDescent="0.25">
      <c r="A6923" s="675" t="s">
        <v>6866</v>
      </c>
      <c r="B6923" s="675" t="s">
        <v>564</v>
      </c>
      <c r="C6923" s="676" t="s">
        <v>6884</v>
      </c>
      <c r="D6923" s="675"/>
      <c r="E6923" s="675"/>
      <c r="G6923" s="675"/>
      <c r="H6923" s="675"/>
      <c r="I6923" s="675"/>
      <c r="J6923" s="675"/>
      <c r="K6923" s="675"/>
      <c r="L6923" s="675"/>
      <c r="M6923" s="675"/>
    </row>
    <row r="6924" spans="1:13" x14ac:dyDescent="0.25">
      <c r="A6924" s="675" t="s">
        <v>6866</v>
      </c>
      <c r="B6924" s="675" t="s">
        <v>564</v>
      </c>
      <c r="C6924" s="676" t="s">
        <v>6885</v>
      </c>
      <c r="D6924" s="675"/>
      <c r="E6924" s="675"/>
      <c r="G6924" s="675"/>
      <c r="H6924" s="675"/>
      <c r="I6924" s="675"/>
      <c r="J6924" s="675"/>
      <c r="K6924" s="675"/>
      <c r="L6924" s="675"/>
      <c r="M6924" s="675"/>
    </row>
    <row r="6925" spans="1:13" x14ac:dyDescent="0.25">
      <c r="A6925" s="675" t="s">
        <v>6866</v>
      </c>
      <c r="B6925" s="675" t="s">
        <v>564</v>
      </c>
      <c r="C6925" s="676" t="s">
        <v>6886</v>
      </c>
      <c r="D6925" s="675"/>
      <c r="E6925" s="675"/>
      <c r="G6925" s="675"/>
      <c r="H6925" s="675"/>
      <c r="I6925" s="675"/>
      <c r="J6925" s="675"/>
      <c r="K6925" s="675"/>
      <c r="L6925" s="675"/>
      <c r="M6925" s="675"/>
    </row>
    <row r="6926" spans="1:13" x14ac:dyDescent="0.25">
      <c r="A6926" s="675" t="s">
        <v>6866</v>
      </c>
      <c r="B6926" s="675" t="s">
        <v>512</v>
      </c>
      <c r="C6926" s="676" t="s">
        <v>6887</v>
      </c>
      <c r="D6926" s="675"/>
      <c r="E6926" s="675"/>
      <c r="G6926" s="675"/>
      <c r="H6926" s="675"/>
      <c r="I6926" s="675"/>
      <c r="J6926" s="675"/>
      <c r="K6926" s="675"/>
      <c r="L6926" s="675"/>
      <c r="M6926" s="675"/>
    </row>
    <row r="6927" spans="1:13" x14ac:dyDescent="0.25">
      <c r="A6927" s="675" t="s">
        <v>6866</v>
      </c>
      <c r="B6927" s="675" t="s">
        <v>512</v>
      </c>
      <c r="C6927" s="676" t="s">
        <v>6888</v>
      </c>
      <c r="D6927" s="675"/>
      <c r="E6927" s="675"/>
      <c r="G6927" s="675"/>
      <c r="H6927" s="675"/>
      <c r="I6927" s="675"/>
      <c r="J6927" s="675"/>
      <c r="K6927" s="675"/>
      <c r="L6927" s="675"/>
      <c r="M6927" s="675"/>
    </row>
    <row r="6928" spans="1:13" x14ac:dyDescent="0.25">
      <c r="A6928" s="675" t="s">
        <v>6866</v>
      </c>
      <c r="B6928" s="675" t="s">
        <v>512</v>
      </c>
      <c r="C6928" s="676" t="s">
        <v>6889</v>
      </c>
      <c r="D6928" s="675"/>
      <c r="E6928" s="675"/>
      <c r="G6928" s="675"/>
      <c r="H6928" s="675"/>
      <c r="I6928" s="675"/>
      <c r="J6928" s="675"/>
      <c r="K6928" s="675"/>
      <c r="L6928" s="675"/>
      <c r="M6928" s="675"/>
    </row>
    <row r="6929" spans="1:13" x14ac:dyDescent="0.25">
      <c r="A6929" s="675" t="s">
        <v>6866</v>
      </c>
      <c r="B6929" s="675" t="s">
        <v>512</v>
      </c>
      <c r="C6929" s="676" t="s">
        <v>6890</v>
      </c>
      <c r="D6929" s="675"/>
      <c r="E6929" s="675"/>
      <c r="G6929" s="675"/>
      <c r="H6929" s="675"/>
      <c r="I6929" s="675"/>
      <c r="J6929" s="675"/>
      <c r="K6929" s="675"/>
      <c r="L6929" s="675"/>
      <c r="M6929" s="675"/>
    </row>
    <row r="6930" spans="1:13" x14ac:dyDescent="0.25">
      <c r="A6930" s="675" t="s">
        <v>6866</v>
      </c>
      <c r="B6930" s="675" t="s">
        <v>512</v>
      </c>
      <c r="C6930" s="676" t="s">
        <v>6891</v>
      </c>
      <c r="D6930" s="675"/>
      <c r="E6930" s="675"/>
      <c r="G6930" s="675"/>
      <c r="H6930" s="675"/>
      <c r="I6930" s="675"/>
      <c r="J6930" s="675"/>
      <c r="K6930" s="675"/>
      <c r="L6930" s="675"/>
      <c r="M6930" s="675"/>
    </row>
    <row r="6931" spans="1:13" x14ac:dyDescent="0.25">
      <c r="A6931" s="675" t="s">
        <v>6866</v>
      </c>
      <c r="B6931" s="675" t="s">
        <v>512</v>
      </c>
      <c r="C6931" s="676" t="s">
        <v>6892</v>
      </c>
      <c r="D6931" s="675"/>
      <c r="E6931" s="675"/>
      <c r="G6931" s="675"/>
      <c r="H6931" s="675"/>
      <c r="I6931" s="675"/>
      <c r="J6931" s="675"/>
      <c r="K6931" s="675"/>
      <c r="L6931" s="675"/>
      <c r="M6931" s="675"/>
    </row>
    <row r="6932" spans="1:13" x14ac:dyDescent="0.25">
      <c r="A6932" s="675" t="s">
        <v>6866</v>
      </c>
      <c r="B6932" s="675" t="s">
        <v>512</v>
      </c>
      <c r="C6932" s="676" t="s">
        <v>6893</v>
      </c>
      <c r="D6932" s="675"/>
      <c r="E6932" s="675"/>
      <c r="G6932" s="675"/>
      <c r="H6932" s="675"/>
      <c r="I6932" s="675"/>
      <c r="J6932" s="675"/>
      <c r="K6932" s="675"/>
      <c r="L6932" s="675"/>
      <c r="M6932" s="675"/>
    </row>
    <row r="6933" spans="1:13" x14ac:dyDescent="0.25">
      <c r="A6933" s="675" t="s">
        <v>6866</v>
      </c>
      <c r="B6933" s="675" t="s">
        <v>512</v>
      </c>
      <c r="C6933" s="676" t="s">
        <v>6894</v>
      </c>
      <c r="D6933" s="675"/>
      <c r="E6933" s="675"/>
      <c r="G6933" s="675"/>
      <c r="H6933" s="675"/>
      <c r="I6933" s="675"/>
      <c r="J6933" s="675"/>
      <c r="K6933" s="675"/>
      <c r="L6933" s="675"/>
      <c r="M6933" s="675"/>
    </row>
    <row r="6934" spans="1:13" x14ac:dyDescent="0.25">
      <c r="A6934" s="675" t="s">
        <v>6866</v>
      </c>
      <c r="B6934" s="675" t="s">
        <v>512</v>
      </c>
      <c r="C6934" s="676" t="s">
        <v>6895</v>
      </c>
      <c r="D6934" s="675"/>
      <c r="E6934" s="675"/>
      <c r="G6934" s="675"/>
      <c r="H6934" s="675"/>
      <c r="I6934" s="675"/>
      <c r="J6934" s="675"/>
      <c r="K6934" s="675"/>
      <c r="L6934" s="675"/>
      <c r="M6934" s="675"/>
    </row>
    <row r="6935" spans="1:13" x14ac:dyDescent="0.25">
      <c r="A6935" s="675" t="s">
        <v>6866</v>
      </c>
      <c r="B6935" s="675" t="s">
        <v>512</v>
      </c>
      <c r="C6935" s="676" t="s">
        <v>6896</v>
      </c>
      <c r="D6935" s="675"/>
      <c r="E6935" s="675"/>
      <c r="G6935" s="675"/>
      <c r="H6935" s="675"/>
      <c r="I6935" s="675"/>
      <c r="J6935" s="675"/>
      <c r="K6935" s="675"/>
      <c r="L6935" s="675"/>
      <c r="M6935" s="675"/>
    </row>
    <row r="6936" spans="1:13" x14ac:dyDescent="0.25">
      <c r="A6936" s="675" t="s">
        <v>6897</v>
      </c>
      <c r="B6936" s="675" t="s">
        <v>545</v>
      </c>
      <c r="C6936" s="676" t="s">
        <v>6898</v>
      </c>
      <c r="D6936" s="675"/>
      <c r="E6936" s="675"/>
      <c r="G6936" s="675"/>
      <c r="H6936" s="675"/>
      <c r="I6936" s="675"/>
      <c r="J6936" s="675"/>
      <c r="K6936" s="675"/>
      <c r="L6936" s="675"/>
      <c r="M6936" s="675"/>
    </row>
    <row r="6937" spans="1:13" x14ac:dyDescent="0.25">
      <c r="A6937" s="675" t="s">
        <v>6897</v>
      </c>
      <c r="B6937" s="675" t="s">
        <v>545</v>
      </c>
      <c r="C6937" s="676" t="s">
        <v>6899</v>
      </c>
      <c r="D6937" s="675"/>
      <c r="E6937" s="675"/>
      <c r="G6937" s="675"/>
      <c r="H6937" s="675"/>
      <c r="I6937" s="675"/>
      <c r="J6937" s="675"/>
      <c r="K6937" s="675"/>
      <c r="L6937" s="675"/>
      <c r="M6937" s="675"/>
    </row>
    <row r="6938" spans="1:13" x14ac:dyDescent="0.25">
      <c r="A6938" s="675" t="s">
        <v>6897</v>
      </c>
      <c r="B6938" s="675" t="s">
        <v>545</v>
      </c>
      <c r="C6938" s="676" t="s">
        <v>6900</v>
      </c>
      <c r="D6938" s="675"/>
      <c r="E6938" s="675"/>
      <c r="G6938" s="675"/>
      <c r="H6938" s="675"/>
      <c r="I6938" s="675"/>
      <c r="J6938" s="675"/>
      <c r="K6938" s="675"/>
      <c r="L6938" s="675"/>
      <c r="M6938" s="675"/>
    </row>
    <row r="6939" spans="1:13" x14ac:dyDescent="0.25">
      <c r="A6939" s="675" t="s">
        <v>6897</v>
      </c>
      <c r="B6939" s="675" t="s">
        <v>545</v>
      </c>
      <c r="C6939" s="676" t="s">
        <v>6901</v>
      </c>
      <c r="D6939" s="675"/>
      <c r="E6939" s="675"/>
      <c r="G6939" s="675"/>
      <c r="H6939" s="675"/>
      <c r="I6939" s="675"/>
      <c r="J6939" s="675"/>
      <c r="K6939" s="675"/>
      <c r="L6939" s="675"/>
      <c r="M6939" s="675"/>
    </row>
    <row r="6940" spans="1:13" x14ac:dyDescent="0.25">
      <c r="A6940" s="675" t="s">
        <v>6897</v>
      </c>
      <c r="B6940" s="675" t="s">
        <v>545</v>
      </c>
      <c r="C6940" s="676" t="s">
        <v>6902</v>
      </c>
      <c r="D6940" s="675"/>
      <c r="E6940" s="675"/>
      <c r="G6940" s="675"/>
      <c r="H6940" s="675"/>
      <c r="I6940" s="675"/>
      <c r="J6940" s="675"/>
      <c r="K6940" s="675"/>
      <c r="L6940" s="675"/>
      <c r="M6940" s="675"/>
    </row>
    <row r="6941" spans="1:13" x14ac:dyDescent="0.25">
      <c r="A6941" s="675" t="s">
        <v>6897</v>
      </c>
      <c r="B6941" s="675" t="s">
        <v>545</v>
      </c>
      <c r="C6941" s="676" t="s">
        <v>6903</v>
      </c>
      <c r="D6941" s="675"/>
      <c r="E6941" s="675"/>
      <c r="G6941" s="675"/>
      <c r="H6941" s="675"/>
      <c r="I6941" s="675"/>
      <c r="J6941" s="675"/>
      <c r="K6941" s="675"/>
      <c r="L6941" s="675"/>
      <c r="M6941" s="675"/>
    </row>
    <row r="6942" spans="1:13" ht="30" x14ac:dyDescent="0.25">
      <c r="A6942" s="675" t="s">
        <v>6897</v>
      </c>
      <c r="B6942" s="675" t="s">
        <v>545</v>
      </c>
      <c r="C6942" s="676" t="s">
        <v>6904</v>
      </c>
      <c r="D6942" s="675"/>
      <c r="E6942" s="675"/>
      <c r="G6942" s="675"/>
      <c r="H6942" s="675"/>
      <c r="I6942" s="675"/>
      <c r="J6942" s="675"/>
      <c r="K6942" s="675"/>
      <c r="L6942" s="675"/>
      <c r="M6942" s="675"/>
    </row>
    <row r="6943" spans="1:13" x14ac:dyDescent="0.25">
      <c r="A6943" s="675" t="s">
        <v>6897</v>
      </c>
      <c r="B6943" s="675" t="s">
        <v>545</v>
      </c>
      <c r="C6943" s="676" t="s">
        <v>6905</v>
      </c>
      <c r="D6943" s="675"/>
      <c r="E6943" s="675"/>
      <c r="G6943" s="675"/>
      <c r="H6943" s="675"/>
      <c r="I6943" s="675"/>
      <c r="J6943" s="675"/>
      <c r="K6943" s="675"/>
      <c r="L6943" s="675"/>
      <c r="M6943" s="675"/>
    </row>
    <row r="6944" spans="1:13" x14ac:dyDescent="0.25">
      <c r="A6944" s="675" t="s">
        <v>6897</v>
      </c>
      <c r="B6944" s="675" t="s">
        <v>545</v>
      </c>
      <c r="C6944" s="676" t="s">
        <v>6906</v>
      </c>
      <c r="D6944" s="675"/>
      <c r="E6944" s="675"/>
      <c r="G6944" s="675"/>
      <c r="H6944" s="675"/>
      <c r="I6944" s="675"/>
      <c r="J6944" s="675"/>
      <c r="K6944" s="675"/>
      <c r="L6944" s="675"/>
      <c r="M6944" s="675"/>
    </row>
    <row r="6945" spans="1:13" x14ac:dyDescent="0.25">
      <c r="A6945" s="675" t="s">
        <v>6897</v>
      </c>
      <c r="B6945" s="675" t="s">
        <v>545</v>
      </c>
      <c r="C6945" s="676" t="s">
        <v>6907</v>
      </c>
      <c r="D6945" s="675"/>
      <c r="E6945" s="675"/>
      <c r="G6945" s="675"/>
      <c r="H6945" s="675"/>
      <c r="I6945" s="675"/>
      <c r="J6945" s="675"/>
      <c r="K6945" s="675"/>
      <c r="L6945" s="675"/>
      <c r="M6945" s="675"/>
    </row>
    <row r="6946" spans="1:13" x14ac:dyDescent="0.25">
      <c r="A6946" s="675" t="s">
        <v>6897</v>
      </c>
      <c r="B6946" s="675" t="s">
        <v>564</v>
      </c>
      <c r="C6946" s="676" t="s">
        <v>6908</v>
      </c>
      <c r="D6946" s="675"/>
      <c r="E6946" s="675"/>
      <c r="G6946" s="675"/>
      <c r="H6946" s="675"/>
      <c r="I6946" s="675"/>
      <c r="J6946" s="675"/>
      <c r="K6946" s="675"/>
      <c r="L6946" s="675"/>
      <c r="M6946" s="675"/>
    </row>
    <row r="6947" spans="1:13" x14ac:dyDescent="0.25">
      <c r="A6947" s="675" t="s">
        <v>6897</v>
      </c>
      <c r="B6947" s="675" t="s">
        <v>564</v>
      </c>
      <c r="C6947" s="676" t="s">
        <v>6909</v>
      </c>
      <c r="D6947" s="675"/>
      <c r="E6947" s="675"/>
      <c r="G6947" s="675"/>
      <c r="H6947" s="675"/>
      <c r="I6947" s="675"/>
      <c r="J6947" s="675"/>
      <c r="K6947" s="675"/>
      <c r="L6947" s="675"/>
      <c r="M6947" s="675"/>
    </row>
    <row r="6948" spans="1:13" x14ac:dyDescent="0.25">
      <c r="A6948" s="675" t="s">
        <v>6897</v>
      </c>
      <c r="B6948" s="675" t="s">
        <v>564</v>
      </c>
      <c r="C6948" s="676" t="s">
        <v>6910</v>
      </c>
      <c r="D6948" s="675"/>
      <c r="E6948" s="675"/>
      <c r="G6948" s="675"/>
      <c r="H6948" s="675"/>
      <c r="I6948" s="675"/>
      <c r="J6948" s="675"/>
      <c r="K6948" s="675"/>
      <c r="L6948" s="675"/>
      <c r="M6948" s="675"/>
    </row>
    <row r="6949" spans="1:13" x14ac:dyDescent="0.25">
      <c r="A6949" s="675" t="s">
        <v>6897</v>
      </c>
      <c r="B6949" s="675" t="s">
        <v>564</v>
      </c>
      <c r="C6949" s="676" t="s">
        <v>6911</v>
      </c>
      <c r="D6949" s="675"/>
      <c r="E6949" s="675"/>
      <c r="G6949" s="675"/>
      <c r="H6949" s="675"/>
      <c r="I6949" s="675"/>
      <c r="J6949" s="675"/>
      <c r="K6949" s="675"/>
      <c r="L6949" s="675"/>
      <c r="M6949" s="675"/>
    </row>
    <row r="6950" spans="1:13" x14ac:dyDescent="0.25">
      <c r="A6950" s="675" t="s">
        <v>6897</v>
      </c>
      <c r="B6950" s="675" t="s">
        <v>564</v>
      </c>
      <c r="C6950" s="676" t="s">
        <v>6912</v>
      </c>
      <c r="D6950" s="675"/>
      <c r="E6950" s="675"/>
      <c r="G6950" s="675"/>
      <c r="H6950" s="675"/>
      <c r="I6950" s="675"/>
      <c r="J6950" s="675"/>
      <c r="K6950" s="675"/>
      <c r="L6950" s="675"/>
      <c r="M6950" s="675"/>
    </row>
    <row r="6951" spans="1:13" x14ac:dyDescent="0.25">
      <c r="A6951" s="675" t="s">
        <v>6897</v>
      </c>
      <c r="B6951" s="675" t="s">
        <v>564</v>
      </c>
      <c r="C6951" s="676" t="s">
        <v>6913</v>
      </c>
      <c r="D6951" s="675"/>
      <c r="E6951" s="675"/>
      <c r="G6951" s="675"/>
      <c r="H6951" s="675"/>
      <c r="I6951" s="675"/>
      <c r="J6951" s="675"/>
      <c r="K6951" s="675"/>
      <c r="L6951" s="675"/>
      <c r="M6951" s="675"/>
    </row>
    <row r="6952" spans="1:13" x14ac:dyDescent="0.25">
      <c r="A6952" s="675" t="s">
        <v>6897</v>
      </c>
      <c r="B6952" s="675" t="s">
        <v>564</v>
      </c>
      <c r="C6952" s="676" t="s">
        <v>6914</v>
      </c>
      <c r="D6952" s="675"/>
      <c r="E6952" s="675"/>
      <c r="G6952" s="675"/>
      <c r="H6952" s="675"/>
      <c r="I6952" s="675"/>
      <c r="J6952" s="675"/>
      <c r="K6952" s="675"/>
      <c r="L6952" s="675"/>
      <c r="M6952" s="675"/>
    </row>
    <row r="6953" spans="1:13" x14ac:dyDescent="0.25">
      <c r="A6953" s="675" t="s">
        <v>6897</v>
      </c>
      <c r="B6953" s="675" t="s">
        <v>564</v>
      </c>
      <c r="C6953" s="676" t="s">
        <v>6915</v>
      </c>
      <c r="D6953" s="675"/>
      <c r="E6953" s="675"/>
      <c r="G6953" s="675"/>
      <c r="H6953" s="675"/>
      <c r="I6953" s="675"/>
      <c r="J6953" s="675"/>
      <c r="K6953" s="675"/>
      <c r="L6953" s="675"/>
      <c r="M6953" s="675"/>
    </row>
    <row r="6954" spans="1:13" x14ac:dyDescent="0.25">
      <c r="A6954" s="675" t="s">
        <v>6897</v>
      </c>
      <c r="B6954" s="675" t="s">
        <v>564</v>
      </c>
      <c r="C6954" s="676" t="s">
        <v>6916</v>
      </c>
      <c r="D6954" s="675"/>
      <c r="E6954" s="675"/>
      <c r="G6954" s="675"/>
      <c r="H6954" s="675"/>
      <c r="I6954" s="675"/>
      <c r="J6954" s="675"/>
      <c r="K6954" s="675"/>
      <c r="L6954" s="675"/>
      <c r="M6954" s="675"/>
    </row>
    <row r="6955" spans="1:13" x14ac:dyDescent="0.25">
      <c r="A6955" s="675" t="s">
        <v>6897</v>
      </c>
      <c r="B6955" s="675" t="s">
        <v>564</v>
      </c>
      <c r="C6955" s="676" t="s">
        <v>6917</v>
      </c>
      <c r="D6955" s="675"/>
      <c r="E6955" s="675"/>
      <c r="G6955" s="675"/>
      <c r="H6955" s="675"/>
      <c r="I6955" s="675"/>
      <c r="J6955" s="675"/>
      <c r="K6955" s="675"/>
      <c r="L6955" s="675"/>
      <c r="M6955" s="675"/>
    </row>
    <row r="6956" spans="1:13" x14ac:dyDescent="0.25">
      <c r="A6956" s="675" t="s">
        <v>6897</v>
      </c>
      <c r="B6956" s="675" t="s">
        <v>512</v>
      </c>
      <c r="C6956" s="676" t="s">
        <v>6918</v>
      </c>
      <c r="D6956" s="675"/>
      <c r="E6956" s="675"/>
      <c r="G6956" s="675"/>
      <c r="H6956" s="675"/>
      <c r="I6956" s="675"/>
      <c r="J6956" s="675"/>
      <c r="K6956" s="675"/>
      <c r="L6956" s="675"/>
      <c r="M6956" s="675"/>
    </row>
    <row r="6957" spans="1:13" x14ac:dyDescent="0.25">
      <c r="A6957" s="675" t="s">
        <v>6897</v>
      </c>
      <c r="B6957" s="675" t="s">
        <v>512</v>
      </c>
      <c r="C6957" s="676" t="s">
        <v>6919</v>
      </c>
      <c r="D6957" s="675"/>
      <c r="E6957" s="675"/>
      <c r="G6957" s="675"/>
      <c r="H6957" s="675"/>
      <c r="I6957" s="675"/>
      <c r="J6957" s="675"/>
      <c r="K6957" s="675"/>
      <c r="L6957" s="675"/>
      <c r="M6957" s="675"/>
    </row>
    <row r="6958" spans="1:13" x14ac:dyDescent="0.25">
      <c r="A6958" s="675" t="s">
        <v>6897</v>
      </c>
      <c r="B6958" s="675" t="s">
        <v>512</v>
      </c>
      <c r="C6958" s="676" t="s">
        <v>6920</v>
      </c>
      <c r="D6958" s="675"/>
      <c r="E6958" s="675"/>
      <c r="G6958" s="675"/>
      <c r="H6958" s="675"/>
      <c r="I6958" s="675"/>
      <c r="J6958" s="675"/>
      <c r="K6958" s="675"/>
      <c r="L6958" s="675"/>
      <c r="M6958" s="675"/>
    </row>
    <row r="6959" spans="1:13" x14ac:dyDescent="0.25">
      <c r="A6959" s="675" t="s">
        <v>6897</v>
      </c>
      <c r="B6959" s="675" t="s">
        <v>512</v>
      </c>
      <c r="C6959" s="676" t="s">
        <v>6921</v>
      </c>
      <c r="D6959" s="675"/>
      <c r="E6959" s="675"/>
      <c r="G6959" s="675"/>
      <c r="H6959" s="675"/>
      <c r="I6959" s="675"/>
      <c r="J6959" s="675"/>
      <c r="K6959" s="675"/>
      <c r="L6959" s="675"/>
      <c r="M6959" s="675"/>
    </row>
    <row r="6960" spans="1:13" x14ac:dyDescent="0.25">
      <c r="A6960" s="675" t="s">
        <v>6897</v>
      </c>
      <c r="B6960" s="675" t="s">
        <v>512</v>
      </c>
      <c r="C6960" s="676" t="s">
        <v>6922</v>
      </c>
      <c r="D6960" s="675"/>
      <c r="E6960" s="675"/>
      <c r="G6960" s="675"/>
      <c r="H6960" s="675"/>
      <c r="I6960" s="675"/>
      <c r="J6960" s="675"/>
      <c r="K6960" s="675"/>
      <c r="L6960" s="675"/>
      <c r="M6960" s="675"/>
    </row>
    <row r="6961" spans="1:13" x14ac:dyDescent="0.25">
      <c r="A6961" s="675" t="s">
        <v>6897</v>
      </c>
      <c r="B6961" s="675" t="s">
        <v>512</v>
      </c>
      <c r="C6961" s="676" t="s">
        <v>6923</v>
      </c>
      <c r="D6961" s="675"/>
      <c r="E6961" s="675"/>
      <c r="G6961" s="675"/>
      <c r="H6961" s="675"/>
      <c r="I6961" s="675"/>
      <c r="J6961" s="675"/>
      <c r="K6961" s="675"/>
      <c r="L6961" s="675"/>
      <c r="M6961" s="675"/>
    </row>
    <row r="6962" spans="1:13" x14ac:dyDescent="0.25">
      <c r="A6962" s="675" t="s">
        <v>6897</v>
      </c>
      <c r="B6962" s="675" t="s">
        <v>512</v>
      </c>
      <c r="C6962" s="676" t="s">
        <v>6924</v>
      </c>
      <c r="D6962" s="675"/>
      <c r="E6962" s="675"/>
      <c r="G6962" s="675"/>
      <c r="H6962" s="675"/>
      <c r="I6962" s="675"/>
      <c r="J6962" s="675"/>
      <c r="K6962" s="675"/>
      <c r="L6962" s="675"/>
      <c r="M6962" s="675"/>
    </row>
    <row r="6963" spans="1:13" x14ac:dyDescent="0.25">
      <c r="A6963" s="675" t="s">
        <v>6897</v>
      </c>
      <c r="B6963" s="675" t="s">
        <v>512</v>
      </c>
      <c r="C6963" s="676" t="s">
        <v>6925</v>
      </c>
      <c r="D6963" s="675"/>
      <c r="E6963" s="675"/>
      <c r="G6963" s="675"/>
      <c r="H6963" s="675"/>
      <c r="I6963" s="675"/>
      <c r="J6963" s="675"/>
      <c r="K6963" s="675"/>
      <c r="L6963" s="675"/>
      <c r="M6963" s="675"/>
    </row>
    <row r="6964" spans="1:13" x14ac:dyDescent="0.25">
      <c r="A6964" s="675" t="s">
        <v>6897</v>
      </c>
      <c r="B6964" s="675" t="s">
        <v>512</v>
      </c>
      <c r="C6964" s="676" t="s">
        <v>6926</v>
      </c>
      <c r="D6964" s="675"/>
      <c r="E6964" s="675"/>
      <c r="G6964" s="675"/>
      <c r="H6964" s="675"/>
      <c r="I6964" s="675"/>
      <c r="J6964" s="675"/>
      <c r="K6964" s="675"/>
      <c r="L6964" s="675"/>
      <c r="M6964" s="675"/>
    </row>
    <row r="6965" spans="1:13" ht="30" x14ac:dyDescent="0.25">
      <c r="A6965" s="675" t="s">
        <v>6897</v>
      </c>
      <c r="B6965" s="675" t="s">
        <v>512</v>
      </c>
      <c r="C6965" s="676" t="s">
        <v>6927</v>
      </c>
      <c r="D6965" s="675"/>
      <c r="E6965" s="675"/>
      <c r="G6965" s="675"/>
      <c r="H6965" s="675"/>
      <c r="I6965" s="675"/>
      <c r="J6965" s="675"/>
      <c r="K6965" s="675"/>
      <c r="L6965" s="675"/>
      <c r="M6965" s="675"/>
    </row>
    <row r="6966" spans="1:13" x14ac:dyDescent="0.25">
      <c r="A6966" s="675" t="s">
        <v>6928</v>
      </c>
      <c r="B6966" s="675" t="s">
        <v>545</v>
      </c>
      <c r="C6966" s="676" t="s">
        <v>6929</v>
      </c>
      <c r="D6966" s="675"/>
      <c r="E6966" s="675"/>
      <c r="G6966" s="675"/>
      <c r="H6966" s="675"/>
      <c r="I6966" s="675"/>
      <c r="J6966" s="675"/>
      <c r="K6966" s="675"/>
      <c r="L6966" s="675"/>
      <c r="M6966" s="675"/>
    </row>
    <row r="6967" spans="1:13" x14ac:dyDescent="0.25">
      <c r="A6967" s="675" t="s">
        <v>6928</v>
      </c>
      <c r="B6967" s="675" t="s">
        <v>545</v>
      </c>
      <c r="C6967" s="676" t="s">
        <v>6930</v>
      </c>
      <c r="D6967" s="675"/>
      <c r="E6967" s="675"/>
      <c r="G6967" s="675"/>
      <c r="H6967" s="675"/>
      <c r="I6967" s="675"/>
      <c r="J6967" s="675"/>
      <c r="K6967" s="675"/>
      <c r="L6967" s="675"/>
      <c r="M6967" s="675"/>
    </row>
    <row r="6968" spans="1:13" x14ac:dyDescent="0.25">
      <c r="A6968" s="675" t="s">
        <v>6928</v>
      </c>
      <c r="B6968" s="675" t="s">
        <v>545</v>
      </c>
      <c r="C6968" s="676" t="s">
        <v>6931</v>
      </c>
      <c r="D6968" s="675"/>
      <c r="E6968" s="675"/>
      <c r="G6968" s="675"/>
      <c r="H6968" s="675"/>
      <c r="I6968" s="675"/>
      <c r="J6968" s="675"/>
      <c r="K6968" s="675"/>
      <c r="L6968" s="675"/>
      <c r="M6968" s="675"/>
    </row>
    <row r="6969" spans="1:13" x14ac:dyDescent="0.25">
      <c r="A6969" s="675" t="s">
        <v>6928</v>
      </c>
      <c r="B6969" s="675" t="s">
        <v>545</v>
      </c>
      <c r="C6969" s="676" t="s">
        <v>6932</v>
      </c>
      <c r="D6969" s="675"/>
      <c r="E6969" s="675"/>
      <c r="G6969" s="675"/>
      <c r="H6969" s="675"/>
      <c r="I6969" s="675"/>
      <c r="J6969" s="675"/>
      <c r="K6969" s="675"/>
      <c r="L6969" s="675"/>
      <c r="M6969" s="675"/>
    </row>
    <row r="6970" spans="1:13" x14ac:dyDescent="0.25">
      <c r="A6970" s="675" t="s">
        <v>6928</v>
      </c>
      <c r="B6970" s="675" t="s">
        <v>545</v>
      </c>
      <c r="C6970" s="676" t="s">
        <v>6933</v>
      </c>
      <c r="D6970" s="675"/>
      <c r="E6970" s="675"/>
      <c r="G6970" s="675"/>
      <c r="H6970" s="675"/>
      <c r="I6970" s="675"/>
      <c r="J6970" s="675"/>
      <c r="K6970" s="675"/>
      <c r="L6970" s="675"/>
      <c r="M6970" s="675"/>
    </row>
    <row r="6971" spans="1:13" x14ac:dyDescent="0.25">
      <c r="A6971" s="675" t="s">
        <v>6928</v>
      </c>
      <c r="B6971" s="675" t="s">
        <v>564</v>
      </c>
      <c r="C6971" s="676" t="s">
        <v>6934</v>
      </c>
      <c r="D6971" s="675"/>
      <c r="E6971" s="675"/>
      <c r="G6971" s="675"/>
      <c r="H6971" s="675"/>
      <c r="I6971" s="675"/>
      <c r="J6971" s="675"/>
      <c r="K6971" s="675"/>
      <c r="L6971" s="675"/>
      <c r="M6971" s="675"/>
    </row>
    <row r="6972" spans="1:13" x14ac:dyDescent="0.25">
      <c r="A6972" s="675" t="s">
        <v>6928</v>
      </c>
      <c r="B6972" s="675" t="s">
        <v>564</v>
      </c>
      <c r="C6972" s="676" t="s">
        <v>6935</v>
      </c>
      <c r="D6972" s="675"/>
      <c r="E6972" s="675"/>
      <c r="G6972" s="675"/>
      <c r="H6972" s="675"/>
      <c r="I6972" s="675"/>
      <c r="J6972" s="675"/>
      <c r="K6972" s="675"/>
      <c r="L6972" s="675"/>
      <c r="M6972" s="675"/>
    </row>
    <row r="6973" spans="1:13" x14ac:dyDescent="0.25">
      <c r="A6973" s="675" t="s">
        <v>6928</v>
      </c>
      <c r="B6973" s="675" t="s">
        <v>564</v>
      </c>
      <c r="C6973" s="676" t="s">
        <v>6936</v>
      </c>
      <c r="D6973" s="675"/>
      <c r="E6973" s="675"/>
      <c r="G6973" s="675"/>
      <c r="H6973" s="675"/>
      <c r="I6973" s="675"/>
      <c r="J6973" s="675"/>
      <c r="K6973" s="675"/>
      <c r="L6973" s="675"/>
      <c r="M6973" s="675"/>
    </row>
    <row r="6974" spans="1:13" x14ac:dyDescent="0.25">
      <c r="A6974" s="675" t="s">
        <v>6928</v>
      </c>
      <c r="B6974" s="675" t="s">
        <v>564</v>
      </c>
      <c r="C6974" s="676" t="s">
        <v>6937</v>
      </c>
      <c r="D6974" s="675"/>
      <c r="E6974" s="675"/>
      <c r="G6974" s="675"/>
      <c r="H6974" s="675"/>
      <c r="I6974" s="675"/>
      <c r="J6974" s="675"/>
      <c r="K6974" s="675"/>
      <c r="L6974" s="675"/>
      <c r="M6974" s="675"/>
    </row>
    <row r="6975" spans="1:13" x14ac:dyDescent="0.25">
      <c r="A6975" s="675" t="s">
        <v>6928</v>
      </c>
      <c r="B6975" s="675" t="s">
        <v>564</v>
      </c>
      <c r="C6975" s="676" t="s">
        <v>6938</v>
      </c>
      <c r="D6975" s="675"/>
      <c r="E6975" s="675"/>
      <c r="G6975" s="675"/>
      <c r="H6975" s="675"/>
      <c r="I6975" s="675"/>
      <c r="J6975" s="675"/>
      <c r="K6975" s="675"/>
      <c r="L6975" s="675"/>
      <c r="M6975" s="675"/>
    </row>
    <row r="6976" spans="1:13" x14ac:dyDescent="0.25">
      <c r="A6976" s="675" t="s">
        <v>6928</v>
      </c>
      <c r="B6976" s="675" t="s">
        <v>512</v>
      </c>
      <c r="C6976" s="676" t="s">
        <v>6939</v>
      </c>
      <c r="D6976" s="675"/>
      <c r="E6976" s="675"/>
      <c r="G6976" s="675"/>
      <c r="H6976" s="675"/>
      <c r="I6976" s="675"/>
      <c r="J6976" s="675"/>
      <c r="K6976" s="675"/>
      <c r="L6976" s="675"/>
      <c r="M6976" s="675"/>
    </row>
    <row r="6977" spans="1:13" x14ac:dyDescent="0.25">
      <c r="A6977" s="675" t="s">
        <v>6928</v>
      </c>
      <c r="B6977" s="675" t="s">
        <v>512</v>
      </c>
      <c r="C6977" s="676" t="s">
        <v>6940</v>
      </c>
      <c r="D6977" s="675"/>
      <c r="E6977" s="675"/>
      <c r="G6977" s="675"/>
      <c r="H6977" s="675"/>
      <c r="I6977" s="675"/>
      <c r="J6977" s="675"/>
      <c r="K6977" s="675"/>
      <c r="L6977" s="675"/>
      <c r="M6977" s="675"/>
    </row>
    <row r="6978" spans="1:13" x14ac:dyDescent="0.25">
      <c r="A6978" s="675" t="s">
        <v>6928</v>
      </c>
      <c r="B6978" s="675" t="s">
        <v>512</v>
      </c>
      <c r="C6978" s="676" t="s">
        <v>6941</v>
      </c>
      <c r="D6978" s="675"/>
      <c r="E6978" s="675"/>
      <c r="G6978" s="675"/>
      <c r="H6978" s="675"/>
      <c r="I6978" s="675"/>
      <c r="J6978" s="675"/>
      <c r="K6978" s="675"/>
      <c r="L6978" s="675"/>
      <c r="M6978" s="675"/>
    </row>
    <row r="6979" spans="1:13" x14ac:dyDescent="0.25">
      <c r="A6979" s="675" t="s">
        <v>6928</v>
      </c>
      <c r="B6979" s="675" t="s">
        <v>512</v>
      </c>
      <c r="C6979" s="676" t="s">
        <v>6942</v>
      </c>
      <c r="D6979" s="675"/>
      <c r="E6979" s="675"/>
      <c r="G6979" s="675"/>
      <c r="H6979" s="675"/>
      <c r="I6979" s="675"/>
      <c r="J6979" s="675"/>
      <c r="K6979" s="675"/>
      <c r="L6979" s="675"/>
      <c r="M6979" s="675"/>
    </row>
    <row r="6980" spans="1:13" x14ac:dyDescent="0.25">
      <c r="A6980" s="675" t="s">
        <v>6928</v>
      </c>
      <c r="B6980" s="675" t="s">
        <v>512</v>
      </c>
      <c r="C6980" s="676" t="s">
        <v>6943</v>
      </c>
      <c r="D6980" s="675"/>
      <c r="E6980" s="675"/>
      <c r="G6980" s="675"/>
      <c r="H6980" s="675"/>
      <c r="I6980" s="675"/>
      <c r="J6980" s="675"/>
      <c r="K6980" s="675"/>
      <c r="L6980" s="675"/>
      <c r="M6980" s="675"/>
    </row>
    <row r="6981" spans="1:13" x14ac:dyDescent="0.25">
      <c r="A6981" s="675" t="s">
        <v>6944</v>
      </c>
      <c r="B6981" s="675" t="s">
        <v>545</v>
      </c>
      <c r="C6981" s="676" t="s">
        <v>6945</v>
      </c>
      <c r="D6981" s="675"/>
      <c r="E6981" s="675"/>
      <c r="G6981" s="675"/>
      <c r="H6981" s="675"/>
      <c r="I6981" s="675"/>
      <c r="J6981" s="675"/>
      <c r="K6981" s="675"/>
      <c r="L6981" s="675"/>
      <c r="M6981" s="675"/>
    </row>
    <row r="6982" spans="1:13" x14ac:dyDescent="0.25">
      <c r="A6982" s="675" t="s">
        <v>6944</v>
      </c>
      <c r="B6982" s="675" t="s">
        <v>545</v>
      </c>
      <c r="C6982" s="676" t="s">
        <v>6946</v>
      </c>
      <c r="D6982" s="675"/>
      <c r="E6982" s="675"/>
      <c r="G6982" s="675"/>
      <c r="H6982" s="675"/>
      <c r="I6982" s="675"/>
      <c r="J6982" s="675"/>
      <c r="K6982" s="675"/>
      <c r="L6982" s="675"/>
      <c r="M6982" s="675"/>
    </row>
    <row r="6983" spans="1:13" x14ac:dyDescent="0.25">
      <c r="A6983" s="675" t="s">
        <v>6944</v>
      </c>
      <c r="B6983" s="675" t="s">
        <v>545</v>
      </c>
      <c r="C6983" s="676" t="s">
        <v>6947</v>
      </c>
      <c r="D6983" s="675"/>
      <c r="E6983" s="675"/>
      <c r="G6983" s="675"/>
      <c r="H6983" s="675"/>
      <c r="I6983" s="675"/>
      <c r="J6983" s="675"/>
      <c r="K6983" s="675"/>
      <c r="L6983" s="675"/>
      <c r="M6983" s="675"/>
    </row>
    <row r="6984" spans="1:13" x14ac:dyDescent="0.25">
      <c r="A6984" s="675" t="s">
        <v>6944</v>
      </c>
      <c r="B6984" s="675" t="s">
        <v>545</v>
      </c>
      <c r="C6984" s="676" t="s">
        <v>6948</v>
      </c>
      <c r="D6984" s="675"/>
      <c r="E6984" s="675"/>
      <c r="G6984" s="675"/>
      <c r="H6984" s="675"/>
      <c r="I6984" s="675"/>
      <c r="J6984" s="675"/>
      <c r="K6984" s="675"/>
      <c r="L6984" s="675"/>
      <c r="M6984" s="675"/>
    </row>
    <row r="6985" spans="1:13" x14ac:dyDescent="0.25">
      <c r="A6985" s="675" t="s">
        <v>6944</v>
      </c>
      <c r="B6985" s="675" t="s">
        <v>545</v>
      </c>
      <c r="C6985" s="676" t="s">
        <v>6949</v>
      </c>
      <c r="D6985" s="675"/>
      <c r="E6985" s="675"/>
      <c r="G6985" s="675"/>
      <c r="H6985" s="675"/>
      <c r="I6985" s="675"/>
      <c r="J6985" s="675"/>
      <c r="K6985" s="675"/>
      <c r="L6985" s="675"/>
      <c r="M6985" s="675"/>
    </row>
    <row r="6986" spans="1:13" x14ac:dyDescent="0.25">
      <c r="A6986" s="675" t="s">
        <v>6944</v>
      </c>
      <c r="B6986" s="675" t="s">
        <v>564</v>
      </c>
      <c r="C6986" s="676" t="s">
        <v>6950</v>
      </c>
      <c r="D6986" s="675"/>
      <c r="E6986" s="675"/>
      <c r="G6986" s="675"/>
      <c r="H6986" s="675"/>
      <c r="I6986" s="675"/>
      <c r="J6986" s="675"/>
      <c r="K6986" s="675"/>
      <c r="L6986" s="675"/>
      <c r="M6986" s="675"/>
    </row>
    <row r="6987" spans="1:13" x14ac:dyDescent="0.25">
      <c r="A6987" s="675" t="s">
        <v>6944</v>
      </c>
      <c r="B6987" s="675" t="s">
        <v>564</v>
      </c>
      <c r="C6987" s="676" t="s">
        <v>6951</v>
      </c>
      <c r="D6987" s="675"/>
      <c r="E6987" s="675"/>
      <c r="G6987" s="675"/>
      <c r="H6987" s="675"/>
      <c r="I6987" s="675"/>
      <c r="J6987" s="675"/>
      <c r="K6987" s="675"/>
      <c r="L6987" s="675"/>
      <c r="M6987" s="675"/>
    </row>
    <row r="6988" spans="1:13" x14ac:dyDescent="0.25">
      <c r="A6988" s="675" t="s">
        <v>6944</v>
      </c>
      <c r="B6988" s="675" t="s">
        <v>564</v>
      </c>
      <c r="C6988" s="676" t="s">
        <v>6952</v>
      </c>
      <c r="D6988" s="675"/>
      <c r="E6988" s="675"/>
      <c r="G6988" s="675"/>
      <c r="H6988" s="675"/>
      <c r="I6988" s="675"/>
      <c r="J6988" s="675"/>
      <c r="K6988" s="675"/>
      <c r="L6988" s="675"/>
      <c r="M6988" s="675"/>
    </row>
    <row r="6989" spans="1:13" x14ac:dyDescent="0.25">
      <c r="A6989" s="675" t="s">
        <v>6944</v>
      </c>
      <c r="B6989" s="675" t="s">
        <v>564</v>
      </c>
      <c r="C6989" s="676" t="s">
        <v>6953</v>
      </c>
      <c r="D6989" s="675"/>
      <c r="E6989" s="675"/>
      <c r="G6989" s="675"/>
      <c r="H6989" s="675"/>
      <c r="I6989" s="675"/>
      <c r="J6989" s="675"/>
      <c r="K6989" s="675"/>
      <c r="L6989" s="675"/>
      <c r="M6989" s="675"/>
    </row>
    <row r="6990" spans="1:13" x14ac:dyDescent="0.25">
      <c r="A6990" s="675" t="s">
        <v>6944</v>
      </c>
      <c r="B6990" s="675" t="s">
        <v>564</v>
      </c>
      <c r="C6990" s="676" t="s">
        <v>6954</v>
      </c>
      <c r="D6990" s="675"/>
      <c r="E6990" s="675"/>
      <c r="G6990" s="675"/>
      <c r="H6990" s="675"/>
      <c r="I6990" s="675"/>
      <c r="J6990" s="675"/>
      <c r="K6990" s="675"/>
      <c r="L6990" s="675"/>
      <c r="M6990" s="675"/>
    </row>
    <row r="6991" spans="1:13" x14ac:dyDescent="0.25">
      <c r="A6991" s="675" t="s">
        <v>6944</v>
      </c>
      <c r="B6991" s="675" t="s">
        <v>512</v>
      </c>
      <c r="C6991" s="676" t="s">
        <v>6955</v>
      </c>
      <c r="D6991" s="675"/>
      <c r="E6991" s="675"/>
      <c r="G6991" s="675"/>
      <c r="H6991" s="675"/>
      <c r="I6991" s="675"/>
      <c r="J6991" s="675"/>
      <c r="K6991" s="675"/>
      <c r="L6991" s="675"/>
      <c r="M6991" s="675"/>
    </row>
    <row r="6992" spans="1:13" ht="30" x14ac:dyDescent="0.25">
      <c r="A6992" s="675" t="s">
        <v>6944</v>
      </c>
      <c r="B6992" s="675" t="s">
        <v>512</v>
      </c>
      <c r="C6992" s="676" t="s">
        <v>6956</v>
      </c>
      <c r="D6992" s="675"/>
      <c r="E6992" s="675"/>
      <c r="G6992" s="675"/>
      <c r="H6992" s="675"/>
      <c r="I6992" s="675"/>
      <c r="J6992" s="675"/>
      <c r="K6992" s="675"/>
      <c r="L6992" s="675"/>
      <c r="M6992" s="675"/>
    </row>
    <row r="6993" spans="1:13" x14ac:dyDescent="0.25">
      <c r="A6993" s="675" t="s">
        <v>6944</v>
      </c>
      <c r="B6993" s="675" t="s">
        <v>512</v>
      </c>
      <c r="C6993" s="676" t="s">
        <v>6957</v>
      </c>
      <c r="D6993" s="675"/>
      <c r="E6993" s="675"/>
      <c r="G6993" s="675"/>
      <c r="H6993" s="675"/>
      <c r="I6993" s="675"/>
      <c r="J6993" s="675"/>
      <c r="K6993" s="675"/>
      <c r="L6993" s="675"/>
      <c r="M6993" s="675"/>
    </row>
    <row r="6994" spans="1:13" x14ac:dyDescent="0.25">
      <c r="A6994" s="675" t="s">
        <v>6944</v>
      </c>
      <c r="B6994" s="675" t="s">
        <v>512</v>
      </c>
      <c r="C6994" s="676" t="s">
        <v>6958</v>
      </c>
      <c r="D6994" s="675"/>
      <c r="E6994" s="675"/>
      <c r="G6994" s="675"/>
      <c r="H6994" s="675"/>
      <c r="I6994" s="675"/>
      <c r="J6994" s="675"/>
      <c r="K6994" s="675"/>
      <c r="L6994" s="675"/>
      <c r="M6994" s="675"/>
    </row>
    <row r="6995" spans="1:13" x14ac:dyDescent="0.25">
      <c r="A6995" s="675" t="s">
        <v>6944</v>
      </c>
      <c r="B6995" s="675" t="s">
        <v>512</v>
      </c>
      <c r="C6995" s="676" t="s">
        <v>6959</v>
      </c>
      <c r="D6995" s="675"/>
      <c r="E6995" s="675"/>
      <c r="G6995" s="675"/>
      <c r="H6995" s="675"/>
      <c r="I6995" s="675"/>
      <c r="J6995" s="675"/>
      <c r="K6995" s="675"/>
      <c r="L6995" s="675"/>
      <c r="M6995" s="675"/>
    </row>
    <row r="6996" spans="1:13" x14ac:dyDescent="0.25">
      <c r="A6996" s="675" t="s">
        <v>6960</v>
      </c>
      <c r="B6996" s="675" t="s">
        <v>545</v>
      </c>
      <c r="C6996" s="676" t="s">
        <v>6961</v>
      </c>
      <c r="D6996" s="675"/>
      <c r="E6996" s="675"/>
      <c r="G6996" s="675"/>
      <c r="H6996" s="675"/>
      <c r="I6996" s="675"/>
      <c r="J6996" s="675"/>
      <c r="K6996" s="675"/>
      <c r="L6996" s="675"/>
      <c r="M6996" s="675"/>
    </row>
    <row r="6997" spans="1:13" x14ac:dyDescent="0.25">
      <c r="A6997" s="675" t="s">
        <v>6960</v>
      </c>
      <c r="B6997" s="675" t="s">
        <v>545</v>
      </c>
      <c r="C6997" s="676" t="s">
        <v>6962</v>
      </c>
      <c r="D6997" s="675"/>
      <c r="E6997" s="675"/>
      <c r="G6997" s="675"/>
      <c r="H6997" s="675"/>
      <c r="I6997" s="675"/>
      <c r="J6997" s="675"/>
      <c r="K6997" s="675"/>
      <c r="L6997" s="675"/>
      <c r="M6997" s="675"/>
    </row>
    <row r="6998" spans="1:13" x14ac:dyDescent="0.25">
      <c r="A6998" s="675" t="s">
        <v>6960</v>
      </c>
      <c r="B6998" s="675" t="s">
        <v>545</v>
      </c>
      <c r="C6998" s="676" t="s">
        <v>6963</v>
      </c>
      <c r="D6998" s="675"/>
      <c r="E6998" s="675"/>
      <c r="G6998" s="675"/>
      <c r="H6998" s="675"/>
      <c r="I6998" s="675"/>
      <c r="J6998" s="675"/>
      <c r="K6998" s="675"/>
      <c r="L6998" s="675"/>
      <c r="M6998" s="675"/>
    </row>
    <row r="6999" spans="1:13" x14ac:dyDescent="0.25">
      <c r="A6999" s="675" t="s">
        <v>6960</v>
      </c>
      <c r="B6999" s="675" t="s">
        <v>545</v>
      </c>
      <c r="C6999" s="676" t="s">
        <v>6964</v>
      </c>
      <c r="D6999" s="675"/>
      <c r="E6999" s="675"/>
      <c r="G6999" s="675"/>
      <c r="H6999" s="675"/>
      <c r="I6999" s="675"/>
      <c r="J6999" s="675"/>
      <c r="K6999" s="675"/>
      <c r="L6999" s="675"/>
      <c r="M6999" s="675"/>
    </row>
    <row r="7000" spans="1:13" x14ac:dyDescent="0.25">
      <c r="A7000" s="675" t="s">
        <v>6960</v>
      </c>
      <c r="B7000" s="675" t="s">
        <v>545</v>
      </c>
      <c r="C7000" s="676" t="s">
        <v>6965</v>
      </c>
      <c r="D7000" s="675"/>
      <c r="E7000" s="675"/>
      <c r="G7000" s="675"/>
      <c r="H7000" s="675"/>
      <c r="I7000" s="675"/>
      <c r="J7000" s="675"/>
      <c r="K7000" s="675"/>
      <c r="L7000" s="675"/>
      <c r="M7000" s="675"/>
    </row>
    <row r="7001" spans="1:13" x14ac:dyDescent="0.25">
      <c r="A7001" s="675" t="s">
        <v>6960</v>
      </c>
      <c r="B7001" s="675" t="s">
        <v>564</v>
      </c>
      <c r="C7001" s="675" t="s">
        <v>6966</v>
      </c>
      <c r="D7001" s="675"/>
      <c r="E7001" s="675"/>
      <c r="G7001" s="675"/>
      <c r="H7001" s="675"/>
      <c r="I7001" s="675"/>
      <c r="J7001" s="675"/>
      <c r="K7001" s="675"/>
      <c r="L7001" s="675"/>
      <c r="M7001" s="675"/>
    </row>
    <row r="7002" spans="1:13" x14ac:dyDescent="0.25">
      <c r="A7002" s="675" t="s">
        <v>6960</v>
      </c>
      <c r="B7002" s="675" t="s">
        <v>564</v>
      </c>
      <c r="C7002" s="675" t="s">
        <v>6967</v>
      </c>
      <c r="D7002" s="675"/>
      <c r="E7002" s="675"/>
      <c r="G7002" s="675"/>
      <c r="H7002" s="675"/>
      <c r="I7002" s="675"/>
      <c r="J7002" s="675"/>
      <c r="K7002" s="675"/>
      <c r="L7002" s="675"/>
      <c r="M7002" s="675"/>
    </row>
    <row r="7003" spans="1:13" x14ac:dyDescent="0.25">
      <c r="A7003" s="675" t="s">
        <v>6960</v>
      </c>
      <c r="B7003" s="675" t="s">
        <v>564</v>
      </c>
      <c r="C7003" s="675" t="s">
        <v>6968</v>
      </c>
      <c r="D7003" s="675"/>
      <c r="E7003" s="675"/>
      <c r="G7003" s="675"/>
      <c r="H7003" s="675"/>
      <c r="I7003" s="675"/>
      <c r="J7003" s="675"/>
      <c r="K7003" s="675"/>
      <c r="L7003" s="675"/>
      <c r="M7003" s="675"/>
    </row>
    <row r="7004" spans="1:13" x14ac:dyDescent="0.25">
      <c r="A7004" s="675" t="s">
        <v>6960</v>
      </c>
      <c r="B7004" s="675" t="s">
        <v>564</v>
      </c>
      <c r="C7004" s="675" t="s">
        <v>6969</v>
      </c>
      <c r="D7004" s="675"/>
      <c r="E7004" s="675"/>
      <c r="G7004" s="675"/>
      <c r="H7004" s="675"/>
      <c r="I7004" s="675"/>
      <c r="J7004" s="675"/>
      <c r="K7004" s="675"/>
      <c r="L7004" s="675"/>
      <c r="M7004" s="675"/>
    </row>
    <row r="7005" spans="1:13" x14ac:dyDescent="0.25">
      <c r="A7005" s="675" t="s">
        <v>6960</v>
      </c>
      <c r="B7005" s="675" t="s">
        <v>564</v>
      </c>
      <c r="C7005" s="675" t="s">
        <v>6970</v>
      </c>
      <c r="D7005" s="675"/>
      <c r="E7005" s="675"/>
      <c r="G7005" s="675"/>
      <c r="H7005" s="675"/>
      <c r="I7005" s="675"/>
      <c r="J7005" s="675"/>
      <c r="K7005" s="675"/>
      <c r="L7005" s="675"/>
      <c r="M7005" s="675"/>
    </row>
    <row r="7006" spans="1:13" x14ac:dyDescent="0.25">
      <c r="A7006" s="675" t="s">
        <v>6960</v>
      </c>
      <c r="B7006" s="675" t="s">
        <v>512</v>
      </c>
      <c r="C7006" s="675" t="s">
        <v>6971</v>
      </c>
      <c r="D7006" s="675"/>
      <c r="E7006" s="675"/>
      <c r="G7006" s="675"/>
      <c r="H7006" s="675"/>
      <c r="I7006" s="675"/>
      <c r="J7006" s="675"/>
      <c r="K7006" s="675"/>
      <c r="L7006" s="675"/>
      <c r="M7006" s="675"/>
    </row>
    <row r="7007" spans="1:13" x14ac:dyDescent="0.25">
      <c r="A7007" s="675" t="s">
        <v>6960</v>
      </c>
      <c r="B7007" s="675" t="s">
        <v>512</v>
      </c>
      <c r="C7007" s="675" t="s">
        <v>6972</v>
      </c>
      <c r="D7007" s="675"/>
      <c r="E7007" s="675"/>
      <c r="G7007" s="675"/>
      <c r="H7007" s="675"/>
      <c r="I7007" s="675"/>
      <c r="J7007" s="675"/>
      <c r="K7007" s="675"/>
      <c r="L7007" s="675"/>
      <c r="M7007" s="675"/>
    </row>
    <row r="7008" spans="1:13" x14ac:dyDescent="0.25">
      <c r="A7008" s="675" t="s">
        <v>6960</v>
      </c>
      <c r="B7008" s="675" t="s">
        <v>512</v>
      </c>
      <c r="C7008" s="675" t="s">
        <v>6973</v>
      </c>
      <c r="D7008" s="675"/>
      <c r="E7008" s="675"/>
      <c r="G7008" s="675"/>
      <c r="H7008" s="675"/>
      <c r="I7008" s="675"/>
      <c r="J7008" s="675"/>
      <c r="K7008" s="675"/>
      <c r="L7008" s="675"/>
      <c r="M7008" s="675"/>
    </row>
    <row r="7009" spans="1:13" x14ac:dyDescent="0.25">
      <c r="A7009" s="675" t="s">
        <v>6960</v>
      </c>
      <c r="B7009" s="675" t="s">
        <v>512</v>
      </c>
      <c r="C7009" s="675" t="s">
        <v>6974</v>
      </c>
      <c r="D7009" s="675"/>
      <c r="E7009" s="675"/>
      <c r="G7009" s="675"/>
      <c r="H7009" s="675"/>
      <c r="I7009" s="675"/>
      <c r="J7009" s="675"/>
      <c r="K7009" s="675"/>
      <c r="L7009" s="675"/>
      <c r="M7009" s="675"/>
    </row>
    <row r="7010" spans="1:13" x14ac:dyDescent="0.25">
      <c r="A7010" s="675" t="s">
        <v>6960</v>
      </c>
      <c r="B7010" s="675" t="s">
        <v>512</v>
      </c>
      <c r="C7010" s="675" t="s">
        <v>6975</v>
      </c>
      <c r="D7010" s="675"/>
      <c r="E7010" s="675"/>
      <c r="G7010" s="675"/>
      <c r="H7010" s="675"/>
      <c r="I7010" s="675"/>
      <c r="J7010" s="675"/>
      <c r="K7010" s="675"/>
      <c r="L7010" s="675"/>
      <c r="M7010" s="675"/>
    </row>
    <row r="7011" spans="1:13" ht="30" x14ac:dyDescent="0.25">
      <c r="A7011" s="675" t="s">
        <v>6976</v>
      </c>
      <c r="B7011" s="675" t="s">
        <v>545</v>
      </c>
      <c r="C7011" s="676" t="s">
        <v>6977</v>
      </c>
      <c r="D7011" s="675"/>
      <c r="E7011" s="675"/>
      <c r="G7011" s="675"/>
      <c r="H7011" s="675"/>
      <c r="I7011" s="675"/>
      <c r="J7011" s="675"/>
      <c r="K7011" s="675"/>
      <c r="L7011" s="675"/>
      <c r="M7011" s="675"/>
    </row>
    <row r="7012" spans="1:13" x14ac:dyDescent="0.25">
      <c r="A7012" s="675" t="s">
        <v>6976</v>
      </c>
      <c r="B7012" s="675" t="s">
        <v>545</v>
      </c>
      <c r="C7012" s="676" t="s">
        <v>6978</v>
      </c>
      <c r="D7012" s="675"/>
      <c r="E7012" s="675"/>
      <c r="G7012" s="675"/>
      <c r="H7012" s="675"/>
      <c r="I7012" s="675"/>
      <c r="J7012" s="675"/>
      <c r="K7012" s="675"/>
      <c r="L7012" s="675"/>
      <c r="M7012" s="675"/>
    </row>
    <row r="7013" spans="1:13" ht="30" x14ac:dyDescent="0.25">
      <c r="A7013" s="675" t="s">
        <v>6976</v>
      </c>
      <c r="B7013" s="675" t="s">
        <v>545</v>
      </c>
      <c r="C7013" s="676" t="s">
        <v>6979</v>
      </c>
      <c r="D7013" s="675"/>
      <c r="E7013" s="675"/>
      <c r="G7013" s="675"/>
      <c r="H7013" s="675"/>
      <c r="I7013" s="675"/>
      <c r="J7013" s="675"/>
      <c r="K7013" s="675"/>
      <c r="L7013" s="675"/>
      <c r="M7013" s="675"/>
    </row>
    <row r="7014" spans="1:13" x14ac:dyDescent="0.25">
      <c r="A7014" s="675" t="s">
        <v>6976</v>
      </c>
      <c r="B7014" s="675" t="s">
        <v>545</v>
      </c>
      <c r="C7014" s="676" t="s">
        <v>6980</v>
      </c>
      <c r="D7014" s="675"/>
      <c r="E7014" s="675"/>
      <c r="G7014" s="675"/>
      <c r="H7014" s="675"/>
      <c r="I7014" s="675"/>
      <c r="J7014" s="675"/>
      <c r="K7014" s="675"/>
      <c r="L7014" s="675"/>
      <c r="M7014" s="675"/>
    </row>
    <row r="7015" spans="1:13" x14ac:dyDescent="0.25">
      <c r="A7015" s="675" t="s">
        <v>6976</v>
      </c>
      <c r="B7015" s="675" t="s">
        <v>545</v>
      </c>
      <c r="C7015" s="676" t="s">
        <v>6981</v>
      </c>
      <c r="D7015" s="675"/>
      <c r="E7015" s="675"/>
      <c r="G7015" s="675"/>
      <c r="H7015" s="675"/>
      <c r="I7015" s="675"/>
      <c r="J7015" s="675"/>
      <c r="K7015" s="675"/>
      <c r="L7015" s="675"/>
      <c r="M7015" s="675"/>
    </row>
    <row r="7016" spans="1:13" x14ac:dyDescent="0.25">
      <c r="A7016" s="675" t="s">
        <v>6976</v>
      </c>
      <c r="B7016" s="675" t="s">
        <v>545</v>
      </c>
      <c r="C7016" s="676" t="s">
        <v>6982</v>
      </c>
      <c r="D7016" s="675"/>
      <c r="E7016" s="675"/>
      <c r="G7016" s="675"/>
      <c r="H7016" s="675"/>
      <c r="I7016" s="675"/>
      <c r="J7016" s="675"/>
      <c r="K7016" s="675"/>
      <c r="L7016" s="675"/>
      <c r="M7016" s="675"/>
    </row>
    <row r="7017" spans="1:13" ht="30" x14ac:dyDescent="0.25">
      <c r="A7017" s="675" t="s">
        <v>6976</v>
      </c>
      <c r="B7017" s="675" t="s">
        <v>564</v>
      </c>
      <c r="C7017" s="676" t="s">
        <v>6983</v>
      </c>
      <c r="D7017" s="675"/>
      <c r="E7017" s="675"/>
      <c r="G7017" s="675"/>
      <c r="H7017" s="675"/>
      <c r="I7017" s="675"/>
      <c r="J7017" s="675"/>
      <c r="K7017" s="675"/>
      <c r="L7017" s="675"/>
      <c r="M7017" s="675"/>
    </row>
    <row r="7018" spans="1:13" ht="30" x14ac:dyDescent="0.25">
      <c r="A7018" s="675" t="s">
        <v>6976</v>
      </c>
      <c r="B7018" s="675" t="s">
        <v>564</v>
      </c>
      <c r="C7018" s="676" t="s">
        <v>6984</v>
      </c>
      <c r="D7018" s="675"/>
      <c r="E7018" s="675"/>
      <c r="G7018" s="675"/>
      <c r="H7018" s="675"/>
      <c r="I7018" s="675"/>
      <c r="J7018" s="675"/>
      <c r="K7018" s="675"/>
      <c r="L7018" s="675"/>
      <c r="M7018" s="675"/>
    </row>
    <row r="7019" spans="1:13" x14ac:dyDescent="0.25">
      <c r="A7019" s="675" t="s">
        <v>6976</v>
      </c>
      <c r="B7019" s="675" t="s">
        <v>564</v>
      </c>
      <c r="C7019" s="676" t="s">
        <v>6985</v>
      </c>
      <c r="D7019" s="675"/>
      <c r="E7019" s="675"/>
      <c r="G7019" s="675"/>
      <c r="H7019" s="675"/>
      <c r="I7019" s="675"/>
      <c r="J7019" s="675"/>
      <c r="K7019" s="675"/>
      <c r="L7019" s="675"/>
      <c r="M7019" s="675"/>
    </row>
    <row r="7020" spans="1:13" x14ac:dyDescent="0.25">
      <c r="A7020" s="675" t="s">
        <v>6976</v>
      </c>
      <c r="B7020" s="675" t="s">
        <v>564</v>
      </c>
      <c r="C7020" s="676" t="s">
        <v>6986</v>
      </c>
      <c r="D7020" s="675"/>
      <c r="E7020" s="675"/>
      <c r="G7020" s="675"/>
      <c r="H7020" s="675"/>
      <c r="I7020" s="675"/>
      <c r="J7020" s="675"/>
      <c r="K7020" s="675"/>
      <c r="L7020" s="675"/>
      <c r="M7020" s="675"/>
    </row>
    <row r="7021" spans="1:13" x14ac:dyDescent="0.25">
      <c r="A7021" s="675" t="s">
        <v>6976</v>
      </c>
      <c r="B7021" s="675" t="s">
        <v>564</v>
      </c>
      <c r="C7021" s="676" t="s">
        <v>6987</v>
      </c>
      <c r="D7021" s="675"/>
      <c r="E7021" s="675"/>
      <c r="G7021" s="675"/>
      <c r="H7021" s="675"/>
      <c r="I7021" s="675"/>
      <c r="J7021" s="675"/>
      <c r="K7021" s="675"/>
      <c r="L7021" s="675"/>
      <c r="M7021" s="675"/>
    </row>
    <row r="7022" spans="1:13" x14ac:dyDescent="0.25">
      <c r="A7022" s="675" t="s">
        <v>6976</v>
      </c>
      <c r="B7022" s="675" t="s">
        <v>564</v>
      </c>
      <c r="C7022" s="676" t="s">
        <v>6988</v>
      </c>
      <c r="D7022" s="675"/>
      <c r="E7022" s="675"/>
      <c r="G7022" s="675"/>
      <c r="H7022" s="675"/>
      <c r="I7022" s="675"/>
      <c r="J7022" s="675"/>
      <c r="K7022" s="675"/>
      <c r="L7022" s="675"/>
      <c r="M7022" s="675"/>
    </row>
    <row r="7023" spans="1:13" x14ac:dyDescent="0.25">
      <c r="A7023" s="675" t="s">
        <v>6976</v>
      </c>
      <c r="B7023" s="675" t="s">
        <v>512</v>
      </c>
      <c r="C7023" s="676" t="s">
        <v>6989</v>
      </c>
      <c r="D7023" s="675"/>
      <c r="E7023" s="675"/>
      <c r="G7023" s="675"/>
      <c r="H7023" s="675"/>
      <c r="I7023" s="675"/>
      <c r="J7023" s="675"/>
      <c r="K7023" s="675"/>
      <c r="L7023" s="675"/>
      <c r="M7023" s="675"/>
    </row>
    <row r="7024" spans="1:13" x14ac:dyDescent="0.25">
      <c r="A7024" s="675" t="s">
        <v>6976</v>
      </c>
      <c r="B7024" s="675" t="s">
        <v>512</v>
      </c>
      <c r="C7024" s="676" t="s">
        <v>6990</v>
      </c>
      <c r="D7024" s="675"/>
      <c r="E7024" s="675"/>
      <c r="G7024" s="675"/>
      <c r="H7024" s="675"/>
      <c r="I7024" s="675"/>
      <c r="J7024" s="675"/>
      <c r="K7024" s="675"/>
      <c r="L7024" s="675"/>
      <c r="M7024" s="675"/>
    </row>
    <row r="7025" spans="1:13" x14ac:dyDescent="0.25">
      <c r="A7025" s="675" t="s">
        <v>6976</v>
      </c>
      <c r="B7025" s="675" t="s">
        <v>512</v>
      </c>
      <c r="C7025" s="676" t="s">
        <v>6991</v>
      </c>
      <c r="D7025" s="675"/>
      <c r="E7025" s="675"/>
      <c r="G7025" s="675"/>
      <c r="H7025" s="675"/>
      <c r="I7025" s="675"/>
      <c r="J7025" s="675"/>
      <c r="K7025" s="675"/>
      <c r="L7025" s="675"/>
      <c r="M7025" s="675"/>
    </row>
    <row r="7026" spans="1:13" x14ac:dyDescent="0.25">
      <c r="A7026" s="675" t="s">
        <v>6976</v>
      </c>
      <c r="B7026" s="675" t="s">
        <v>512</v>
      </c>
      <c r="C7026" s="676" t="s">
        <v>6992</v>
      </c>
      <c r="D7026" s="675"/>
      <c r="E7026" s="675"/>
      <c r="G7026" s="675"/>
      <c r="H7026" s="675"/>
      <c r="I7026" s="675"/>
      <c r="J7026" s="675"/>
      <c r="K7026" s="675"/>
      <c r="L7026" s="675"/>
      <c r="M7026" s="675"/>
    </row>
    <row r="7027" spans="1:13" x14ac:dyDescent="0.25">
      <c r="A7027" s="675" t="s">
        <v>6976</v>
      </c>
      <c r="B7027" s="675" t="s">
        <v>512</v>
      </c>
      <c r="C7027" s="676" t="s">
        <v>6993</v>
      </c>
      <c r="D7027" s="675"/>
      <c r="E7027" s="675"/>
      <c r="G7027" s="675"/>
      <c r="H7027" s="675"/>
      <c r="I7027" s="675"/>
      <c r="J7027" s="675"/>
      <c r="K7027" s="675"/>
      <c r="L7027" s="675"/>
      <c r="M7027" s="675"/>
    </row>
    <row r="7028" spans="1:13" x14ac:dyDescent="0.25">
      <c r="A7028" s="675" t="s">
        <v>6976</v>
      </c>
      <c r="B7028" s="675" t="s">
        <v>512</v>
      </c>
      <c r="C7028" s="676" t="s">
        <v>6994</v>
      </c>
      <c r="D7028" s="675"/>
      <c r="E7028" s="675"/>
      <c r="G7028" s="675"/>
      <c r="H7028" s="675"/>
      <c r="I7028" s="675"/>
      <c r="J7028" s="675"/>
      <c r="K7028" s="675"/>
      <c r="L7028" s="675"/>
      <c r="M7028" s="675"/>
    </row>
    <row r="7029" spans="1:13" x14ac:dyDescent="0.25">
      <c r="A7029" s="675" t="s">
        <v>6995</v>
      </c>
      <c r="B7029" s="675" t="s">
        <v>545</v>
      </c>
      <c r="C7029" s="676" t="s">
        <v>6996</v>
      </c>
      <c r="D7029" s="675"/>
      <c r="E7029" s="675"/>
      <c r="G7029" s="675"/>
      <c r="H7029" s="675"/>
      <c r="I7029" s="675"/>
      <c r="J7029" s="675"/>
      <c r="K7029" s="675"/>
      <c r="L7029" s="675"/>
      <c r="M7029" s="675"/>
    </row>
    <row r="7030" spans="1:13" x14ac:dyDescent="0.25">
      <c r="A7030" s="675" t="s">
        <v>6995</v>
      </c>
      <c r="B7030" s="675" t="s">
        <v>545</v>
      </c>
      <c r="C7030" s="676" t="s">
        <v>6997</v>
      </c>
      <c r="D7030" s="675"/>
      <c r="E7030" s="675"/>
      <c r="G7030" s="675"/>
      <c r="H7030" s="675"/>
      <c r="I7030" s="675"/>
      <c r="J7030" s="675"/>
      <c r="K7030" s="675"/>
      <c r="L7030" s="675"/>
      <c r="M7030" s="675"/>
    </row>
    <row r="7031" spans="1:13" x14ac:dyDescent="0.25">
      <c r="A7031" s="675" t="s">
        <v>6995</v>
      </c>
      <c r="B7031" s="675" t="s">
        <v>545</v>
      </c>
      <c r="C7031" s="676" t="s">
        <v>6998</v>
      </c>
      <c r="D7031" s="675"/>
      <c r="E7031" s="675"/>
      <c r="G7031" s="675"/>
      <c r="H7031" s="675"/>
      <c r="I7031" s="675"/>
      <c r="J7031" s="675"/>
      <c r="K7031" s="675"/>
      <c r="L7031" s="675"/>
      <c r="M7031" s="675"/>
    </row>
    <row r="7032" spans="1:13" x14ac:dyDescent="0.25">
      <c r="A7032" s="675" t="s">
        <v>6995</v>
      </c>
      <c r="B7032" s="675" t="s">
        <v>545</v>
      </c>
      <c r="C7032" s="676" t="s">
        <v>6999</v>
      </c>
      <c r="D7032" s="675"/>
      <c r="E7032" s="675"/>
      <c r="G7032" s="675"/>
      <c r="H7032" s="675"/>
      <c r="I7032" s="675"/>
      <c r="J7032" s="675"/>
      <c r="K7032" s="675"/>
      <c r="L7032" s="675"/>
      <c r="M7032" s="675"/>
    </row>
    <row r="7033" spans="1:13" x14ac:dyDescent="0.25">
      <c r="A7033" s="675" t="s">
        <v>6995</v>
      </c>
      <c r="B7033" s="675" t="s">
        <v>545</v>
      </c>
      <c r="C7033" s="676" t="s">
        <v>7000</v>
      </c>
      <c r="D7033" s="675"/>
      <c r="E7033" s="675"/>
      <c r="G7033" s="675"/>
      <c r="H7033" s="675"/>
      <c r="I7033" s="675"/>
      <c r="J7033" s="675"/>
      <c r="K7033" s="675"/>
      <c r="L7033" s="675"/>
      <c r="M7033" s="675"/>
    </row>
    <row r="7034" spans="1:13" x14ac:dyDescent="0.25">
      <c r="A7034" s="675" t="s">
        <v>6995</v>
      </c>
      <c r="B7034" s="675" t="s">
        <v>545</v>
      </c>
      <c r="C7034" s="676" t="s">
        <v>7001</v>
      </c>
      <c r="D7034" s="675"/>
      <c r="E7034" s="675"/>
      <c r="G7034" s="675"/>
      <c r="H7034" s="675"/>
      <c r="I7034" s="675"/>
      <c r="J7034" s="675"/>
      <c r="K7034" s="675"/>
      <c r="L7034" s="675"/>
      <c r="M7034" s="675"/>
    </row>
    <row r="7035" spans="1:13" x14ac:dyDescent="0.25">
      <c r="A7035" s="675" t="s">
        <v>6995</v>
      </c>
      <c r="B7035" s="675" t="s">
        <v>545</v>
      </c>
      <c r="C7035" s="676" t="s">
        <v>7002</v>
      </c>
      <c r="D7035" s="675"/>
      <c r="E7035" s="675"/>
      <c r="G7035" s="675"/>
      <c r="H7035" s="675"/>
      <c r="I7035" s="675"/>
      <c r="J7035" s="675"/>
      <c r="K7035" s="675"/>
      <c r="L7035" s="675"/>
      <c r="M7035" s="675"/>
    </row>
    <row r="7036" spans="1:13" x14ac:dyDescent="0.25">
      <c r="A7036" s="675" t="s">
        <v>6995</v>
      </c>
      <c r="B7036" s="675" t="s">
        <v>545</v>
      </c>
      <c r="C7036" s="676" t="s">
        <v>7003</v>
      </c>
      <c r="D7036" s="675"/>
      <c r="E7036" s="675"/>
      <c r="G7036" s="675"/>
      <c r="H7036" s="675"/>
      <c r="I7036" s="675"/>
      <c r="J7036" s="675"/>
      <c r="K7036" s="675"/>
      <c r="L7036" s="675"/>
      <c r="M7036" s="675"/>
    </row>
    <row r="7037" spans="1:13" x14ac:dyDescent="0.25">
      <c r="A7037" s="675" t="s">
        <v>6995</v>
      </c>
      <c r="B7037" s="675" t="s">
        <v>545</v>
      </c>
      <c r="C7037" s="676" t="s">
        <v>7004</v>
      </c>
      <c r="D7037" s="675"/>
      <c r="E7037" s="675"/>
      <c r="G7037" s="675"/>
      <c r="H7037" s="675"/>
      <c r="I7037" s="675"/>
      <c r="J7037" s="675"/>
      <c r="K7037" s="675"/>
      <c r="L7037" s="675"/>
      <c r="M7037" s="675"/>
    </row>
    <row r="7038" spans="1:13" x14ac:dyDescent="0.25">
      <c r="A7038" s="675" t="s">
        <v>6995</v>
      </c>
      <c r="B7038" s="675" t="s">
        <v>545</v>
      </c>
      <c r="C7038" s="676" t="s">
        <v>7005</v>
      </c>
      <c r="D7038" s="675"/>
      <c r="E7038" s="675"/>
      <c r="G7038" s="675"/>
      <c r="H7038" s="675"/>
      <c r="I7038" s="675"/>
      <c r="J7038" s="675"/>
      <c r="K7038" s="675"/>
      <c r="L7038" s="675"/>
      <c r="M7038" s="675"/>
    </row>
    <row r="7039" spans="1:13" x14ac:dyDescent="0.25">
      <c r="A7039" s="675" t="s">
        <v>6995</v>
      </c>
      <c r="B7039" s="675" t="s">
        <v>564</v>
      </c>
      <c r="C7039" s="676" t="s">
        <v>7006</v>
      </c>
      <c r="D7039" s="675"/>
      <c r="E7039" s="675"/>
      <c r="G7039" s="675"/>
      <c r="H7039" s="675"/>
      <c r="I7039" s="675"/>
      <c r="J7039" s="675"/>
      <c r="K7039" s="675"/>
      <c r="L7039" s="675"/>
      <c r="M7039" s="675"/>
    </row>
    <row r="7040" spans="1:13" x14ac:dyDescent="0.25">
      <c r="A7040" s="675" t="s">
        <v>6995</v>
      </c>
      <c r="B7040" s="675" t="s">
        <v>564</v>
      </c>
      <c r="C7040" s="676" t="s">
        <v>7007</v>
      </c>
      <c r="D7040" s="675"/>
      <c r="E7040" s="675"/>
      <c r="G7040" s="675"/>
      <c r="H7040" s="675"/>
      <c r="I7040" s="675"/>
      <c r="J7040" s="675"/>
      <c r="K7040" s="675"/>
      <c r="L7040" s="675"/>
      <c r="M7040" s="675"/>
    </row>
    <row r="7041" spans="1:13" x14ac:dyDescent="0.25">
      <c r="A7041" s="675" t="s">
        <v>6995</v>
      </c>
      <c r="B7041" s="675" t="s">
        <v>564</v>
      </c>
      <c r="C7041" s="676" t="s">
        <v>7008</v>
      </c>
      <c r="D7041" s="675"/>
      <c r="E7041" s="675"/>
      <c r="G7041" s="675"/>
      <c r="H7041" s="675"/>
      <c r="I7041" s="675"/>
      <c r="J7041" s="675"/>
      <c r="K7041" s="675"/>
      <c r="L7041" s="675"/>
      <c r="M7041" s="675"/>
    </row>
    <row r="7042" spans="1:13" x14ac:dyDescent="0.25">
      <c r="A7042" s="675" t="s">
        <v>6995</v>
      </c>
      <c r="B7042" s="675" t="s">
        <v>564</v>
      </c>
      <c r="C7042" s="676" t="s">
        <v>7009</v>
      </c>
      <c r="D7042" s="675"/>
      <c r="E7042" s="675"/>
      <c r="G7042" s="675"/>
      <c r="H7042" s="675"/>
      <c r="I7042" s="675"/>
      <c r="J7042" s="675"/>
      <c r="K7042" s="675"/>
      <c r="L7042" s="675"/>
      <c r="M7042" s="675"/>
    </row>
    <row r="7043" spans="1:13" x14ac:dyDescent="0.25">
      <c r="A7043" s="675" t="s">
        <v>6995</v>
      </c>
      <c r="B7043" s="675" t="s">
        <v>564</v>
      </c>
      <c r="C7043" s="676" t="s">
        <v>7010</v>
      </c>
      <c r="D7043" s="675"/>
      <c r="E7043" s="675"/>
      <c r="G7043" s="675"/>
      <c r="H7043" s="675"/>
      <c r="I7043" s="675"/>
      <c r="J7043" s="675"/>
      <c r="K7043" s="675"/>
      <c r="L7043" s="675"/>
      <c r="M7043" s="675"/>
    </row>
    <row r="7044" spans="1:13" x14ac:dyDescent="0.25">
      <c r="A7044" s="675" t="s">
        <v>6995</v>
      </c>
      <c r="B7044" s="675" t="s">
        <v>564</v>
      </c>
      <c r="C7044" s="676" t="s">
        <v>7011</v>
      </c>
      <c r="D7044" s="675"/>
      <c r="E7044" s="675"/>
      <c r="G7044" s="675"/>
      <c r="H7044" s="675"/>
      <c r="I7044" s="675"/>
      <c r="J7044" s="675"/>
      <c r="K7044" s="675"/>
      <c r="L7044" s="675"/>
      <c r="M7044" s="675"/>
    </row>
    <row r="7045" spans="1:13" x14ac:dyDescent="0.25">
      <c r="A7045" s="675" t="s">
        <v>6995</v>
      </c>
      <c r="B7045" s="675" t="s">
        <v>564</v>
      </c>
      <c r="C7045" s="676" t="s">
        <v>7012</v>
      </c>
      <c r="D7045" s="675"/>
      <c r="E7045" s="675"/>
      <c r="G7045" s="675"/>
      <c r="H7045" s="675"/>
      <c r="I7045" s="675"/>
      <c r="J7045" s="675"/>
      <c r="K7045" s="675"/>
      <c r="L7045" s="675"/>
      <c r="M7045" s="675"/>
    </row>
    <row r="7046" spans="1:13" x14ac:dyDescent="0.25">
      <c r="A7046" s="675" t="s">
        <v>6995</v>
      </c>
      <c r="B7046" s="675" t="s">
        <v>564</v>
      </c>
      <c r="C7046" s="676" t="s">
        <v>7013</v>
      </c>
      <c r="D7046" s="675"/>
      <c r="E7046" s="675"/>
      <c r="G7046" s="675"/>
      <c r="H7046" s="675"/>
      <c r="I7046" s="675"/>
      <c r="J7046" s="675"/>
      <c r="K7046" s="675"/>
      <c r="L7046" s="675"/>
      <c r="M7046" s="675"/>
    </row>
    <row r="7047" spans="1:13" x14ac:dyDescent="0.25">
      <c r="A7047" s="675" t="s">
        <v>6995</v>
      </c>
      <c r="B7047" s="675" t="s">
        <v>564</v>
      </c>
      <c r="C7047" s="676" t="s">
        <v>7014</v>
      </c>
      <c r="D7047" s="675"/>
      <c r="E7047" s="675"/>
      <c r="G7047" s="675"/>
      <c r="H7047" s="675"/>
      <c r="I7047" s="675"/>
      <c r="J7047" s="675"/>
      <c r="K7047" s="675"/>
      <c r="L7047" s="675"/>
      <c r="M7047" s="675"/>
    </row>
    <row r="7048" spans="1:13" x14ac:dyDescent="0.25">
      <c r="A7048" s="675" t="s">
        <v>6995</v>
      </c>
      <c r="B7048" s="675" t="s">
        <v>564</v>
      </c>
      <c r="C7048" s="676" t="s">
        <v>7015</v>
      </c>
      <c r="D7048" s="675"/>
      <c r="E7048" s="675"/>
      <c r="G7048" s="675"/>
      <c r="H7048" s="675"/>
      <c r="I7048" s="675"/>
      <c r="J7048" s="675"/>
      <c r="K7048" s="675"/>
      <c r="L7048" s="675"/>
      <c r="M7048" s="675"/>
    </row>
    <row r="7049" spans="1:13" x14ac:dyDescent="0.25">
      <c r="A7049" s="675" t="s">
        <v>6995</v>
      </c>
      <c r="B7049" s="675" t="s">
        <v>512</v>
      </c>
      <c r="C7049" s="676" t="s">
        <v>7016</v>
      </c>
      <c r="D7049" s="675"/>
      <c r="E7049" s="675"/>
      <c r="G7049" s="675"/>
      <c r="H7049" s="675"/>
      <c r="I7049" s="675"/>
      <c r="J7049" s="675"/>
      <c r="K7049" s="675"/>
      <c r="L7049" s="675"/>
      <c r="M7049" s="675"/>
    </row>
    <row r="7050" spans="1:13" x14ac:dyDescent="0.25">
      <c r="A7050" s="675" t="s">
        <v>6995</v>
      </c>
      <c r="B7050" s="675" t="s">
        <v>512</v>
      </c>
      <c r="C7050" s="676" t="s">
        <v>7017</v>
      </c>
      <c r="D7050" s="675"/>
      <c r="E7050" s="675"/>
      <c r="G7050" s="675"/>
      <c r="H7050" s="675"/>
      <c r="I7050" s="675"/>
      <c r="J7050" s="675"/>
      <c r="K7050" s="675"/>
      <c r="L7050" s="675"/>
      <c r="M7050" s="675"/>
    </row>
    <row r="7051" spans="1:13" x14ac:dyDescent="0.25">
      <c r="A7051" s="675" t="s">
        <v>6995</v>
      </c>
      <c r="B7051" s="675" t="s">
        <v>512</v>
      </c>
      <c r="C7051" s="676" t="s">
        <v>7018</v>
      </c>
      <c r="D7051" s="675"/>
      <c r="E7051" s="675"/>
      <c r="G7051" s="675"/>
      <c r="H7051" s="675"/>
      <c r="I7051" s="675"/>
      <c r="J7051" s="675"/>
      <c r="K7051" s="675"/>
      <c r="L7051" s="675"/>
      <c r="M7051" s="675"/>
    </row>
    <row r="7052" spans="1:13" x14ac:dyDescent="0.25">
      <c r="A7052" s="675" t="s">
        <v>6995</v>
      </c>
      <c r="B7052" s="675" t="s">
        <v>512</v>
      </c>
      <c r="C7052" s="676" t="s">
        <v>7019</v>
      </c>
      <c r="D7052" s="675"/>
      <c r="E7052" s="675"/>
      <c r="G7052" s="675"/>
      <c r="H7052" s="675"/>
      <c r="I7052" s="675"/>
      <c r="J7052" s="675"/>
      <c r="K7052" s="675"/>
      <c r="L7052" s="675"/>
      <c r="M7052" s="675"/>
    </row>
    <row r="7053" spans="1:13" x14ac:dyDescent="0.25">
      <c r="A7053" s="675" t="s">
        <v>6995</v>
      </c>
      <c r="B7053" s="675" t="s">
        <v>512</v>
      </c>
      <c r="C7053" s="676" t="s">
        <v>7020</v>
      </c>
      <c r="D7053" s="675"/>
      <c r="E7053" s="675"/>
      <c r="G7053" s="675"/>
      <c r="H7053" s="675"/>
      <c r="I7053" s="675"/>
      <c r="J7053" s="675"/>
      <c r="K7053" s="675"/>
      <c r="L7053" s="675"/>
      <c r="M7053" s="675"/>
    </row>
    <row r="7054" spans="1:13" x14ac:dyDescent="0.25">
      <c r="A7054" s="675" t="s">
        <v>6995</v>
      </c>
      <c r="B7054" s="675" t="s">
        <v>512</v>
      </c>
      <c r="C7054" s="676" t="s">
        <v>7021</v>
      </c>
      <c r="D7054" s="675"/>
      <c r="E7054" s="675"/>
      <c r="G7054" s="675"/>
      <c r="H7054" s="675"/>
      <c r="I7054" s="675"/>
      <c r="J7054" s="675"/>
      <c r="K7054" s="675"/>
      <c r="L7054" s="675"/>
      <c r="M7054" s="675"/>
    </row>
    <row r="7055" spans="1:13" x14ac:dyDescent="0.25">
      <c r="A7055" s="675" t="s">
        <v>6995</v>
      </c>
      <c r="B7055" s="675" t="s">
        <v>512</v>
      </c>
      <c r="C7055" s="676" t="s">
        <v>7022</v>
      </c>
      <c r="D7055" s="675"/>
      <c r="E7055" s="675"/>
      <c r="G7055" s="675"/>
      <c r="H7055" s="675"/>
      <c r="I7055" s="675"/>
      <c r="J7055" s="675"/>
      <c r="K7055" s="675"/>
      <c r="L7055" s="675"/>
      <c r="M7055" s="675"/>
    </row>
    <row r="7056" spans="1:13" x14ac:dyDescent="0.25">
      <c r="A7056" s="675" t="s">
        <v>6995</v>
      </c>
      <c r="B7056" s="675" t="s">
        <v>512</v>
      </c>
      <c r="C7056" s="676" t="s">
        <v>7023</v>
      </c>
      <c r="D7056" s="675"/>
      <c r="E7056" s="675"/>
      <c r="G7056" s="675"/>
      <c r="H7056" s="675"/>
      <c r="I7056" s="675"/>
      <c r="J7056" s="675"/>
      <c r="K7056" s="675"/>
      <c r="L7056" s="675"/>
      <c r="M7056" s="675"/>
    </row>
    <row r="7057" spans="1:13" x14ac:dyDescent="0.25">
      <c r="A7057" s="675" t="s">
        <v>6995</v>
      </c>
      <c r="B7057" s="675" t="s">
        <v>512</v>
      </c>
      <c r="C7057" s="676" t="s">
        <v>7024</v>
      </c>
      <c r="D7057" s="675"/>
      <c r="E7057" s="675"/>
      <c r="G7057" s="675"/>
      <c r="H7057" s="675"/>
      <c r="I7057" s="675"/>
      <c r="J7057" s="675"/>
      <c r="K7057" s="675"/>
      <c r="L7057" s="675"/>
      <c r="M7057" s="675"/>
    </row>
    <row r="7058" spans="1:13" x14ac:dyDescent="0.25">
      <c r="A7058" s="675" t="s">
        <v>6995</v>
      </c>
      <c r="B7058" s="675" t="s">
        <v>512</v>
      </c>
      <c r="C7058" s="676" t="s">
        <v>7025</v>
      </c>
      <c r="D7058" s="675"/>
      <c r="E7058" s="675"/>
      <c r="G7058" s="675"/>
      <c r="H7058" s="675"/>
      <c r="I7058" s="675"/>
      <c r="J7058" s="675"/>
      <c r="K7058" s="675"/>
      <c r="L7058" s="675"/>
      <c r="M7058" s="675"/>
    </row>
    <row r="7059" spans="1:13" x14ac:dyDescent="0.25">
      <c r="A7059" s="675" t="s">
        <v>7026</v>
      </c>
      <c r="B7059" s="675" t="s">
        <v>545</v>
      </c>
      <c r="C7059" s="676" t="s">
        <v>7027</v>
      </c>
      <c r="D7059" s="675"/>
      <c r="E7059" s="675"/>
      <c r="G7059" s="675"/>
      <c r="H7059" s="675"/>
      <c r="I7059" s="675"/>
      <c r="J7059" s="675"/>
      <c r="K7059" s="675"/>
      <c r="L7059" s="675"/>
      <c r="M7059" s="675"/>
    </row>
    <row r="7060" spans="1:13" x14ac:dyDescent="0.25">
      <c r="A7060" s="675" t="s">
        <v>7026</v>
      </c>
      <c r="B7060" s="675" t="s">
        <v>545</v>
      </c>
      <c r="C7060" s="676" t="s">
        <v>7028</v>
      </c>
      <c r="D7060" s="675"/>
      <c r="E7060" s="675"/>
      <c r="G7060" s="675"/>
      <c r="H7060" s="675"/>
      <c r="I7060" s="675"/>
      <c r="J7060" s="675"/>
      <c r="K7060" s="675"/>
      <c r="L7060" s="675"/>
      <c r="M7060" s="675"/>
    </row>
    <row r="7061" spans="1:13" x14ac:dyDescent="0.25">
      <c r="A7061" s="675" t="s">
        <v>7026</v>
      </c>
      <c r="B7061" s="675" t="s">
        <v>545</v>
      </c>
      <c r="C7061" s="676" t="s">
        <v>7029</v>
      </c>
      <c r="D7061" s="675"/>
      <c r="E7061" s="675"/>
      <c r="G7061" s="675"/>
      <c r="H7061" s="675"/>
      <c r="I7061" s="675"/>
      <c r="J7061" s="675"/>
      <c r="K7061" s="675"/>
      <c r="L7061" s="675"/>
      <c r="M7061" s="675"/>
    </row>
    <row r="7062" spans="1:13" x14ac:dyDescent="0.25">
      <c r="A7062" s="675" t="s">
        <v>7026</v>
      </c>
      <c r="B7062" s="675" t="s">
        <v>545</v>
      </c>
      <c r="C7062" s="676" t="s">
        <v>7030</v>
      </c>
      <c r="D7062" s="675"/>
      <c r="E7062" s="675"/>
      <c r="G7062" s="675"/>
      <c r="H7062" s="675"/>
      <c r="I7062" s="675"/>
      <c r="J7062" s="675"/>
      <c r="K7062" s="675"/>
      <c r="L7062" s="675"/>
      <c r="M7062" s="675"/>
    </row>
    <row r="7063" spans="1:13" x14ac:dyDescent="0.25">
      <c r="A7063" s="675" t="s">
        <v>7026</v>
      </c>
      <c r="B7063" s="675" t="s">
        <v>545</v>
      </c>
      <c r="C7063" s="676" t="s">
        <v>7031</v>
      </c>
      <c r="D7063" s="675"/>
      <c r="E7063" s="675"/>
      <c r="G7063" s="675"/>
      <c r="H7063" s="675"/>
      <c r="I7063" s="675"/>
      <c r="J7063" s="675"/>
      <c r="K7063" s="675"/>
      <c r="L7063" s="675"/>
      <c r="M7063" s="675"/>
    </row>
    <row r="7064" spans="1:13" x14ac:dyDescent="0.25">
      <c r="A7064" s="675" t="s">
        <v>7026</v>
      </c>
      <c r="B7064" s="675" t="s">
        <v>545</v>
      </c>
      <c r="C7064" s="676" t="s">
        <v>7032</v>
      </c>
      <c r="D7064" s="675"/>
      <c r="E7064" s="675"/>
      <c r="G7064" s="675"/>
      <c r="H7064" s="675"/>
      <c r="I7064" s="675"/>
      <c r="J7064" s="675"/>
      <c r="K7064" s="675"/>
      <c r="L7064" s="675"/>
      <c r="M7064" s="675"/>
    </row>
    <row r="7065" spans="1:13" x14ac:dyDescent="0.25">
      <c r="A7065" s="675" t="s">
        <v>7026</v>
      </c>
      <c r="B7065" s="675" t="s">
        <v>545</v>
      </c>
      <c r="C7065" s="676" t="s">
        <v>7033</v>
      </c>
      <c r="D7065" s="675"/>
      <c r="E7065" s="675"/>
      <c r="G7065" s="675"/>
      <c r="H7065" s="675"/>
      <c r="I7065" s="675"/>
      <c r="J7065" s="675"/>
      <c r="K7065" s="675"/>
      <c r="L7065" s="675"/>
      <c r="M7065" s="675"/>
    </row>
    <row r="7066" spans="1:13" x14ac:dyDescent="0.25">
      <c r="A7066" s="675" t="s">
        <v>7026</v>
      </c>
      <c r="B7066" s="675" t="s">
        <v>545</v>
      </c>
      <c r="C7066" s="676" t="s">
        <v>7034</v>
      </c>
      <c r="D7066" s="675"/>
      <c r="E7066" s="675"/>
      <c r="G7066" s="675"/>
      <c r="H7066" s="675"/>
      <c r="I7066" s="675"/>
      <c r="J7066" s="675"/>
      <c r="K7066" s="675"/>
      <c r="L7066" s="675"/>
      <c r="M7066" s="675"/>
    </row>
    <row r="7067" spans="1:13" x14ac:dyDescent="0.25">
      <c r="A7067" s="675" t="s">
        <v>7026</v>
      </c>
      <c r="B7067" s="675" t="s">
        <v>545</v>
      </c>
      <c r="C7067" s="676" t="s">
        <v>7035</v>
      </c>
      <c r="D7067" s="675"/>
      <c r="E7067" s="675"/>
      <c r="G7067" s="675"/>
      <c r="H7067" s="675"/>
      <c r="I7067" s="675"/>
      <c r="J7067" s="675"/>
      <c r="K7067" s="675"/>
      <c r="L7067" s="675"/>
      <c r="M7067" s="675"/>
    </row>
    <row r="7068" spans="1:13" x14ac:dyDescent="0.25">
      <c r="A7068" s="675" t="s">
        <v>7026</v>
      </c>
      <c r="B7068" s="675" t="s">
        <v>545</v>
      </c>
      <c r="C7068" s="676" t="s">
        <v>7036</v>
      </c>
      <c r="D7068" s="675"/>
      <c r="E7068" s="675"/>
      <c r="G7068" s="675"/>
      <c r="H7068" s="675"/>
      <c r="I7068" s="675"/>
      <c r="J7068" s="675"/>
      <c r="K7068" s="675"/>
      <c r="L7068" s="675"/>
      <c r="M7068" s="675"/>
    </row>
    <row r="7069" spans="1:13" x14ac:dyDescent="0.25">
      <c r="A7069" s="675" t="s">
        <v>7026</v>
      </c>
      <c r="B7069" s="675" t="s">
        <v>564</v>
      </c>
      <c r="C7069" s="676" t="s">
        <v>7037</v>
      </c>
      <c r="D7069" s="675"/>
      <c r="E7069" s="675"/>
      <c r="G7069" s="675"/>
      <c r="H7069" s="675"/>
      <c r="I7069" s="675"/>
      <c r="J7069" s="675"/>
      <c r="K7069" s="675"/>
      <c r="L7069" s="675"/>
      <c r="M7069" s="675"/>
    </row>
    <row r="7070" spans="1:13" x14ac:dyDescent="0.25">
      <c r="A7070" s="675" t="s">
        <v>7026</v>
      </c>
      <c r="B7070" s="675" t="s">
        <v>564</v>
      </c>
      <c r="C7070" s="676" t="s">
        <v>7038</v>
      </c>
      <c r="D7070" s="675"/>
      <c r="E7070" s="675"/>
      <c r="G7070" s="675"/>
      <c r="H7070" s="675"/>
      <c r="I7070" s="675"/>
      <c r="J7070" s="675"/>
      <c r="K7070" s="675"/>
      <c r="L7070" s="675"/>
      <c r="M7070" s="675"/>
    </row>
    <row r="7071" spans="1:13" x14ac:dyDescent="0.25">
      <c r="A7071" s="675" t="s">
        <v>7026</v>
      </c>
      <c r="B7071" s="675" t="s">
        <v>564</v>
      </c>
      <c r="C7071" s="676" t="s">
        <v>7039</v>
      </c>
      <c r="D7071" s="675"/>
      <c r="E7071" s="675"/>
      <c r="G7071" s="675"/>
      <c r="H7071" s="675"/>
      <c r="I7071" s="675"/>
      <c r="J7071" s="675"/>
      <c r="K7071" s="675"/>
      <c r="L7071" s="675"/>
      <c r="M7071" s="675"/>
    </row>
    <row r="7072" spans="1:13" x14ac:dyDescent="0.25">
      <c r="A7072" s="675" t="s">
        <v>7026</v>
      </c>
      <c r="B7072" s="675" t="s">
        <v>564</v>
      </c>
      <c r="C7072" s="676" t="s">
        <v>7040</v>
      </c>
      <c r="D7072" s="675"/>
      <c r="E7072" s="675"/>
      <c r="G7072" s="675"/>
      <c r="H7072" s="675"/>
      <c r="I7072" s="675"/>
      <c r="J7072" s="675"/>
      <c r="K7072" s="675"/>
      <c r="L7072" s="675"/>
      <c r="M7072" s="675"/>
    </row>
    <row r="7073" spans="1:13" x14ac:dyDescent="0.25">
      <c r="A7073" s="675" t="s">
        <v>7026</v>
      </c>
      <c r="B7073" s="675" t="s">
        <v>564</v>
      </c>
      <c r="C7073" s="676" t="s">
        <v>7041</v>
      </c>
      <c r="D7073" s="675"/>
      <c r="E7073" s="675"/>
      <c r="G7073" s="675"/>
      <c r="H7073" s="675"/>
      <c r="I7073" s="675"/>
      <c r="J7073" s="675"/>
      <c r="K7073" s="675"/>
      <c r="L7073" s="675"/>
      <c r="M7073" s="675"/>
    </row>
    <row r="7074" spans="1:13" x14ac:dyDescent="0.25">
      <c r="A7074" s="675" t="s">
        <v>7026</v>
      </c>
      <c r="B7074" s="675" t="s">
        <v>564</v>
      </c>
      <c r="C7074" s="676" t="s">
        <v>7042</v>
      </c>
      <c r="D7074" s="675"/>
      <c r="E7074" s="675"/>
      <c r="G7074" s="675"/>
      <c r="H7074" s="675"/>
      <c r="I7074" s="675"/>
      <c r="J7074" s="675"/>
      <c r="K7074" s="675"/>
      <c r="L7074" s="675"/>
      <c r="M7074" s="675"/>
    </row>
    <row r="7075" spans="1:13" x14ac:dyDescent="0.25">
      <c r="A7075" s="675" t="s">
        <v>7026</v>
      </c>
      <c r="B7075" s="675" t="s">
        <v>564</v>
      </c>
      <c r="C7075" s="676" t="s">
        <v>7043</v>
      </c>
      <c r="D7075" s="675"/>
      <c r="E7075" s="675"/>
      <c r="G7075" s="675"/>
      <c r="H7075" s="675"/>
      <c r="I7075" s="675"/>
      <c r="J7075" s="675"/>
      <c r="K7075" s="675"/>
      <c r="L7075" s="675"/>
      <c r="M7075" s="675"/>
    </row>
    <row r="7076" spans="1:13" x14ac:dyDescent="0.25">
      <c r="A7076" s="675" t="s">
        <v>7026</v>
      </c>
      <c r="B7076" s="675" t="s">
        <v>564</v>
      </c>
      <c r="C7076" s="676" t="s">
        <v>7044</v>
      </c>
      <c r="D7076" s="675"/>
      <c r="E7076" s="675"/>
      <c r="G7076" s="675"/>
      <c r="H7076" s="675"/>
      <c r="I7076" s="675"/>
      <c r="J7076" s="675"/>
      <c r="K7076" s="675"/>
      <c r="L7076" s="675"/>
      <c r="M7076" s="675"/>
    </row>
    <row r="7077" spans="1:13" x14ac:dyDescent="0.25">
      <c r="A7077" s="675" t="s">
        <v>7026</v>
      </c>
      <c r="B7077" s="675" t="s">
        <v>564</v>
      </c>
      <c r="C7077" s="676" t="s">
        <v>7045</v>
      </c>
      <c r="D7077" s="675"/>
      <c r="E7077" s="675"/>
      <c r="G7077" s="675"/>
      <c r="H7077" s="675"/>
      <c r="I7077" s="675"/>
      <c r="J7077" s="675"/>
      <c r="K7077" s="675"/>
      <c r="L7077" s="675"/>
      <c r="M7077" s="675"/>
    </row>
    <row r="7078" spans="1:13" x14ac:dyDescent="0.25">
      <c r="A7078" s="675" t="s">
        <v>7026</v>
      </c>
      <c r="B7078" s="675" t="s">
        <v>564</v>
      </c>
      <c r="C7078" s="676" t="s">
        <v>7046</v>
      </c>
      <c r="D7078" s="675"/>
      <c r="E7078" s="675"/>
      <c r="G7078" s="675"/>
      <c r="H7078" s="675"/>
      <c r="I7078" s="675"/>
      <c r="J7078" s="675"/>
      <c r="K7078" s="675"/>
      <c r="L7078" s="675"/>
      <c r="M7078" s="675"/>
    </row>
    <row r="7079" spans="1:13" x14ac:dyDescent="0.25">
      <c r="A7079" s="675" t="s">
        <v>7026</v>
      </c>
      <c r="B7079" s="675" t="s">
        <v>512</v>
      </c>
      <c r="C7079" s="676" t="s">
        <v>7047</v>
      </c>
      <c r="D7079" s="675"/>
      <c r="E7079" s="675"/>
      <c r="G7079" s="675"/>
      <c r="H7079" s="675"/>
      <c r="I7079" s="675"/>
      <c r="J7079" s="675"/>
      <c r="K7079" s="675"/>
      <c r="L7079" s="675"/>
      <c r="M7079" s="675"/>
    </row>
    <row r="7080" spans="1:13" x14ac:dyDescent="0.25">
      <c r="A7080" s="675" t="s">
        <v>7026</v>
      </c>
      <c r="B7080" s="675" t="s">
        <v>512</v>
      </c>
      <c r="C7080" s="676" t="s">
        <v>7048</v>
      </c>
      <c r="D7080" s="675"/>
      <c r="E7080" s="675"/>
      <c r="G7080" s="675"/>
      <c r="H7080" s="675"/>
      <c r="I7080" s="675"/>
      <c r="J7080" s="675"/>
      <c r="K7080" s="675"/>
      <c r="L7080" s="675"/>
      <c r="M7080" s="675"/>
    </row>
    <row r="7081" spans="1:13" x14ac:dyDescent="0.25">
      <c r="A7081" s="675" t="s">
        <v>7026</v>
      </c>
      <c r="B7081" s="675" t="s">
        <v>512</v>
      </c>
      <c r="C7081" s="676" t="s">
        <v>7049</v>
      </c>
      <c r="D7081" s="675"/>
      <c r="E7081" s="675"/>
      <c r="G7081" s="675"/>
      <c r="H7081" s="675"/>
      <c r="I7081" s="675"/>
      <c r="J7081" s="675"/>
      <c r="K7081" s="675"/>
      <c r="L7081" s="675"/>
      <c r="M7081" s="675"/>
    </row>
    <row r="7082" spans="1:13" x14ac:dyDescent="0.25">
      <c r="A7082" s="675" t="s">
        <v>7026</v>
      </c>
      <c r="B7082" s="675" t="s">
        <v>512</v>
      </c>
      <c r="C7082" s="676" t="s">
        <v>7050</v>
      </c>
      <c r="D7082" s="675"/>
      <c r="E7082" s="675"/>
      <c r="G7082" s="675"/>
      <c r="H7082" s="675"/>
      <c r="I7082" s="675"/>
      <c r="J7082" s="675"/>
      <c r="K7082" s="675"/>
      <c r="L7082" s="675"/>
      <c r="M7082" s="675"/>
    </row>
    <row r="7083" spans="1:13" x14ac:dyDescent="0.25">
      <c r="A7083" s="675" t="s">
        <v>7026</v>
      </c>
      <c r="B7083" s="675" t="s">
        <v>512</v>
      </c>
      <c r="C7083" s="676" t="s">
        <v>7051</v>
      </c>
      <c r="D7083" s="675"/>
      <c r="E7083" s="675"/>
      <c r="G7083" s="675"/>
      <c r="H7083" s="675"/>
      <c r="I7083" s="675"/>
      <c r="J7083" s="675"/>
      <c r="K7083" s="675"/>
      <c r="L7083" s="675"/>
      <c r="M7083" s="675"/>
    </row>
    <row r="7084" spans="1:13" x14ac:dyDescent="0.25">
      <c r="A7084" s="675" t="s">
        <v>7026</v>
      </c>
      <c r="B7084" s="675" t="s">
        <v>512</v>
      </c>
      <c r="C7084" s="676" t="s">
        <v>7052</v>
      </c>
      <c r="D7084" s="675"/>
      <c r="E7084" s="675"/>
      <c r="G7084" s="675"/>
      <c r="H7084" s="675"/>
      <c r="I7084" s="675"/>
      <c r="J7084" s="675"/>
      <c r="K7084" s="675"/>
      <c r="L7084" s="675"/>
      <c r="M7084" s="675"/>
    </row>
    <row r="7085" spans="1:13" x14ac:dyDescent="0.25">
      <c r="A7085" s="675" t="s">
        <v>7026</v>
      </c>
      <c r="B7085" s="675" t="s">
        <v>512</v>
      </c>
      <c r="C7085" s="676" t="s">
        <v>7053</v>
      </c>
      <c r="D7085" s="675"/>
      <c r="E7085" s="675"/>
      <c r="G7085" s="675"/>
      <c r="H7085" s="675"/>
      <c r="I7085" s="675"/>
      <c r="J7085" s="675"/>
      <c r="K7085" s="675"/>
      <c r="L7085" s="675"/>
      <c r="M7085" s="675"/>
    </row>
    <row r="7086" spans="1:13" x14ac:dyDescent="0.25">
      <c r="A7086" s="675" t="s">
        <v>7026</v>
      </c>
      <c r="B7086" s="675" t="s">
        <v>512</v>
      </c>
      <c r="C7086" s="676" t="s">
        <v>7054</v>
      </c>
      <c r="D7086" s="675"/>
      <c r="E7086" s="675"/>
      <c r="G7086" s="675"/>
      <c r="H7086" s="675"/>
      <c r="I7086" s="675"/>
      <c r="J7086" s="675"/>
      <c r="K7086" s="675"/>
      <c r="L7086" s="675"/>
      <c r="M7086" s="675"/>
    </row>
    <row r="7087" spans="1:13" x14ac:dyDescent="0.25">
      <c r="A7087" s="675" t="s">
        <v>7026</v>
      </c>
      <c r="B7087" s="675" t="s">
        <v>512</v>
      </c>
      <c r="C7087" s="676" t="s">
        <v>7055</v>
      </c>
      <c r="D7087" s="675"/>
      <c r="E7087" s="675"/>
      <c r="G7087" s="675"/>
      <c r="H7087" s="675"/>
      <c r="I7087" s="675"/>
      <c r="J7087" s="675"/>
      <c r="K7087" s="675"/>
      <c r="L7087" s="675"/>
      <c r="M7087" s="675"/>
    </row>
    <row r="7088" spans="1:13" x14ac:dyDescent="0.25">
      <c r="A7088" s="675" t="s">
        <v>7026</v>
      </c>
      <c r="B7088" s="675" t="s">
        <v>512</v>
      </c>
      <c r="C7088" s="676" t="s">
        <v>7056</v>
      </c>
      <c r="D7088" s="675"/>
      <c r="E7088" s="675"/>
      <c r="G7088" s="675"/>
      <c r="H7088" s="675"/>
      <c r="I7088" s="675"/>
      <c r="J7088" s="675"/>
      <c r="K7088" s="675"/>
      <c r="L7088" s="675"/>
      <c r="M7088" s="675"/>
    </row>
    <row r="7089" spans="1:13" x14ac:dyDescent="0.25">
      <c r="A7089" s="675" t="s">
        <v>7057</v>
      </c>
      <c r="B7089" s="675" t="s">
        <v>545</v>
      </c>
      <c r="C7089" s="676" t="s">
        <v>7058</v>
      </c>
      <c r="D7089" s="675"/>
      <c r="E7089" s="675"/>
      <c r="G7089" s="675"/>
      <c r="H7089" s="675"/>
      <c r="I7089" s="675"/>
      <c r="J7089" s="675"/>
      <c r="K7089" s="675"/>
      <c r="L7089" s="675"/>
      <c r="M7089" s="675"/>
    </row>
    <row r="7090" spans="1:13" x14ac:dyDescent="0.25">
      <c r="A7090" s="675" t="s">
        <v>7057</v>
      </c>
      <c r="B7090" s="675" t="s">
        <v>545</v>
      </c>
      <c r="C7090" s="676" t="s">
        <v>7059</v>
      </c>
      <c r="D7090" s="675"/>
      <c r="E7090" s="675"/>
      <c r="G7090" s="675"/>
      <c r="H7090" s="675"/>
      <c r="I7090" s="675"/>
      <c r="J7090" s="675"/>
      <c r="K7090" s="675"/>
      <c r="L7090" s="675"/>
      <c r="M7090" s="675"/>
    </row>
    <row r="7091" spans="1:13" x14ac:dyDescent="0.25">
      <c r="A7091" s="675" t="s">
        <v>7057</v>
      </c>
      <c r="B7091" s="675" t="s">
        <v>545</v>
      </c>
      <c r="C7091" s="676" t="s">
        <v>7060</v>
      </c>
      <c r="D7091" s="675"/>
      <c r="E7091" s="675"/>
      <c r="G7091" s="675"/>
      <c r="H7091" s="675"/>
      <c r="I7091" s="675"/>
      <c r="J7091" s="675"/>
      <c r="K7091" s="675"/>
      <c r="L7091" s="675"/>
      <c r="M7091" s="675"/>
    </row>
    <row r="7092" spans="1:13" x14ac:dyDescent="0.25">
      <c r="A7092" s="675" t="s">
        <v>7057</v>
      </c>
      <c r="B7092" s="675" t="s">
        <v>545</v>
      </c>
      <c r="C7092" s="676" t="s">
        <v>7061</v>
      </c>
      <c r="D7092" s="675"/>
      <c r="E7092" s="675"/>
      <c r="G7092" s="675"/>
      <c r="H7092" s="675"/>
      <c r="I7092" s="675"/>
      <c r="J7092" s="675"/>
      <c r="K7092" s="675"/>
      <c r="L7092" s="675"/>
      <c r="M7092" s="675"/>
    </row>
    <row r="7093" spans="1:13" x14ac:dyDescent="0.25">
      <c r="A7093" s="675" t="s">
        <v>7057</v>
      </c>
      <c r="B7093" s="675" t="s">
        <v>545</v>
      </c>
      <c r="C7093" s="676" t="s">
        <v>7062</v>
      </c>
      <c r="D7093" s="675"/>
      <c r="E7093" s="675"/>
      <c r="G7093" s="675"/>
      <c r="H7093" s="675"/>
      <c r="I7093" s="675"/>
      <c r="J7093" s="675"/>
      <c r="K7093" s="675"/>
      <c r="L7093" s="675"/>
      <c r="M7093" s="675"/>
    </row>
    <row r="7094" spans="1:13" x14ac:dyDescent="0.25">
      <c r="A7094" s="675" t="s">
        <v>7057</v>
      </c>
      <c r="B7094" s="675" t="s">
        <v>545</v>
      </c>
      <c r="C7094" s="676" t="s">
        <v>7063</v>
      </c>
      <c r="D7094" s="675"/>
      <c r="E7094" s="675"/>
      <c r="G7094" s="675"/>
      <c r="H7094" s="675"/>
      <c r="I7094" s="675"/>
      <c r="J7094" s="675"/>
      <c r="K7094" s="675"/>
      <c r="L7094" s="675"/>
      <c r="M7094" s="675"/>
    </row>
    <row r="7095" spans="1:13" x14ac:dyDescent="0.25">
      <c r="A7095" s="675" t="s">
        <v>7057</v>
      </c>
      <c r="B7095" s="675" t="s">
        <v>545</v>
      </c>
      <c r="C7095" s="676" t="s">
        <v>7064</v>
      </c>
      <c r="D7095" s="675"/>
      <c r="E7095" s="675"/>
      <c r="G7095" s="675"/>
      <c r="H7095" s="675"/>
      <c r="I7095" s="675"/>
      <c r="J7095" s="675"/>
      <c r="K7095" s="675"/>
      <c r="L7095" s="675"/>
      <c r="M7095" s="675"/>
    </row>
    <row r="7096" spans="1:13" x14ac:dyDescent="0.25">
      <c r="A7096" s="675" t="s">
        <v>7057</v>
      </c>
      <c r="B7096" s="675" t="s">
        <v>545</v>
      </c>
      <c r="C7096" s="676" t="s">
        <v>7065</v>
      </c>
      <c r="D7096" s="675"/>
      <c r="E7096" s="675"/>
      <c r="G7096" s="675"/>
      <c r="H7096" s="675"/>
      <c r="I7096" s="675"/>
      <c r="J7096" s="675"/>
      <c r="K7096" s="675"/>
      <c r="L7096" s="675"/>
      <c r="M7096" s="675"/>
    </row>
    <row r="7097" spans="1:13" x14ac:dyDescent="0.25">
      <c r="A7097" s="675" t="s">
        <v>7057</v>
      </c>
      <c r="B7097" s="675" t="s">
        <v>545</v>
      </c>
      <c r="C7097" s="676" t="s">
        <v>7066</v>
      </c>
      <c r="D7097" s="675"/>
      <c r="E7097" s="675"/>
      <c r="G7097" s="675"/>
      <c r="H7097" s="675"/>
      <c r="I7097" s="675"/>
      <c r="J7097" s="675"/>
      <c r="K7097" s="675"/>
      <c r="L7097" s="675"/>
      <c r="M7097" s="675"/>
    </row>
    <row r="7098" spans="1:13" x14ac:dyDescent="0.25">
      <c r="A7098" s="675" t="s">
        <v>7057</v>
      </c>
      <c r="B7098" s="675" t="s">
        <v>545</v>
      </c>
      <c r="C7098" s="676" t="s">
        <v>7067</v>
      </c>
      <c r="D7098" s="675"/>
      <c r="E7098" s="675"/>
      <c r="G7098" s="675"/>
      <c r="H7098" s="675"/>
      <c r="I7098" s="675"/>
      <c r="J7098" s="675"/>
      <c r="K7098" s="675"/>
      <c r="L7098" s="675"/>
      <c r="M7098" s="675"/>
    </row>
    <row r="7099" spans="1:13" x14ac:dyDescent="0.25">
      <c r="A7099" s="675" t="s">
        <v>7057</v>
      </c>
      <c r="B7099" s="675" t="s">
        <v>564</v>
      </c>
      <c r="C7099" s="676" t="s">
        <v>7068</v>
      </c>
      <c r="D7099" s="675"/>
      <c r="E7099" s="675"/>
      <c r="G7099" s="675"/>
      <c r="H7099" s="675"/>
      <c r="I7099" s="675"/>
      <c r="J7099" s="675"/>
      <c r="K7099" s="675"/>
      <c r="L7099" s="675"/>
      <c r="M7099" s="675"/>
    </row>
    <row r="7100" spans="1:13" x14ac:dyDescent="0.25">
      <c r="A7100" s="675" t="s">
        <v>7057</v>
      </c>
      <c r="B7100" s="675" t="s">
        <v>564</v>
      </c>
      <c r="C7100" s="676" t="s">
        <v>7069</v>
      </c>
      <c r="D7100" s="675"/>
      <c r="E7100" s="675"/>
      <c r="G7100" s="675"/>
      <c r="H7100" s="675"/>
      <c r="I7100" s="675"/>
      <c r="J7100" s="675"/>
      <c r="K7100" s="675"/>
      <c r="L7100" s="675"/>
      <c r="M7100" s="675"/>
    </row>
    <row r="7101" spans="1:13" x14ac:dyDescent="0.25">
      <c r="A7101" s="675" t="s">
        <v>7057</v>
      </c>
      <c r="B7101" s="675" t="s">
        <v>564</v>
      </c>
      <c r="C7101" s="676" t="s">
        <v>7070</v>
      </c>
      <c r="D7101" s="675"/>
      <c r="E7101" s="675"/>
      <c r="G7101" s="675"/>
      <c r="H7101" s="675"/>
      <c r="I7101" s="675"/>
      <c r="J7101" s="675"/>
      <c r="K7101" s="675"/>
      <c r="L7101" s="675"/>
      <c r="M7101" s="675"/>
    </row>
    <row r="7102" spans="1:13" x14ac:dyDescent="0.25">
      <c r="A7102" s="675" t="s">
        <v>7057</v>
      </c>
      <c r="B7102" s="675" t="s">
        <v>564</v>
      </c>
      <c r="C7102" s="676" t="s">
        <v>7071</v>
      </c>
      <c r="D7102" s="675"/>
      <c r="E7102" s="675"/>
      <c r="G7102" s="675"/>
      <c r="H7102" s="675"/>
      <c r="I7102" s="675"/>
      <c r="J7102" s="675"/>
      <c r="K7102" s="675"/>
      <c r="L7102" s="675"/>
      <c r="M7102" s="675"/>
    </row>
    <row r="7103" spans="1:13" x14ac:dyDescent="0.25">
      <c r="A7103" s="675" t="s">
        <v>7057</v>
      </c>
      <c r="B7103" s="675" t="s">
        <v>564</v>
      </c>
      <c r="C7103" s="676" t="s">
        <v>7072</v>
      </c>
      <c r="D7103" s="675"/>
      <c r="E7103" s="675"/>
      <c r="G7103" s="675"/>
      <c r="H7103" s="675"/>
      <c r="I7103" s="675"/>
      <c r="J7103" s="675"/>
      <c r="K7103" s="675"/>
      <c r="L7103" s="675"/>
      <c r="M7103" s="675"/>
    </row>
    <row r="7104" spans="1:13" x14ac:dyDescent="0.25">
      <c r="A7104" s="675" t="s">
        <v>7057</v>
      </c>
      <c r="B7104" s="675" t="s">
        <v>564</v>
      </c>
      <c r="C7104" s="676" t="s">
        <v>7073</v>
      </c>
      <c r="D7104" s="675"/>
      <c r="E7104" s="675"/>
      <c r="G7104" s="675"/>
      <c r="H7104" s="675"/>
      <c r="I7104" s="675"/>
      <c r="J7104" s="675"/>
      <c r="K7104" s="675"/>
      <c r="L7104" s="675"/>
      <c r="M7104" s="675"/>
    </row>
    <row r="7105" spans="1:13" x14ac:dyDescent="0.25">
      <c r="A7105" s="675" t="s">
        <v>7057</v>
      </c>
      <c r="B7105" s="675" t="s">
        <v>564</v>
      </c>
      <c r="C7105" s="676" t="s">
        <v>7074</v>
      </c>
      <c r="D7105" s="675"/>
      <c r="E7105" s="675"/>
      <c r="G7105" s="675"/>
      <c r="H7105" s="675"/>
      <c r="I7105" s="675"/>
      <c r="J7105" s="675"/>
      <c r="K7105" s="675"/>
      <c r="L7105" s="675"/>
      <c r="M7105" s="675"/>
    </row>
    <row r="7106" spans="1:13" x14ac:dyDescent="0.25">
      <c r="A7106" s="675" t="s">
        <v>7057</v>
      </c>
      <c r="B7106" s="675" t="s">
        <v>564</v>
      </c>
      <c r="C7106" s="676" t="s">
        <v>7075</v>
      </c>
      <c r="D7106" s="675"/>
      <c r="E7106" s="675"/>
      <c r="G7106" s="675"/>
      <c r="H7106" s="675"/>
      <c r="I7106" s="675"/>
      <c r="J7106" s="675"/>
      <c r="K7106" s="675"/>
      <c r="L7106" s="675"/>
      <c r="M7106" s="675"/>
    </row>
    <row r="7107" spans="1:13" x14ac:dyDescent="0.25">
      <c r="A7107" s="675" t="s">
        <v>7057</v>
      </c>
      <c r="B7107" s="675" t="s">
        <v>564</v>
      </c>
      <c r="C7107" s="676" t="s">
        <v>7076</v>
      </c>
      <c r="D7107" s="675"/>
      <c r="E7107" s="675"/>
      <c r="G7107" s="675"/>
      <c r="H7107" s="675"/>
      <c r="I7107" s="675"/>
      <c r="J7107" s="675"/>
      <c r="K7107" s="675"/>
      <c r="L7107" s="675"/>
      <c r="M7107" s="675"/>
    </row>
    <row r="7108" spans="1:13" x14ac:dyDescent="0.25">
      <c r="A7108" s="675" t="s">
        <v>7057</v>
      </c>
      <c r="B7108" s="675" t="s">
        <v>564</v>
      </c>
      <c r="C7108" s="676" t="s">
        <v>7077</v>
      </c>
      <c r="D7108" s="675"/>
      <c r="E7108" s="675"/>
      <c r="G7108" s="675"/>
      <c r="H7108" s="675"/>
      <c r="I7108" s="675"/>
      <c r="J7108" s="675"/>
      <c r="K7108" s="675"/>
      <c r="L7108" s="675"/>
      <c r="M7108" s="675"/>
    </row>
    <row r="7109" spans="1:13" x14ac:dyDescent="0.25">
      <c r="A7109" s="675" t="s">
        <v>7057</v>
      </c>
      <c r="B7109" s="675" t="s">
        <v>512</v>
      </c>
      <c r="C7109" s="676" t="s">
        <v>7078</v>
      </c>
      <c r="D7109" s="675"/>
      <c r="E7109" s="675"/>
      <c r="G7109" s="675"/>
      <c r="H7109" s="675"/>
      <c r="I7109" s="675"/>
      <c r="J7109" s="675"/>
      <c r="K7109" s="675"/>
      <c r="L7109" s="675"/>
      <c r="M7109" s="675"/>
    </row>
    <row r="7110" spans="1:13" x14ac:dyDescent="0.25">
      <c r="A7110" s="675" t="s">
        <v>7057</v>
      </c>
      <c r="B7110" s="675" t="s">
        <v>512</v>
      </c>
      <c r="C7110" s="676" t="s">
        <v>7079</v>
      </c>
      <c r="D7110" s="675"/>
      <c r="E7110" s="675"/>
      <c r="G7110" s="675"/>
      <c r="H7110" s="675"/>
      <c r="I7110" s="675"/>
      <c r="J7110" s="675"/>
      <c r="K7110" s="675"/>
      <c r="L7110" s="675"/>
      <c r="M7110" s="675"/>
    </row>
    <row r="7111" spans="1:13" x14ac:dyDescent="0.25">
      <c r="A7111" s="675" t="s">
        <v>7057</v>
      </c>
      <c r="B7111" s="675" t="s">
        <v>512</v>
      </c>
      <c r="C7111" s="676" t="s">
        <v>7080</v>
      </c>
      <c r="D7111" s="675"/>
      <c r="E7111" s="675"/>
      <c r="G7111" s="675"/>
      <c r="H7111" s="675"/>
      <c r="I7111" s="675"/>
      <c r="J7111" s="675"/>
      <c r="K7111" s="675"/>
      <c r="L7111" s="675"/>
      <c r="M7111" s="675"/>
    </row>
    <row r="7112" spans="1:13" x14ac:dyDescent="0.25">
      <c r="A7112" s="675" t="s">
        <v>7057</v>
      </c>
      <c r="B7112" s="675" t="s">
        <v>512</v>
      </c>
      <c r="C7112" s="676" t="s">
        <v>7081</v>
      </c>
      <c r="D7112" s="675"/>
      <c r="E7112" s="675"/>
      <c r="G7112" s="675"/>
      <c r="H7112" s="675"/>
      <c r="I7112" s="675"/>
      <c r="J7112" s="675"/>
      <c r="K7112" s="675"/>
      <c r="L7112" s="675"/>
      <c r="M7112" s="675"/>
    </row>
    <row r="7113" spans="1:13" x14ac:dyDescent="0.25">
      <c r="A7113" s="675" t="s">
        <v>7057</v>
      </c>
      <c r="B7113" s="675" t="s">
        <v>512</v>
      </c>
      <c r="C7113" s="676" t="s">
        <v>7082</v>
      </c>
      <c r="D7113" s="675"/>
      <c r="E7113" s="675"/>
      <c r="G7113" s="675"/>
      <c r="H7113" s="675"/>
      <c r="I7113" s="675"/>
      <c r="J7113" s="675"/>
      <c r="K7113" s="675"/>
      <c r="L7113" s="675"/>
      <c r="M7113" s="675"/>
    </row>
    <row r="7114" spans="1:13" x14ac:dyDescent="0.25">
      <c r="A7114" s="675" t="s">
        <v>7057</v>
      </c>
      <c r="B7114" s="675" t="s">
        <v>512</v>
      </c>
      <c r="C7114" s="676" t="s">
        <v>7083</v>
      </c>
      <c r="D7114" s="675"/>
      <c r="E7114" s="675"/>
      <c r="G7114" s="675"/>
      <c r="H7114" s="675"/>
      <c r="I7114" s="675"/>
      <c r="J7114" s="675"/>
      <c r="K7114" s="675"/>
      <c r="L7114" s="675"/>
      <c r="M7114" s="675"/>
    </row>
    <row r="7115" spans="1:13" x14ac:dyDescent="0.25">
      <c r="A7115" s="675" t="s">
        <v>7057</v>
      </c>
      <c r="B7115" s="675" t="s">
        <v>512</v>
      </c>
      <c r="C7115" s="676" t="s">
        <v>7084</v>
      </c>
      <c r="D7115" s="675"/>
      <c r="E7115" s="675"/>
      <c r="G7115" s="675"/>
      <c r="H7115" s="675"/>
      <c r="I7115" s="675"/>
      <c r="J7115" s="675"/>
      <c r="K7115" s="675"/>
      <c r="L7115" s="675"/>
      <c r="M7115" s="675"/>
    </row>
    <row r="7116" spans="1:13" x14ac:dyDescent="0.25">
      <c r="A7116" s="675" t="s">
        <v>7057</v>
      </c>
      <c r="B7116" s="675" t="s">
        <v>512</v>
      </c>
      <c r="C7116" s="676" t="s">
        <v>7085</v>
      </c>
      <c r="D7116" s="675"/>
      <c r="E7116" s="675"/>
      <c r="G7116" s="675"/>
      <c r="H7116" s="675"/>
      <c r="I7116" s="675"/>
      <c r="J7116" s="675"/>
      <c r="K7116" s="675"/>
      <c r="L7116" s="675"/>
      <c r="M7116" s="675"/>
    </row>
    <row r="7117" spans="1:13" x14ac:dyDescent="0.25">
      <c r="A7117" s="675" t="s">
        <v>7057</v>
      </c>
      <c r="B7117" s="675" t="s">
        <v>512</v>
      </c>
      <c r="C7117" s="676" t="s">
        <v>7086</v>
      </c>
      <c r="D7117" s="675"/>
      <c r="E7117" s="675"/>
      <c r="G7117" s="675"/>
      <c r="H7117" s="675"/>
      <c r="I7117" s="675"/>
      <c r="J7117" s="675"/>
      <c r="K7117" s="675"/>
      <c r="L7117" s="675"/>
      <c r="M7117" s="675"/>
    </row>
    <row r="7118" spans="1:13" x14ac:dyDescent="0.25">
      <c r="A7118" s="675" t="s">
        <v>7057</v>
      </c>
      <c r="B7118" s="675" t="s">
        <v>512</v>
      </c>
      <c r="C7118" s="676" t="s">
        <v>7087</v>
      </c>
      <c r="D7118" s="675"/>
      <c r="E7118" s="675"/>
      <c r="G7118" s="675"/>
      <c r="H7118" s="675"/>
      <c r="I7118" s="675"/>
      <c r="J7118" s="675"/>
      <c r="K7118" s="675"/>
      <c r="L7118" s="675"/>
      <c r="M7118" s="675"/>
    </row>
    <row r="7119" spans="1:13" x14ac:dyDescent="0.25">
      <c r="A7119" s="675" t="s">
        <v>7088</v>
      </c>
      <c r="B7119" s="675" t="s">
        <v>545</v>
      </c>
      <c r="C7119" s="676" t="s">
        <v>7089</v>
      </c>
      <c r="D7119" s="675"/>
      <c r="E7119" s="675"/>
      <c r="G7119" s="675"/>
      <c r="H7119" s="675"/>
      <c r="I7119" s="675"/>
      <c r="J7119" s="675"/>
      <c r="K7119" s="675"/>
      <c r="L7119" s="675"/>
      <c r="M7119" s="675"/>
    </row>
    <row r="7120" spans="1:13" x14ac:dyDescent="0.25">
      <c r="A7120" s="675" t="s">
        <v>7088</v>
      </c>
      <c r="B7120" s="675" t="s">
        <v>545</v>
      </c>
      <c r="C7120" s="676" t="s">
        <v>7090</v>
      </c>
      <c r="D7120" s="675"/>
      <c r="E7120" s="675"/>
      <c r="G7120" s="675"/>
      <c r="H7120" s="675"/>
      <c r="I7120" s="675"/>
      <c r="J7120" s="675"/>
      <c r="K7120" s="675"/>
      <c r="L7120" s="675"/>
      <c r="M7120" s="675"/>
    </row>
    <row r="7121" spans="1:13" x14ac:dyDescent="0.25">
      <c r="A7121" s="675" t="s">
        <v>7088</v>
      </c>
      <c r="B7121" s="675" t="s">
        <v>545</v>
      </c>
      <c r="C7121" s="676" t="s">
        <v>7091</v>
      </c>
      <c r="D7121" s="675"/>
      <c r="E7121" s="675"/>
      <c r="G7121" s="675"/>
      <c r="H7121" s="675"/>
      <c r="I7121" s="675"/>
      <c r="J7121" s="675"/>
      <c r="K7121" s="675"/>
      <c r="L7121" s="675"/>
      <c r="M7121" s="675"/>
    </row>
    <row r="7122" spans="1:13" x14ac:dyDescent="0.25">
      <c r="A7122" s="675" t="s">
        <v>7088</v>
      </c>
      <c r="B7122" s="675" t="s">
        <v>545</v>
      </c>
      <c r="C7122" s="676" t="s">
        <v>7092</v>
      </c>
      <c r="D7122" s="675"/>
      <c r="E7122" s="675"/>
      <c r="G7122" s="675"/>
      <c r="H7122" s="675"/>
      <c r="I7122" s="675"/>
      <c r="J7122" s="675"/>
      <c r="K7122" s="675"/>
      <c r="L7122" s="675"/>
      <c r="M7122" s="675"/>
    </row>
    <row r="7123" spans="1:13" x14ac:dyDescent="0.25">
      <c r="A7123" s="675" t="s">
        <v>7088</v>
      </c>
      <c r="B7123" s="675" t="s">
        <v>545</v>
      </c>
      <c r="C7123" s="676" t="s">
        <v>7093</v>
      </c>
      <c r="D7123" s="675"/>
      <c r="E7123" s="675"/>
      <c r="G7123" s="675"/>
      <c r="H7123" s="675"/>
      <c r="I7123" s="675"/>
      <c r="J7123" s="675"/>
      <c r="K7123" s="675"/>
      <c r="L7123" s="675"/>
      <c r="M7123" s="675"/>
    </row>
    <row r="7124" spans="1:13" x14ac:dyDescent="0.25">
      <c r="A7124" s="675" t="s">
        <v>7088</v>
      </c>
      <c r="B7124" s="675" t="s">
        <v>545</v>
      </c>
      <c r="C7124" s="676" t="s">
        <v>7094</v>
      </c>
      <c r="D7124" s="675"/>
      <c r="E7124" s="675"/>
      <c r="G7124" s="675"/>
      <c r="H7124" s="675"/>
      <c r="I7124" s="675"/>
      <c r="J7124" s="675"/>
      <c r="K7124" s="675"/>
      <c r="L7124" s="675"/>
      <c r="M7124" s="675"/>
    </row>
    <row r="7125" spans="1:13" x14ac:dyDescent="0.25">
      <c r="A7125" s="675" t="s">
        <v>7088</v>
      </c>
      <c r="B7125" s="675" t="s">
        <v>545</v>
      </c>
      <c r="C7125" s="676" t="s">
        <v>7095</v>
      </c>
      <c r="D7125" s="675"/>
      <c r="E7125" s="675"/>
      <c r="G7125" s="675"/>
      <c r="H7125" s="675"/>
      <c r="I7125" s="675"/>
      <c r="J7125" s="675"/>
      <c r="K7125" s="675"/>
      <c r="L7125" s="675"/>
      <c r="M7125" s="675"/>
    </row>
    <row r="7126" spans="1:13" x14ac:dyDescent="0.25">
      <c r="A7126" s="675" t="s">
        <v>7088</v>
      </c>
      <c r="B7126" s="675" t="s">
        <v>545</v>
      </c>
      <c r="C7126" s="676" t="s">
        <v>7096</v>
      </c>
      <c r="D7126" s="675"/>
      <c r="E7126" s="675"/>
      <c r="G7126" s="675"/>
      <c r="H7126" s="675"/>
      <c r="I7126" s="675"/>
      <c r="J7126" s="675"/>
      <c r="K7126" s="675"/>
      <c r="L7126" s="675"/>
      <c r="M7126" s="675"/>
    </row>
    <row r="7127" spans="1:13" x14ac:dyDescent="0.25">
      <c r="A7127" s="675" t="s">
        <v>7088</v>
      </c>
      <c r="B7127" s="675" t="s">
        <v>545</v>
      </c>
      <c r="C7127" s="676" t="s">
        <v>7097</v>
      </c>
      <c r="D7127" s="675"/>
      <c r="E7127" s="675"/>
      <c r="G7127" s="675"/>
      <c r="H7127" s="675"/>
      <c r="I7127" s="675"/>
      <c r="J7127" s="675"/>
      <c r="K7127" s="675"/>
      <c r="L7127" s="675"/>
      <c r="M7127" s="675"/>
    </row>
    <row r="7128" spans="1:13" x14ac:dyDescent="0.25">
      <c r="A7128" s="675" t="s">
        <v>7088</v>
      </c>
      <c r="B7128" s="675" t="s">
        <v>545</v>
      </c>
      <c r="C7128" s="676" t="s">
        <v>7098</v>
      </c>
      <c r="D7128" s="675"/>
      <c r="E7128" s="675"/>
      <c r="G7128" s="675"/>
      <c r="H7128" s="675"/>
      <c r="I7128" s="675"/>
      <c r="J7128" s="675"/>
      <c r="K7128" s="675"/>
      <c r="L7128" s="675"/>
      <c r="M7128" s="675"/>
    </row>
    <row r="7129" spans="1:13" x14ac:dyDescent="0.25">
      <c r="A7129" s="675" t="s">
        <v>7088</v>
      </c>
      <c r="B7129" s="675" t="s">
        <v>564</v>
      </c>
      <c r="C7129" s="676" t="s">
        <v>7099</v>
      </c>
      <c r="D7129" s="675"/>
      <c r="E7129" s="675"/>
      <c r="G7129" s="675"/>
      <c r="H7129" s="675"/>
      <c r="I7129" s="675"/>
      <c r="J7129" s="675"/>
      <c r="K7129" s="675"/>
      <c r="L7129" s="675"/>
      <c r="M7129" s="675"/>
    </row>
    <row r="7130" spans="1:13" x14ac:dyDescent="0.25">
      <c r="A7130" s="675" t="s">
        <v>7088</v>
      </c>
      <c r="B7130" s="675" t="s">
        <v>564</v>
      </c>
      <c r="C7130" s="676" t="s">
        <v>7100</v>
      </c>
      <c r="D7130" s="675"/>
      <c r="E7130" s="675"/>
      <c r="G7130" s="675"/>
      <c r="H7130" s="675"/>
      <c r="I7130" s="675"/>
      <c r="J7130" s="675"/>
      <c r="K7130" s="675"/>
      <c r="L7130" s="675"/>
      <c r="M7130" s="675"/>
    </row>
    <row r="7131" spans="1:13" x14ac:dyDescent="0.25">
      <c r="A7131" s="675" t="s">
        <v>7088</v>
      </c>
      <c r="B7131" s="675" t="s">
        <v>564</v>
      </c>
      <c r="C7131" s="676" t="s">
        <v>7101</v>
      </c>
      <c r="D7131" s="675"/>
      <c r="E7131" s="675"/>
      <c r="G7131" s="675"/>
      <c r="H7131" s="675"/>
      <c r="I7131" s="675"/>
      <c r="J7131" s="675"/>
      <c r="K7131" s="675"/>
      <c r="L7131" s="675"/>
      <c r="M7131" s="675"/>
    </row>
    <row r="7132" spans="1:13" x14ac:dyDescent="0.25">
      <c r="A7132" s="675" t="s">
        <v>7088</v>
      </c>
      <c r="B7132" s="675" t="s">
        <v>564</v>
      </c>
      <c r="C7132" s="676" t="s">
        <v>7102</v>
      </c>
      <c r="D7132" s="675"/>
      <c r="E7132" s="675"/>
      <c r="G7132" s="675"/>
      <c r="H7132" s="675"/>
      <c r="I7132" s="675"/>
      <c r="J7132" s="675"/>
      <c r="K7132" s="675"/>
      <c r="L7132" s="675"/>
      <c r="M7132" s="675"/>
    </row>
    <row r="7133" spans="1:13" x14ac:dyDescent="0.25">
      <c r="A7133" s="675" t="s">
        <v>7088</v>
      </c>
      <c r="B7133" s="675" t="s">
        <v>564</v>
      </c>
      <c r="C7133" s="676" t="s">
        <v>7103</v>
      </c>
      <c r="D7133" s="675"/>
      <c r="E7133" s="675"/>
      <c r="G7133" s="675"/>
      <c r="H7133" s="675"/>
      <c r="I7133" s="675"/>
      <c r="J7133" s="675"/>
      <c r="K7133" s="675"/>
      <c r="L7133" s="675"/>
      <c r="M7133" s="675"/>
    </row>
    <row r="7134" spans="1:13" x14ac:dyDescent="0.25">
      <c r="A7134" s="675" t="s">
        <v>7088</v>
      </c>
      <c r="B7134" s="675" t="s">
        <v>564</v>
      </c>
      <c r="C7134" s="676" t="s">
        <v>7104</v>
      </c>
      <c r="D7134" s="675"/>
      <c r="E7134" s="675"/>
      <c r="G7134" s="675"/>
      <c r="H7134" s="675"/>
      <c r="I7134" s="675"/>
      <c r="J7134" s="675"/>
      <c r="K7134" s="675"/>
      <c r="L7134" s="675"/>
      <c r="M7134" s="675"/>
    </row>
    <row r="7135" spans="1:13" x14ac:dyDescent="0.25">
      <c r="A7135" s="675" t="s">
        <v>7088</v>
      </c>
      <c r="B7135" s="675" t="s">
        <v>564</v>
      </c>
      <c r="C7135" s="676" t="s">
        <v>7105</v>
      </c>
      <c r="D7135" s="675"/>
      <c r="E7135" s="675"/>
      <c r="G7135" s="675"/>
      <c r="H7135" s="675"/>
      <c r="I7135" s="675"/>
      <c r="J7135" s="675"/>
      <c r="K7135" s="675"/>
      <c r="L7135" s="675"/>
      <c r="M7135" s="675"/>
    </row>
    <row r="7136" spans="1:13" x14ac:dyDescent="0.25">
      <c r="A7136" s="675" t="s">
        <v>7088</v>
      </c>
      <c r="B7136" s="675" t="s">
        <v>564</v>
      </c>
      <c r="C7136" s="676" t="s">
        <v>7106</v>
      </c>
      <c r="D7136" s="675"/>
      <c r="E7136" s="675"/>
      <c r="G7136" s="675"/>
      <c r="H7136" s="675"/>
      <c r="I7136" s="675"/>
      <c r="J7136" s="675"/>
      <c r="K7136" s="675"/>
      <c r="L7136" s="675"/>
      <c r="M7136" s="675"/>
    </row>
    <row r="7137" spans="1:13" x14ac:dyDescent="0.25">
      <c r="A7137" s="675" t="s">
        <v>7088</v>
      </c>
      <c r="B7137" s="675" t="s">
        <v>564</v>
      </c>
      <c r="C7137" s="676" t="s">
        <v>7107</v>
      </c>
      <c r="D7137" s="675"/>
      <c r="E7137" s="675"/>
      <c r="G7137" s="675"/>
      <c r="H7137" s="675"/>
      <c r="I7137" s="675"/>
      <c r="J7137" s="675"/>
      <c r="K7137" s="675"/>
      <c r="L7137" s="675"/>
      <c r="M7137" s="675"/>
    </row>
    <row r="7138" spans="1:13" x14ac:dyDescent="0.25">
      <c r="A7138" s="675" t="s">
        <v>7088</v>
      </c>
      <c r="B7138" s="675" t="s">
        <v>564</v>
      </c>
      <c r="C7138" s="676" t="s">
        <v>7108</v>
      </c>
      <c r="D7138" s="675"/>
      <c r="E7138" s="675"/>
      <c r="G7138" s="675"/>
      <c r="H7138" s="675"/>
      <c r="I7138" s="675"/>
      <c r="J7138" s="675"/>
      <c r="K7138" s="675"/>
      <c r="L7138" s="675"/>
      <c r="M7138" s="675"/>
    </row>
    <row r="7139" spans="1:13" x14ac:dyDescent="0.25">
      <c r="A7139" s="675" t="s">
        <v>7088</v>
      </c>
      <c r="B7139" s="675" t="s">
        <v>512</v>
      </c>
      <c r="C7139" s="676" t="s">
        <v>7109</v>
      </c>
      <c r="D7139" s="675"/>
      <c r="E7139" s="675"/>
      <c r="G7139" s="675"/>
      <c r="H7139" s="675"/>
      <c r="I7139" s="675"/>
      <c r="J7139" s="675"/>
      <c r="K7139" s="675"/>
      <c r="L7139" s="675"/>
      <c r="M7139" s="675"/>
    </row>
    <row r="7140" spans="1:13" x14ac:dyDescent="0.25">
      <c r="A7140" s="675" t="s">
        <v>7088</v>
      </c>
      <c r="B7140" s="675" t="s">
        <v>512</v>
      </c>
      <c r="C7140" s="676" t="s">
        <v>7110</v>
      </c>
      <c r="D7140" s="675"/>
      <c r="E7140" s="675"/>
      <c r="G7140" s="675"/>
      <c r="H7140" s="675"/>
      <c r="I7140" s="675"/>
      <c r="J7140" s="675"/>
      <c r="K7140" s="675"/>
      <c r="L7140" s="675"/>
      <c r="M7140" s="675"/>
    </row>
    <row r="7141" spans="1:13" x14ac:dyDescent="0.25">
      <c r="A7141" s="675" t="s">
        <v>7088</v>
      </c>
      <c r="B7141" s="675" t="s">
        <v>512</v>
      </c>
      <c r="C7141" s="676" t="s">
        <v>7111</v>
      </c>
      <c r="D7141" s="675"/>
      <c r="E7141" s="675"/>
      <c r="G7141" s="675"/>
      <c r="H7141" s="675"/>
      <c r="I7141" s="675"/>
      <c r="J7141" s="675"/>
      <c r="K7141" s="675"/>
      <c r="L7141" s="675"/>
      <c r="M7141" s="675"/>
    </row>
    <row r="7142" spans="1:13" x14ac:dyDescent="0.25">
      <c r="A7142" s="675" t="s">
        <v>7088</v>
      </c>
      <c r="B7142" s="675" t="s">
        <v>512</v>
      </c>
      <c r="C7142" s="676" t="s">
        <v>7112</v>
      </c>
      <c r="D7142" s="675"/>
      <c r="E7142" s="675"/>
      <c r="G7142" s="675"/>
      <c r="H7142" s="675"/>
      <c r="I7142" s="675"/>
      <c r="J7142" s="675"/>
      <c r="K7142" s="675"/>
      <c r="L7142" s="675"/>
      <c r="M7142" s="675"/>
    </row>
    <row r="7143" spans="1:13" x14ac:dyDescent="0.25">
      <c r="A7143" s="675" t="s">
        <v>7088</v>
      </c>
      <c r="B7143" s="675" t="s">
        <v>512</v>
      </c>
      <c r="C7143" s="676" t="s">
        <v>7113</v>
      </c>
      <c r="D7143" s="675"/>
      <c r="E7143" s="675"/>
      <c r="G7143" s="675"/>
      <c r="H7143" s="675"/>
      <c r="I7143" s="675"/>
      <c r="J7143" s="675"/>
      <c r="K7143" s="675"/>
      <c r="L7143" s="675"/>
      <c r="M7143" s="675"/>
    </row>
    <row r="7144" spans="1:13" x14ac:dyDescent="0.25">
      <c r="A7144" s="675" t="s">
        <v>7088</v>
      </c>
      <c r="B7144" s="675" t="s">
        <v>512</v>
      </c>
      <c r="C7144" s="676" t="s">
        <v>7114</v>
      </c>
      <c r="D7144" s="675"/>
      <c r="E7144" s="675"/>
      <c r="G7144" s="675"/>
      <c r="H7144" s="675"/>
      <c r="I7144" s="675"/>
      <c r="J7144" s="675"/>
      <c r="K7144" s="675"/>
      <c r="L7144" s="675"/>
      <c r="M7144" s="675"/>
    </row>
    <row r="7145" spans="1:13" x14ac:dyDescent="0.25">
      <c r="A7145" s="675" t="s">
        <v>7088</v>
      </c>
      <c r="B7145" s="675" t="s">
        <v>512</v>
      </c>
      <c r="C7145" s="676" t="s">
        <v>7115</v>
      </c>
      <c r="D7145" s="675"/>
      <c r="E7145" s="675"/>
      <c r="G7145" s="675"/>
      <c r="H7145" s="675"/>
      <c r="I7145" s="675"/>
      <c r="J7145" s="675"/>
      <c r="K7145" s="675"/>
      <c r="L7145" s="675"/>
      <c r="M7145" s="675"/>
    </row>
    <row r="7146" spans="1:13" x14ac:dyDescent="0.25">
      <c r="A7146" s="675" t="s">
        <v>7088</v>
      </c>
      <c r="B7146" s="675" t="s">
        <v>512</v>
      </c>
      <c r="C7146" s="676" t="s">
        <v>7116</v>
      </c>
      <c r="D7146" s="675"/>
      <c r="E7146" s="675"/>
      <c r="G7146" s="675"/>
      <c r="H7146" s="675"/>
      <c r="I7146" s="675"/>
      <c r="J7146" s="675"/>
      <c r="K7146" s="675"/>
      <c r="L7146" s="675"/>
      <c r="M7146" s="675"/>
    </row>
    <row r="7147" spans="1:13" x14ac:dyDescent="0.25">
      <c r="A7147" s="675" t="s">
        <v>7088</v>
      </c>
      <c r="B7147" s="675" t="s">
        <v>512</v>
      </c>
      <c r="C7147" s="676" t="s">
        <v>7117</v>
      </c>
      <c r="D7147" s="675"/>
      <c r="E7147" s="675"/>
      <c r="G7147" s="675"/>
      <c r="H7147" s="675"/>
      <c r="I7147" s="675"/>
      <c r="J7147" s="675"/>
      <c r="K7147" s="675"/>
      <c r="L7147" s="675"/>
      <c r="M7147" s="675"/>
    </row>
    <row r="7148" spans="1:13" x14ac:dyDescent="0.25">
      <c r="A7148" s="675" t="s">
        <v>7088</v>
      </c>
      <c r="B7148" s="675" t="s">
        <v>512</v>
      </c>
      <c r="C7148" s="676" t="s">
        <v>7118</v>
      </c>
      <c r="D7148" s="675"/>
      <c r="E7148" s="675"/>
      <c r="G7148" s="675"/>
      <c r="H7148" s="675"/>
      <c r="I7148" s="675"/>
      <c r="J7148" s="675"/>
      <c r="K7148" s="675"/>
      <c r="L7148" s="675"/>
      <c r="M7148" s="675"/>
    </row>
    <row r="7149" spans="1:13" x14ac:dyDescent="0.25">
      <c r="A7149" s="675" t="s">
        <v>7119</v>
      </c>
      <c r="B7149" s="675" t="s">
        <v>545</v>
      </c>
      <c r="C7149" s="676" t="s">
        <v>7120</v>
      </c>
      <c r="D7149" s="675"/>
      <c r="E7149" s="675"/>
      <c r="G7149" s="675"/>
      <c r="H7149" s="675"/>
      <c r="I7149" s="675"/>
      <c r="J7149" s="675"/>
      <c r="K7149" s="675"/>
      <c r="L7149" s="675"/>
      <c r="M7149" s="675"/>
    </row>
    <row r="7150" spans="1:13" x14ac:dyDescent="0.25">
      <c r="A7150" s="675" t="s">
        <v>7119</v>
      </c>
      <c r="B7150" s="675" t="s">
        <v>545</v>
      </c>
      <c r="C7150" s="676" t="s">
        <v>7121</v>
      </c>
      <c r="D7150" s="675"/>
      <c r="E7150" s="675"/>
      <c r="G7150" s="675"/>
      <c r="H7150" s="675"/>
      <c r="I7150" s="675"/>
      <c r="J7150" s="675"/>
      <c r="K7150" s="675"/>
      <c r="L7150" s="675"/>
      <c r="M7150" s="675"/>
    </row>
    <row r="7151" spans="1:13" x14ac:dyDescent="0.25">
      <c r="A7151" s="675" t="s">
        <v>7119</v>
      </c>
      <c r="B7151" s="675" t="s">
        <v>545</v>
      </c>
      <c r="C7151" s="676" t="s">
        <v>7122</v>
      </c>
      <c r="D7151" s="675"/>
      <c r="E7151" s="675"/>
      <c r="G7151" s="675"/>
      <c r="H7151" s="675"/>
      <c r="I7151" s="675"/>
      <c r="J7151" s="675"/>
      <c r="K7151" s="675"/>
      <c r="L7151" s="675"/>
      <c r="M7151" s="675"/>
    </row>
    <row r="7152" spans="1:13" x14ac:dyDescent="0.25">
      <c r="A7152" s="675" t="s">
        <v>7119</v>
      </c>
      <c r="B7152" s="675" t="s">
        <v>545</v>
      </c>
      <c r="C7152" s="676" t="s">
        <v>7123</v>
      </c>
      <c r="D7152" s="675"/>
      <c r="E7152" s="675"/>
      <c r="G7152" s="675"/>
      <c r="H7152" s="675"/>
      <c r="I7152" s="675"/>
      <c r="J7152" s="675"/>
      <c r="K7152" s="675"/>
      <c r="L7152" s="675"/>
      <c r="M7152" s="675"/>
    </row>
    <row r="7153" spans="1:13" x14ac:dyDescent="0.25">
      <c r="A7153" s="675" t="s">
        <v>7119</v>
      </c>
      <c r="B7153" s="675" t="s">
        <v>545</v>
      </c>
      <c r="C7153" s="676" t="s">
        <v>7124</v>
      </c>
      <c r="D7153" s="675"/>
      <c r="E7153" s="675"/>
      <c r="G7153" s="675"/>
      <c r="H7153" s="675"/>
      <c r="I7153" s="675"/>
      <c r="J7153" s="675"/>
      <c r="K7153" s="675"/>
      <c r="L7153" s="675"/>
      <c r="M7153" s="675"/>
    </row>
    <row r="7154" spans="1:13" x14ac:dyDescent="0.25">
      <c r="A7154" s="675" t="s">
        <v>7119</v>
      </c>
      <c r="B7154" s="675" t="s">
        <v>545</v>
      </c>
      <c r="C7154" s="676" t="s">
        <v>7125</v>
      </c>
      <c r="D7154" s="675"/>
      <c r="E7154" s="675"/>
      <c r="G7154" s="675"/>
      <c r="H7154" s="675"/>
      <c r="I7154" s="675"/>
      <c r="J7154" s="675"/>
      <c r="K7154" s="675"/>
      <c r="L7154" s="675"/>
      <c r="M7154" s="675"/>
    </row>
    <row r="7155" spans="1:13" x14ac:dyDescent="0.25">
      <c r="A7155" s="675" t="s">
        <v>7119</v>
      </c>
      <c r="B7155" s="675" t="s">
        <v>545</v>
      </c>
      <c r="C7155" s="676" t="s">
        <v>7126</v>
      </c>
      <c r="D7155" s="675"/>
      <c r="E7155" s="675"/>
      <c r="G7155" s="675"/>
      <c r="H7155" s="675"/>
      <c r="I7155" s="675"/>
      <c r="J7155" s="675"/>
      <c r="K7155" s="675"/>
      <c r="L7155" s="675"/>
      <c r="M7155" s="675"/>
    </row>
    <row r="7156" spans="1:13" x14ac:dyDescent="0.25">
      <c r="A7156" s="675" t="s">
        <v>7119</v>
      </c>
      <c r="B7156" s="675" t="s">
        <v>545</v>
      </c>
      <c r="C7156" s="676" t="s">
        <v>7127</v>
      </c>
      <c r="D7156" s="675"/>
      <c r="E7156" s="675"/>
      <c r="G7156" s="675"/>
      <c r="H7156" s="675"/>
      <c r="I7156" s="675"/>
      <c r="J7156" s="675"/>
      <c r="K7156" s="675"/>
      <c r="L7156" s="675"/>
      <c r="M7156" s="675"/>
    </row>
    <row r="7157" spans="1:13" x14ac:dyDescent="0.25">
      <c r="A7157" s="675" t="s">
        <v>7119</v>
      </c>
      <c r="B7157" s="675" t="s">
        <v>545</v>
      </c>
      <c r="C7157" s="676" t="s">
        <v>7128</v>
      </c>
      <c r="D7157" s="675"/>
      <c r="E7157" s="675"/>
      <c r="G7157" s="675"/>
      <c r="H7157" s="675"/>
      <c r="I7157" s="675"/>
      <c r="J7157" s="675"/>
      <c r="K7157" s="675"/>
      <c r="L7157" s="675"/>
      <c r="M7157" s="675"/>
    </row>
    <row r="7158" spans="1:13" x14ac:dyDescent="0.25">
      <c r="A7158" s="675" t="s">
        <v>7119</v>
      </c>
      <c r="B7158" s="675" t="s">
        <v>545</v>
      </c>
      <c r="C7158" s="676" t="s">
        <v>7129</v>
      </c>
      <c r="D7158" s="675"/>
      <c r="E7158" s="675"/>
      <c r="G7158" s="675"/>
      <c r="H7158" s="675"/>
      <c r="I7158" s="675"/>
      <c r="J7158" s="675"/>
      <c r="K7158" s="675"/>
      <c r="L7158" s="675"/>
      <c r="M7158" s="675"/>
    </row>
    <row r="7159" spans="1:13" x14ac:dyDescent="0.25">
      <c r="A7159" s="675" t="s">
        <v>7119</v>
      </c>
      <c r="B7159" s="675" t="s">
        <v>564</v>
      </c>
      <c r="C7159" s="676" t="s">
        <v>7130</v>
      </c>
      <c r="D7159" s="675"/>
      <c r="E7159" s="675"/>
      <c r="G7159" s="675"/>
      <c r="H7159" s="675"/>
      <c r="I7159" s="675"/>
      <c r="J7159" s="675"/>
      <c r="K7159" s="675"/>
      <c r="L7159" s="675"/>
      <c r="M7159" s="675"/>
    </row>
    <row r="7160" spans="1:13" x14ac:dyDescent="0.25">
      <c r="A7160" s="675" t="s">
        <v>7119</v>
      </c>
      <c r="B7160" s="675" t="s">
        <v>564</v>
      </c>
      <c r="C7160" s="676" t="s">
        <v>7131</v>
      </c>
      <c r="D7160" s="675"/>
      <c r="E7160" s="675"/>
      <c r="G7160" s="675"/>
      <c r="H7160" s="675"/>
      <c r="I7160" s="675"/>
      <c r="J7160" s="675"/>
      <c r="K7160" s="675"/>
      <c r="L7160" s="675"/>
      <c r="M7160" s="675"/>
    </row>
    <row r="7161" spans="1:13" x14ac:dyDescent="0.25">
      <c r="A7161" s="675" t="s">
        <v>7119</v>
      </c>
      <c r="B7161" s="675" t="s">
        <v>564</v>
      </c>
      <c r="C7161" s="676" t="s">
        <v>7132</v>
      </c>
      <c r="D7161" s="675"/>
      <c r="E7161" s="675"/>
      <c r="G7161" s="675"/>
      <c r="H7161" s="675"/>
      <c r="I7161" s="675"/>
      <c r="J7161" s="675"/>
      <c r="K7161" s="675"/>
      <c r="L7161" s="675"/>
      <c r="M7161" s="675"/>
    </row>
    <row r="7162" spans="1:13" x14ac:dyDescent="0.25">
      <c r="A7162" s="675" t="s">
        <v>7119</v>
      </c>
      <c r="B7162" s="675" t="s">
        <v>564</v>
      </c>
      <c r="C7162" s="676" t="s">
        <v>7133</v>
      </c>
      <c r="D7162" s="675"/>
      <c r="E7162" s="675"/>
      <c r="G7162" s="675"/>
      <c r="H7162" s="675"/>
      <c r="I7162" s="675"/>
      <c r="J7162" s="675"/>
      <c r="K7162" s="675"/>
      <c r="L7162" s="675"/>
      <c r="M7162" s="675"/>
    </row>
    <row r="7163" spans="1:13" x14ac:dyDescent="0.25">
      <c r="A7163" s="675" t="s">
        <v>7119</v>
      </c>
      <c r="B7163" s="675" t="s">
        <v>564</v>
      </c>
      <c r="C7163" s="676" t="s">
        <v>7134</v>
      </c>
      <c r="D7163" s="675"/>
      <c r="E7163" s="675"/>
      <c r="G7163" s="675"/>
      <c r="H7163" s="675"/>
      <c r="I7163" s="675"/>
      <c r="J7163" s="675"/>
      <c r="K7163" s="675"/>
      <c r="L7163" s="675"/>
      <c r="M7163" s="675"/>
    </row>
    <row r="7164" spans="1:13" x14ac:dyDescent="0.25">
      <c r="A7164" s="675" t="s">
        <v>7119</v>
      </c>
      <c r="B7164" s="675" t="s">
        <v>564</v>
      </c>
      <c r="C7164" s="676" t="s">
        <v>7135</v>
      </c>
      <c r="D7164" s="675"/>
      <c r="E7164" s="675"/>
      <c r="G7164" s="675"/>
      <c r="H7164" s="675"/>
      <c r="I7164" s="675"/>
      <c r="J7164" s="675"/>
      <c r="K7164" s="675"/>
      <c r="L7164" s="675"/>
      <c r="M7164" s="675"/>
    </row>
    <row r="7165" spans="1:13" x14ac:dyDescent="0.25">
      <c r="A7165" s="675" t="s">
        <v>7119</v>
      </c>
      <c r="B7165" s="675" t="s">
        <v>564</v>
      </c>
      <c r="C7165" s="676" t="s">
        <v>7136</v>
      </c>
      <c r="D7165" s="675"/>
      <c r="E7165" s="675"/>
      <c r="G7165" s="675"/>
      <c r="H7165" s="675"/>
      <c r="I7165" s="675"/>
      <c r="J7165" s="675"/>
      <c r="K7165" s="675"/>
      <c r="L7165" s="675"/>
      <c r="M7165" s="675"/>
    </row>
    <row r="7166" spans="1:13" x14ac:dyDescent="0.25">
      <c r="A7166" s="675" t="s">
        <v>7119</v>
      </c>
      <c r="B7166" s="675" t="s">
        <v>564</v>
      </c>
      <c r="C7166" s="676" t="s">
        <v>7137</v>
      </c>
      <c r="D7166" s="675"/>
      <c r="E7166" s="675"/>
      <c r="G7166" s="675"/>
      <c r="H7166" s="675"/>
      <c r="I7166" s="675"/>
      <c r="J7166" s="675"/>
      <c r="K7166" s="675"/>
      <c r="L7166" s="675"/>
      <c r="M7166" s="675"/>
    </row>
    <row r="7167" spans="1:13" x14ac:dyDescent="0.25">
      <c r="A7167" s="675" t="s">
        <v>7119</v>
      </c>
      <c r="B7167" s="675" t="s">
        <v>564</v>
      </c>
      <c r="C7167" s="676" t="s">
        <v>7138</v>
      </c>
      <c r="D7167" s="675"/>
      <c r="E7167" s="675"/>
      <c r="G7167" s="675"/>
      <c r="H7167" s="675"/>
      <c r="I7167" s="675"/>
      <c r="J7167" s="675"/>
      <c r="K7167" s="675"/>
      <c r="L7167" s="675"/>
      <c r="M7167" s="675"/>
    </row>
    <row r="7168" spans="1:13" x14ac:dyDescent="0.25">
      <c r="A7168" s="675" t="s">
        <v>7119</v>
      </c>
      <c r="B7168" s="675" t="s">
        <v>564</v>
      </c>
      <c r="C7168" s="676" t="s">
        <v>7139</v>
      </c>
      <c r="D7168" s="675"/>
      <c r="E7168" s="675"/>
      <c r="G7168" s="675"/>
      <c r="H7168" s="675"/>
      <c r="I7168" s="675"/>
      <c r="J7168" s="675"/>
      <c r="K7168" s="675"/>
      <c r="L7168" s="675"/>
      <c r="M7168" s="675"/>
    </row>
    <row r="7169" spans="1:13" x14ac:dyDescent="0.25">
      <c r="A7169" s="675" t="s">
        <v>7119</v>
      </c>
      <c r="B7169" s="675" t="s">
        <v>512</v>
      </c>
      <c r="C7169" s="676" t="s">
        <v>7140</v>
      </c>
      <c r="D7169" s="675"/>
      <c r="E7169" s="675"/>
      <c r="G7169" s="675"/>
      <c r="H7169" s="675"/>
      <c r="I7169" s="675"/>
      <c r="J7169" s="675"/>
      <c r="K7169" s="675"/>
      <c r="L7169" s="675"/>
      <c r="M7169" s="675"/>
    </row>
    <row r="7170" spans="1:13" x14ac:dyDescent="0.25">
      <c r="A7170" s="675" t="s">
        <v>7119</v>
      </c>
      <c r="B7170" s="675" t="s">
        <v>512</v>
      </c>
      <c r="C7170" s="676" t="s">
        <v>7141</v>
      </c>
      <c r="D7170" s="675"/>
      <c r="E7170" s="675"/>
      <c r="G7170" s="675"/>
      <c r="H7170" s="675"/>
      <c r="I7170" s="675"/>
      <c r="J7170" s="675"/>
      <c r="K7170" s="675"/>
      <c r="L7170" s="675"/>
      <c r="M7170" s="675"/>
    </row>
    <row r="7171" spans="1:13" x14ac:dyDescent="0.25">
      <c r="A7171" s="675" t="s">
        <v>7119</v>
      </c>
      <c r="B7171" s="675" t="s">
        <v>512</v>
      </c>
      <c r="C7171" s="676" t="s">
        <v>7142</v>
      </c>
      <c r="D7171" s="675"/>
      <c r="E7171" s="675"/>
      <c r="G7171" s="675"/>
      <c r="H7171" s="675"/>
      <c r="I7171" s="675"/>
      <c r="J7171" s="675"/>
      <c r="K7171" s="675"/>
      <c r="L7171" s="675"/>
      <c r="M7171" s="675"/>
    </row>
    <row r="7172" spans="1:13" x14ac:dyDescent="0.25">
      <c r="A7172" s="675" t="s">
        <v>7119</v>
      </c>
      <c r="B7172" s="675" t="s">
        <v>512</v>
      </c>
      <c r="C7172" s="676" t="s">
        <v>7143</v>
      </c>
      <c r="D7172" s="675"/>
      <c r="E7172" s="675"/>
      <c r="G7172" s="675"/>
      <c r="H7172" s="675"/>
      <c r="I7172" s="675"/>
      <c r="J7172" s="675"/>
      <c r="K7172" s="675"/>
      <c r="L7172" s="675"/>
      <c r="M7172" s="675"/>
    </row>
    <row r="7173" spans="1:13" x14ac:dyDescent="0.25">
      <c r="A7173" s="675" t="s">
        <v>7119</v>
      </c>
      <c r="B7173" s="675" t="s">
        <v>512</v>
      </c>
      <c r="C7173" s="676" t="s">
        <v>7144</v>
      </c>
      <c r="D7173" s="675"/>
      <c r="E7173" s="675"/>
      <c r="G7173" s="675"/>
      <c r="H7173" s="675"/>
      <c r="I7173" s="675"/>
      <c r="J7173" s="675"/>
      <c r="K7173" s="675"/>
      <c r="L7173" s="675"/>
      <c r="M7173" s="675"/>
    </row>
    <row r="7174" spans="1:13" x14ac:dyDescent="0.25">
      <c r="A7174" s="675" t="s">
        <v>7119</v>
      </c>
      <c r="B7174" s="675" t="s">
        <v>512</v>
      </c>
      <c r="C7174" s="676" t="s">
        <v>7145</v>
      </c>
      <c r="D7174" s="675"/>
      <c r="E7174" s="675"/>
      <c r="G7174" s="675"/>
      <c r="H7174" s="675"/>
      <c r="I7174" s="675"/>
      <c r="J7174" s="675"/>
      <c r="K7174" s="675"/>
      <c r="L7174" s="675"/>
      <c r="M7174" s="675"/>
    </row>
    <row r="7175" spans="1:13" x14ac:dyDescent="0.25">
      <c r="A7175" s="675" t="s">
        <v>7119</v>
      </c>
      <c r="B7175" s="675" t="s">
        <v>512</v>
      </c>
      <c r="C7175" s="676" t="s">
        <v>7146</v>
      </c>
      <c r="D7175" s="675"/>
      <c r="E7175" s="675"/>
      <c r="G7175" s="675"/>
      <c r="H7175" s="675"/>
      <c r="I7175" s="675"/>
      <c r="J7175" s="675"/>
      <c r="K7175" s="675"/>
      <c r="L7175" s="675"/>
      <c r="M7175" s="675"/>
    </row>
    <row r="7176" spans="1:13" x14ac:dyDescent="0.25">
      <c r="A7176" s="675" t="s">
        <v>7119</v>
      </c>
      <c r="B7176" s="675" t="s">
        <v>512</v>
      </c>
      <c r="C7176" s="676" t="s">
        <v>7147</v>
      </c>
      <c r="D7176" s="675"/>
      <c r="E7176" s="675"/>
      <c r="G7176" s="675"/>
      <c r="H7176" s="675"/>
      <c r="I7176" s="675"/>
      <c r="J7176" s="675"/>
      <c r="K7176" s="675"/>
      <c r="L7176" s="675"/>
      <c r="M7176" s="675"/>
    </row>
    <row r="7177" spans="1:13" x14ac:dyDescent="0.25">
      <c r="A7177" s="675" t="s">
        <v>7119</v>
      </c>
      <c r="B7177" s="675" t="s">
        <v>512</v>
      </c>
      <c r="C7177" s="676" t="s">
        <v>7148</v>
      </c>
      <c r="D7177" s="675"/>
      <c r="E7177" s="675"/>
      <c r="G7177" s="675"/>
      <c r="H7177" s="675"/>
      <c r="I7177" s="675"/>
      <c r="J7177" s="675"/>
      <c r="K7177" s="675"/>
      <c r="L7177" s="675"/>
      <c r="M7177" s="675"/>
    </row>
    <row r="7178" spans="1:13" x14ac:dyDescent="0.25">
      <c r="A7178" s="675" t="s">
        <v>7119</v>
      </c>
      <c r="B7178" s="675" t="s">
        <v>512</v>
      </c>
      <c r="C7178" s="676" t="s">
        <v>7149</v>
      </c>
      <c r="D7178" s="675"/>
      <c r="E7178" s="675"/>
      <c r="G7178" s="675"/>
      <c r="H7178" s="675"/>
      <c r="I7178" s="675"/>
      <c r="J7178" s="675"/>
      <c r="K7178" s="675"/>
      <c r="L7178" s="675"/>
      <c r="M7178" s="675"/>
    </row>
    <row r="7179" spans="1:13" x14ac:dyDescent="0.25">
      <c r="A7179" s="675" t="s">
        <v>7150</v>
      </c>
      <c r="B7179" s="675" t="s">
        <v>545</v>
      </c>
      <c r="C7179" s="676" t="s">
        <v>7151</v>
      </c>
      <c r="D7179" s="675"/>
      <c r="E7179" s="675"/>
      <c r="G7179" s="675"/>
      <c r="H7179" s="675"/>
      <c r="I7179" s="675"/>
      <c r="J7179" s="675"/>
      <c r="K7179" s="675"/>
      <c r="L7179" s="675"/>
      <c r="M7179" s="675"/>
    </row>
    <row r="7180" spans="1:13" x14ac:dyDescent="0.25">
      <c r="A7180" s="675" t="s">
        <v>7150</v>
      </c>
      <c r="B7180" s="675" t="s">
        <v>545</v>
      </c>
      <c r="C7180" s="676" t="s">
        <v>7152</v>
      </c>
      <c r="D7180" s="675"/>
      <c r="E7180" s="675"/>
      <c r="G7180" s="675"/>
      <c r="H7180" s="675"/>
      <c r="I7180" s="675"/>
      <c r="J7180" s="675"/>
      <c r="K7180" s="675"/>
      <c r="L7180" s="675"/>
      <c r="M7180" s="675"/>
    </row>
    <row r="7181" spans="1:13" x14ac:dyDescent="0.25">
      <c r="A7181" s="675" t="s">
        <v>7150</v>
      </c>
      <c r="B7181" s="675" t="s">
        <v>545</v>
      </c>
      <c r="C7181" s="676" t="s">
        <v>7153</v>
      </c>
      <c r="D7181" s="675"/>
      <c r="E7181" s="675"/>
      <c r="G7181" s="675"/>
      <c r="H7181" s="675"/>
      <c r="I7181" s="675"/>
      <c r="J7181" s="675"/>
      <c r="K7181" s="675"/>
      <c r="L7181" s="675"/>
      <c r="M7181" s="675"/>
    </row>
    <row r="7182" spans="1:13" x14ac:dyDescent="0.25">
      <c r="A7182" s="675" t="s">
        <v>7150</v>
      </c>
      <c r="B7182" s="675" t="s">
        <v>545</v>
      </c>
      <c r="C7182" s="676" t="s">
        <v>7154</v>
      </c>
      <c r="D7182" s="675"/>
      <c r="E7182" s="675"/>
      <c r="G7182" s="675"/>
      <c r="H7182" s="675"/>
      <c r="I7182" s="675"/>
      <c r="J7182" s="675"/>
      <c r="K7182" s="675"/>
      <c r="L7182" s="675"/>
      <c r="M7182" s="675"/>
    </row>
    <row r="7183" spans="1:13" x14ac:dyDescent="0.25">
      <c r="A7183" s="675" t="s">
        <v>7150</v>
      </c>
      <c r="B7183" s="675" t="s">
        <v>545</v>
      </c>
      <c r="C7183" s="676" t="s">
        <v>7155</v>
      </c>
      <c r="D7183" s="675"/>
      <c r="E7183" s="675"/>
      <c r="G7183" s="675"/>
      <c r="H7183" s="675"/>
      <c r="I7183" s="675"/>
      <c r="J7183" s="675"/>
      <c r="K7183" s="675"/>
      <c r="L7183" s="675"/>
      <c r="M7183" s="675"/>
    </row>
    <row r="7184" spans="1:13" x14ac:dyDescent="0.25">
      <c r="A7184" s="675" t="s">
        <v>7150</v>
      </c>
      <c r="B7184" s="675" t="s">
        <v>545</v>
      </c>
      <c r="C7184" s="676" t="s">
        <v>7156</v>
      </c>
      <c r="D7184" s="675"/>
      <c r="E7184" s="675"/>
      <c r="G7184" s="675"/>
      <c r="H7184" s="675"/>
      <c r="I7184" s="675"/>
      <c r="J7184" s="675"/>
      <c r="K7184" s="675"/>
      <c r="L7184" s="675"/>
      <c r="M7184" s="675"/>
    </row>
    <row r="7185" spans="1:13" x14ac:dyDescent="0.25">
      <c r="A7185" s="675" t="s">
        <v>7150</v>
      </c>
      <c r="B7185" s="675" t="s">
        <v>545</v>
      </c>
      <c r="C7185" s="676" t="s">
        <v>7157</v>
      </c>
      <c r="D7185" s="675"/>
      <c r="E7185" s="675"/>
      <c r="G7185" s="675"/>
      <c r="H7185" s="675"/>
      <c r="I7185" s="675"/>
      <c r="J7185" s="675"/>
      <c r="K7185" s="675"/>
      <c r="L7185" s="675"/>
      <c r="M7185" s="675"/>
    </row>
    <row r="7186" spans="1:13" x14ac:dyDescent="0.25">
      <c r="A7186" s="675" t="s">
        <v>7150</v>
      </c>
      <c r="B7186" s="675" t="s">
        <v>545</v>
      </c>
      <c r="C7186" s="676" t="s">
        <v>7158</v>
      </c>
      <c r="D7186" s="675"/>
      <c r="E7186" s="675"/>
      <c r="G7186" s="675"/>
      <c r="H7186" s="675"/>
      <c r="I7186" s="675"/>
      <c r="J7186" s="675"/>
      <c r="K7186" s="675"/>
      <c r="L7186" s="675"/>
      <c r="M7186" s="675"/>
    </row>
    <row r="7187" spans="1:13" x14ac:dyDescent="0.25">
      <c r="A7187" s="675" t="s">
        <v>7150</v>
      </c>
      <c r="B7187" s="675" t="s">
        <v>545</v>
      </c>
      <c r="C7187" s="676" t="s">
        <v>7159</v>
      </c>
      <c r="D7187" s="675"/>
      <c r="E7187" s="675"/>
      <c r="G7187" s="675"/>
      <c r="H7187" s="675"/>
      <c r="I7187" s="675"/>
      <c r="J7187" s="675"/>
      <c r="K7187" s="675"/>
      <c r="L7187" s="675"/>
      <c r="M7187" s="675"/>
    </row>
    <row r="7188" spans="1:13" x14ac:dyDescent="0.25">
      <c r="A7188" s="675" t="s">
        <v>7150</v>
      </c>
      <c r="B7188" s="675" t="s">
        <v>545</v>
      </c>
      <c r="C7188" s="676" t="s">
        <v>7160</v>
      </c>
      <c r="D7188" s="675"/>
      <c r="E7188" s="675"/>
      <c r="G7188" s="675"/>
      <c r="H7188" s="675"/>
      <c r="I7188" s="675"/>
      <c r="J7188" s="675"/>
      <c r="K7188" s="675"/>
      <c r="L7188" s="675"/>
      <c r="M7188" s="675"/>
    </row>
    <row r="7189" spans="1:13" x14ac:dyDescent="0.25">
      <c r="A7189" s="675" t="s">
        <v>7150</v>
      </c>
      <c r="B7189" s="675" t="s">
        <v>564</v>
      </c>
      <c r="C7189" s="676" t="s">
        <v>7161</v>
      </c>
      <c r="D7189" s="675"/>
      <c r="E7189" s="675"/>
      <c r="G7189" s="675"/>
      <c r="H7189" s="675"/>
      <c r="I7189" s="675"/>
      <c r="J7189" s="675"/>
      <c r="K7189" s="675"/>
      <c r="L7189" s="675"/>
      <c r="M7189" s="675"/>
    </row>
    <row r="7190" spans="1:13" x14ac:dyDescent="0.25">
      <c r="A7190" s="675" t="s">
        <v>7150</v>
      </c>
      <c r="B7190" s="675" t="s">
        <v>564</v>
      </c>
      <c r="C7190" s="676" t="s">
        <v>7162</v>
      </c>
      <c r="D7190" s="675"/>
      <c r="E7190" s="675"/>
      <c r="G7190" s="675"/>
      <c r="H7190" s="675"/>
      <c r="I7190" s="675"/>
      <c r="J7190" s="675"/>
      <c r="K7190" s="675"/>
      <c r="L7190" s="675"/>
      <c r="M7190" s="675"/>
    </row>
    <row r="7191" spans="1:13" x14ac:dyDescent="0.25">
      <c r="A7191" s="675" t="s">
        <v>7150</v>
      </c>
      <c r="B7191" s="675" t="s">
        <v>564</v>
      </c>
      <c r="C7191" s="676" t="s">
        <v>7163</v>
      </c>
      <c r="D7191" s="675"/>
      <c r="E7191" s="675"/>
      <c r="G7191" s="675"/>
      <c r="H7191" s="675"/>
      <c r="I7191" s="675"/>
      <c r="J7191" s="675"/>
      <c r="K7191" s="675"/>
      <c r="L7191" s="675"/>
      <c r="M7191" s="675"/>
    </row>
    <row r="7192" spans="1:13" x14ac:dyDescent="0.25">
      <c r="A7192" s="675" t="s">
        <v>7150</v>
      </c>
      <c r="B7192" s="675" t="s">
        <v>564</v>
      </c>
      <c r="C7192" s="676" t="s">
        <v>7164</v>
      </c>
      <c r="D7192" s="675"/>
      <c r="E7192" s="675"/>
      <c r="G7192" s="675"/>
      <c r="H7192" s="675"/>
      <c r="I7192" s="675"/>
      <c r="J7192" s="675"/>
      <c r="K7192" s="675"/>
      <c r="L7192" s="675"/>
      <c r="M7192" s="675"/>
    </row>
    <row r="7193" spans="1:13" x14ac:dyDescent="0.25">
      <c r="A7193" s="675" t="s">
        <v>7150</v>
      </c>
      <c r="B7193" s="675" t="s">
        <v>564</v>
      </c>
      <c r="C7193" s="676" t="s">
        <v>7165</v>
      </c>
      <c r="D7193" s="675"/>
      <c r="E7193" s="675"/>
      <c r="G7193" s="675"/>
      <c r="H7193" s="675"/>
      <c r="I7193" s="675"/>
      <c r="J7193" s="675"/>
      <c r="K7193" s="675"/>
      <c r="L7193" s="675"/>
      <c r="M7193" s="675"/>
    </row>
    <row r="7194" spans="1:13" x14ac:dyDescent="0.25">
      <c r="A7194" s="675" t="s">
        <v>7150</v>
      </c>
      <c r="B7194" s="675" t="s">
        <v>564</v>
      </c>
      <c r="C7194" s="676" t="s">
        <v>7166</v>
      </c>
      <c r="D7194" s="675"/>
      <c r="E7194" s="675"/>
      <c r="G7194" s="675"/>
      <c r="H7194" s="675"/>
      <c r="I7194" s="675"/>
      <c r="J7194" s="675"/>
      <c r="K7194" s="675"/>
      <c r="L7194" s="675"/>
      <c r="M7194" s="675"/>
    </row>
    <row r="7195" spans="1:13" x14ac:dyDescent="0.25">
      <c r="A7195" s="675" t="s">
        <v>7150</v>
      </c>
      <c r="B7195" s="675" t="s">
        <v>564</v>
      </c>
      <c r="C7195" s="676" t="s">
        <v>7167</v>
      </c>
      <c r="D7195" s="675"/>
      <c r="E7195" s="675"/>
      <c r="G7195" s="675"/>
      <c r="H7195" s="675"/>
      <c r="I7195" s="675"/>
      <c r="J7195" s="675"/>
      <c r="K7195" s="675"/>
      <c r="L7195" s="675"/>
      <c r="M7195" s="675"/>
    </row>
    <row r="7196" spans="1:13" x14ac:dyDescent="0.25">
      <c r="A7196" s="675" t="s">
        <v>7150</v>
      </c>
      <c r="B7196" s="675" t="s">
        <v>564</v>
      </c>
      <c r="C7196" s="676" t="s">
        <v>7168</v>
      </c>
      <c r="D7196" s="675"/>
      <c r="E7196" s="675"/>
      <c r="G7196" s="675"/>
      <c r="H7196" s="675"/>
      <c r="I7196" s="675"/>
      <c r="J7196" s="675"/>
      <c r="K7196" s="675"/>
      <c r="L7196" s="675"/>
      <c r="M7196" s="675"/>
    </row>
    <row r="7197" spans="1:13" x14ac:dyDescent="0.25">
      <c r="A7197" s="675" t="s">
        <v>7150</v>
      </c>
      <c r="B7197" s="675" t="s">
        <v>564</v>
      </c>
      <c r="C7197" s="676" t="s">
        <v>7169</v>
      </c>
      <c r="D7197" s="675"/>
      <c r="E7197" s="675"/>
      <c r="G7197" s="675"/>
      <c r="H7197" s="675"/>
      <c r="I7197" s="675"/>
      <c r="J7197" s="675"/>
      <c r="K7197" s="675"/>
      <c r="L7197" s="675"/>
      <c r="M7197" s="675"/>
    </row>
    <row r="7198" spans="1:13" x14ac:dyDescent="0.25">
      <c r="A7198" s="675" t="s">
        <v>7150</v>
      </c>
      <c r="B7198" s="675" t="s">
        <v>564</v>
      </c>
      <c r="C7198" s="676" t="s">
        <v>7170</v>
      </c>
      <c r="D7198" s="675"/>
      <c r="E7198" s="675"/>
      <c r="G7198" s="675"/>
      <c r="H7198" s="675"/>
      <c r="I7198" s="675"/>
      <c r="J7198" s="675"/>
      <c r="K7198" s="675"/>
      <c r="L7198" s="675"/>
      <c r="M7198" s="675"/>
    </row>
    <row r="7199" spans="1:13" x14ac:dyDescent="0.25">
      <c r="A7199" s="675" t="s">
        <v>7150</v>
      </c>
      <c r="B7199" s="675" t="s">
        <v>512</v>
      </c>
      <c r="C7199" s="676" t="s">
        <v>7171</v>
      </c>
      <c r="D7199" s="675"/>
      <c r="E7199" s="675"/>
      <c r="G7199" s="675"/>
      <c r="H7199" s="675"/>
      <c r="I7199" s="675"/>
      <c r="J7199" s="675"/>
      <c r="K7199" s="675"/>
      <c r="L7199" s="675"/>
      <c r="M7199" s="675"/>
    </row>
    <row r="7200" spans="1:13" x14ac:dyDescent="0.25">
      <c r="A7200" s="675" t="s">
        <v>7150</v>
      </c>
      <c r="B7200" s="675" t="s">
        <v>512</v>
      </c>
      <c r="C7200" s="676" t="s">
        <v>7172</v>
      </c>
      <c r="D7200" s="675"/>
      <c r="E7200" s="675"/>
      <c r="G7200" s="675"/>
      <c r="H7200" s="675"/>
      <c r="I7200" s="675"/>
      <c r="J7200" s="675"/>
      <c r="K7200" s="675"/>
      <c r="L7200" s="675"/>
      <c r="M7200" s="675"/>
    </row>
    <row r="7201" spans="1:13" x14ac:dyDescent="0.25">
      <c r="A7201" s="675" t="s">
        <v>7150</v>
      </c>
      <c r="B7201" s="675" t="s">
        <v>512</v>
      </c>
      <c r="C7201" s="676" t="s">
        <v>6860</v>
      </c>
      <c r="D7201" s="675"/>
      <c r="E7201" s="675"/>
      <c r="G7201" s="675"/>
      <c r="H7201" s="675"/>
      <c r="I7201" s="675"/>
      <c r="J7201" s="675"/>
      <c r="K7201" s="675"/>
      <c r="L7201" s="675"/>
      <c r="M7201" s="675"/>
    </row>
    <row r="7202" spans="1:13" x14ac:dyDescent="0.25">
      <c r="A7202" s="675" t="s">
        <v>7150</v>
      </c>
      <c r="B7202" s="675" t="s">
        <v>512</v>
      </c>
      <c r="C7202" s="676" t="s">
        <v>7173</v>
      </c>
      <c r="D7202" s="675"/>
      <c r="E7202" s="675"/>
      <c r="G7202" s="675"/>
      <c r="H7202" s="675"/>
      <c r="I7202" s="675"/>
      <c r="J7202" s="675"/>
      <c r="K7202" s="675"/>
      <c r="L7202" s="675"/>
      <c r="M7202" s="675"/>
    </row>
    <row r="7203" spans="1:13" x14ac:dyDescent="0.25">
      <c r="A7203" s="675" t="s">
        <v>7150</v>
      </c>
      <c r="B7203" s="675" t="s">
        <v>512</v>
      </c>
      <c r="C7203" s="676" t="s">
        <v>7174</v>
      </c>
      <c r="D7203" s="675"/>
      <c r="E7203" s="675"/>
      <c r="G7203" s="675"/>
      <c r="H7203" s="675"/>
      <c r="I7203" s="675"/>
      <c r="J7203" s="675"/>
      <c r="K7203" s="675"/>
      <c r="L7203" s="675"/>
      <c r="M7203" s="675"/>
    </row>
    <row r="7204" spans="1:13" x14ac:dyDescent="0.25">
      <c r="A7204" s="675" t="s">
        <v>7150</v>
      </c>
      <c r="B7204" s="675" t="s">
        <v>512</v>
      </c>
      <c r="C7204" s="676" t="s">
        <v>7175</v>
      </c>
      <c r="D7204" s="675"/>
      <c r="E7204" s="675"/>
      <c r="G7204" s="675"/>
      <c r="H7204" s="675"/>
      <c r="I7204" s="675"/>
      <c r="J7204" s="675"/>
      <c r="K7204" s="675"/>
      <c r="L7204" s="675"/>
      <c r="M7204" s="675"/>
    </row>
    <row r="7205" spans="1:13" x14ac:dyDescent="0.25">
      <c r="A7205" s="675" t="s">
        <v>7150</v>
      </c>
      <c r="B7205" s="675" t="s">
        <v>512</v>
      </c>
      <c r="C7205" s="676" t="s">
        <v>7176</v>
      </c>
      <c r="D7205" s="675"/>
      <c r="E7205" s="675"/>
      <c r="G7205" s="675"/>
      <c r="H7205" s="675"/>
      <c r="I7205" s="675"/>
      <c r="J7205" s="675"/>
      <c r="K7205" s="675"/>
      <c r="L7205" s="675"/>
      <c r="M7205" s="675"/>
    </row>
    <row r="7206" spans="1:13" x14ac:dyDescent="0.25">
      <c r="A7206" s="675" t="s">
        <v>7150</v>
      </c>
      <c r="B7206" s="675" t="s">
        <v>512</v>
      </c>
      <c r="C7206" s="676" t="s">
        <v>7177</v>
      </c>
      <c r="D7206" s="675"/>
      <c r="E7206" s="675"/>
      <c r="G7206" s="675"/>
      <c r="H7206" s="675"/>
      <c r="I7206" s="675"/>
      <c r="J7206" s="675"/>
      <c r="K7206" s="675"/>
      <c r="L7206" s="675"/>
      <c r="M7206" s="675"/>
    </row>
    <row r="7207" spans="1:13" x14ac:dyDescent="0.25">
      <c r="A7207" s="675" t="s">
        <v>7150</v>
      </c>
      <c r="B7207" s="675" t="s">
        <v>512</v>
      </c>
      <c r="C7207" s="676" t="s">
        <v>7178</v>
      </c>
      <c r="D7207" s="675"/>
      <c r="E7207" s="675"/>
      <c r="G7207" s="675"/>
      <c r="H7207" s="675"/>
      <c r="I7207" s="675"/>
      <c r="J7207" s="675"/>
      <c r="K7207" s="675"/>
      <c r="L7207" s="675"/>
      <c r="M7207" s="675"/>
    </row>
    <row r="7208" spans="1:13" x14ac:dyDescent="0.25">
      <c r="A7208" s="675" t="s">
        <v>7150</v>
      </c>
      <c r="B7208" s="675" t="s">
        <v>512</v>
      </c>
      <c r="C7208" s="676" t="s">
        <v>7179</v>
      </c>
      <c r="D7208" s="675"/>
      <c r="E7208" s="675"/>
      <c r="G7208" s="675"/>
      <c r="H7208" s="675"/>
      <c r="I7208" s="675"/>
      <c r="J7208" s="675"/>
      <c r="K7208" s="675"/>
      <c r="L7208" s="675"/>
      <c r="M7208" s="675"/>
    </row>
    <row r="7209" spans="1:13" x14ac:dyDescent="0.25">
      <c r="A7209" s="675" t="s">
        <v>7180</v>
      </c>
      <c r="B7209" s="675" t="s">
        <v>545</v>
      </c>
      <c r="C7209" s="676" t="s">
        <v>7181</v>
      </c>
      <c r="D7209" s="675"/>
      <c r="E7209" s="675"/>
      <c r="G7209" s="675"/>
      <c r="H7209" s="675"/>
      <c r="I7209" s="675"/>
      <c r="J7209" s="675"/>
      <c r="K7209" s="675"/>
      <c r="L7209" s="675"/>
      <c r="M7209" s="675"/>
    </row>
    <row r="7210" spans="1:13" x14ac:dyDescent="0.25">
      <c r="A7210" s="675" t="s">
        <v>7180</v>
      </c>
      <c r="B7210" s="675" t="s">
        <v>545</v>
      </c>
      <c r="C7210" s="676" t="s">
        <v>7182</v>
      </c>
      <c r="D7210" s="675"/>
      <c r="E7210" s="675"/>
      <c r="G7210" s="675"/>
      <c r="H7210" s="675"/>
      <c r="I7210" s="675"/>
      <c r="J7210" s="675"/>
      <c r="K7210" s="675"/>
      <c r="L7210" s="675"/>
      <c r="M7210" s="675"/>
    </row>
    <row r="7211" spans="1:13" x14ac:dyDescent="0.25">
      <c r="A7211" s="675" t="s">
        <v>7180</v>
      </c>
      <c r="B7211" s="675" t="s">
        <v>545</v>
      </c>
      <c r="C7211" s="676" t="s">
        <v>7183</v>
      </c>
      <c r="D7211" s="675"/>
      <c r="E7211" s="675"/>
      <c r="G7211" s="675"/>
      <c r="H7211" s="675"/>
      <c r="I7211" s="675"/>
      <c r="J7211" s="675"/>
      <c r="K7211" s="675"/>
      <c r="L7211" s="675"/>
      <c r="M7211" s="675"/>
    </row>
    <row r="7212" spans="1:13" x14ac:dyDescent="0.25">
      <c r="A7212" s="675" t="s">
        <v>7180</v>
      </c>
      <c r="B7212" s="675" t="s">
        <v>545</v>
      </c>
      <c r="C7212" s="676" t="s">
        <v>7184</v>
      </c>
      <c r="D7212" s="675"/>
      <c r="E7212" s="675"/>
      <c r="G7212" s="675"/>
      <c r="H7212" s="675"/>
      <c r="I7212" s="675"/>
      <c r="J7212" s="675"/>
      <c r="K7212" s="675"/>
      <c r="L7212" s="675"/>
      <c r="M7212" s="675"/>
    </row>
    <row r="7213" spans="1:13" x14ac:dyDescent="0.25">
      <c r="A7213" s="675" t="s">
        <v>7180</v>
      </c>
      <c r="B7213" s="675" t="s">
        <v>545</v>
      </c>
      <c r="C7213" s="676" t="s">
        <v>7185</v>
      </c>
      <c r="D7213" s="675"/>
      <c r="E7213" s="675"/>
      <c r="G7213" s="675"/>
      <c r="H7213" s="675"/>
      <c r="I7213" s="675"/>
      <c r="J7213" s="675"/>
      <c r="K7213" s="675"/>
      <c r="L7213" s="675"/>
      <c r="M7213" s="675"/>
    </row>
    <row r="7214" spans="1:13" x14ac:dyDescent="0.25">
      <c r="A7214" s="675" t="s">
        <v>7180</v>
      </c>
      <c r="B7214" s="675" t="s">
        <v>545</v>
      </c>
      <c r="C7214" s="676" t="s">
        <v>7186</v>
      </c>
      <c r="D7214" s="675"/>
      <c r="E7214" s="675"/>
      <c r="G7214" s="675"/>
      <c r="H7214" s="675"/>
      <c r="I7214" s="675"/>
      <c r="J7214" s="675"/>
      <c r="K7214" s="675"/>
      <c r="L7214" s="675"/>
      <c r="M7214" s="675"/>
    </row>
    <row r="7215" spans="1:13" x14ac:dyDescent="0.25">
      <c r="A7215" s="675" t="s">
        <v>7180</v>
      </c>
      <c r="B7215" s="675" t="s">
        <v>545</v>
      </c>
      <c r="C7215" s="676" t="s">
        <v>7187</v>
      </c>
      <c r="D7215" s="675"/>
      <c r="E7215" s="675"/>
      <c r="G7215" s="675"/>
      <c r="H7215" s="675"/>
      <c r="I7215" s="675"/>
      <c r="J7215" s="675"/>
      <c r="K7215" s="675"/>
      <c r="L7215" s="675"/>
      <c r="M7215" s="675"/>
    </row>
    <row r="7216" spans="1:13" x14ac:dyDescent="0.25">
      <c r="A7216" s="675" t="s">
        <v>7180</v>
      </c>
      <c r="B7216" s="675" t="s">
        <v>545</v>
      </c>
      <c r="C7216" s="676" t="s">
        <v>7188</v>
      </c>
      <c r="D7216" s="675"/>
      <c r="E7216" s="675"/>
      <c r="G7216" s="675"/>
      <c r="H7216" s="675"/>
      <c r="I7216" s="675"/>
      <c r="J7216" s="675"/>
      <c r="K7216" s="675"/>
      <c r="L7216" s="675"/>
      <c r="M7216" s="675"/>
    </row>
    <row r="7217" spans="1:13" x14ac:dyDescent="0.25">
      <c r="A7217" s="675" t="s">
        <v>7180</v>
      </c>
      <c r="B7217" s="675" t="s">
        <v>545</v>
      </c>
      <c r="C7217" s="676" t="s">
        <v>7189</v>
      </c>
      <c r="D7217" s="675"/>
      <c r="E7217" s="675"/>
      <c r="G7217" s="675"/>
      <c r="H7217" s="675"/>
      <c r="I7217" s="675"/>
      <c r="J7217" s="675"/>
      <c r="K7217" s="675"/>
      <c r="L7217" s="675"/>
      <c r="M7217" s="675"/>
    </row>
    <row r="7218" spans="1:13" x14ac:dyDescent="0.25">
      <c r="A7218" s="675" t="s">
        <v>7180</v>
      </c>
      <c r="B7218" s="675" t="s">
        <v>545</v>
      </c>
      <c r="C7218" s="676" t="s">
        <v>7190</v>
      </c>
      <c r="D7218" s="675"/>
      <c r="E7218" s="675"/>
      <c r="G7218" s="675"/>
      <c r="H7218" s="675"/>
      <c r="I7218" s="675"/>
      <c r="J7218" s="675"/>
      <c r="K7218" s="675"/>
      <c r="L7218" s="675"/>
      <c r="M7218" s="675"/>
    </row>
    <row r="7219" spans="1:13" x14ac:dyDescent="0.25">
      <c r="A7219" s="675" t="s">
        <v>7180</v>
      </c>
      <c r="B7219" s="675" t="s">
        <v>564</v>
      </c>
      <c r="C7219" s="676" t="s">
        <v>7191</v>
      </c>
      <c r="D7219" s="675"/>
      <c r="E7219" s="675"/>
      <c r="G7219" s="675"/>
      <c r="H7219" s="675"/>
      <c r="I7219" s="675"/>
      <c r="J7219" s="675"/>
      <c r="K7219" s="675"/>
      <c r="L7219" s="675"/>
      <c r="M7219" s="675"/>
    </row>
    <row r="7220" spans="1:13" x14ac:dyDescent="0.25">
      <c r="A7220" s="675" t="s">
        <v>7180</v>
      </c>
      <c r="B7220" s="675" t="s">
        <v>564</v>
      </c>
      <c r="C7220" s="676" t="s">
        <v>7192</v>
      </c>
      <c r="D7220" s="675"/>
      <c r="E7220" s="675"/>
      <c r="G7220" s="675"/>
      <c r="H7220" s="675"/>
      <c r="I7220" s="675"/>
      <c r="J7220" s="675"/>
      <c r="K7220" s="675"/>
      <c r="L7220" s="675"/>
      <c r="M7220" s="675"/>
    </row>
    <row r="7221" spans="1:13" x14ac:dyDescent="0.25">
      <c r="A7221" s="675" t="s">
        <v>7180</v>
      </c>
      <c r="B7221" s="675" t="s">
        <v>564</v>
      </c>
      <c r="C7221" s="676" t="s">
        <v>7193</v>
      </c>
      <c r="D7221" s="675"/>
      <c r="E7221" s="675"/>
      <c r="G7221" s="675"/>
      <c r="H7221" s="675"/>
      <c r="I7221" s="675"/>
      <c r="J7221" s="675"/>
      <c r="K7221" s="675"/>
      <c r="L7221" s="675"/>
      <c r="M7221" s="675"/>
    </row>
    <row r="7222" spans="1:13" x14ac:dyDescent="0.25">
      <c r="A7222" s="675" t="s">
        <v>7180</v>
      </c>
      <c r="B7222" s="675" t="s">
        <v>564</v>
      </c>
      <c r="C7222" s="676" t="s">
        <v>7194</v>
      </c>
      <c r="D7222" s="675"/>
      <c r="E7222" s="675"/>
      <c r="G7222" s="675"/>
      <c r="H7222" s="675"/>
      <c r="I7222" s="675"/>
      <c r="J7222" s="675"/>
      <c r="K7222" s="675"/>
      <c r="L7222" s="675"/>
      <c r="M7222" s="675"/>
    </row>
    <row r="7223" spans="1:13" x14ac:dyDescent="0.25">
      <c r="A7223" s="675" t="s">
        <v>7180</v>
      </c>
      <c r="B7223" s="675" t="s">
        <v>564</v>
      </c>
      <c r="C7223" s="676" t="s">
        <v>7195</v>
      </c>
      <c r="D7223" s="675"/>
      <c r="E7223" s="675"/>
      <c r="G7223" s="675"/>
      <c r="H7223" s="675"/>
      <c r="I7223" s="675"/>
      <c r="J7223" s="675"/>
      <c r="K7223" s="675"/>
      <c r="L7223" s="675"/>
      <c r="M7223" s="675"/>
    </row>
    <row r="7224" spans="1:13" x14ac:dyDescent="0.25">
      <c r="A7224" s="675" t="s">
        <v>7180</v>
      </c>
      <c r="B7224" s="675" t="s">
        <v>564</v>
      </c>
      <c r="C7224" s="676" t="s">
        <v>7196</v>
      </c>
      <c r="D7224" s="675"/>
      <c r="E7224" s="675"/>
      <c r="G7224" s="675"/>
      <c r="H7224" s="675"/>
      <c r="I7224" s="675"/>
      <c r="J7224" s="675"/>
      <c r="K7224" s="675"/>
      <c r="L7224" s="675"/>
      <c r="M7224" s="675"/>
    </row>
    <row r="7225" spans="1:13" x14ac:dyDescent="0.25">
      <c r="A7225" s="675" t="s">
        <v>7180</v>
      </c>
      <c r="B7225" s="675" t="s">
        <v>564</v>
      </c>
      <c r="C7225" s="676" t="s">
        <v>7197</v>
      </c>
      <c r="D7225" s="675"/>
      <c r="E7225" s="675"/>
      <c r="G7225" s="675"/>
      <c r="H7225" s="675"/>
      <c r="I7225" s="675"/>
      <c r="J7225" s="675"/>
      <c r="K7225" s="675"/>
      <c r="L7225" s="675"/>
      <c r="M7225" s="675"/>
    </row>
    <row r="7226" spans="1:13" x14ac:dyDescent="0.25">
      <c r="A7226" s="675" t="s">
        <v>7180</v>
      </c>
      <c r="B7226" s="675" t="s">
        <v>564</v>
      </c>
      <c r="C7226" s="676" t="s">
        <v>7198</v>
      </c>
      <c r="D7226" s="675"/>
      <c r="E7226" s="675"/>
      <c r="G7226" s="675"/>
      <c r="H7226" s="675"/>
      <c r="I7226" s="675"/>
      <c r="J7226" s="675"/>
      <c r="K7226" s="675"/>
      <c r="L7226" s="675"/>
      <c r="M7226" s="675"/>
    </row>
    <row r="7227" spans="1:13" x14ac:dyDescent="0.25">
      <c r="A7227" s="675" t="s">
        <v>7180</v>
      </c>
      <c r="B7227" s="675" t="s">
        <v>564</v>
      </c>
      <c r="C7227" s="676" t="s">
        <v>7199</v>
      </c>
      <c r="D7227" s="675"/>
      <c r="E7227" s="675"/>
      <c r="G7227" s="675"/>
      <c r="H7227" s="675"/>
      <c r="I7227" s="675"/>
      <c r="J7227" s="675"/>
      <c r="K7227" s="675"/>
      <c r="L7227" s="675"/>
      <c r="M7227" s="675"/>
    </row>
    <row r="7228" spans="1:13" x14ac:dyDescent="0.25">
      <c r="A7228" s="675" t="s">
        <v>7180</v>
      </c>
      <c r="B7228" s="675" t="s">
        <v>564</v>
      </c>
      <c r="C7228" s="676" t="s">
        <v>7200</v>
      </c>
      <c r="D7228" s="675"/>
      <c r="E7228" s="675"/>
      <c r="G7228" s="675"/>
      <c r="H7228" s="675"/>
      <c r="I7228" s="675"/>
      <c r="J7228" s="675"/>
      <c r="K7228" s="675"/>
      <c r="L7228" s="675"/>
      <c r="M7228" s="675"/>
    </row>
    <row r="7229" spans="1:13" x14ac:dyDescent="0.25">
      <c r="A7229" s="675" t="s">
        <v>7180</v>
      </c>
      <c r="B7229" s="675" t="s">
        <v>512</v>
      </c>
      <c r="C7229" s="676" t="s">
        <v>7201</v>
      </c>
      <c r="D7229" s="675"/>
      <c r="E7229" s="675"/>
      <c r="G7229" s="675"/>
      <c r="H7229" s="675"/>
      <c r="I7229" s="675"/>
      <c r="J7229" s="675"/>
      <c r="K7229" s="675"/>
      <c r="L7229" s="675"/>
      <c r="M7229" s="675"/>
    </row>
    <row r="7230" spans="1:13" x14ac:dyDescent="0.25">
      <c r="A7230" s="675" t="s">
        <v>7180</v>
      </c>
      <c r="B7230" s="675" t="s">
        <v>512</v>
      </c>
      <c r="C7230" s="676" t="s">
        <v>7202</v>
      </c>
      <c r="D7230" s="675"/>
      <c r="E7230" s="675"/>
      <c r="G7230" s="675"/>
      <c r="H7230" s="675"/>
      <c r="I7230" s="675"/>
      <c r="J7230" s="675"/>
      <c r="K7230" s="675"/>
      <c r="L7230" s="675"/>
      <c r="M7230" s="675"/>
    </row>
    <row r="7231" spans="1:13" x14ac:dyDescent="0.25">
      <c r="A7231" s="675" t="s">
        <v>7180</v>
      </c>
      <c r="B7231" s="675" t="s">
        <v>512</v>
      </c>
      <c r="C7231" s="676" t="s">
        <v>7203</v>
      </c>
      <c r="D7231" s="675"/>
      <c r="E7231" s="675"/>
      <c r="G7231" s="675"/>
      <c r="H7231" s="675"/>
      <c r="I7231" s="675"/>
      <c r="J7231" s="675"/>
      <c r="K7231" s="675"/>
      <c r="L7231" s="675"/>
      <c r="M7231" s="675"/>
    </row>
    <row r="7232" spans="1:13" x14ac:dyDescent="0.25">
      <c r="A7232" s="675" t="s">
        <v>7180</v>
      </c>
      <c r="B7232" s="675" t="s">
        <v>512</v>
      </c>
      <c r="C7232" s="676" t="s">
        <v>7204</v>
      </c>
      <c r="D7232" s="675"/>
      <c r="E7232" s="675"/>
      <c r="G7232" s="675"/>
      <c r="H7232" s="675"/>
      <c r="I7232" s="675"/>
      <c r="J7232" s="675"/>
      <c r="K7232" s="675"/>
      <c r="L7232" s="675"/>
      <c r="M7232" s="675"/>
    </row>
    <row r="7233" spans="1:13" x14ac:dyDescent="0.25">
      <c r="A7233" s="675" t="s">
        <v>7180</v>
      </c>
      <c r="B7233" s="675" t="s">
        <v>512</v>
      </c>
      <c r="C7233" s="676" t="s">
        <v>7205</v>
      </c>
      <c r="D7233" s="675"/>
      <c r="E7233" s="675"/>
      <c r="G7233" s="675"/>
      <c r="H7233" s="675"/>
      <c r="I7233" s="675"/>
      <c r="J7233" s="675"/>
      <c r="K7233" s="675"/>
      <c r="L7233" s="675"/>
      <c r="M7233" s="675"/>
    </row>
    <row r="7234" spans="1:13" x14ac:dyDescent="0.25">
      <c r="A7234" s="675" t="s">
        <v>7180</v>
      </c>
      <c r="B7234" s="675" t="s">
        <v>512</v>
      </c>
      <c r="C7234" s="676" t="s">
        <v>7206</v>
      </c>
      <c r="D7234" s="675"/>
      <c r="E7234" s="675"/>
      <c r="G7234" s="675"/>
      <c r="H7234" s="675"/>
      <c r="I7234" s="675"/>
      <c r="J7234" s="675"/>
      <c r="K7234" s="675"/>
      <c r="L7234" s="675"/>
      <c r="M7234" s="675"/>
    </row>
    <row r="7235" spans="1:13" x14ac:dyDescent="0.25">
      <c r="A7235" s="675" t="s">
        <v>7180</v>
      </c>
      <c r="B7235" s="675" t="s">
        <v>512</v>
      </c>
      <c r="C7235" s="676" t="s">
        <v>7207</v>
      </c>
      <c r="D7235" s="675"/>
      <c r="E7235" s="675"/>
      <c r="G7235" s="675"/>
      <c r="H7235" s="675"/>
      <c r="I7235" s="675"/>
      <c r="J7235" s="675"/>
      <c r="K7235" s="675"/>
      <c r="L7235" s="675"/>
      <c r="M7235" s="675"/>
    </row>
    <row r="7236" spans="1:13" x14ac:dyDescent="0.25">
      <c r="A7236" s="675" t="s">
        <v>7180</v>
      </c>
      <c r="B7236" s="675" t="s">
        <v>512</v>
      </c>
      <c r="C7236" s="676" t="s">
        <v>7208</v>
      </c>
      <c r="D7236" s="675"/>
      <c r="E7236" s="675"/>
      <c r="G7236" s="675"/>
      <c r="H7236" s="675"/>
      <c r="I7236" s="675"/>
      <c r="J7236" s="675"/>
      <c r="K7236" s="675"/>
      <c r="L7236" s="675"/>
      <c r="M7236" s="675"/>
    </row>
    <row r="7237" spans="1:13" x14ac:dyDescent="0.25">
      <c r="A7237" s="675" t="s">
        <v>7180</v>
      </c>
      <c r="B7237" s="675" t="s">
        <v>512</v>
      </c>
      <c r="C7237" s="676" t="s">
        <v>7209</v>
      </c>
      <c r="D7237" s="675"/>
      <c r="E7237" s="675"/>
      <c r="G7237" s="675"/>
      <c r="H7237" s="675"/>
      <c r="I7237" s="675"/>
      <c r="J7237" s="675"/>
      <c r="K7237" s="675"/>
      <c r="L7237" s="675"/>
      <c r="M7237" s="675"/>
    </row>
    <row r="7238" spans="1:13" x14ac:dyDescent="0.25">
      <c r="A7238" s="675" t="s">
        <v>7180</v>
      </c>
      <c r="B7238" s="675" t="s">
        <v>512</v>
      </c>
      <c r="C7238" s="676" t="s">
        <v>7210</v>
      </c>
      <c r="D7238" s="675"/>
      <c r="E7238" s="675"/>
      <c r="G7238" s="675"/>
      <c r="H7238" s="675"/>
      <c r="I7238" s="675"/>
      <c r="J7238" s="675"/>
      <c r="K7238" s="675"/>
      <c r="L7238" s="675"/>
      <c r="M7238" s="675"/>
    </row>
    <row r="7239" spans="1:13" x14ac:dyDescent="0.25">
      <c r="A7239" s="675" t="s">
        <v>7211</v>
      </c>
      <c r="B7239" s="675" t="s">
        <v>545</v>
      </c>
      <c r="C7239" s="676" t="s">
        <v>7212</v>
      </c>
      <c r="D7239" s="675"/>
      <c r="E7239" s="675"/>
      <c r="G7239" s="675"/>
      <c r="H7239" s="675"/>
      <c r="I7239" s="675"/>
      <c r="J7239" s="675"/>
      <c r="K7239" s="675"/>
      <c r="L7239" s="675"/>
      <c r="M7239" s="675"/>
    </row>
    <row r="7240" spans="1:13" x14ac:dyDescent="0.25">
      <c r="A7240" s="675" t="s">
        <v>7211</v>
      </c>
      <c r="B7240" s="675" t="s">
        <v>545</v>
      </c>
      <c r="C7240" s="676" t="s">
        <v>7213</v>
      </c>
      <c r="D7240" s="675"/>
      <c r="E7240" s="675"/>
      <c r="G7240" s="675"/>
      <c r="H7240" s="675"/>
      <c r="I7240" s="675"/>
      <c r="J7240" s="675"/>
      <c r="K7240" s="675"/>
      <c r="L7240" s="675"/>
      <c r="M7240" s="675"/>
    </row>
    <row r="7241" spans="1:13" x14ac:dyDescent="0.25">
      <c r="A7241" s="675" t="s">
        <v>7211</v>
      </c>
      <c r="B7241" s="675" t="s">
        <v>545</v>
      </c>
      <c r="C7241" s="676" t="s">
        <v>7214</v>
      </c>
      <c r="D7241" s="675"/>
      <c r="E7241" s="675"/>
      <c r="G7241" s="675"/>
      <c r="H7241" s="675"/>
      <c r="I7241" s="675"/>
      <c r="J7241" s="675"/>
      <c r="K7241" s="675"/>
      <c r="L7241" s="675"/>
      <c r="M7241" s="675"/>
    </row>
    <row r="7242" spans="1:13" x14ac:dyDescent="0.25">
      <c r="A7242" s="675" t="s">
        <v>7211</v>
      </c>
      <c r="B7242" s="675" t="s">
        <v>545</v>
      </c>
      <c r="C7242" s="676" t="s">
        <v>7215</v>
      </c>
      <c r="D7242" s="675"/>
      <c r="E7242" s="675"/>
      <c r="G7242" s="675"/>
      <c r="H7242" s="675"/>
      <c r="I7242" s="675"/>
      <c r="J7242" s="675"/>
      <c r="K7242" s="675"/>
      <c r="L7242" s="675"/>
      <c r="M7242" s="675"/>
    </row>
    <row r="7243" spans="1:13" x14ac:dyDescent="0.25">
      <c r="A7243" s="675" t="s">
        <v>7211</v>
      </c>
      <c r="B7243" s="675" t="s">
        <v>545</v>
      </c>
      <c r="C7243" s="676" t="s">
        <v>7216</v>
      </c>
      <c r="D7243" s="675"/>
      <c r="E7243" s="675"/>
      <c r="G7243" s="675"/>
      <c r="H7243" s="675"/>
      <c r="I7243" s="675"/>
      <c r="J7243" s="675"/>
      <c r="K7243" s="675"/>
      <c r="L7243" s="675"/>
      <c r="M7243" s="675"/>
    </row>
    <row r="7244" spans="1:13" x14ac:dyDescent="0.25">
      <c r="A7244" s="675" t="s">
        <v>7211</v>
      </c>
      <c r="B7244" s="675" t="s">
        <v>564</v>
      </c>
      <c r="C7244" s="676" t="s">
        <v>7217</v>
      </c>
      <c r="D7244" s="675"/>
      <c r="E7244" s="675"/>
      <c r="G7244" s="675"/>
      <c r="H7244" s="675"/>
      <c r="I7244" s="675"/>
      <c r="J7244" s="675"/>
      <c r="K7244" s="675"/>
      <c r="L7244" s="675"/>
      <c r="M7244" s="675"/>
    </row>
    <row r="7245" spans="1:13" x14ac:dyDescent="0.25">
      <c r="A7245" s="675" t="s">
        <v>7211</v>
      </c>
      <c r="B7245" s="675" t="s">
        <v>564</v>
      </c>
      <c r="C7245" s="676" t="s">
        <v>7218</v>
      </c>
      <c r="D7245" s="675"/>
      <c r="E7245" s="675"/>
      <c r="G7245" s="675"/>
      <c r="H7245" s="675"/>
      <c r="I7245" s="675"/>
      <c r="J7245" s="675"/>
      <c r="K7245" s="675"/>
      <c r="L7245" s="675"/>
      <c r="M7245" s="675"/>
    </row>
    <row r="7246" spans="1:13" x14ac:dyDescent="0.25">
      <c r="A7246" s="675" t="s">
        <v>7211</v>
      </c>
      <c r="B7246" s="675" t="s">
        <v>564</v>
      </c>
      <c r="C7246" s="676" t="s">
        <v>7219</v>
      </c>
      <c r="D7246" s="675"/>
      <c r="E7246" s="675"/>
      <c r="G7246" s="675"/>
      <c r="H7246" s="675"/>
      <c r="I7246" s="675"/>
      <c r="J7246" s="675"/>
      <c r="K7246" s="675"/>
      <c r="L7246" s="675"/>
      <c r="M7246" s="675"/>
    </row>
    <row r="7247" spans="1:13" x14ac:dyDescent="0.25">
      <c r="A7247" s="675" t="s">
        <v>7211</v>
      </c>
      <c r="B7247" s="675" t="s">
        <v>564</v>
      </c>
      <c r="C7247" s="676" t="s">
        <v>7220</v>
      </c>
      <c r="D7247" s="675"/>
      <c r="E7247" s="675"/>
      <c r="G7247" s="675"/>
      <c r="H7247" s="675"/>
      <c r="I7247" s="675"/>
      <c r="J7247" s="675"/>
      <c r="K7247" s="675"/>
      <c r="L7247" s="675"/>
      <c r="M7247" s="675"/>
    </row>
    <row r="7248" spans="1:13" x14ac:dyDescent="0.25">
      <c r="A7248" s="675" t="s">
        <v>7211</v>
      </c>
      <c r="B7248" s="675" t="s">
        <v>564</v>
      </c>
      <c r="C7248" s="676" t="s">
        <v>7221</v>
      </c>
      <c r="D7248" s="675"/>
      <c r="E7248" s="675"/>
      <c r="G7248" s="675"/>
      <c r="H7248" s="675"/>
      <c r="I7248" s="675"/>
      <c r="J7248" s="675"/>
      <c r="K7248" s="675"/>
      <c r="L7248" s="675"/>
      <c r="M7248" s="675"/>
    </row>
    <row r="7249" spans="1:13" x14ac:dyDescent="0.25">
      <c r="A7249" s="675" t="s">
        <v>7211</v>
      </c>
      <c r="B7249" s="675" t="s">
        <v>512</v>
      </c>
      <c r="C7249" s="676" t="s">
        <v>7222</v>
      </c>
      <c r="D7249" s="675"/>
      <c r="E7249" s="675"/>
      <c r="G7249" s="675"/>
      <c r="H7249" s="675"/>
      <c r="I7249" s="675"/>
      <c r="J7249" s="675"/>
      <c r="K7249" s="675"/>
      <c r="L7249" s="675"/>
      <c r="M7249" s="675"/>
    </row>
    <row r="7250" spans="1:13" x14ac:dyDescent="0.25">
      <c r="A7250" s="675" t="s">
        <v>7211</v>
      </c>
      <c r="B7250" s="675" t="s">
        <v>512</v>
      </c>
      <c r="C7250" s="676" t="s">
        <v>7223</v>
      </c>
      <c r="D7250" s="675"/>
      <c r="E7250" s="675"/>
      <c r="G7250" s="675"/>
      <c r="H7250" s="675"/>
      <c r="I7250" s="675"/>
      <c r="J7250" s="675"/>
      <c r="K7250" s="675"/>
      <c r="L7250" s="675"/>
      <c r="M7250" s="675"/>
    </row>
    <row r="7251" spans="1:13" x14ac:dyDescent="0.25">
      <c r="A7251" s="675" t="s">
        <v>7211</v>
      </c>
      <c r="B7251" s="675" t="s">
        <v>512</v>
      </c>
      <c r="C7251" s="676" t="s">
        <v>7224</v>
      </c>
      <c r="D7251" s="675"/>
      <c r="E7251" s="675"/>
      <c r="G7251" s="675"/>
      <c r="H7251" s="675"/>
      <c r="I7251" s="675"/>
      <c r="J7251" s="675"/>
      <c r="K7251" s="675"/>
      <c r="L7251" s="675"/>
      <c r="M7251" s="675"/>
    </row>
    <row r="7252" spans="1:13" x14ac:dyDescent="0.25">
      <c r="A7252" s="675" t="s">
        <v>7211</v>
      </c>
      <c r="B7252" s="675" t="s">
        <v>512</v>
      </c>
      <c r="C7252" s="676" t="s">
        <v>7225</v>
      </c>
      <c r="D7252" s="675"/>
      <c r="E7252" s="675"/>
      <c r="G7252" s="675"/>
      <c r="H7252" s="675"/>
      <c r="I7252" s="675"/>
      <c r="J7252" s="675"/>
      <c r="K7252" s="675"/>
      <c r="L7252" s="675"/>
      <c r="M7252" s="675"/>
    </row>
    <row r="7253" spans="1:13" x14ac:dyDescent="0.25">
      <c r="A7253" s="675" t="s">
        <v>7211</v>
      </c>
      <c r="B7253" s="675" t="s">
        <v>512</v>
      </c>
      <c r="C7253" s="676" t="s">
        <v>7226</v>
      </c>
      <c r="D7253" s="675"/>
      <c r="E7253" s="675"/>
      <c r="G7253" s="675"/>
      <c r="H7253" s="675"/>
      <c r="I7253" s="675"/>
      <c r="J7253" s="675"/>
      <c r="K7253" s="675"/>
      <c r="L7253" s="675"/>
      <c r="M7253" s="675"/>
    </row>
    <row r="7254" spans="1:13" x14ac:dyDescent="0.25">
      <c r="A7254" s="675" t="s">
        <v>7227</v>
      </c>
      <c r="B7254" s="675" t="s">
        <v>545</v>
      </c>
      <c r="C7254" s="676" t="s">
        <v>7228</v>
      </c>
      <c r="D7254" s="675"/>
      <c r="E7254" s="675"/>
      <c r="G7254" s="675"/>
      <c r="H7254" s="675"/>
      <c r="I7254" s="675"/>
      <c r="J7254" s="675"/>
      <c r="K7254" s="675"/>
      <c r="L7254" s="675"/>
      <c r="M7254" s="675"/>
    </row>
    <row r="7255" spans="1:13" x14ac:dyDescent="0.25">
      <c r="A7255" s="675" t="s">
        <v>7227</v>
      </c>
      <c r="B7255" s="675" t="s">
        <v>545</v>
      </c>
      <c r="C7255" s="676" t="s">
        <v>7229</v>
      </c>
      <c r="D7255" s="675"/>
      <c r="E7255" s="675"/>
      <c r="G7255" s="675"/>
      <c r="H7255" s="675"/>
      <c r="I7255" s="675"/>
      <c r="J7255" s="675"/>
      <c r="K7255" s="675"/>
      <c r="L7255" s="675"/>
      <c r="M7255" s="675"/>
    </row>
    <row r="7256" spans="1:13" x14ac:dyDescent="0.25">
      <c r="A7256" s="675" t="s">
        <v>7227</v>
      </c>
      <c r="B7256" s="675" t="s">
        <v>545</v>
      </c>
      <c r="C7256" s="676" t="s">
        <v>7230</v>
      </c>
      <c r="D7256" s="675"/>
      <c r="E7256" s="675"/>
      <c r="G7256" s="675"/>
      <c r="H7256" s="675"/>
      <c r="I7256" s="675"/>
      <c r="J7256" s="675"/>
      <c r="K7256" s="675"/>
      <c r="L7256" s="675"/>
      <c r="M7256" s="675"/>
    </row>
    <row r="7257" spans="1:13" x14ac:dyDescent="0.25">
      <c r="A7257" s="675" t="s">
        <v>7227</v>
      </c>
      <c r="B7257" s="675" t="s">
        <v>545</v>
      </c>
      <c r="C7257" s="676" t="s">
        <v>7231</v>
      </c>
      <c r="D7257" s="675"/>
      <c r="E7257" s="675"/>
      <c r="G7257" s="675"/>
      <c r="H7257" s="675"/>
      <c r="I7257" s="675"/>
      <c r="J7257" s="675"/>
      <c r="K7257" s="675"/>
      <c r="L7257" s="675"/>
      <c r="M7257" s="675"/>
    </row>
    <row r="7258" spans="1:13" x14ac:dyDescent="0.25">
      <c r="A7258" s="675" t="s">
        <v>7227</v>
      </c>
      <c r="B7258" s="675" t="s">
        <v>545</v>
      </c>
      <c r="C7258" s="676" t="s">
        <v>7232</v>
      </c>
      <c r="D7258" s="675"/>
      <c r="E7258" s="675"/>
      <c r="G7258" s="675"/>
      <c r="H7258" s="675"/>
      <c r="I7258" s="675"/>
      <c r="J7258" s="675"/>
      <c r="K7258" s="675"/>
      <c r="L7258" s="675"/>
      <c r="M7258" s="675"/>
    </row>
    <row r="7259" spans="1:13" x14ac:dyDescent="0.25">
      <c r="A7259" s="675" t="s">
        <v>7227</v>
      </c>
      <c r="B7259" s="675" t="s">
        <v>545</v>
      </c>
      <c r="C7259" s="676" t="s">
        <v>7233</v>
      </c>
      <c r="D7259" s="675"/>
      <c r="E7259" s="675"/>
      <c r="G7259" s="675"/>
      <c r="H7259" s="675"/>
      <c r="I7259" s="675"/>
      <c r="J7259" s="675"/>
      <c r="K7259" s="675"/>
      <c r="L7259" s="675"/>
      <c r="M7259" s="675"/>
    </row>
    <row r="7260" spans="1:13" x14ac:dyDescent="0.25">
      <c r="A7260" s="675" t="s">
        <v>7227</v>
      </c>
      <c r="B7260" s="675" t="s">
        <v>545</v>
      </c>
      <c r="C7260" s="676" t="s">
        <v>7234</v>
      </c>
      <c r="D7260" s="675"/>
      <c r="E7260" s="675"/>
      <c r="G7260" s="675"/>
      <c r="H7260" s="675"/>
      <c r="I7260" s="675"/>
      <c r="J7260" s="675"/>
      <c r="K7260" s="675"/>
      <c r="L7260" s="675"/>
      <c r="M7260" s="675"/>
    </row>
    <row r="7261" spans="1:13" x14ac:dyDescent="0.25">
      <c r="A7261" s="675" t="s">
        <v>7227</v>
      </c>
      <c r="B7261" s="675" t="s">
        <v>545</v>
      </c>
      <c r="C7261" s="676" t="s">
        <v>7235</v>
      </c>
      <c r="D7261" s="675"/>
      <c r="E7261" s="675"/>
      <c r="G7261" s="675"/>
      <c r="H7261" s="675"/>
      <c r="I7261" s="675"/>
      <c r="J7261" s="675"/>
      <c r="K7261" s="675"/>
      <c r="L7261" s="675"/>
      <c r="M7261" s="675"/>
    </row>
    <row r="7262" spans="1:13" x14ac:dyDescent="0.25">
      <c r="A7262" s="675" t="s">
        <v>7227</v>
      </c>
      <c r="B7262" s="675" t="s">
        <v>545</v>
      </c>
      <c r="C7262" s="676" t="s">
        <v>7236</v>
      </c>
      <c r="D7262" s="675"/>
      <c r="E7262" s="675"/>
      <c r="G7262" s="675"/>
      <c r="H7262" s="675"/>
      <c r="I7262" s="675"/>
      <c r="J7262" s="675"/>
      <c r="K7262" s="675"/>
      <c r="L7262" s="675"/>
      <c r="M7262" s="675"/>
    </row>
    <row r="7263" spans="1:13" x14ac:dyDescent="0.25">
      <c r="A7263" s="675" t="s">
        <v>7227</v>
      </c>
      <c r="B7263" s="675" t="s">
        <v>545</v>
      </c>
      <c r="C7263" s="676" t="s">
        <v>7237</v>
      </c>
      <c r="D7263" s="675"/>
      <c r="E7263" s="675"/>
      <c r="G7263" s="675"/>
      <c r="H7263" s="675"/>
      <c r="I7263" s="675"/>
      <c r="J7263" s="675"/>
      <c r="K7263" s="675"/>
      <c r="L7263" s="675"/>
      <c r="M7263" s="675"/>
    </row>
    <row r="7264" spans="1:13" x14ac:dyDescent="0.25">
      <c r="A7264" s="675" t="s">
        <v>7227</v>
      </c>
      <c r="B7264" s="675" t="s">
        <v>564</v>
      </c>
      <c r="C7264" s="676" t="s">
        <v>7238</v>
      </c>
      <c r="D7264" s="675"/>
      <c r="E7264" s="675"/>
      <c r="G7264" s="675"/>
      <c r="H7264" s="675"/>
      <c r="I7264" s="675"/>
      <c r="J7264" s="675"/>
      <c r="K7264" s="675"/>
      <c r="L7264" s="675"/>
      <c r="M7264" s="675"/>
    </row>
    <row r="7265" spans="1:13" x14ac:dyDescent="0.25">
      <c r="A7265" s="675" t="s">
        <v>7227</v>
      </c>
      <c r="B7265" s="675" t="s">
        <v>564</v>
      </c>
      <c r="C7265" s="676" t="s">
        <v>7239</v>
      </c>
      <c r="D7265" s="675"/>
      <c r="E7265" s="675"/>
      <c r="G7265" s="675"/>
      <c r="H7265" s="675"/>
      <c r="I7265" s="675"/>
      <c r="J7265" s="675"/>
      <c r="K7265" s="675"/>
      <c r="L7265" s="675"/>
      <c r="M7265" s="675"/>
    </row>
    <row r="7266" spans="1:13" x14ac:dyDescent="0.25">
      <c r="A7266" s="675" t="s">
        <v>7227</v>
      </c>
      <c r="B7266" s="675" t="s">
        <v>564</v>
      </c>
      <c r="C7266" s="676" t="s">
        <v>7240</v>
      </c>
      <c r="D7266" s="675"/>
      <c r="E7266" s="675"/>
      <c r="G7266" s="675"/>
      <c r="H7266" s="675"/>
      <c r="I7266" s="675"/>
      <c r="J7266" s="675"/>
      <c r="K7266" s="675"/>
      <c r="L7266" s="675"/>
      <c r="M7266" s="675"/>
    </row>
    <row r="7267" spans="1:13" x14ac:dyDescent="0.25">
      <c r="A7267" s="675" t="s">
        <v>7227</v>
      </c>
      <c r="B7267" s="675" t="s">
        <v>564</v>
      </c>
      <c r="C7267" s="676" t="s">
        <v>7241</v>
      </c>
      <c r="D7267" s="675"/>
      <c r="E7267" s="675"/>
      <c r="G7267" s="675"/>
      <c r="H7267" s="675"/>
      <c r="I7267" s="675"/>
      <c r="J7267" s="675"/>
      <c r="K7267" s="675"/>
      <c r="L7267" s="675"/>
      <c r="M7267" s="675"/>
    </row>
    <row r="7268" spans="1:13" x14ac:dyDescent="0.25">
      <c r="A7268" s="675" t="s">
        <v>7227</v>
      </c>
      <c r="B7268" s="675" t="s">
        <v>564</v>
      </c>
      <c r="C7268" s="676" t="s">
        <v>7242</v>
      </c>
      <c r="D7268" s="675"/>
      <c r="E7268" s="675"/>
      <c r="G7268" s="675"/>
      <c r="H7268" s="675"/>
      <c r="I7268" s="675"/>
      <c r="J7268" s="675"/>
      <c r="K7268" s="675"/>
      <c r="L7268" s="675"/>
      <c r="M7268" s="675"/>
    </row>
    <row r="7269" spans="1:13" x14ac:dyDescent="0.25">
      <c r="A7269" s="675" t="s">
        <v>7227</v>
      </c>
      <c r="B7269" s="675" t="s">
        <v>564</v>
      </c>
      <c r="C7269" s="676" t="s">
        <v>7243</v>
      </c>
      <c r="D7269" s="675"/>
      <c r="E7269" s="675"/>
      <c r="G7269" s="675"/>
      <c r="H7269" s="675"/>
      <c r="I7269" s="675"/>
      <c r="J7269" s="675"/>
      <c r="K7269" s="675"/>
      <c r="L7269" s="675"/>
      <c r="M7269" s="675"/>
    </row>
    <row r="7270" spans="1:13" x14ac:dyDescent="0.25">
      <c r="A7270" s="675" t="s">
        <v>7227</v>
      </c>
      <c r="B7270" s="675" t="s">
        <v>564</v>
      </c>
      <c r="C7270" s="676" t="s">
        <v>7244</v>
      </c>
      <c r="D7270" s="675"/>
      <c r="E7270" s="675"/>
      <c r="G7270" s="675"/>
      <c r="H7270" s="675"/>
      <c r="I7270" s="675"/>
      <c r="J7270" s="675"/>
      <c r="K7270" s="675"/>
      <c r="L7270" s="675"/>
      <c r="M7270" s="675"/>
    </row>
    <row r="7271" spans="1:13" x14ac:dyDescent="0.25">
      <c r="A7271" s="675" t="s">
        <v>7227</v>
      </c>
      <c r="B7271" s="675" t="s">
        <v>564</v>
      </c>
      <c r="C7271" s="676" t="s">
        <v>7245</v>
      </c>
      <c r="D7271" s="675"/>
      <c r="E7271" s="675"/>
      <c r="G7271" s="675"/>
      <c r="H7271" s="675"/>
      <c r="I7271" s="675"/>
      <c r="J7271" s="675"/>
      <c r="K7271" s="675"/>
      <c r="L7271" s="675"/>
      <c r="M7271" s="675"/>
    </row>
    <row r="7272" spans="1:13" x14ac:dyDescent="0.25">
      <c r="A7272" s="675" t="s">
        <v>7227</v>
      </c>
      <c r="B7272" s="675" t="s">
        <v>564</v>
      </c>
      <c r="C7272" s="676" t="s">
        <v>7246</v>
      </c>
      <c r="D7272" s="675"/>
      <c r="E7272" s="675"/>
      <c r="G7272" s="675"/>
      <c r="H7272" s="675"/>
      <c r="I7272" s="675"/>
      <c r="J7272" s="675"/>
      <c r="K7272" s="675"/>
      <c r="L7272" s="675"/>
      <c r="M7272" s="675"/>
    </row>
    <row r="7273" spans="1:13" x14ac:dyDescent="0.25">
      <c r="A7273" s="675" t="s">
        <v>7227</v>
      </c>
      <c r="B7273" s="675" t="s">
        <v>564</v>
      </c>
      <c r="C7273" s="676" t="s">
        <v>7247</v>
      </c>
      <c r="D7273" s="675"/>
      <c r="E7273" s="675"/>
      <c r="G7273" s="675"/>
      <c r="H7273" s="675"/>
      <c r="I7273" s="675"/>
      <c r="J7273" s="675"/>
      <c r="K7273" s="675"/>
      <c r="L7273" s="675"/>
      <c r="M7273" s="675"/>
    </row>
    <row r="7274" spans="1:13" x14ac:dyDescent="0.25">
      <c r="A7274" s="675" t="s">
        <v>7227</v>
      </c>
      <c r="B7274" s="675" t="s">
        <v>512</v>
      </c>
      <c r="C7274" s="676" t="s">
        <v>7248</v>
      </c>
      <c r="D7274" s="675"/>
      <c r="E7274" s="675"/>
      <c r="G7274" s="675"/>
      <c r="H7274" s="675"/>
      <c r="I7274" s="675"/>
      <c r="J7274" s="675"/>
      <c r="K7274" s="675"/>
      <c r="L7274" s="675"/>
      <c r="M7274" s="675"/>
    </row>
    <row r="7275" spans="1:13" x14ac:dyDescent="0.25">
      <c r="A7275" s="675" t="s">
        <v>7227</v>
      </c>
      <c r="B7275" s="675" t="s">
        <v>512</v>
      </c>
      <c r="C7275" s="676" t="s">
        <v>7249</v>
      </c>
      <c r="D7275" s="675"/>
      <c r="E7275" s="675"/>
      <c r="G7275" s="675"/>
      <c r="H7275" s="675"/>
      <c r="I7275" s="675"/>
      <c r="J7275" s="675"/>
      <c r="K7275" s="675"/>
      <c r="L7275" s="675"/>
      <c r="M7275" s="675"/>
    </row>
    <row r="7276" spans="1:13" x14ac:dyDescent="0.25">
      <c r="A7276" s="675" t="s">
        <v>7227</v>
      </c>
      <c r="B7276" s="675" t="s">
        <v>512</v>
      </c>
      <c r="C7276" s="676" t="s">
        <v>7250</v>
      </c>
      <c r="D7276" s="675"/>
      <c r="E7276" s="675"/>
      <c r="G7276" s="675"/>
      <c r="H7276" s="675"/>
      <c r="I7276" s="675"/>
      <c r="J7276" s="675"/>
      <c r="K7276" s="675"/>
      <c r="L7276" s="675"/>
      <c r="M7276" s="675"/>
    </row>
    <row r="7277" spans="1:13" x14ac:dyDescent="0.25">
      <c r="A7277" s="675" t="s">
        <v>7227</v>
      </c>
      <c r="B7277" s="675" t="s">
        <v>512</v>
      </c>
      <c r="C7277" s="676" t="s">
        <v>7251</v>
      </c>
      <c r="D7277" s="675"/>
      <c r="E7277" s="675"/>
      <c r="G7277" s="675"/>
      <c r="H7277" s="675"/>
      <c r="I7277" s="675"/>
      <c r="J7277" s="675"/>
      <c r="K7277" s="675"/>
      <c r="L7277" s="675"/>
      <c r="M7277" s="675"/>
    </row>
    <row r="7278" spans="1:13" x14ac:dyDescent="0.25">
      <c r="A7278" s="675" t="s">
        <v>7227</v>
      </c>
      <c r="B7278" s="675" t="s">
        <v>512</v>
      </c>
      <c r="C7278" s="676" t="s">
        <v>7252</v>
      </c>
      <c r="D7278" s="675"/>
      <c r="E7278" s="675"/>
      <c r="G7278" s="675"/>
      <c r="H7278" s="675"/>
      <c r="I7278" s="675"/>
      <c r="J7278" s="675"/>
      <c r="K7278" s="675"/>
      <c r="L7278" s="675"/>
      <c r="M7278" s="675"/>
    </row>
    <row r="7279" spans="1:13" x14ac:dyDescent="0.25">
      <c r="A7279" s="675" t="s">
        <v>7227</v>
      </c>
      <c r="B7279" s="675" t="s">
        <v>512</v>
      </c>
      <c r="C7279" s="676" t="s">
        <v>7253</v>
      </c>
      <c r="D7279" s="675"/>
      <c r="E7279" s="675"/>
      <c r="G7279" s="675"/>
      <c r="H7279" s="675"/>
      <c r="I7279" s="675"/>
      <c r="J7279" s="675"/>
      <c r="K7279" s="675"/>
      <c r="L7279" s="675"/>
      <c r="M7279" s="675"/>
    </row>
    <row r="7280" spans="1:13" x14ac:dyDescent="0.25">
      <c r="A7280" s="675" t="s">
        <v>7227</v>
      </c>
      <c r="B7280" s="675" t="s">
        <v>512</v>
      </c>
      <c r="C7280" s="676" t="s">
        <v>7254</v>
      </c>
      <c r="D7280" s="675"/>
      <c r="E7280" s="675"/>
      <c r="G7280" s="675"/>
      <c r="H7280" s="675"/>
      <c r="I7280" s="675"/>
      <c r="J7280" s="675"/>
      <c r="K7280" s="675"/>
      <c r="L7280" s="675"/>
      <c r="M7280" s="675"/>
    </row>
    <row r="7281" spans="1:13" x14ac:dyDescent="0.25">
      <c r="A7281" s="675" t="s">
        <v>7227</v>
      </c>
      <c r="B7281" s="675" t="s">
        <v>512</v>
      </c>
      <c r="C7281" s="676" t="s">
        <v>7255</v>
      </c>
      <c r="D7281" s="675"/>
      <c r="E7281" s="675"/>
      <c r="G7281" s="675"/>
      <c r="H7281" s="675"/>
      <c r="I7281" s="675"/>
      <c r="J7281" s="675"/>
      <c r="K7281" s="675"/>
      <c r="L7281" s="675"/>
      <c r="M7281" s="675"/>
    </row>
    <row r="7282" spans="1:13" x14ac:dyDescent="0.25">
      <c r="A7282" s="675" t="s">
        <v>7227</v>
      </c>
      <c r="B7282" s="675" t="s">
        <v>512</v>
      </c>
      <c r="C7282" s="676" t="s">
        <v>7256</v>
      </c>
      <c r="D7282" s="675"/>
      <c r="E7282" s="675"/>
      <c r="G7282" s="675"/>
      <c r="H7282" s="675"/>
      <c r="I7282" s="675"/>
      <c r="J7282" s="675"/>
      <c r="K7282" s="675"/>
      <c r="L7282" s="675"/>
      <c r="M7282" s="675"/>
    </row>
    <row r="7283" spans="1:13" x14ac:dyDescent="0.25">
      <c r="A7283" s="675" t="s">
        <v>7227</v>
      </c>
      <c r="B7283" s="675" t="s">
        <v>512</v>
      </c>
      <c r="C7283" s="676" t="s">
        <v>7257</v>
      </c>
      <c r="D7283" s="675"/>
      <c r="E7283" s="675"/>
      <c r="G7283" s="675"/>
      <c r="H7283" s="675"/>
      <c r="I7283" s="675"/>
      <c r="J7283" s="675"/>
      <c r="K7283" s="675"/>
      <c r="L7283" s="675"/>
      <c r="M7283" s="675"/>
    </row>
    <row r="7284" spans="1:13" x14ac:dyDescent="0.25">
      <c r="A7284" s="675" t="s">
        <v>7258</v>
      </c>
      <c r="B7284" s="675" t="s">
        <v>545</v>
      </c>
      <c r="C7284" s="676" t="s">
        <v>7259</v>
      </c>
      <c r="D7284" s="675"/>
      <c r="E7284" s="675"/>
      <c r="G7284" s="675"/>
      <c r="H7284" s="675"/>
      <c r="I7284" s="675"/>
      <c r="J7284" s="675"/>
      <c r="K7284" s="675"/>
      <c r="L7284" s="675"/>
      <c r="M7284" s="675"/>
    </row>
    <row r="7285" spans="1:13" x14ac:dyDescent="0.25">
      <c r="A7285" s="675" t="s">
        <v>7258</v>
      </c>
      <c r="B7285" s="675" t="s">
        <v>545</v>
      </c>
      <c r="C7285" s="676" t="s">
        <v>7260</v>
      </c>
      <c r="D7285" s="675"/>
      <c r="E7285" s="675"/>
      <c r="G7285" s="675"/>
      <c r="H7285" s="675"/>
      <c r="I7285" s="675"/>
      <c r="J7285" s="675"/>
      <c r="K7285" s="675"/>
      <c r="L7285" s="675"/>
      <c r="M7285" s="675"/>
    </row>
    <row r="7286" spans="1:13" ht="30" x14ac:dyDescent="0.25">
      <c r="A7286" s="675" t="s">
        <v>7258</v>
      </c>
      <c r="B7286" s="675" t="s">
        <v>545</v>
      </c>
      <c r="C7286" s="676" t="s">
        <v>7261</v>
      </c>
      <c r="D7286" s="675"/>
      <c r="E7286" s="675"/>
      <c r="G7286" s="675"/>
      <c r="H7286" s="675"/>
      <c r="I7286" s="675"/>
      <c r="J7286" s="675"/>
      <c r="K7286" s="675"/>
      <c r="L7286" s="675"/>
      <c r="M7286" s="675"/>
    </row>
    <row r="7287" spans="1:13" x14ac:dyDescent="0.25">
      <c r="A7287" s="675" t="s">
        <v>7258</v>
      </c>
      <c r="B7287" s="675" t="s">
        <v>545</v>
      </c>
      <c r="C7287" s="676" t="s">
        <v>7262</v>
      </c>
      <c r="D7287" s="675"/>
      <c r="E7287" s="675"/>
      <c r="G7287" s="675"/>
      <c r="H7287" s="675"/>
      <c r="I7287" s="675"/>
      <c r="J7287" s="675"/>
      <c r="K7287" s="675"/>
      <c r="L7287" s="675"/>
      <c r="M7287" s="675"/>
    </row>
    <row r="7288" spans="1:13" x14ac:dyDescent="0.25">
      <c r="A7288" s="675" t="s">
        <v>7258</v>
      </c>
      <c r="B7288" s="675" t="s">
        <v>545</v>
      </c>
      <c r="C7288" s="676" t="s">
        <v>7263</v>
      </c>
      <c r="D7288" s="675"/>
      <c r="E7288" s="675"/>
      <c r="G7288" s="675"/>
      <c r="H7288" s="675"/>
      <c r="I7288" s="675"/>
      <c r="J7288" s="675"/>
      <c r="K7288" s="675"/>
      <c r="L7288" s="675"/>
      <c r="M7288" s="675"/>
    </row>
    <row r="7289" spans="1:13" x14ac:dyDescent="0.25">
      <c r="A7289" s="675" t="s">
        <v>7258</v>
      </c>
      <c r="B7289" s="675" t="s">
        <v>545</v>
      </c>
      <c r="C7289" s="676" t="s">
        <v>7264</v>
      </c>
      <c r="D7289" s="675"/>
      <c r="E7289" s="675"/>
      <c r="G7289" s="675"/>
      <c r="H7289" s="675"/>
      <c r="I7289" s="675"/>
      <c r="J7289" s="675"/>
      <c r="K7289" s="675"/>
      <c r="L7289" s="675"/>
      <c r="M7289" s="675"/>
    </row>
    <row r="7290" spans="1:13" x14ac:dyDescent="0.25">
      <c r="A7290" s="675" t="s">
        <v>7258</v>
      </c>
      <c r="B7290" s="675" t="s">
        <v>545</v>
      </c>
      <c r="C7290" s="676" t="s">
        <v>7265</v>
      </c>
      <c r="D7290" s="675"/>
      <c r="E7290" s="675"/>
      <c r="G7290" s="675"/>
      <c r="H7290" s="675"/>
      <c r="I7290" s="675"/>
      <c r="J7290" s="675"/>
      <c r="K7290" s="675"/>
      <c r="L7290" s="675"/>
      <c r="M7290" s="675"/>
    </row>
    <row r="7291" spans="1:13" x14ac:dyDescent="0.25">
      <c r="A7291" s="675" t="s">
        <v>7258</v>
      </c>
      <c r="B7291" s="675" t="s">
        <v>545</v>
      </c>
      <c r="C7291" s="676" t="s">
        <v>7266</v>
      </c>
      <c r="D7291" s="675"/>
      <c r="E7291" s="675"/>
      <c r="G7291" s="675"/>
      <c r="H7291" s="675"/>
      <c r="I7291" s="675"/>
      <c r="J7291" s="675"/>
      <c r="K7291" s="675"/>
      <c r="L7291" s="675"/>
      <c r="M7291" s="675"/>
    </row>
    <row r="7292" spans="1:13" x14ac:dyDescent="0.25">
      <c r="A7292" s="675" t="s">
        <v>7258</v>
      </c>
      <c r="B7292" s="675" t="s">
        <v>545</v>
      </c>
      <c r="C7292" s="676" t="s">
        <v>7267</v>
      </c>
      <c r="D7292" s="675"/>
      <c r="E7292" s="675"/>
      <c r="G7292" s="675"/>
      <c r="H7292" s="675"/>
      <c r="I7292" s="675"/>
      <c r="J7292" s="675"/>
      <c r="K7292" s="675"/>
      <c r="L7292" s="675"/>
      <c r="M7292" s="675"/>
    </row>
    <row r="7293" spans="1:13" x14ac:dyDescent="0.25">
      <c r="A7293" s="675" t="s">
        <v>7258</v>
      </c>
      <c r="B7293" s="675" t="s">
        <v>545</v>
      </c>
      <c r="C7293" s="676" t="s">
        <v>7268</v>
      </c>
      <c r="D7293" s="675"/>
      <c r="E7293" s="675"/>
      <c r="G7293" s="675"/>
      <c r="H7293" s="675"/>
      <c r="I7293" s="675"/>
      <c r="J7293" s="675"/>
      <c r="K7293" s="675"/>
      <c r="L7293" s="675"/>
      <c r="M7293" s="675"/>
    </row>
    <row r="7294" spans="1:13" x14ac:dyDescent="0.25">
      <c r="A7294" s="675" t="s">
        <v>7258</v>
      </c>
      <c r="B7294" s="675" t="s">
        <v>564</v>
      </c>
      <c r="C7294" s="676" t="s">
        <v>7269</v>
      </c>
      <c r="D7294" s="675"/>
      <c r="E7294" s="675"/>
      <c r="G7294" s="675"/>
      <c r="H7294" s="675"/>
      <c r="I7294" s="675"/>
      <c r="J7294" s="675"/>
      <c r="K7294" s="675"/>
      <c r="L7294" s="675"/>
      <c r="M7294" s="675"/>
    </row>
    <row r="7295" spans="1:13" x14ac:dyDescent="0.25">
      <c r="A7295" s="675" t="s">
        <v>7258</v>
      </c>
      <c r="B7295" s="675" t="s">
        <v>564</v>
      </c>
      <c r="C7295" s="676" t="s">
        <v>7270</v>
      </c>
      <c r="D7295" s="675"/>
      <c r="E7295" s="675"/>
      <c r="G7295" s="675"/>
      <c r="H7295" s="675"/>
      <c r="I7295" s="675"/>
      <c r="J7295" s="675"/>
      <c r="K7295" s="675"/>
      <c r="L7295" s="675"/>
      <c r="M7295" s="675"/>
    </row>
    <row r="7296" spans="1:13" x14ac:dyDescent="0.25">
      <c r="A7296" s="675" t="s">
        <v>7258</v>
      </c>
      <c r="B7296" s="675" t="s">
        <v>564</v>
      </c>
      <c r="C7296" s="676" t="s">
        <v>7271</v>
      </c>
      <c r="D7296" s="675"/>
      <c r="E7296" s="675"/>
      <c r="G7296" s="675"/>
      <c r="H7296" s="675"/>
      <c r="I7296" s="675"/>
      <c r="J7296" s="675"/>
      <c r="K7296" s="675"/>
      <c r="L7296" s="675"/>
      <c r="M7296" s="675"/>
    </row>
    <row r="7297" spans="1:13" x14ac:dyDescent="0.25">
      <c r="A7297" s="675" t="s">
        <v>7258</v>
      </c>
      <c r="B7297" s="675" t="s">
        <v>564</v>
      </c>
      <c r="C7297" s="676" t="s">
        <v>7272</v>
      </c>
      <c r="D7297" s="675"/>
      <c r="E7297" s="675"/>
      <c r="G7297" s="675"/>
      <c r="H7297" s="675"/>
      <c r="I7297" s="675"/>
      <c r="J7297" s="675"/>
      <c r="K7297" s="675"/>
      <c r="L7297" s="675"/>
      <c r="M7297" s="675"/>
    </row>
    <row r="7298" spans="1:13" x14ac:dyDescent="0.25">
      <c r="A7298" s="675" t="s">
        <v>7258</v>
      </c>
      <c r="B7298" s="675" t="s">
        <v>564</v>
      </c>
      <c r="C7298" s="676" t="s">
        <v>7273</v>
      </c>
      <c r="D7298" s="675"/>
      <c r="E7298" s="675"/>
      <c r="G7298" s="675"/>
      <c r="H7298" s="675"/>
      <c r="I7298" s="675"/>
      <c r="J7298" s="675"/>
      <c r="K7298" s="675"/>
      <c r="L7298" s="675"/>
      <c r="M7298" s="675"/>
    </row>
    <row r="7299" spans="1:13" x14ac:dyDescent="0.25">
      <c r="A7299" s="675" t="s">
        <v>7258</v>
      </c>
      <c r="B7299" s="675" t="s">
        <v>564</v>
      </c>
      <c r="C7299" s="676" t="s">
        <v>7274</v>
      </c>
      <c r="D7299" s="675"/>
      <c r="E7299" s="675"/>
      <c r="G7299" s="675"/>
      <c r="H7299" s="675"/>
      <c r="I7299" s="675"/>
      <c r="J7299" s="675"/>
      <c r="K7299" s="675"/>
      <c r="L7299" s="675"/>
      <c r="M7299" s="675"/>
    </row>
    <row r="7300" spans="1:13" x14ac:dyDescent="0.25">
      <c r="A7300" s="675" t="s">
        <v>7258</v>
      </c>
      <c r="B7300" s="675" t="s">
        <v>564</v>
      </c>
      <c r="C7300" s="676" t="s">
        <v>7275</v>
      </c>
      <c r="D7300" s="675"/>
      <c r="E7300" s="675"/>
      <c r="G7300" s="675"/>
      <c r="H7300" s="675"/>
      <c r="I7300" s="675"/>
      <c r="J7300" s="675"/>
      <c r="K7300" s="675"/>
      <c r="L7300" s="675"/>
      <c r="M7300" s="675"/>
    </row>
    <row r="7301" spans="1:13" x14ac:dyDescent="0.25">
      <c r="A7301" s="675" t="s">
        <v>7258</v>
      </c>
      <c r="B7301" s="675" t="s">
        <v>564</v>
      </c>
      <c r="C7301" s="676" t="s">
        <v>7276</v>
      </c>
      <c r="D7301" s="675"/>
      <c r="E7301" s="675"/>
      <c r="G7301" s="675"/>
      <c r="H7301" s="675"/>
      <c r="I7301" s="675"/>
      <c r="J7301" s="675"/>
      <c r="K7301" s="675"/>
      <c r="L7301" s="675"/>
      <c r="M7301" s="675"/>
    </row>
    <row r="7302" spans="1:13" x14ac:dyDescent="0.25">
      <c r="A7302" s="675" t="s">
        <v>7258</v>
      </c>
      <c r="B7302" s="675" t="s">
        <v>564</v>
      </c>
      <c r="C7302" s="676" t="s">
        <v>7277</v>
      </c>
      <c r="D7302" s="675"/>
      <c r="E7302" s="675"/>
      <c r="G7302" s="675"/>
      <c r="H7302" s="675"/>
      <c r="I7302" s="675"/>
      <c r="J7302" s="675"/>
      <c r="K7302" s="675"/>
      <c r="L7302" s="675"/>
      <c r="M7302" s="675"/>
    </row>
    <row r="7303" spans="1:13" x14ac:dyDescent="0.25">
      <c r="A7303" s="675" t="s">
        <v>7258</v>
      </c>
      <c r="B7303" s="675" t="s">
        <v>564</v>
      </c>
      <c r="C7303" s="676" t="s">
        <v>7278</v>
      </c>
      <c r="D7303" s="675"/>
      <c r="E7303" s="675"/>
      <c r="G7303" s="675"/>
      <c r="H7303" s="675"/>
      <c r="I7303" s="675"/>
      <c r="J7303" s="675"/>
      <c r="K7303" s="675"/>
      <c r="L7303" s="675"/>
      <c r="M7303" s="675"/>
    </row>
    <row r="7304" spans="1:13" x14ac:dyDescent="0.25">
      <c r="A7304" s="675" t="s">
        <v>7258</v>
      </c>
      <c r="B7304" s="675" t="s">
        <v>512</v>
      </c>
      <c r="C7304" s="676" t="s">
        <v>7279</v>
      </c>
      <c r="D7304" s="675"/>
      <c r="E7304" s="675"/>
      <c r="G7304" s="675"/>
      <c r="H7304" s="675"/>
      <c r="I7304" s="675"/>
      <c r="J7304" s="675"/>
      <c r="K7304" s="675"/>
      <c r="L7304" s="675"/>
      <c r="M7304" s="675"/>
    </row>
    <row r="7305" spans="1:13" x14ac:dyDescent="0.25">
      <c r="A7305" s="675" t="s">
        <v>7258</v>
      </c>
      <c r="B7305" s="675" t="s">
        <v>512</v>
      </c>
      <c r="C7305" s="676" t="s">
        <v>7280</v>
      </c>
      <c r="D7305" s="675"/>
      <c r="E7305" s="675"/>
      <c r="G7305" s="675"/>
      <c r="H7305" s="675"/>
      <c r="I7305" s="675"/>
      <c r="J7305" s="675"/>
      <c r="K7305" s="675"/>
      <c r="L7305" s="675"/>
      <c r="M7305" s="675"/>
    </row>
    <row r="7306" spans="1:13" x14ac:dyDescent="0.25">
      <c r="A7306" s="675" t="s">
        <v>7258</v>
      </c>
      <c r="B7306" s="675" t="s">
        <v>512</v>
      </c>
      <c r="C7306" s="676" t="s">
        <v>7281</v>
      </c>
      <c r="D7306" s="675"/>
      <c r="E7306" s="675"/>
      <c r="G7306" s="675"/>
      <c r="H7306" s="675"/>
      <c r="I7306" s="675"/>
      <c r="J7306" s="675"/>
      <c r="K7306" s="675"/>
      <c r="L7306" s="675"/>
      <c r="M7306" s="675"/>
    </row>
    <row r="7307" spans="1:13" x14ac:dyDescent="0.25">
      <c r="A7307" s="675" t="s">
        <v>7258</v>
      </c>
      <c r="B7307" s="675" t="s">
        <v>512</v>
      </c>
      <c r="C7307" s="676" t="s">
        <v>7282</v>
      </c>
      <c r="D7307" s="675"/>
      <c r="E7307" s="675"/>
      <c r="G7307" s="675"/>
      <c r="H7307" s="675"/>
      <c r="I7307" s="675"/>
      <c r="J7307" s="675"/>
      <c r="K7307" s="675"/>
      <c r="L7307" s="675"/>
      <c r="M7307" s="675"/>
    </row>
    <row r="7308" spans="1:13" x14ac:dyDescent="0.25">
      <c r="A7308" s="675" t="s">
        <v>7258</v>
      </c>
      <c r="B7308" s="675" t="s">
        <v>512</v>
      </c>
      <c r="C7308" s="676" t="s">
        <v>7283</v>
      </c>
      <c r="D7308" s="675"/>
      <c r="E7308" s="675"/>
      <c r="G7308" s="675"/>
      <c r="H7308" s="675"/>
      <c r="I7308" s="675"/>
      <c r="J7308" s="675"/>
      <c r="K7308" s="675"/>
      <c r="L7308" s="675"/>
      <c r="M7308" s="675"/>
    </row>
    <row r="7309" spans="1:13" x14ac:dyDescent="0.25">
      <c r="A7309" s="675" t="s">
        <v>7258</v>
      </c>
      <c r="B7309" s="675" t="s">
        <v>512</v>
      </c>
      <c r="C7309" s="676" t="s">
        <v>7284</v>
      </c>
      <c r="D7309" s="675"/>
      <c r="E7309" s="675"/>
      <c r="G7309" s="675"/>
      <c r="H7309" s="675"/>
      <c r="I7309" s="675"/>
      <c r="J7309" s="675"/>
      <c r="K7309" s="675"/>
      <c r="L7309" s="675"/>
      <c r="M7309" s="675"/>
    </row>
    <row r="7310" spans="1:13" x14ac:dyDescent="0.25">
      <c r="A7310" s="675" t="s">
        <v>7258</v>
      </c>
      <c r="B7310" s="675" t="s">
        <v>512</v>
      </c>
      <c r="C7310" s="676" t="s">
        <v>7285</v>
      </c>
      <c r="D7310" s="675"/>
      <c r="E7310" s="675"/>
      <c r="G7310" s="675"/>
      <c r="H7310" s="675"/>
      <c r="I7310" s="675"/>
      <c r="J7310" s="675"/>
      <c r="K7310" s="675"/>
      <c r="L7310" s="675"/>
      <c r="M7310" s="675"/>
    </row>
    <row r="7311" spans="1:13" x14ac:dyDescent="0.25">
      <c r="A7311" s="675" t="s">
        <v>7258</v>
      </c>
      <c r="B7311" s="675" t="s">
        <v>512</v>
      </c>
      <c r="C7311" s="676" t="s">
        <v>7286</v>
      </c>
      <c r="D7311" s="675"/>
      <c r="E7311" s="675"/>
      <c r="G7311" s="675"/>
      <c r="H7311" s="675"/>
      <c r="I7311" s="675"/>
      <c r="J7311" s="675"/>
      <c r="K7311" s="675"/>
      <c r="L7311" s="675"/>
      <c r="M7311" s="675"/>
    </row>
    <row r="7312" spans="1:13" x14ac:dyDescent="0.25">
      <c r="A7312" s="675" t="s">
        <v>7258</v>
      </c>
      <c r="B7312" s="675" t="s">
        <v>512</v>
      </c>
      <c r="C7312" s="676" t="s">
        <v>7287</v>
      </c>
      <c r="D7312" s="675"/>
      <c r="E7312" s="675"/>
      <c r="G7312" s="675"/>
      <c r="H7312" s="675"/>
      <c r="I7312" s="675"/>
      <c r="J7312" s="675"/>
      <c r="K7312" s="675"/>
      <c r="L7312" s="675"/>
      <c r="M7312" s="675"/>
    </row>
    <row r="7313" spans="1:13" x14ac:dyDescent="0.25">
      <c r="A7313" s="675" t="s">
        <v>7258</v>
      </c>
      <c r="B7313" s="675" t="s">
        <v>512</v>
      </c>
      <c r="C7313" s="676" t="s">
        <v>7288</v>
      </c>
      <c r="D7313" s="675"/>
      <c r="E7313" s="675"/>
      <c r="G7313" s="675"/>
      <c r="H7313" s="675"/>
      <c r="I7313" s="675"/>
      <c r="J7313" s="675"/>
      <c r="K7313" s="675"/>
      <c r="L7313" s="675"/>
      <c r="M7313" s="675"/>
    </row>
    <row r="7314" spans="1:13" x14ac:dyDescent="0.25">
      <c r="A7314" s="675" t="s">
        <v>7289</v>
      </c>
      <c r="B7314" s="675" t="s">
        <v>545</v>
      </c>
      <c r="C7314" s="676" t="s">
        <v>7290</v>
      </c>
      <c r="D7314" s="675"/>
      <c r="E7314" s="675"/>
      <c r="G7314" s="675"/>
      <c r="H7314" s="675"/>
      <c r="I7314" s="675"/>
      <c r="J7314" s="675"/>
      <c r="K7314" s="675"/>
      <c r="L7314" s="675"/>
      <c r="M7314" s="675"/>
    </row>
    <row r="7315" spans="1:13" x14ac:dyDescent="0.25">
      <c r="A7315" s="675" t="s">
        <v>7289</v>
      </c>
      <c r="B7315" s="675" t="s">
        <v>545</v>
      </c>
      <c r="C7315" s="676" t="s">
        <v>7291</v>
      </c>
      <c r="D7315" s="675"/>
      <c r="E7315" s="675"/>
      <c r="G7315" s="675"/>
      <c r="H7315" s="675"/>
      <c r="I7315" s="675"/>
      <c r="J7315" s="675"/>
      <c r="K7315" s="675"/>
      <c r="L7315" s="675"/>
      <c r="M7315" s="675"/>
    </row>
    <row r="7316" spans="1:13" x14ac:dyDescent="0.25">
      <c r="A7316" s="675" t="s">
        <v>7289</v>
      </c>
      <c r="B7316" s="675" t="s">
        <v>545</v>
      </c>
      <c r="C7316" s="676" t="s">
        <v>7292</v>
      </c>
      <c r="D7316" s="675"/>
      <c r="E7316" s="675"/>
      <c r="G7316" s="675"/>
      <c r="H7316" s="675"/>
      <c r="I7316" s="675"/>
      <c r="J7316" s="675"/>
      <c r="K7316" s="675"/>
      <c r="L7316" s="675"/>
      <c r="M7316" s="675"/>
    </row>
    <row r="7317" spans="1:13" x14ac:dyDescent="0.25">
      <c r="A7317" s="675" t="s">
        <v>7289</v>
      </c>
      <c r="B7317" s="675" t="s">
        <v>545</v>
      </c>
      <c r="C7317" s="676" t="s">
        <v>7293</v>
      </c>
      <c r="D7317" s="675"/>
      <c r="E7317" s="675"/>
      <c r="G7317" s="675"/>
      <c r="H7317" s="675"/>
      <c r="I7317" s="675"/>
      <c r="J7317" s="675"/>
      <c r="K7317" s="675"/>
      <c r="L7317" s="675"/>
      <c r="M7317" s="675"/>
    </row>
    <row r="7318" spans="1:13" x14ac:dyDescent="0.25">
      <c r="A7318" s="675" t="s">
        <v>7289</v>
      </c>
      <c r="B7318" s="675" t="s">
        <v>545</v>
      </c>
      <c r="C7318" s="676" t="s">
        <v>7294</v>
      </c>
      <c r="D7318" s="675"/>
      <c r="E7318" s="675"/>
      <c r="G7318" s="675"/>
      <c r="H7318" s="675"/>
      <c r="I7318" s="675"/>
      <c r="J7318" s="675"/>
      <c r="K7318" s="675"/>
      <c r="L7318" s="675"/>
      <c r="M7318" s="675"/>
    </row>
    <row r="7319" spans="1:13" x14ac:dyDescent="0.25">
      <c r="A7319" s="675" t="s">
        <v>7289</v>
      </c>
      <c r="B7319" s="675" t="s">
        <v>545</v>
      </c>
      <c r="C7319" s="676" t="s">
        <v>7295</v>
      </c>
      <c r="D7319" s="675"/>
      <c r="E7319" s="675"/>
      <c r="G7319" s="675"/>
      <c r="H7319" s="675"/>
      <c r="I7319" s="675"/>
      <c r="J7319" s="675"/>
      <c r="K7319" s="675"/>
      <c r="L7319" s="675"/>
      <c r="M7319" s="675"/>
    </row>
    <row r="7320" spans="1:13" x14ac:dyDescent="0.25">
      <c r="A7320" s="675" t="s">
        <v>7289</v>
      </c>
      <c r="B7320" s="675" t="s">
        <v>545</v>
      </c>
      <c r="C7320" s="676" t="s">
        <v>7296</v>
      </c>
      <c r="D7320" s="675"/>
      <c r="E7320" s="675"/>
      <c r="G7320" s="675"/>
      <c r="H7320" s="675"/>
      <c r="I7320" s="675"/>
      <c r="J7320" s="675"/>
      <c r="K7320" s="675"/>
      <c r="L7320" s="675"/>
      <c r="M7320" s="675"/>
    </row>
    <row r="7321" spans="1:13" x14ac:dyDescent="0.25">
      <c r="A7321" s="675" t="s">
        <v>7289</v>
      </c>
      <c r="B7321" s="675" t="s">
        <v>545</v>
      </c>
      <c r="C7321" s="676" t="s">
        <v>7297</v>
      </c>
      <c r="D7321" s="675"/>
      <c r="E7321" s="675"/>
      <c r="G7321" s="675"/>
      <c r="H7321" s="675"/>
      <c r="I7321" s="675"/>
      <c r="J7321" s="675"/>
      <c r="K7321" s="675"/>
      <c r="L7321" s="675"/>
      <c r="M7321" s="675"/>
    </row>
    <row r="7322" spans="1:13" x14ac:dyDescent="0.25">
      <c r="A7322" s="675" t="s">
        <v>7289</v>
      </c>
      <c r="B7322" s="675" t="s">
        <v>545</v>
      </c>
      <c r="C7322" s="676" t="s">
        <v>7298</v>
      </c>
      <c r="D7322" s="675"/>
      <c r="E7322" s="675"/>
      <c r="G7322" s="675"/>
      <c r="H7322" s="675"/>
      <c r="I7322" s="675"/>
      <c r="J7322" s="675"/>
      <c r="K7322" s="675"/>
      <c r="L7322" s="675"/>
      <c r="M7322" s="675"/>
    </row>
    <row r="7323" spans="1:13" x14ac:dyDescent="0.25">
      <c r="A7323" s="675" t="s">
        <v>7289</v>
      </c>
      <c r="B7323" s="675" t="s">
        <v>545</v>
      </c>
      <c r="C7323" s="676" t="s">
        <v>7299</v>
      </c>
      <c r="D7323" s="675"/>
      <c r="E7323" s="675"/>
      <c r="G7323" s="675"/>
      <c r="H7323" s="675"/>
      <c r="I7323" s="675"/>
      <c r="J7323" s="675"/>
      <c r="K7323" s="675"/>
      <c r="L7323" s="675"/>
      <c r="M7323" s="675"/>
    </row>
    <row r="7324" spans="1:13" x14ac:dyDescent="0.25">
      <c r="A7324" s="675" t="s">
        <v>7289</v>
      </c>
      <c r="B7324" s="675" t="s">
        <v>564</v>
      </c>
      <c r="C7324" s="676" t="s">
        <v>7300</v>
      </c>
      <c r="D7324" s="675"/>
      <c r="E7324" s="675"/>
      <c r="G7324" s="675"/>
      <c r="H7324" s="675"/>
      <c r="I7324" s="675"/>
      <c r="J7324" s="675"/>
      <c r="K7324" s="675"/>
      <c r="L7324" s="675"/>
      <c r="M7324" s="675"/>
    </row>
    <row r="7325" spans="1:13" x14ac:dyDescent="0.25">
      <c r="A7325" s="675" t="s">
        <v>7289</v>
      </c>
      <c r="B7325" s="675" t="s">
        <v>564</v>
      </c>
      <c r="C7325" s="676" t="s">
        <v>7301</v>
      </c>
      <c r="D7325" s="675"/>
      <c r="E7325" s="675"/>
      <c r="G7325" s="675"/>
      <c r="H7325" s="675"/>
      <c r="I7325" s="675"/>
      <c r="J7325" s="675"/>
      <c r="K7325" s="675"/>
      <c r="L7325" s="675"/>
      <c r="M7325" s="675"/>
    </row>
    <row r="7326" spans="1:13" x14ac:dyDescent="0.25">
      <c r="A7326" s="675" t="s">
        <v>7289</v>
      </c>
      <c r="B7326" s="675" t="s">
        <v>564</v>
      </c>
      <c r="C7326" s="676" t="s">
        <v>7302</v>
      </c>
      <c r="D7326" s="675"/>
      <c r="E7326" s="675"/>
      <c r="G7326" s="675"/>
      <c r="H7326" s="675"/>
      <c r="I7326" s="675"/>
      <c r="J7326" s="675"/>
      <c r="K7326" s="675"/>
      <c r="L7326" s="675"/>
      <c r="M7326" s="675"/>
    </row>
    <row r="7327" spans="1:13" x14ac:dyDescent="0.25">
      <c r="A7327" s="675" t="s">
        <v>7289</v>
      </c>
      <c r="B7327" s="675" t="s">
        <v>564</v>
      </c>
      <c r="C7327" s="676" t="s">
        <v>7303</v>
      </c>
      <c r="D7327" s="675"/>
      <c r="E7327" s="675"/>
      <c r="G7327" s="675"/>
      <c r="H7327" s="675"/>
      <c r="I7327" s="675"/>
      <c r="J7327" s="675"/>
      <c r="K7327" s="675"/>
      <c r="L7327" s="675"/>
      <c r="M7327" s="675"/>
    </row>
    <row r="7328" spans="1:13" x14ac:dyDescent="0.25">
      <c r="A7328" s="675" t="s">
        <v>7289</v>
      </c>
      <c r="B7328" s="675" t="s">
        <v>564</v>
      </c>
      <c r="C7328" s="676" t="s">
        <v>7304</v>
      </c>
      <c r="D7328" s="675"/>
      <c r="E7328" s="675"/>
      <c r="G7328" s="675"/>
      <c r="H7328" s="675"/>
      <c r="I7328" s="675"/>
      <c r="J7328" s="675"/>
      <c r="K7328" s="675"/>
      <c r="L7328" s="675"/>
      <c r="M7328" s="675"/>
    </row>
    <row r="7329" spans="1:13" x14ac:dyDescent="0.25">
      <c r="A7329" s="675" t="s">
        <v>7289</v>
      </c>
      <c r="B7329" s="675" t="s">
        <v>564</v>
      </c>
      <c r="C7329" s="676" t="s">
        <v>7305</v>
      </c>
      <c r="D7329" s="675"/>
      <c r="E7329" s="675"/>
      <c r="G7329" s="675"/>
      <c r="H7329" s="675"/>
      <c r="I7329" s="675"/>
      <c r="J7329" s="675"/>
      <c r="K7329" s="675"/>
      <c r="L7329" s="675"/>
      <c r="M7329" s="675"/>
    </row>
    <row r="7330" spans="1:13" x14ac:dyDescent="0.25">
      <c r="A7330" s="675" t="s">
        <v>7289</v>
      </c>
      <c r="B7330" s="675" t="s">
        <v>564</v>
      </c>
      <c r="C7330" s="676" t="s">
        <v>7306</v>
      </c>
      <c r="D7330" s="675"/>
      <c r="E7330" s="675"/>
      <c r="G7330" s="675"/>
      <c r="H7330" s="675"/>
      <c r="I7330" s="675"/>
      <c r="J7330" s="675"/>
      <c r="K7330" s="675"/>
      <c r="L7330" s="675"/>
      <c r="M7330" s="675"/>
    </row>
    <row r="7331" spans="1:13" x14ac:dyDescent="0.25">
      <c r="A7331" s="675" t="s">
        <v>7289</v>
      </c>
      <c r="B7331" s="675" t="s">
        <v>564</v>
      </c>
      <c r="C7331" s="676" t="s">
        <v>7307</v>
      </c>
      <c r="D7331" s="675"/>
      <c r="E7331" s="675"/>
      <c r="G7331" s="675"/>
      <c r="H7331" s="675"/>
      <c r="I7331" s="675"/>
      <c r="J7331" s="675"/>
      <c r="K7331" s="675"/>
      <c r="L7331" s="675"/>
      <c r="M7331" s="675"/>
    </row>
    <row r="7332" spans="1:13" x14ac:dyDescent="0.25">
      <c r="A7332" s="675" t="s">
        <v>7289</v>
      </c>
      <c r="B7332" s="675" t="s">
        <v>564</v>
      </c>
      <c r="C7332" s="676" t="s">
        <v>7308</v>
      </c>
      <c r="D7332" s="675"/>
      <c r="E7332" s="675"/>
      <c r="G7332" s="675"/>
      <c r="H7332" s="675"/>
      <c r="I7332" s="675"/>
      <c r="J7332" s="675"/>
      <c r="K7332" s="675"/>
      <c r="L7332" s="675"/>
      <c r="M7332" s="675"/>
    </row>
    <row r="7333" spans="1:13" x14ac:dyDescent="0.25">
      <c r="A7333" s="675" t="s">
        <v>7289</v>
      </c>
      <c r="B7333" s="675" t="s">
        <v>564</v>
      </c>
      <c r="C7333" s="676" t="s">
        <v>7309</v>
      </c>
      <c r="D7333" s="675"/>
      <c r="E7333" s="675"/>
      <c r="G7333" s="675"/>
      <c r="H7333" s="675"/>
      <c r="I7333" s="675"/>
      <c r="J7333" s="675"/>
      <c r="K7333" s="675"/>
      <c r="L7333" s="675"/>
      <c r="M7333" s="675"/>
    </row>
    <row r="7334" spans="1:13" x14ac:dyDescent="0.25">
      <c r="A7334" s="675" t="s">
        <v>7289</v>
      </c>
      <c r="B7334" s="675" t="s">
        <v>512</v>
      </c>
      <c r="C7334" s="676" t="s">
        <v>7310</v>
      </c>
      <c r="D7334" s="675"/>
      <c r="E7334" s="675"/>
      <c r="G7334" s="675"/>
      <c r="H7334" s="675"/>
      <c r="I7334" s="675"/>
      <c r="J7334" s="675"/>
      <c r="K7334" s="675"/>
      <c r="L7334" s="675"/>
      <c r="M7334" s="675"/>
    </row>
    <row r="7335" spans="1:13" x14ac:dyDescent="0.25">
      <c r="A7335" s="675" t="s">
        <v>7289</v>
      </c>
      <c r="B7335" s="675" t="s">
        <v>512</v>
      </c>
      <c r="C7335" s="676" t="s">
        <v>7311</v>
      </c>
      <c r="D7335" s="675"/>
      <c r="E7335" s="675"/>
      <c r="G7335" s="675"/>
      <c r="H7335" s="675"/>
      <c r="I7335" s="675"/>
      <c r="J7335" s="675"/>
      <c r="K7335" s="675"/>
      <c r="L7335" s="675"/>
      <c r="M7335" s="675"/>
    </row>
    <row r="7336" spans="1:13" x14ac:dyDescent="0.25">
      <c r="A7336" s="675" t="s">
        <v>7289</v>
      </c>
      <c r="B7336" s="675" t="s">
        <v>512</v>
      </c>
      <c r="C7336" s="676" t="s">
        <v>7312</v>
      </c>
      <c r="D7336" s="675"/>
      <c r="E7336" s="675"/>
      <c r="G7336" s="675"/>
      <c r="H7336" s="675"/>
      <c r="I7336" s="675"/>
      <c r="J7336" s="675"/>
      <c r="K7336" s="675"/>
      <c r="L7336" s="675"/>
      <c r="M7336" s="675"/>
    </row>
    <row r="7337" spans="1:13" x14ac:dyDescent="0.25">
      <c r="A7337" s="675" t="s">
        <v>7289</v>
      </c>
      <c r="B7337" s="675" t="s">
        <v>512</v>
      </c>
      <c r="C7337" s="676" t="s">
        <v>7313</v>
      </c>
      <c r="D7337" s="675"/>
      <c r="E7337" s="675"/>
      <c r="G7337" s="675"/>
      <c r="H7337" s="675"/>
      <c r="I7337" s="675"/>
      <c r="J7337" s="675"/>
      <c r="K7337" s="675"/>
      <c r="L7337" s="675"/>
      <c r="M7337" s="675"/>
    </row>
    <row r="7338" spans="1:13" x14ac:dyDescent="0.25">
      <c r="A7338" s="675" t="s">
        <v>7289</v>
      </c>
      <c r="B7338" s="675" t="s">
        <v>512</v>
      </c>
      <c r="C7338" s="676" t="s">
        <v>7314</v>
      </c>
      <c r="D7338" s="675"/>
      <c r="E7338" s="675"/>
      <c r="G7338" s="675"/>
      <c r="H7338" s="675"/>
      <c r="I7338" s="675"/>
      <c r="J7338" s="675"/>
      <c r="K7338" s="675"/>
      <c r="L7338" s="675"/>
      <c r="M7338" s="675"/>
    </row>
    <row r="7339" spans="1:13" x14ac:dyDescent="0.25">
      <c r="A7339" s="675" t="s">
        <v>7289</v>
      </c>
      <c r="B7339" s="675" t="s">
        <v>512</v>
      </c>
      <c r="C7339" s="676" t="s">
        <v>7315</v>
      </c>
      <c r="D7339" s="675"/>
      <c r="E7339" s="675"/>
      <c r="G7339" s="675"/>
      <c r="H7339" s="675"/>
      <c r="I7339" s="675"/>
      <c r="J7339" s="675"/>
      <c r="K7339" s="675"/>
      <c r="L7339" s="675"/>
      <c r="M7339" s="675"/>
    </row>
    <row r="7340" spans="1:13" x14ac:dyDescent="0.25">
      <c r="A7340" s="675" t="s">
        <v>7289</v>
      </c>
      <c r="B7340" s="675" t="s">
        <v>512</v>
      </c>
      <c r="C7340" s="676" t="s">
        <v>7316</v>
      </c>
      <c r="D7340" s="675"/>
      <c r="E7340" s="675"/>
      <c r="G7340" s="675"/>
      <c r="H7340" s="675"/>
      <c r="I7340" s="675"/>
      <c r="J7340" s="675"/>
      <c r="K7340" s="675"/>
      <c r="L7340" s="675"/>
      <c r="M7340" s="675"/>
    </row>
    <row r="7341" spans="1:13" x14ac:dyDescent="0.25">
      <c r="A7341" s="675" t="s">
        <v>7289</v>
      </c>
      <c r="B7341" s="675" t="s">
        <v>512</v>
      </c>
      <c r="C7341" s="676" t="s">
        <v>7317</v>
      </c>
      <c r="D7341" s="675"/>
      <c r="E7341" s="675"/>
      <c r="G7341" s="675"/>
      <c r="H7341" s="675"/>
      <c r="I7341" s="675"/>
      <c r="J7341" s="675"/>
      <c r="K7341" s="675"/>
      <c r="L7341" s="675"/>
      <c r="M7341" s="675"/>
    </row>
    <row r="7342" spans="1:13" x14ac:dyDescent="0.25">
      <c r="A7342" s="675" t="s">
        <v>7289</v>
      </c>
      <c r="B7342" s="675" t="s">
        <v>512</v>
      </c>
      <c r="C7342" s="676" t="s">
        <v>7318</v>
      </c>
      <c r="D7342" s="675"/>
      <c r="E7342" s="675"/>
      <c r="G7342" s="675"/>
      <c r="H7342" s="675"/>
      <c r="I7342" s="675"/>
      <c r="J7342" s="675"/>
      <c r="K7342" s="675"/>
      <c r="L7342" s="675"/>
      <c r="M7342" s="675"/>
    </row>
    <row r="7343" spans="1:13" x14ac:dyDescent="0.25">
      <c r="A7343" s="675" t="s">
        <v>7289</v>
      </c>
      <c r="B7343" s="675" t="s">
        <v>512</v>
      </c>
      <c r="C7343" s="676" t="s">
        <v>7319</v>
      </c>
      <c r="D7343" s="675"/>
      <c r="E7343" s="675"/>
      <c r="G7343" s="675"/>
      <c r="H7343" s="675"/>
      <c r="I7343" s="675"/>
      <c r="J7343" s="675"/>
      <c r="K7343" s="675"/>
      <c r="L7343" s="675"/>
      <c r="M7343" s="675"/>
    </row>
    <row r="7344" spans="1:13" x14ac:dyDescent="0.25">
      <c r="A7344" s="675" t="s">
        <v>7320</v>
      </c>
      <c r="B7344" s="675" t="s">
        <v>545</v>
      </c>
      <c r="C7344" s="676" t="s">
        <v>7321</v>
      </c>
      <c r="D7344" s="675"/>
      <c r="E7344" s="675"/>
      <c r="G7344" s="675"/>
      <c r="H7344" s="675"/>
      <c r="I7344" s="675"/>
      <c r="J7344" s="675"/>
      <c r="K7344" s="675"/>
      <c r="L7344" s="675"/>
      <c r="M7344" s="675"/>
    </row>
    <row r="7345" spans="1:13" x14ac:dyDescent="0.25">
      <c r="A7345" s="675" t="s">
        <v>7320</v>
      </c>
      <c r="B7345" s="675" t="s">
        <v>545</v>
      </c>
      <c r="C7345" s="676" t="s">
        <v>7322</v>
      </c>
      <c r="D7345" s="675"/>
      <c r="E7345" s="675"/>
      <c r="G7345" s="675"/>
      <c r="H7345" s="675"/>
      <c r="I7345" s="675"/>
      <c r="J7345" s="675"/>
      <c r="K7345" s="675"/>
      <c r="L7345" s="675"/>
      <c r="M7345" s="675"/>
    </row>
    <row r="7346" spans="1:13" x14ac:dyDescent="0.25">
      <c r="A7346" s="675" t="s">
        <v>7320</v>
      </c>
      <c r="B7346" s="675" t="s">
        <v>545</v>
      </c>
      <c r="C7346" s="676" t="s">
        <v>7323</v>
      </c>
      <c r="D7346" s="675"/>
      <c r="E7346" s="675"/>
      <c r="G7346" s="675"/>
      <c r="H7346" s="675"/>
      <c r="I7346" s="675"/>
      <c r="J7346" s="675"/>
      <c r="K7346" s="675"/>
      <c r="L7346" s="675"/>
      <c r="M7346" s="675"/>
    </row>
    <row r="7347" spans="1:13" x14ac:dyDescent="0.25">
      <c r="A7347" s="675" t="s">
        <v>7320</v>
      </c>
      <c r="B7347" s="675" t="s">
        <v>545</v>
      </c>
      <c r="C7347" s="676" t="s">
        <v>7324</v>
      </c>
      <c r="D7347" s="675"/>
      <c r="E7347" s="675"/>
      <c r="G7347" s="675"/>
      <c r="H7347" s="675"/>
      <c r="I7347" s="675"/>
      <c r="J7347" s="675"/>
      <c r="K7347" s="675"/>
      <c r="L7347" s="675"/>
      <c r="M7347" s="675"/>
    </row>
    <row r="7348" spans="1:13" x14ac:dyDescent="0.25">
      <c r="A7348" s="675" t="s">
        <v>7320</v>
      </c>
      <c r="B7348" s="675" t="s">
        <v>545</v>
      </c>
      <c r="C7348" s="676" t="s">
        <v>7325</v>
      </c>
      <c r="D7348" s="675"/>
      <c r="E7348" s="675"/>
      <c r="G7348" s="675"/>
      <c r="H7348" s="675"/>
      <c r="I7348" s="675"/>
      <c r="J7348" s="675"/>
      <c r="K7348" s="675"/>
      <c r="L7348" s="675"/>
      <c r="M7348" s="675"/>
    </row>
    <row r="7349" spans="1:13" x14ac:dyDescent="0.25">
      <c r="A7349" s="675" t="s">
        <v>7320</v>
      </c>
      <c r="B7349" s="675" t="s">
        <v>545</v>
      </c>
      <c r="C7349" s="676" t="s">
        <v>7326</v>
      </c>
      <c r="D7349" s="675"/>
      <c r="E7349" s="675"/>
      <c r="G7349" s="675"/>
      <c r="H7349" s="675"/>
      <c r="I7349" s="675"/>
      <c r="J7349" s="675"/>
      <c r="K7349" s="675"/>
      <c r="L7349" s="675"/>
      <c r="M7349" s="675"/>
    </row>
    <row r="7350" spans="1:13" x14ac:dyDescent="0.25">
      <c r="A7350" s="675" t="s">
        <v>7320</v>
      </c>
      <c r="B7350" s="675" t="s">
        <v>545</v>
      </c>
      <c r="C7350" s="676" t="s">
        <v>7327</v>
      </c>
      <c r="D7350" s="675"/>
      <c r="E7350" s="675"/>
      <c r="G7350" s="675"/>
      <c r="H7350" s="675"/>
      <c r="I7350" s="675"/>
      <c r="J7350" s="675"/>
      <c r="K7350" s="675"/>
      <c r="L7350" s="675"/>
      <c r="M7350" s="675"/>
    </row>
    <row r="7351" spans="1:13" x14ac:dyDescent="0.25">
      <c r="A7351" s="675" t="s">
        <v>7320</v>
      </c>
      <c r="B7351" s="675" t="s">
        <v>545</v>
      </c>
      <c r="C7351" s="676" t="s">
        <v>7328</v>
      </c>
      <c r="D7351" s="675"/>
      <c r="E7351" s="675"/>
      <c r="G7351" s="675"/>
      <c r="H7351" s="675"/>
      <c r="I7351" s="675"/>
      <c r="J7351" s="675"/>
      <c r="K7351" s="675"/>
      <c r="L7351" s="675"/>
      <c r="M7351" s="675"/>
    </row>
    <row r="7352" spans="1:13" x14ac:dyDescent="0.25">
      <c r="A7352" s="675" t="s">
        <v>7320</v>
      </c>
      <c r="B7352" s="675" t="s">
        <v>545</v>
      </c>
      <c r="C7352" s="676" t="s">
        <v>7329</v>
      </c>
      <c r="D7352" s="675"/>
      <c r="E7352" s="675"/>
      <c r="G7352" s="675"/>
      <c r="H7352" s="675"/>
      <c r="I7352" s="675"/>
      <c r="J7352" s="675"/>
      <c r="K7352" s="675"/>
      <c r="L7352" s="675"/>
      <c r="M7352" s="675"/>
    </row>
    <row r="7353" spans="1:13" x14ac:dyDescent="0.25">
      <c r="A7353" s="675" t="s">
        <v>7320</v>
      </c>
      <c r="B7353" s="675" t="s">
        <v>545</v>
      </c>
      <c r="C7353" s="676" t="s">
        <v>7330</v>
      </c>
      <c r="D7353" s="675"/>
      <c r="E7353" s="675"/>
      <c r="G7353" s="675"/>
      <c r="H7353" s="675"/>
      <c r="I7353" s="675"/>
      <c r="J7353" s="675"/>
      <c r="K7353" s="675"/>
      <c r="L7353" s="675"/>
      <c r="M7353" s="675"/>
    </row>
    <row r="7354" spans="1:13" x14ac:dyDescent="0.25">
      <c r="A7354" s="675" t="s">
        <v>7320</v>
      </c>
      <c r="B7354" s="675" t="s">
        <v>564</v>
      </c>
      <c r="C7354" s="676" t="s">
        <v>7331</v>
      </c>
      <c r="D7354" s="675"/>
      <c r="E7354" s="675"/>
      <c r="G7354" s="675"/>
      <c r="H7354" s="675"/>
      <c r="I7354" s="675"/>
      <c r="J7354" s="675"/>
      <c r="K7354" s="675"/>
      <c r="L7354" s="675"/>
      <c r="M7354" s="675"/>
    </row>
    <row r="7355" spans="1:13" x14ac:dyDescent="0.25">
      <c r="A7355" s="675" t="s">
        <v>7320</v>
      </c>
      <c r="B7355" s="675" t="s">
        <v>564</v>
      </c>
      <c r="C7355" s="676" t="s">
        <v>7332</v>
      </c>
      <c r="D7355" s="675"/>
      <c r="E7355" s="675"/>
      <c r="G7355" s="675"/>
      <c r="H7355" s="675"/>
      <c r="I7355" s="675"/>
      <c r="J7355" s="675"/>
      <c r="K7355" s="675"/>
      <c r="L7355" s="675"/>
      <c r="M7355" s="675"/>
    </row>
    <row r="7356" spans="1:13" x14ac:dyDescent="0.25">
      <c r="A7356" s="675" t="s">
        <v>7320</v>
      </c>
      <c r="B7356" s="675" t="s">
        <v>564</v>
      </c>
      <c r="C7356" s="676" t="s">
        <v>7333</v>
      </c>
      <c r="D7356" s="675"/>
      <c r="E7356" s="675"/>
      <c r="G7356" s="675"/>
      <c r="H7356" s="675"/>
      <c r="I7356" s="675"/>
      <c r="J7356" s="675"/>
      <c r="K7356" s="675"/>
      <c r="L7356" s="675"/>
      <c r="M7356" s="675"/>
    </row>
    <row r="7357" spans="1:13" x14ac:dyDescent="0.25">
      <c r="A7357" s="675" t="s">
        <v>7320</v>
      </c>
      <c r="B7357" s="675" t="s">
        <v>564</v>
      </c>
      <c r="C7357" s="676" t="s">
        <v>7334</v>
      </c>
      <c r="D7357" s="675"/>
      <c r="E7357" s="675"/>
      <c r="G7357" s="675"/>
      <c r="H7357" s="675"/>
      <c r="I7357" s="675"/>
      <c r="J7357" s="675"/>
      <c r="K7357" s="675"/>
      <c r="L7357" s="675"/>
      <c r="M7357" s="675"/>
    </row>
    <row r="7358" spans="1:13" x14ac:dyDescent="0.25">
      <c r="A7358" s="675" t="s">
        <v>7320</v>
      </c>
      <c r="B7358" s="675" t="s">
        <v>564</v>
      </c>
      <c r="C7358" s="676" t="s">
        <v>7335</v>
      </c>
      <c r="D7358" s="675"/>
      <c r="E7358" s="675"/>
      <c r="G7358" s="675"/>
      <c r="H7358" s="675"/>
      <c r="I7358" s="675"/>
      <c r="J7358" s="675"/>
      <c r="K7358" s="675"/>
      <c r="L7358" s="675"/>
      <c r="M7358" s="675"/>
    </row>
    <row r="7359" spans="1:13" x14ac:dyDescent="0.25">
      <c r="A7359" s="675" t="s">
        <v>7320</v>
      </c>
      <c r="B7359" s="675" t="s">
        <v>564</v>
      </c>
      <c r="C7359" s="676" t="s">
        <v>7336</v>
      </c>
      <c r="D7359" s="675"/>
      <c r="E7359" s="675"/>
      <c r="G7359" s="675"/>
      <c r="H7359" s="675"/>
      <c r="I7359" s="675"/>
      <c r="J7359" s="675"/>
      <c r="K7359" s="675"/>
      <c r="L7359" s="675"/>
      <c r="M7359" s="675"/>
    </row>
    <row r="7360" spans="1:13" x14ac:dyDescent="0.25">
      <c r="A7360" s="675" t="s">
        <v>7320</v>
      </c>
      <c r="B7360" s="675" t="s">
        <v>564</v>
      </c>
      <c r="C7360" s="676" t="s">
        <v>7337</v>
      </c>
      <c r="D7360" s="675"/>
      <c r="E7360" s="675"/>
      <c r="G7360" s="675"/>
      <c r="H7360" s="675"/>
      <c r="I7360" s="675"/>
      <c r="J7360" s="675"/>
      <c r="K7360" s="675"/>
      <c r="L7360" s="675"/>
      <c r="M7360" s="675"/>
    </row>
    <row r="7361" spans="1:13" x14ac:dyDescent="0.25">
      <c r="A7361" s="675" t="s">
        <v>7320</v>
      </c>
      <c r="B7361" s="675" t="s">
        <v>564</v>
      </c>
      <c r="C7361" s="676" t="s">
        <v>7338</v>
      </c>
      <c r="D7361" s="675"/>
      <c r="E7361" s="675"/>
      <c r="G7361" s="675"/>
      <c r="H7361" s="675"/>
      <c r="I7361" s="675"/>
      <c r="J7361" s="675"/>
      <c r="K7361" s="675"/>
      <c r="L7361" s="675"/>
      <c r="M7361" s="675"/>
    </row>
    <row r="7362" spans="1:13" x14ac:dyDescent="0.25">
      <c r="A7362" s="675" t="s">
        <v>7320</v>
      </c>
      <c r="B7362" s="675" t="s">
        <v>564</v>
      </c>
      <c r="C7362" s="676" t="s">
        <v>7339</v>
      </c>
      <c r="D7362" s="675"/>
      <c r="E7362" s="675"/>
      <c r="G7362" s="675"/>
      <c r="H7362" s="675"/>
      <c r="I7362" s="675"/>
      <c r="J7362" s="675"/>
      <c r="K7362" s="675"/>
      <c r="L7362" s="675"/>
      <c r="M7362" s="675"/>
    </row>
    <row r="7363" spans="1:13" x14ac:dyDescent="0.25">
      <c r="A7363" s="675" t="s">
        <v>7320</v>
      </c>
      <c r="B7363" s="675" t="s">
        <v>564</v>
      </c>
      <c r="C7363" s="676" t="s">
        <v>7340</v>
      </c>
      <c r="D7363" s="675"/>
      <c r="E7363" s="675"/>
      <c r="G7363" s="675"/>
      <c r="H7363" s="675"/>
      <c r="I7363" s="675"/>
      <c r="J7363" s="675"/>
      <c r="K7363" s="675"/>
      <c r="L7363" s="675"/>
      <c r="M7363" s="675"/>
    </row>
    <row r="7364" spans="1:13" x14ac:dyDescent="0.25">
      <c r="A7364" s="675" t="s">
        <v>7320</v>
      </c>
      <c r="B7364" s="675" t="s">
        <v>512</v>
      </c>
      <c r="C7364" s="676" t="s">
        <v>7341</v>
      </c>
      <c r="D7364" s="675"/>
      <c r="E7364" s="675"/>
      <c r="G7364" s="675"/>
      <c r="H7364" s="675"/>
      <c r="I7364" s="675"/>
      <c r="J7364" s="675"/>
      <c r="K7364" s="675"/>
      <c r="L7364" s="675"/>
      <c r="M7364" s="675"/>
    </row>
    <row r="7365" spans="1:13" x14ac:dyDescent="0.25">
      <c r="A7365" s="675" t="s">
        <v>7320</v>
      </c>
      <c r="B7365" s="675" t="s">
        <v>512</v>
      </c>
      <c r="C7365" s="676" t="s">
        <v>7342</v>
      </c>
      <c r="D7365" s="675"/>
      <c r="E7365" s="675"/>
      <c r="G7365" s="675"/>
      <c r="H7365" s="675"/>
      <c r="I7365" s="675"/>
      <c r="J7365" s="675"/>
      <c r="K7365" s="675"/>
      <c r="L7365" s="675"/>
      <c r="M7365" s="675"/>
    </row>
    <row r="7366" spans="1:13" x14ac:dyDescent="0.25">
      <c r="A7366" s="675" t="s">
        <v>7320</v>
      </c>
      <c r="B7366" s="675" t="s">
        <v>512</v>
      </c>
      <c r="C7366" s="676" t="s">
        <v>7343</v>
      </c>
      <c r="D7366" s="675"/>
      <c r="E7366" s="675"/>
      <c r="G7366" s="675"/>
      <c r="H7366" s="675"/>
      <c r="I7366" s="675"/>
      <c r="J7366" s="675"/>
      <c r="K7366" s="675"/>
      <c r="L7366" s="675"/>
      <c r="M7366" s="675"/>
    </row>
    <row r="7367" spans="1:13" x14ac:dyDescent="0.25">
      <c r="A7367" s="675" t="s">
        <v>7320</v>
      </c>
      <c r="B7367" s="675" t="s">
        <v>512</v>
      </c>
      <c r="C7367" s="676" t="s">
        <v>7344</v>
      </c>
      <c r="D7367" s="675"/>
      <c r="E7367" s="675"/>
      <c r="G7367" s="675"/>
      <c r="H7367" s="675"/>
      <c r="I7367" s="675"/>
      <c r="J7367" s="675"/>
      <c r="K7367" s="675"/>
      <c r="L7367" s="675"/>
      <c r="M7367" s="675"/>
    </row>
    <row r="7368" spans="1:13" x14ac:dyDescent="0.25">
      <c r="A7368" s="675" t="s">
        <v>7320</v>
      </c>
      <c r="B7368" s="675" t="s">
        <v>512</v>
      </c>
      <c r="C7368" s="676" t="s">
        <v>7345</v>
      </c>
      <c r="D7368" s="675"/>
      <c r="E7368" s="675"/>
      <c r="G7368" s="675"/>
      <c r="H7368" s="675"/>
      <c r="I7368" s="675"/>
      <c r="J7368" s="675"/>
      <c r="K7368" s="675"/>
      <c r="L7368" s="675"/>
      <c r="M7368" s="675"/>
    </row>
    <row r="7369" spans="1:13" x14ac:dyDescent="0.25">
      <c r="A7369" s="675" t="s">
        <v>7320</v>
      </c>
      <c r="B7369" s="675" t="s">
        <v>512</v>
      </c>
      <c r="C7369" s="676" t="s">
        <v>7346</v>
      </c>
      <c r="D7369" s="675"/>
      <c r="E7369" s="675"/>
      <c r="G7369" s="675"/>
      <c r="H7369" s="675"/>
      <c r="I7369" s="675"/>
      <c r="J7369" s="675"/>
      <c r="K7369" s="675"/>
      <c r="L7369" s="675"/>
      <c r="M7369" s="675"/>
    </row>
    <row r="7370" spans="1:13" x14ac:dyDescent="0.25">
      <c r="A7370" s="675" t="s">
        <v>7320</v>
      </c>
      <c r="B7370" s="675" t="s">
        <v>512</v>
      </c>
      <c r="C7370" s="676" t="s">
        <v>7347</v>
      </c>
      <c r="D7370" s="675"/>
      <c r="E7370" s="675"/>
      <c r="G7370" s="675"/>
      <c r="H7370" s="675"/>
      <c r="I7370" s="675"/>
      <c r="J7370" s="675"/>
      <c r="K7370" s="675"/>
      <c r="L7370" s="675"/>
      <c r="M7370" s="675"/>
    </row>
    <row r="7371" spans="1:13" x14ac:dyDescent="0.25">
      <c r="A7371" s="675" t="s">
        <v>7320</v>
      </c>
      <c r="B7371" s="675" t="s">
        <v>512</v>
      </c>
      <c r="C7371" s="676" t="s">
        <v>7348</v>
      </c>
      <c r="D7371" s="675"/>
      <c r="E7371" s="675"/>
      <c r="G7371" s="675"/>
      <c r="H7371" s="675"/>
      <c r="I7371" s="675"/>
      <c r="J7371" s="675"/>
      <c r="K7371" s="675"/>
      <c r="L7371" s="675"/>
      <c r="M7371" s="675"/>
    </row>
    <row r="7372" spans="1:13" x14ac:dyDescent="0.25">
      <c r="A7372" s="675" t="s">
        <v>7320</v>
      </c>
      <c r="B7372" s="675" t="s">
        <v>512</v>
      </c>
      <c r="C7372" s="676" t="s">
        <v>7349</v>
      </c>
      <c r="D7372" s="675"/>
      <c r="E7372" s="675"/>
      <c r="G7372" s="675"/>
      <c r="H7372" s="675"/>
      <c r="I7372" s="675"/>
      <c r="J7372" s="675"/>
      <c r="K7372" s="675"/>
      <c r="L7372" s="675"/>
      <c r="M7372" s="675"/>
    </row>
    <row r="7373" spans="1:13" x14ac:dyDescent="0.25">
      <c r="A7373" s="675" t="s">
        <v>7320</v>
      </c>
      <c r="B7373" s="675" t="s">
        <v>512</v>
      </c>
      <c r="C7373" s="676" t="s">
        <v>7350</v>
      </c>
      <c r="D7373" s="675"/>
      <c r="E7373" s="675"/>
      <c r="G7373" s="675"/>
      <c r="H7373" s="675"/>
      <c r="I7373" s="675"/>
      <c r="J7373" s="675"/>
      <c r="K7373" s="675"/>
      <c r="L7373" s="675"/>
      <c r="M7373" s="675"/>
    </row>
    <row r="7374" spans="1:13" x14ac:dyDescent="0.25">
      <c r="A7374" s="675" t="s">
        <v>7351</v>
      </c>
      <c r="B7374" s="675" t="s">
        <v>545</v>
      </c>
      <c r="C7374" s="676" t="s">
        <v>7352</v>
      </c>
      <c r="D7374" s="675"/>
      <c r="E7374" s="675"/>
      <c r="G7374" s="675"/>
      <c r="H7374" s="675"/>
      <c r="I7374" s="675"/>
      <c r="J7374" s="675"/>
      <c r="K7374" s="675"/>
      <c r="L7374" s="675"/>
      <c r="M7374" s="675"/>
    </row>
    <row r="7375" spans="1:13" x14ac:dyDescent="0.25">
      <c r="A7375" s="675" t="s">
        <v>7351</v>
      </c>
      <c r="B7375" s="675" t="s">
        <v>545</v>
      </c>
      <c r="C7375" s="676" t="s">
        <v>7353</v>
      </c>
      <c r="D7375" s="675"/>
      <c r="E7375" s="675"/>
      <c r="G7375" s="675"/>
      <c r="H7375" s="675"/>
      <c r="I7375" s="675"/>
      <c r="J7375" s="675"/>
      <c r="K7375" s="675"/>
      <c r="L7375" s="675"/>
      <c r="M7375" s="675"/>
    </row>
    <row r="7376" spans="1:13" x14ac:dyDescent="0.25">
      <c r="A7376" s="675" t="s">
        <v>7351</v>
      </c>
      <c r="B7376" s="675" t="s">
        <v>545</v>
      </c>
      <c r="C7376" s="676" t="s">
        <v>7354</v>
      </c>
      <c r="D7376" s="675"/>
      <c r="E7376" s="675"/>
      <c r="G7376" s="675"/>
      <c r="H7376" s="675"/>
      <c r="I7376" s="675"/>
      <c r="J7376" s="675"/>
      <c r="K7376" s="675"/>
      <c r="L7376" s="675"/>
      <c r="M7376" s="675"/>
    </row>
    <row r="7377" spans="1:13" x14ac:dyDescent="0.25">
      <c r="A7377" s="675" t="s">
        <v>7351</v>
      </c>
      <c r="B7377" s="675" t="s">
        <v>545</v>
      </c>
      <c r="C7377" s="676" t="s">
        <v>7355</v>
      </c>
      <c r="D7377" s="675"/>
      <c r="E7377" s="675"/>
      <c r="G7377" s="675"/>
      <c r="H7377" s="675"/>
      <c r="I7377" s="675"/>
      <c r="J7377" s="675"/>
      <c r="K7377" s="675"/>
      <c r="L7377" s="675"/>
      <c r="M7377" s="675"/>
    </row>
    <row r="7378" spans="1:13" x14ac:dyDescent="0.25">
      <c r="A7378" s="675" t="s">
        <v>7351</v>
      </c>
      <c r="B7378" s="675" t="s">
        <v>545</v>
      </c>
      <c r="C7378" s="676" t="s">
        <v>7356</v>
      </c>
      <c r="D7378" s="675"/>
      <c r="E7378" s="675"/>
      <c r="G7378" s="675"/>
      <c r="H7378" s="675"/>
      <c r="I7378" s="675"/>
      <c r="J7378" s="675"/>
      <c r="K7378" s="675"/>
      <c r="L7378" s="675"/>
      <c r="M7378" s="675"/>
    </row>
    <row r="7379" spans="1:13" x14ac:dyDescent="0.25">
      <c r="A7379" s="675" t="s">
        <v>7351</v>
      </c>
      <c r="B7379" s="675" t="s">
        <v>545</v>
      </c>
      <c r="C7379" s="676" t="s">
        <v>7357</v>
      </c>
      <c r="D7379" s="675"/>
      <c r="E7379" s="675"/>
      <c r="G7379" s="675"/>
      <c r="H7379" s="675"/>
      <c r="I7379" s="675"/>
      <c r="J7379" s="675"/>
      <c r="K7379" s="675"/>
      <c r="L7379" s="675"/>
      <c r="M7379" s="675"/>
    </row>
    <row r="7380" spans="1:13" x14ac:dyDescent="0.25">
      <c r="A7380" s="675" t="s">
        <v>7351</v>
      </c>
      <c r="B7380" s="675" t="s">
        <v>545</v>
      </c>
      <c r="C7380" s="676" t="s">
        <v>7358</v>
      </c>
      <c r="D7380" s="675"/>
      <c r="E7380" s="675"/>
      <c r="G7380" s="675"/>
      <c r="H7380" s="675"/>
      <c r="I7380" s="675"/>
      <c r="J7380" s="675"/>
      <c r="K7380" s="675"/>
      <c r="L7380" s="675"/>
      <c r="M7380" s="675"/>
    </row>
    <row r="7381" spans="1:13" x14ac:dyDescent="0.25">
      <c r="A7381" s="675" t="s">
        <v>7351</v>
      </c>
      <c r="B7381" s="675" t="s">
        <v>545</v>
      </c>
      <c r="C7381" s="676" t="s">
        <v>7359</v>
      </c>
      <c r="D7381" s="675"/>
      <c r="E7381" s="675"/>
      <c r="G7381" s="675"/>
      <c r="H7381" s="675"/>
      <c r="I7381" s="675"/>
      <c r="J7381" s="675"/>
      <c r="K7381" s="675"/>
      <c r="L7381" s="675"/>
      <c r="M7381" s="675"/>
    </row>
    <row r="7382" spans="1:13" x14ac:dyDescent="0.25">
      <c r="A7382" s="675" t="s">
        <v>7351</v>
      </c>
      <c r="B7382" s="675" t="s">
        <v>545</v>
      </c>
      <c r="C7382" s="676" t="s">
        <v>7360</v>
      </c>
      <c r="D7382" s="675"/>
      <c r="E7382" s="675"/>
      <c r="G7382" s="675"/>
      <c r="H7382" s="675"/>
      <c r="I7382" s="675"/>
      <c r="J7382" s="675"/>
      <c r="K7382" s="675"/>
      <c r="L7382" s="675"/>
      <c r="M7382" s="675"/>
    </row>
    <row r="7383" spans="1:13" x14ac:dyDescent="0.25">
      <c r="A7383" s="675" t="s">
        <v>7351</v>
      </c>
      <c r="B7383" s="675" t="s">
        <v>545</v>
      </c>
      <c r="C7383" s="676" t="s">
        <v>7361</v>
      </c>
      <c r="D7383" s="675"/>
      <c r="E7383" s="675"/>
      <c r="G7383" s="675"/>
      <c r="H7383" s="675"/>
      <c r="I7383" s="675"/>
      <c r="J7383" s="675"/>
      <c r="K7383" s="675"/>
      <c r="L7383" s="675"/>
      <c r="M7383" s="675"/>
    </row>
    <row r="7384" spans="1:13" x14ac:dyDescent="0.25">
      <c r="A7384" s="675" t="s">
        <v>7351</v>
      </c>
      <c r="B7384" s="675" t="s">
        <v>564</v>
      </c>
      <c r="C7384" s="676" t="s">
        <v>7362</v>
      </c>
      <c r="D7384" s="675"/>
      <c r="E7384" s="675"/>
      <c r="G7384" s="675"/>
      <c r="H7384" s="675"/>
      <c r="I7384" s="675"/>
      <c r="J7384" s="675"/>
      <c r="K7384" s="675"/>
      <c r="L7384" s="675"/>
      <c r="M7384" s="675"/>
    </row>
    <row r="7385" spans="1:13" x14ac:dyDescent="0.25">
      <c r="A7385" s="675" t="s">
        <v>7351</v>
      </c>
      <c r="B7385" s="675" t="s">
        <v>564</v>
      </c>
      <c r="C7385" s="676" t="s">
        <v>7363</v>
      </c>
      <c r="D7385" s="675"/>
      <c r="E7385" s="675"/>
      <c r="G7385" s="675"/>
      <c r="H7385" s="675"/>
      <c r="I7385" s="675"/>
      <c r="J7385" s="675"/>
      <c r="K7385" s="675"/>
      <c r="L7385" s="675"/>
      <c r="M7385" s="675"/>
    </row>
    <row r="7386" spans="1:13" x14ac:dyDescent="0.25">
      <c r="A7386" s="675" t="s">
        <v>7351</v>
      </c>
      <c r="B7386" s="675" t="s">
        <v>564</v>
      </c>
      <c r="C7386" s="676" t="s">
        <v>7364</v>
      </c>
      <c r="D7386" s="675"/>
      <c r="E7386" s="675"/>
      <c r="G7386" s="675"/>
      <c r="H7386" s="675"/>
      <c r="I7386" s="675"/>
      <c r="J7386" s="675"/>
      <c r="K7386" s="675"/>
      <c r="L7386" s="675"/>
      <c r="M7386" s="675"/>
    </row>
    <row r="7387" spans="1:13" x14ac:dyDescent="0.25">
      <c r="A7387" s="675" t="s">
        <v>7351</v>
      </c>
      <c r="B7387" s="675" t="s">
        <v>564</v>
      </c>
      <c r="C7387" s="676" t="s">
        <v>7365</v>
      </c>
      <c r="D7387" s="675"/>
      <c r="E7387" s="675"/>
      <c r="G7387" s="675"/>
      <c r="H7387" s="675"/>
      <c r="I7387" s="675"/>
      <c r="J7387" s="675"/>
      <c r="K7387" s="675"/>
      <c r="L7387" s="675"/>
      <c r="M7387" s="675"/>
    </row>
    <row r="7388" spans="1:13" x14ac:dyDescent="0.25">
      <c r="A7388" s="675" t="s">
        <v>7351</v>
      </c>
      <c r="B7388" s="675" t="s">
        <v>564</v>
      </c>
      <c r="C7388" s="676" t="s">
        <v>7366</v>
      </c>
      <c r="D7388" s="675"/>
      <c r="E7388" s="675"/>
      <c r="G7388" s="675"/>
      <c r="H7388" s="675"/>
      <c r="I7388" s="675"/>
      <c r="J7388" s="675"/>
      <c r="K7388" s="675"/>
      <c r="L7388" s="675"/>
      <c r="M7388" s="675"/>
    </row>
    <row r="7389" spans="1:13" x14ac:dyDescent="0.25">
      <c r="A7389" s="675" t="s">
        <v>7351</v>
      </c>
      <c r="B7389" s="675" t="s">
        <v>564</v>
      </c>
      <c r="C7389" s="676" t="s">
        <v>7367</v>
      </c>
      <c r="D7389" s="675"/>
      <c r="E7389" s="675"/>
      <c r="G7389" s="675"/>
      <c r="H7389" s="675"/>
      <c r="I7389" s="675"/>
      <c r="J7389" s="675"/>
      <c r="K7389" s="675"/>
      <c r="L7389" s="675"/>
      <c r="M7389" s="675"/>
    </row>
    <row r="7390" spans="1:13" x14ac:dyDescent="0.25">
      <c r="A7390" s="675" t="s">
        <v>7351</v>
      </c>
      <c r="B7390" s="675" t="s">
        <v>564</v>
      </c>
      <c r="C7390" s="676" t="s">
        <v>7368</v>
      </c>
      <c r="D7390" s="675"/>
      <c r="E7390" s="675"/>
      <c r="G7390" s="675"/>
      <c r="H7390" s="675"/>
      <c r="I7390" s="675"/>
      <c r="J7390" s="675"/>
      <c r="K7390" s="675"/>
      <c r="L7390" s="675"/>
      <c r="M7390" s="675"/>
    </row>
    <row r="7391" spans="1:13" x14ac:dyDescent="0.25">
      <c r="A7391" s="675" t="s">
        <v>7351</v>
      </c>
      <c r="B7391" s="675" t="s">
        <v>564</v>
      </c>
      <c r="C7391" s="676" t="s">
        <v>7369</v>
      </c>
      <c r="D7391" s="675"/>
      <c r="E7391" s="675"/>
      <c r="G7391" s="675"/>
      <c r="H7391" s="675"/>
      <c r="I7391" s="675"/>
      <c r="J7391" s="675"/>
      <c r="K7391" s="675"/>
      <c r="L7391" s="675"/>
      <c r="M7391" s="675"/>
    </row>
    <row r="7392" spans="1:13" x14ac:dyDescent="0.25">
      <c r="A7392" s="675" t="s">
        <v>7351</v>
      </c>
      <c r="B7392" s="675" t="s">
        <v>564</v>
      </c>
      <c r="C7392" s="676" t="s">
        <v>7370</v>
      </c>
      <c r="D7392" s="675"/>
      <c r="E7392" s="675"/>
      <c r="G7392" s="675"/>
      <c r="H7392" s="675"/>
      <c r="I7392" s="675"/>
      <c r="J7392" s="675"/>
      <c r="K7392" s="675"/>
      <c r="L7392" s="675"/>
      <c r="M7392" s="675"/>
    </row>
    <row r="7393" spans="1:13" x14ac:dyDescent="0.25">
      <c r="A7393" s="675" t="s">
        <v>7351</v>
      </c>
      <c r="B7393" s="675" t="s">
        <v>564</v>
      </c>
      <c r="C7393" s="676" t="s">
        <v>7371</v>
      </c>
      <c r="D7393" s="675"/>
      <c r="E7393" s="675"/>
      <c r="G7393" s="675"/>
      <c r="H7393" s="675"/>
      <c r="I7393" s="675"/>
      <c r="J7393" s="675"/>
      <c r="K7393" s="675"/>
      <c r="L7393" s="675"/>
      <c r="M7393" s="675"/>
    </row>
    <row r="7394" spans="1:13" x14ac:dyDescent="0.25">
      <c r="A7394" s="675" t="s">
        <v>7351</v>
      </c>
      <c r="B7394" s="675" t="s">
        <v>512</v>
      </c>
      <c r="C7394" s="676" t="s">
        <v>7372</v>
      </c>
      <c r="D7394" s="675"/>
      <c r="E7394" s="675"/>
      <c r="G7394" s="675"/>
      <c r="H7394" s="675"/>
      <c r="I7394" s="675"/>
      <c r="J7394" s="675"/>
      <c r="K7394" s="675"/>
      <c r="L7394" s="675"/>
      <c r="M7394" s="675"/>
    </row>
    <row r="7395" spans="1:13" x14ac:dyDescent="0.25">
      <c r="A7395" s="675" t="s">
        <v>7351</v>
      </c>
      <c r="B7395" s="675" t="s">
        <v>512</v>
      </c>
      <c r="C7395" s="676" t="s">
        <v>7373</v>
      </c>
      <c r="D7395" s="675"/>
      <c r="E7395" s="675"/>
      <c r="G7395" s="675"/>
      <c r="H7395" s="675"/>
      <c r="I7395" s="675"/>
      <c r="J7395" s="675"/>
      <c r="K7395" s="675"/>
      <c r="L7395" s="675"/>
      <c r="M7395" s="675"/>
    </row>
    <row r="7396" spans="1:13" x14ac:dyDescent="0.25">
      <c r="A7396" s="675" t="s">
        <v>7351</v>
      </c>
      <c r="B7396" s="675" t="s">
        <v>512</v>
      </c>
      <c r="C7396" s="676" t="s">
        <v>7374</v>
      </c>
      <c r="D7396" s="675"/>
      <c r="E7396" s="675"/>
      <c r="G7396" s="675"/>
      <c r="H7396" s="675"/>
      <c r="I7396" s="675"/>
      <c r="J7396" s="675"/>
      <c r="K7396" s="675"/>
      <c r="L7396" s="675"/>
      <c r="M7396" s="675"/>
    </row>
    <row r="7397" spans="1:13" x14ac:dyDescent="0.25">
      <c r="A7397" s="675" t="s">
        <v>7351</v>
      </c>
      <c r="B7397" s="675" t="s">
        <v>512</v>
      </c>
      <c r="C7397" s="676" t="s">
        <v>7375</v>
      </c>
      <c r="D7397" s="675"/>
      <c r="E7397" s="675"/>
      <c r="G7397" s="675"/>
      <c r="H7397" s="675"/>
      <c r="I7397" s="675"/>
      <c r="J7397" s="675"/>
      <c r="K7397" s="675"/>
      <c r="L7397" s="675"/>
      <c r="M7397" s="675"/>
    </row>
    <row r="7398" spans="1:13" x14ac:dyDescent="0.25">
      <c r="A7398" s="675" t="s">
        <v>7351</v>
      </c>
      <c r="B7398" s="675" t="s">
        <v>512</v>
      </c>
      <c r="C7398" s="676" t="s">
        <v>7376</v>
      </c>
      <c r="D7398" s="675"/>
      <c r="E7398" s="675"/>
      <c r="G7398" s="675"/>
      <c r="H7398" s="675"/>
      <c r="I7398" s="675"/>
      <c r="J7398" s="675"/>
      <c r="K7398" s="675"/>
      <c r="L7398" s="675"/>
      <c r="M7398" s="675"/>
    </row>
    <row r="7399" spans="1:13" x14ac:dyDescent="0.25">
      <c r="A7399" s="675" t="s">
        <v>7351</v>
      </c>
      <c r="B7399" s="675" t="s">
        <v>512</v>
      </c>
      <c r="C7399" s="676" t="s">
        <v>7377</v>
      </c>
      <c r="D7399" s="675"/>
      <c r="E7399" s="675"/>
      <c r="G7399" s="675"/>
      <c r="H7399" s="675"/>
      <c r="I7399" s="675"/>
      <c r="J7399" s="675"/>
      <c r="K7399" s="675"/>
      <c r="L7399" s="675"/>
      <c r="M7399" s="675"/>
    </row>
    <row r="7400" spans="1:13" x14ac:dyDescent="0.25">
      <c r="A7400" s="675" t="s">
        <v>7351</v>
      </c>
      <c r="B7400" s="675" t="s">
        <v>512</v>
      </c>
      <c r="C7400" s="676" t="s">
        <v>7378</v>
      </c>
      <c r="D7400" s="675"/>
      <c r="E7400" s="675"/>
      <c r="G7400" s="675"/>
      <c r="H7400" s="675"/>
      <c r="I7400" s="675"/>
      <c r="J7400" s="675"/>
      <c r="K7400" s="675"/>
      <c r="L7400" s="675"/>
      <c r="M7400" s="675"/>
    </row>
    <row r="7401" spans="1:13" x14ac:dyDescent="0.25">
      <c r="A7401" s="675" t="s">
        <v>7351</v>
      </c>
      <c r="B7401" s="675" t="s">
        <v>512</v>
      </c>
      <c r="C7401" s="676" t="s">
        <v>7379</v>
      </c>
      <c r="D7401" s="675"/>
      <c r="E7401" s="675"/>
      <c r="G7401" s="675"/>
      <c r="H7401" s="675"/>
      <c r="I7401" s="675"/>
      <c r="J7401" s="675"/>
      <c r="K7401" s="675"/>
      <c r="L7401" s="675"/>
      <c r="M7401" s="675"/>
    </row>
    <row r="7402" spans="1:13" x14ac:dyDescent="0.25">
      <c r="A7402" s="675" t="s">
        <v>7351</v>
      </c>
      <c r="B7402" s="675" t="s">
        <v>512</v>
      </c>
      <c r="C7402" s="676" t="s">
        <v>7380</v>
      </c>
      <c r="D7402" s="675"/>
      <c r="E7402" s="675"/>
      <c r="G7402" s="675"/>
      <c r="H7402" s="675"/>
      <c r="I7402" s="675"/>
      <c r="J7402" s="675"/>
      <c r="K7402" s="675"/>
      <c r="L7402" s="675"/>
      <c r="M7402" s="675"/>
    </row>
    <row r="7403" spans="1:13" x14ac:dyDescent="0.25">
      <c r="A7403" s="675" t="s">
        <v>7351</v>
      </c>
      <c r="B7403" s="675" t="s">
        <v>512</v>
      </c>
      <c r="C7403" s="676" t="s">
        <v>7381</v>
      </c>
      <c r="D7403" s="675"/>
      <c r="E7403" s="675"/>
      <c r="G7403" s="675"/>
      <c r="H7403" s="675"/>
      <c r="I7403" s="675"/>
      <c r="J7403" s="675"/>
      <c r="K7403" s="675"/>
      <c r="L7403" s="675"/>
      <c r="M7403" s="675"/>
    </row>
    <row r="7404" spans="1:13" x14ac:dyDescent="0.25">
      <c r="A7404" s="675" t="s">
        <v>920</v>
      </c>
      <c r="B7404" s="675" t="s">
        <v>545</v>
      </c>
      <c r="C7404" s="676" t="s">
        <v>7382</v>
      </c>
      <c r="D7404" s="675"/>
      <c r="E7404" s="675"/>
      <c r="G7404" s="675"/>
      <c r="H7404" s="675"/>
      <c r="I7404" s="675"/>
      <c r="J7404" s="675"/>
      <c r="K7404" s="675"/>
      <c r="L7404" s="675"/>
      <c r="M7404" s="675"/>
    </row>
    <row r="7405" spans="1:13" x14ac:dyDescent="0.25">
      <c r="A7405" s="675" t="s">
        <v>920</v>
      </c>
      <c r="B7405" s="675" t="s">
        <v>545</v>
      </c>
      <c r="C7405" s="676" t="s">
        <v>7383</v>
      </c>
      <c r="D7405" s="675"/>
      <c r="E7405" s="675"/>
      <c r="G7405" s="675"/>
      <c r="H7405" s="675"/>
      <c r="I7405" s="675"/>
      <c r="J7405" s="675"/>
      <c r="K7405" s="675"/>
      <c r="L7405" s="675"/>
      <c r="M7405" s="675"/>
    </row>
    <row r="7406" spans="1:13" x14ac:dyDescent="0.25">
      <c r="A7406" s="675" t="s">
        <v>920</v>
      </c>
      <c r="B7406" s="675" t="s">
        <v>545</v>
      </c>
      <c r="C7406" s="676" t="s">
        <v>7384</v>
      </c>
      <c r="D7406" s="675"/>
      <c r="E7406" s="675"/>
      <c r="G7406" s="675"/>
      <c r="H7406" s="675"/>
      <c r="I7406" s="675"/>
      <c r="J7406" s="675"/>
      <c r="K7406" s="675"/>
      <c r="L7406" s="675"/>
      <c r="M7406" s="675"/>
    </row>
    <row r="7407" spans="1:13" x14ac:dyDescent="0.25">
      <c r="A7407" s="675" t="s">
        <v>920</v>
      </c>
      <c r="B7407" s="675" t="s">
        <v>545</v>
      </c>
      <c r="C7407" s="676" t="s">
        <v>7385</v>
      </c>
      <c r="D7407" s="675"/>
      <c r="E7407" s="675"/>
      <c r="G7407" s="675"/>
      <c r="H7407" s="675"/>
      <c r="I7407" s="675"/>
      <c r="J7407" s="675"/>
      <c r="K7407" s="675"/>
      <c r="L7407" s="675"/>
      <c r="M7407" s="675"/>
    </row>
    <row r="7408" spans="1:13" x14ac:dyDescent="0.25">
      <c r="A7408" s="675" t="s">
        <v>920</v>
      </c>
      <c r="B7408" s="675" t="s">
        <v>545</v>
      </c>
      <c r="C7408" s="676" t="s">
        <v>7386</v>
      </c>
      <c r="D7408" s="675"/>
      <c r="E7408" s="675"/>
      <c r="G7408" s="675"/>
      <c r="H7408" s="675"/>
      <c r="I7408" s="675"/>
      <c r="J7408" s="675"/>
      <c r="K7408" s="675"/>
      <c r="L7408" s="675"/>
      <c r="M7408" s="675"/>
    </row>
    <row r="7409" spans="1:13" x14ac:dyDescent="0.25">
      <c r="A7409" s="675" t="s">
        <v>920</v>
      </c>
      <c r="B7409" s="675" t="s">
        <v>545</v>
      </c>
      <c r="C7409" s="676" t="s">
        <v>7387</v>
      </c>
      <c r="D7409" s="675"/>
      <c r="E7409" s="675"/>
      <c r="G7409" s="675"/>
      <c r="H7409" s="675"/>
      <c r="I7409" s="675"/>
      <c r="J7409" s="675"/>
      <c r="K7409" s="675"/>
      <c r="L7409" s="675"/>
      <c r="M7409" s="675"/>
    </row>
    <row r="7410" spans="1:13" x14ac:dyDescent="0.25">
      <c r="A7410" s="675" t="s">
        <v>920</v>
      </c>
      <c r="B7410" s="675" t="s">
        <v>545</v>
      </c>
      <c r="C7410" s="676" t="s">
        <v>7388</v>
      </c>
      <c r="D7410" s="675"/>
      <c r="E7410" s="675"/>
      <c r="G7410" s="675"/>
      <c r="H7410" s="675"/>
      <c r="I7410" s="675"/>
      <c r="J7410" s="675"/>
      <c r="K7410" s="675"/>
      <c r="L7410" s="675"/>
      <c r="M7410" s="675"/>
    </row>
    <row r="7411" spans="1:13" x14ac:dyDescent="0.25">
      <c r="A7411" s="675" t="s">
        <v>920</v>
      </c>
      <c r="B7411" s="675" t="s">
        <v>545</v>
      </c>
      <c r="C7411" s="676" t="s">
        <v>7389</v>
      </c>
      <c r="D7411" s="675"/>
      <c r="E7411" s="675"/>
      <c r="G7411" s="675"/>
      <c r="H7411" s="675"/>
      <c r="I7411" s="675"/>
      <c r="J7411" s="675"/>
      <c r="K7411" s="675"/>
      <c r="L7411" s="675"/>
      <c r="M7411" s="675"/>
    </row>
    <row r="7412" spans="1:13" x14ac:dyDescent="0.25">
      <c r="A7412" s="675" t="s">
        <v>920</v>
      </c>
      <c r="B7412" s="675" t="s">
        <v>545</v>
      </c>
      <c r="C7412" s="676" t="s">
        <v>7390</v>
      </c>
      <c r="D7412" s="675"/>
      <c r="E7412" s="675"/>
      <c r="G7412" s="675"/>
      <c r="H7412" s="675"/>
      <c r="I7412" s="675"/>
      <c r="J7412" s="675"/>
      <c r="K7412" s="675"/>
      <c r="L7412" s="675"/>
      <c r="M7412" s="675"/>
    </row>
    <row r="7413" spans="1:13" x14ac:dyDescent="0.25">
      <c r="A7413" s="675" t="s">
        <v>920</v>
      </c>
      <c r="B7413" s="675" t="s">
        <v>545</v>
      </c>
      <c r="C7413" s="676" t="s">
        <v>7391</v>
      </c>
      <c r="D7413" s="675"/>
      <c r="E7413" s="675"/>
      <c r="G7413" s="675"/>
      <c r="H7413" s="675"/>
      <c r="I7413" s="675"/>
      <c r="J7413" s="675"/>
      <c r="K7413" s="675"/>
      <c r="L7413" s="675"/>
      <c r="M7413" s="675"/>
    </row>
    <row r="7414" spans="1:13" x14ac:dyDescent="0.25">
      <c r="A7414" s="675" t="s">
        <v>920</v>
      </c>
      <c r="B7414" s="675" t="s">
        <v>564</v>
      </c>
      <c r="C7414" s="676" t="s">
        <v>7392</v>
      </c>
      <c r="D7414" s="675"/>
      <c r="E7414" s="675"/>
      <c r="G7414" s="675"/>
      <c r="H7414" s="675"/>
      <c r="I7414" s="675"/>
      <c r="J7414" s="675"/>
      <c r="K7414" s="675"/>
      <c r="L7414" s="675"/>
      <c r="M7414" s="675"/>
    </row>
    <row r="7415" spans="1:13" x14ac:dyDescent="0.25">
      <c r="A7415" s="675" t="s">
        <v>920</v>
      </c>
      <c r="B7415" s="675" t="s">
        <v>564</v>
      </c>
      <c r="C7415" s="676" t="s">
        <v>7393</v>
      </c>
      <c r="D7415" s="675"/>
      <c r="E7415" s="675"/>
      <c r="G7415" s="675"/>
      <c r="H7415" s="675"/>
      <c r="I7415" s="675"/>
      <c r="J7415" s="675"/>
      <c r="K7415" s="675"/>
      <c r="L7415" s="675"/>
      <c r="M7415" s="675"/>
    </row>
    <row r="7416" spans="1:13" x14ac:dyDescent="0.25">
      <c r="A7416" s="675" t="s">
        <v>920</v>
      </c>
      <c r="B7416" s="675" t="s">
        <v>564</v>
      </c>
      <c r="C7416" s="676" t="s">
        <v>7394</v>
      </c>
      <c r="D7416" s="675"/>
      <c r="E7416" s="675"/>
      <c r="G7416" s="675"/>
      <c r="H7416" s="675"/>
      <c r="I7416" s="675"/>
      <c r="J7416" s="675"/>
      <c r="K7416" s="675"/>
      <c r="L7416" s="675"/>
      <c r="M7416" s="675"/>
    </row>
    <row r="7417" spans="1:13" x14ac:dyDescent="0.25">
      <c r="A7417" s="675" t="s">
        <v>920</v>
      </c>
      <c r="B7417" s="675" t="s">
        <v>564</v>
      </c>
      <c r="C7417" s="676" t="s">
        <v>7395</v>
      </c>
      <c r="D7417" s="675"/>
      <c r="E7417" s="675"/>
      <c r="G7417" s="675"/>
      <c r="H7417" s="675"/>
      <c r="I7417" s="675"/>
      <c r="J7417" s="675"/>
      <c r="K7417" s="675"/>
      <c r="L7417" s="675"/>
      <c r="M7417" s="675"/>
    </row>
    <row r="7418" spans="1:13" x14ac:dyDescent="0.25">
      <c r="A7418" s="675" t="s">
        <v>920</v>
      </c>
      <c r="B7418" s="675" t="s">
        <v>564</v>
      </c>
      <c r="C7418" s="676" t="s">
        <v>7396</v>
      </c>
      <c r="D7418" s="675"/>
      <c r="E7418" s="675"/>
      <c r="G7418" s="675"/>
      <c r="H7418" s="675"/>
      <c r="I7418" s="675"/>
      <c r="J7418" s="675"/>
      <c r="K7418" s="675"/>
      <c r="L7418" s="675"/>
      <c r="M7418" s="675"/>
    </row>
    <row r="7419" spans="1:13" x14ac:dyDescent="0.25">
      <c r="A7419" s="675" t="s">
        <v>920</v>
      </c>
      <c r="B7419" s="675" t="s">
        <v>564</v>
      </c>
      <c r="C7419" s="676" t="s">
        <v>7397</v>
      </c>
      <c r="D7419" s="675"/>
      <c r="E7419" s="675"/>
      <c r="G7419" s="675"/>
      <c r="H7419" s="675"/>
      <c r="I7419" s="675"/>
      <c r="J7419" s="675"/>
      <c r="K7419" s="675"/>
      <c r="L7419" s="675"/>
      <c r="M7419" s="675"/>
    </row>
    <row r="7420" spans="1:13" x14ac:dyDescent="0.25">
      <c r="A7420" s="675" t="s">
        <v>920</v>
      </c>
      <c r="B7420" s="675" t="s">
        <v>564</v>
      </c>
      <c r="C7420" s="676" t="s">
        <v>7398</v>
      </c>
      <c r="D7420" s="675"/>
      <c r="E7420" s="675"/>
      <c r="G7420" s="675"/>
      <c r="H7420" s="675"/>
      <c r="I7420" s="675"/>
      <c r="J7420" s="675"/>
      <c r="K7420" s="675"/>
      <c r="L7420" s="675"/>
      <c r="M7420" s="675"/>
    </row>
    <row r="7421" spans="1:13" x14ac:dyDescent="0.25">
      <c r="A7421" s="675" t="s">
        <v>920</v>
      </c>
      <c r="B7421" s="675" t="s">
        <v>564</v>
      </c>
      <c r="C7421" s="676" t="s">
        <v>7399</v>
      </c>
      <c r="D7421" s="675"/>
      <c r="E7421" s="675"/>
      <c r="G7421" s="675"/>
      <c r="H7421" s="675"/>
      <c r="I7421" s="675"/>
      <c r="J7421" s="675"/>
      <c r="K7421" s="675"/>
      <c r="L7421" s="675"/>
      <c r="M7421" s="675"/>
    </row>
    <row r="7422" spans="1:13" x14ac:dyDescent="0.25">
      <c r="A7422" s="675" t="s">
        <v>920</v>
      </c>
      <c r="B7422" s="675" t="s">
        <v>564</v>
      </c>
      <c r="C7422" s="676" t="s">
        <v>7400</v>
      </c>
      <c r="D7422" s="675"/>
      <c r="E7422" s="675"/>
      <c r="G7422" s="675"/>
      <c r="H7422" s="675"/>
      <c r="I7422" s="675"/>
      <c r="J7422" s="675"/>
      <c r="K7422" s="675"/>
      <c r="L7422" s="675"/>
      <c r="M7422" s="675"/>
    </row>
    <row r="7423" spans="1:13" x14ac:dyDescent="0.25">
      <c r="A7423" s="675" t="s">
        <v>920</v>
      </c>
      <c r="B7423" s="675" t="s">
        <v>564</v>
      </c>
      <c r="C7423" s="676" t="s">
        <v>7401</v>
      </c>
      <c r="D7423" s="675"/>
      <c r="E7423" s="675"/>
      <c r="G7423" s="675"/>
      <c r="H7423" s="675"/>
      <c r="I7423" s="675"/>
      <c r="J7423" s="675"/>
      <c r="K7423" s="675"/>
      <c r="L7423" s="675"/>
      <c r="M7423" s="675"/>
    </row>
    <row r="7424" spans="1:13" x14ac:dyDescent="0.25">
      <c r="A7424" s="675" t="s">
        <v>920</v>
      </c>
      <c r="B7424" s="675" t="s">
        <v>512</v>
      </c>
      <c r="C7424" s="676" t="s">
        <v>7402</v>
      </c>
      <c r="D7424" s="675"/>
      <c r="E7424" s="675"/>
      <c r="G7424" s="675"/>
      <c r="H7424" s="675"/>
      <c r="I7424" s="675"/>
      <c r="J7424" s="675"/>
      <c r="K7424" s="675"/>
      <c r="L7424" s="675"/>
      <c r="M7424" s="675"/>
    </row>
    <row r="7425" spans="1:13" x14ac:dyDescent="0.25">
      <c r="A7425" s="675" t="s">
        <v>920</v>
      </c>
      <c r="B7425" s="675" t="s">
        <v>512</v>
      </c>
      <c r="C7425" s="676" t="s">
        <v>7403</v>
      </c>
      <c r="D7425" s="675"/>
      <c r="E7425" s="675"/>
      <c r="G7425" s="675"/>
      <c r="H7425" s="675"/>
      <c r="I7425" s="675"/>
      <c r="J7425" s="675"/>
      <c r="K7425" s="675"/>
      <c r="L7425" s="675"/>
      <c r="M7425" s="675"/>
    </row>
    <row r="7426" spans="1:13" x14ac:dyDescent="0.25">
      <c r="A7426" s="675" t="s">
        <v>920</v>
      </c>
      <c r="B7426" s="675" t="s">
        <v>512</v>
      </c>
      <c r="C7426" s="676" t="s">
        <v>7404</v>
      </c>
      <c r="D7426" s="675"/>
      <c r="E7426" s="675"/>
      <c r="G7426" s="675"/>
      <c r="H7426" s="675"/>
      <c r="I7426" s="675"/>
      <c r="J7426" s="675"/>
      <c r="K7426" s="675"/>
      <c r="L7426" s="675"/>
      <c r="M7426" s="675"/>
    </row>
    <row r="7427" spans="1:13" x14ac:dyDescent="0.25">
      <c r="A7427" s="675" t="s">
        <v>920</v>
      </c>
      <c r="B7427" s="675" t="s">
        <v>512</v>
      </c>
      <c r="C7427" s="676" t="s">
        <v>7405</v>
      </c>
      <c r="D7427" s="675"/>
      <c r="E7427" s="675"/>
      <c r="G7427" s="675"/>
      <c r="H7427" s="675"/>
      <c r="I7427" s="675"/>
      <c r="J7427" s="675"/>
      <c r="K7427" s="675"/>
      <c r="L7427" s="675"/>
      <c r="M7427" s="675"/>
    </row>
    <row r="7428" spans="1:13" x14ac:dyDescent="0.25">
      <c r="A7428" s="675" t="s">
        <v>920</v>
      </c>
      <c r="B7428" s="675" t="s">
        <v>512</v>
      </c>
      <c r="C7428" s="676" t="s">
        <v>7406</v>
      </c>
      <c r="D7428" s="675"/>
      <c r="E7428" s="675"/>
      <c r="G7428" s="675"/>
      <c r="H7428" s="675"/>
      <c r="I7428" s="675"/>
      <c r="J7428" s="675"/>
      <c r="K7428" s="675"/>
      <c r="L7428" s="675"/>
      <c r="M7428" s="675"/>
    </row>
    <row r="7429" spans="1:13" x14ac:dyDescent="0.25">
      <c r="A7429" s="675" t="s">
        <v>920</v>
      </c>
      <c r="B7429" s="675" t="s">
        <v>512</v>
      </c>
      <c r="C7429" s="676" t="s">
        <v>7407</v>
      </c>
      <c r="D7429" s="675"/>
      <c r="E7429" s="675"/>
      <c r="G7429" s="675"/>
      <c r="H7429" s="675"/>
      <c r="I7429" s="675"/>
      <c r="J7429" s="675"/>
      <c r="K7429" s="675"/>
      <c r="L7429" s="675"/>
      <c r="M7429" s="675"/>
    </row>
    <row r="7430" spans="1:13" x14ac:dyDescent="0.25">
      <c r="A7430" s="675" t="s">
        <v>920</v>
      </c>
      <c r="B7430" s="675" t="s">
        <v>512</v>
      </c>
      <c r="C7430" s="676" t="s">
        <v>7408</v>
      </c>
      <c r="D7430" s="675"/>
      <c r="E7430" s="675"/>
      <c r="G7430" s="675"/>
      <c r="H7430" s="675"/>
      <c r="I7430" s="675"/>
      <c r="J7430" s="675"/>
      <c r="K7430" s="675"/>
      <c r="L7430" s="675"/>
      <c r="M7430" s="675"/>
    </row>
    <row r="7431" spans="1:13" x14ac:dyDescent="0.25">
      <c r="A7431" s="675" t="s">
        <v>920</v>
      </c>
      <c r="B7431" s="675" t="s">
        <v>512</v>
      </c>
      <c r="C7431" s="676" t="s">
        <v>7409</v>
      </c>
      <c r="D7431" s="675"/>
      <c r="E7431" s="675"/>
      <c r="G7431" s="675"/>
      <c r="H7431" s="675"/>
      <c r="I7431" s="675"/>
      <c r="J7431" s="675"/>
      <c r="K7431" s="675"/>
      <c r="L7431" s="675"/>
      <c r="M7431" s="675"/>
    </row>
    <row r="7432" spans="1:13" x14ac:dyDescent="0.25">
      <c r="A7432" s="675" t="s">
        <v>920</v>
      </c>
      <c r="B7432" s="675" t="s">
        <v>512</v>
      </c>
      <c r="C7432" s="676" t="s">
        <v>7410</v>
      </c>
      <c r="D7432" s="675"/>
      <c r="E7432" s="675"/>
      <c r="G7432" s="675"/>
      <c r="H7432" s="675"/>
      <c r="I7432" s="675"/>
      <c r="J7432" s="675"/>
      <c r="K7432" s="675"/>
      <c r="L7432" s="675"/>
      <c r="M7432" s="675"/>
    </row>
    <row r="7433" spans="1:13" x14ac:dyDescent="0.25">
      <c r="A7433" s="675" t="s">
        <v>920</v>
      </c>
      <c r="B7433" s="675" t="s">
        <v>512</v>
      </c>
      <c r="C7433" s="676" t="s">
        <v>7411</v>
      </c>
      <c r="D7433" s="675"/>
      <c r="E7433" s="675"/>
      <c r="G7433" s="675"/>
      <c r="H7433" s="675"/>
      <c r="I7433" s="675"/>
      <c r="J7433" s="675"/>
      <c r="K7433" s="675"/>
      <c r="L7433" s="675"/>
      <c r="M7433" s="675"/>
    </row>
    <row r="7434" spans="1:13" x14ac:dyDescent="0.25">
      <c r="A7434" s="675" t="s">
        <v>7412</v>
      </c>
      <c r="B7434" s="675" t="s">
        <v>545</v>
      </c>
      <c r="C7434" s="676" t="s">
        <v>7413</v>
      </c>
      <c r="D7434" s="675"/>
      <c r="E7434" s="675"/>
      <c r="G7434" s="675"/>
      <c r="H7434" s="675"/>
      <c r="I7434" s="675"/>
      <c r="J7434" s="675"/>
      <c r="K7434" s="675"/>
      <c r="L7434" s="675"/>
      <c r="M7434" s="675"/>
    </row>
    <row r="7435" spans="1:13" x14ac:dyDescent="0.25">
      <c r="A7435" s="675" t="s">
        <v>7412</v>
      </c>
      <c r="B7435" s="675" t="s">
        <v>545</v>
      </c>
      <c r="C7435" s="676" t="s">
        <v>7414</v>
      </c>
      <c r="D7435" s="675"/>
      <c r="E7435" s="675"/>
      <c r="G7435" s="675"/>
      <c r="H7435" s="675"/>
      <c r="I7435" s="675"/>
      <c r="J7435" s="675"/>
      <c r="K7435" s="675"/>
      <c r="L7435" s="675"/>
      <c r="M7435" s="675"/>
    </row>
    <row r="7436" spans="1:13" x14ac:dyDescent="0.25">
      <c r="A7436" s="675" t="s">
        <v>7412</v>
      </c>
      <c r="B7436" s="675" t="s">
        <v>545</v>
      </c>
      <c r="C7436" s="676" t="s">
        <v>7415</v>
      </c>
      <c r="D7436" s="675"/>
      <c r="E7436" s="675"/>
      <c r="G7436" s="675"/>
      <c r="H7436" s="675"/>
      <c r="I7436" s="675"/>
      <c r="J7436" s="675"/>
      <c r="K7436" s="675"/>
      <c r="L7436" s="675"/>
      <c r="M7436" s="675"/>
    </row>
    <row r="7437" spans="1:13" x14ac:dyDescent="0.25">
      <c r="A7437" s="675" t="s">
        <v>7412</v>
      </c>
      <c r="B7437" s="675" t="s">
        <v>545</v>
      </c>
      <c r="C7437" s="676" t="s">
        <v>7416</v>
      </c>
      <c r="D7437" s="675"/>
      <c r="E7437" s="675"/>
      <c r="G7437" s="675"/>
      <c r="H7437" s="675"/>
      <c r="I7437" s="675"/>
      <c r="J7437" s="675"/>
      <c r="K7437" s="675"/>
      <c r="L7437" s="675"/>
      <c r="M7437" s="675"/>
    </row>
    <row r="7438" spans="1:13" x14ac:dyDescent="0.25">
      <c r="A7438" s="675" t="s">
        <v>7412</v>
      </c>
      <c r="B7438" s="675" t="s">
        <v>545</v>
      </c>
      <c r="C7438" s="676" t="s">
        <v>7417</v>
      </c>
      <c r="D7438" s="675"/>
      <c r="E7438" s="675"/>
      <c r="G7438" s="675"/>
      <c r="H7438" s="675"/>
      <c r="I7438" s="675"/>
      <c r="J7438" s="675"/>
      <c r="K7438" s="675"/>
      <c r="L7438" s="675"/>
      <c r="M7438" s="675"/>
    </row>
    <row r="7439" spans="1:13" x14ac:dyDescent="0.25">
      <c r="A7439" s="675" t="s">
        <v>7412</v>
      </c>
      <c r="B7439" s="675" t="s">
        <v>545</v>
      </c>
      <c r="C7439" s="676" t="s">
        <v>7418</v>
      </c>
      <c r="D7439" s="675"/>
      <c r="E7439" s="675"/>
      <c r="G7439" s="675"/>
      <c r="H7439" s="675"/>
      <c r="I7439" s="675"/>
      <c r="J7439" s="675"/>
      <c r="K7439" s="675"/>
      <c r="L7439" s="675"/>
      <c r="M7439" s="675"/>
    </row>
    <row r="7440" spans="1:13" x14ac:dyDescent="0.25">
      <c r="A7440" s="675" t="s">
        <v>7412</v>
      </c>
      <c r="B7440" s="675" t="s">
        <v>545</v>
      </c>
      <c r="C7440" s="676" t="s">
        <v>7419</v>
      </c>
      <c r="D7440" s="675"/>
      <c r="E7440" s="675"/>
      <c r="G7440" s="675"/>
      <c r="H7440" s="675"/>
      <c r="I7440" s="675"/>
      <c r="J7440" s="675"/>
      <c r="K7440" s="675"/>
      <c r="L7440" s="675"/>
      <c r="M7440" s="675"/>
    </row>
    <row r="7441" spans="1:13" x14ac:dyDescent="0.25">
      <c r="A7441" s="675" t="s">
        <v>7412</v>
      </c>
      <c r="B7441" s="675" t="s">
        <v>545</v>
      </c>
      <c r="C7441" s="676" t="s">
        <v>7420</v>
      </c>
      <c r="D7441" s="675"/>
      <c r="E7441" s="675"/>
      <c r="G7441" s="675"/>
      <c r="H7441" s="675"/>
      <c r="I7441" s="675"/>
      <c r="J7441" s="675"/>
      <c r="K7441" s="675"/>
      <c r="L7441" s="675"/>
      <c r="M7441" s="675"/>
    </row>
    <row r="7442" spans="1:13" x14ac:dyDescent="0.25">
      <c r="A7442" s="675" t="s">
        <v>7412</v>
      </c>
      <c r="B7442" s="675" t="s">
        <v>545</v>
      </c>
      <c r="C7442" s="676" t="s">
        <v>7421</v>
      </c>
      <c r="D7442" s="675"/>
      <c r="E7442" s="675"/>
      <c r="G7442" s="675"/>
      <c r="H7442" s="675"/>
      <c r="I7442" s="675"/>
      <c r="J7442" s="675"/>
      <c r="K7442" s="675"/>
      <c r="L7442" s="675"/>
      <c r="M7442" s="675"/>
    </row>
    <row r="7443" spans="1:13" x14ac:dyDescent="0.25">
      <c r="A7443" s="675" t="s">
        <v>7412</v>
      </c>
      <c r="B7443" s="675" t="s">
        <v>545</v>
      </c>
      <c r="C7443" s="676" t="s">
        <v>7422</v>
      </c>
      <c r="D7443" s="675"/>
      <c r="E7443" s="675"/>
      <c r="G7443" s="675"/>
      <c r="H7443" s="675"/>
      <c r="I7443" s="675"/>
      <c r="J7443" s="675"/>
      <c r="K7443" s="675"/>
      <c r="L7443" s="675"/>
      <c r="M7443" s="675"/>
    </row>
    <row r="7444" spans="1:13" x14ac:dyDescent="0.25">
      <c r="A7444" s="675" t="s">
        <v>7412</v>
      </c>
      <c r="B7444" s="675" t="s">
        <v>564</v>
      </c>
      <c r="C7444" s="676" t="s">
        <v>7423</v>
      </c>
      <c r="D7444" s="675"/>
      <c r="E7444" s="675"/>
      <c r="G7444" s="675"/>
      <c r="H7444" s="675"/>
      <c r="I7444" s="675"/>
      <c r="J7444" s="675"/>
      <c r="K7444" s="675"/>
      <c r="L7444" s="675"/>
      <c r="M7444" s="675"/>
    </row>
    <row r="7445" spans="1:13" x14ac:dyDescent="0.25">
      <c r="A7445" s="675" t="s">
        <v>7412</v>
      </c>
      <c r="B7445" s="675" t="s">
        <v>564</v>
      </c>
      <c r="C7445" s="676" t="s">
        <v>7424</v>
      </c>
      <c r="D7445" s="675"/>
      <c r="E7445" s="675"/>
      <c r="G7445" s="675"/>
      <c r="H7445" s="675"/>
      <c r="I7445" s="675"/>
      <c r="J7445" s="675"/>
      <c r="K7445" s="675"/>
      <c r="L7445" s="675"/>
      <c r="M7445" s="675"/>
    </row>
    <row r="7446" spans="1:13" x14ac:dyDescent="0.25">
      <c r="A7446" s="675" t="s">
        <v>7412</v>
      </c>
      <c r="B7446" s="675" t="s">
        <v>564</v>
      </c>
      <c r="C7446" s="676" t="s">
        <v>7425</v>
      </c>
      <c r="D7446" s="675"/>
      <c r="E7446" s="675"/>
      <c r="G7446" s="675"/>
      <c r="H7446" s="675"/>
      <c r="I7446" s="675"/>
      <c r="J7446" s="675"/>
      <c r="K7446" s="675"/>
      <c r="L7446" s="675"/>
      <c r="M7446" s="675"/>
    </row>
    <row r="7447" spans="1:13" x14ac:dyDescent="0.25">
      <c r="A7447" s="675" t="s">
        <v>7412</v>
      </c>
      <c r="B7447" s="675" t="s">
        <v>564</v>
      </c>
      <c r="C7447" s="676" t="s">
        <v>7426</v>
      </c>
      <c r="D7447" s="675"/>
      <c r="E7447" s="675"/>
      <c r="G7447" s="675"/>
      <c r="H7447" s="675"/>
      <c r="I7447" s="675"/>
      <c r="J7447" s="675"/>
      <c r="K7447" s="675"/>
      <c r="L7447" s="675"/>
      <c r="M7447" s="675"/>
    </row>
    <row r="7448" spans="1:13" x14ac:dyDescent="0.25">
      <c r="A7448" s="675" t="s">
        <v>7412</v>
      </c>
      <c r="B7448" s="675" t="s">
        <v>564</v>
      </c>
      <c r="C7448" s="676" t="s">
        <v>7427</v>
      </c>
      <c r="D7448" s="675"/>
      <c r="E7448" s="675"/>
      <c r="G7448" s="675"/>
      <c r="H7448" s="675"/>
      <c r="I7448" s="675"/>
      <c r="J7448" s="675"/>
      <c r="K7448" s="675"/>
      <c r="L7448" s="675"/>
      <c r="M7448" s="675"/>
    </row>
    <row r="7449" spans="1:13" x14ac:dyDescent="0.25">
      <c r="A7449" s="675" t="s">
        <v>7412</v>
      </c>
      <c r="B7449" s="675" t="s">
        <v>564</v>
      </c>
      <c r="C7449" s="676" t="s">
        <v>7428</v>
      </c>
      <c r="D7449" s="675"/>
      <c r="E7449" s="675"/>
      <c r="G7449" s="675"/>
      <c r="H7449" s="675"/>
      <c r="I7449" s="675"/>
      <c r="J7449" s="675"/>
      <c r="K7449" s="675"/>
      <c r="L7449" s="675"/>
      <c r="M7449" s="675"/>
    </row>
    <row r="7450" spans="1:13" x14ac:dyDescent="0.25">
      <c r="A7450" s="675" t="s">
        <v>7412</v>
      </c>
      <c r="B7450" s="675" t="s">
        <v>564</v>
      </c>
      <c r="C7450" s="676" t="s">
        <v>7429</v>
      </c>
      <c r="D7450" s="675"/>
      <c r="E7450" s="675"/>
      <c r="G7450" s="675"/>
      <c r="H7450" s="675"/>
      <c r="I7450" s="675"/>
      <c r="J7450" s="675"/>
      <c r="K7450" s="675"/>
      <c r="L7450" s="675"/>
      <c r="M7450" s="675"/>
    </row>
    <row r="7451" spans="1:13" x14ac:dyDescent="0.25">
      <c r="A7451" s="675" t="s">
        <v>7412</v>
      </c>
      <c r="B7451" s="675" t="s">
        <v>564</v>
      </c>
      <c r="C7451" s="676" t="s">
        <v>7430</v>
      </c>
      <c r="D7451" s="675"/>
      <c r="E7451" s="675"/>
      <c r="G7451" s="675"/>
      <c r="H7451" s="675"/>
      <c r="I7451" s="675"/>
      <c r="J7451" s="675"/>
      <c r="K7451" s="675"/>
      <c r="L7451" s="675"/>
      <c r="M7451" s="675"/>
    </row>
    <row r="7452" spans="1:13" x14ac:dyDescent="0.25">
      <c r="A7452" s="675" t="s">
        <v>7412</v>
      </c>
      <c r="B7452" s="675" t="s">
        <v>564</v>
      </c>
      <c r="C7452" s="676" t="s">
        <v>7431</v>
      </c>
      <c r="D7452" s="675"/>
      <c r="E7452" s="675"/>
      <c r="G7452" s="675"/>
      <c r="H7452" s="675"/>
      <c r="I7452" s="675"/>
      <c r="J7452" s="675"/>
      <c r="K7452" s="675"/>
      <c r="L7452" s="675"/>
      <c r="M7452" s="675"/>
    </row>
    <row r="7453" spans="1:13" x14ac:dyDescent="0.25">
      <c r="A7453" s="675" t="s">
        <v>7412</v>
      </c>
      <c r="B7453" s="675" t="s">
        <v>564</v>
      </c>
      <c r="C7453" s="676" t="s">
        <v>7432</v>
      </c>
      <c r="D7453" s="675"/>
      <c r="E7453" s="675"/>
      <c r="G7453" s="675"/>
      <c r="H7453" s="675"/>
      <c r="I7453" s="675"/>
      <c r="J7453" s="675"/>
      <c r="K7453" s="675"/>
      <c r="L7453" s="675"/>
      <c r="M7453" s="675"/>
    </row>
    <row r="7454" spans="1:13" x14ac:dyDescent="0.25">
      <c r="A7454" s="675" t="s">
        <v>7412</v>
      </c>
      <c r="B7454" s="675" t="s">
        <v>512</v>
      </c>
      <c r="C7454" s="676" t="s">
        <v>7433</v>
      </c>
      <c r="D7454" s="675"/>
      <c r="E7454" s="675"/>
      <c r="G7454" s="675"/>
      <c r="H7454" s="675"/>
      <c r="I7454" s="675"/>
      <c r="J7454" s="675"/>
      <c r="K7454" s="675"/>
      <c r="L7454" s="675"/>
      <c r="M7454" s="675"/>
    </row>
    <row r="7455" spans="1:13" x14ac:dyDescent="0.25">
      <c r="A7455" s="675" t="s">
        <v>7412</v>
      </c>
      <c r="B7455" s="675" t="s">
        <v>512</v>
      </c>
      <c r="C7455" s="676" t="s">
        <v>7434</v>
      </c>
      <c r="D7455" s="675"/>
      <c r="E7455" s="675"/>
      <c r="G7455" s="675"/>
      <c r="H7455" s="675"/>
      <c r="I7455" s="675"/>
      <c r="J7455" s="675"/>
      <c r="K7455" s="675"/>
      <c r="L7455" s="675"/>
      <c r="M7455" s="675"/>
    </row>
    <row r="7456" spans="1:13" x14ac:dyDescent="0.25">
      <c r="A7456" s="675" t="s">
        <v>7412</v>
      </c>
      <c r="B7456" s="675" t="s">
        <v>512</v>
      </c>
      <c r="C7456" s="676" t="s">
        <v>7435</v>
      </c>
      <c r="D7456" s="675"/>
      <c r="E7456" s="675"/>
      <c r="G7456" s="675"/>
      <c r="H7456" s="675"/>
      <c r="I7456" s="675"/>
      <c r="J7456" s="675"/>
      <c r="K7456" s="675"/>
      <c r="L7456" s="675"/>
      <c r="M7456" s="675"/>
    </row>
    <row r="7457" spans="1:13" x14ac:dyDescent="0.25">
      <c r="A7457" s="675" t="s">
        <v>7412</v>
      </c>
      <c r="B7457" s="675" t="s">
        <v>512</v>
      </c>
      <c r="C7457" s="676" t="s">
        <v>7436</v>
      </c>
      <c r="D7457" s="675"/>
      <c r="E7457" s="675"/>
      <c r="G7457" s="675"/>
      <c r="H7457" s="675"/>
      <c r="I7457" s="675"/>
      <c r="J7457" s="675"/>
      <c r="K7457" s="675"/>
      <c r="L7457" s="675"/>
      <c r="M7457" s="675"/>
    </row>
    <row r="7458" spans="1:13" x14ac:dyDescent="0.25">
      <c r="A7458" s="675" t="s">
        <v>7412</v>
      </c>
      <c r="B7458" s="675" t="s">
        <v>512</v>
      </c>
      <c r="C7458" s="676" t="s">
        <v>7437</v>
      </c>
      <c r="D7458" s="675"/>
      <c r="E7458" s="675"/>
      <c r="G7458" s="675"/>
      <c r="H7458" s="675"/>
      <c r="I7458" s="675"/>
      <c r="J7458" s="675"/>
      <c r="K7458" s="675"/>
      <c r="L7458" s="675"/>
      <c r="M7458" s="675"/>
    </row>
    <row r="7459" spans="1:13" x14ac:dyDescent="0.25">
      <c r="A7459" s="675" t="s">
        <v>7412</v>
      </c>
      <c r="B7459" s="675" t="s">
        <v>512</v>
      </c>
      <c r="C7459" s="676" t="s">
        <v>7438</v>
      </c>
      <c r="D7459" s="675"/>
      <c r="E7459" s="675"/>
      <c r="G7459" s="675"/>
      <c r="H7459" s="675"/>
      <c r="I7459" s="675"/>
      <c r="J7459" s="675"/>
      <c r="K7459" s="675"/>
      <c r="L7459" s="675"/>
      <c r="M7459" s="675"/>
    </row>
    <row r="7460" spans="1:13" x14ac:dyDescent="0.25">
      <c r="A7460" s="675" t="s">
        <v>7412</v>
      </c>
      <c r="B7460" s="675" t="s">
        <v>512</v>
      </c>
      <c r="C7460" s="676" t="s">
        <v>7439</v>
      </c>
      <c r="D7460" s="675"/>
      <c r="E7460" s="675"/>
      <c r="G7460" s="675"/>
      <c r="H7460" s="675"/>
      <c r="I7460" s="675"/>
      <c r="J7460" s="675"/>
      <c r="K7460" s="675"/>
      <c r="L7460" s="675"/>
      <c r="M7460" s="675"/>
    </row>
    <row r="7461" spans="1:13" x14ac:dyDescent="0.25">
      <c r="A7461" s="675" t="s">
        <v>7412</v>
      </c>
      <c r="B7461" s="675" t="s">
        <v>512</v>
      </c>
      <c r="C7461" s="676" t="s">
        <v>7440</v>
      </c>
      <c r="D7461" s="675"/>
      <c r="E7461" s="675"/>
      <c r="G7461" s="675"/>
      <c r="H7461" s="675"/>
      <c r="I7461" s="675"/>
      <c r="J7461" s="675"/>
      <c r="K7461" s="675"/>
      <c r="L7461" s="675"/>
      <c r="M7461" s="675"/>
    </row>
    <row r="7462" spans="1:13" x14ac:dyDescent="0.25">
      <c r="A7462" s="675" t="s">
        <v>7412</v>
      </c>
      <c r="B7462" s="675" t="s">
        <v>512</v>
      </c>
      <c r="C7462" s="676" t="s">
        <v>7441</v>
      </c>
      <c r="D7462" s="675"/>
      <c r="E7462" s="675"/>
      <c r="G7462" s="675"/>
      <c r="H7462" s="675"/>
      <c r="I7462" s="675"/>
      <c r="J7462" s="675"/>
      <c r="K7462" s="675"/>
      <c r="L7462" s="675"/>
      <c r="M7462" s="675"/>
    </row>
    <row r="7463" spans="1:13" x14ac:dyDescent="0.25">
      <c r="A7463" s="675" t="s">
        <v>7412</v>
      </c>
      <c r="B7463" s="675" t="s">
        <v>512</v>
      </c>
      <c r="C7463" s="676" t="s">
        <v>7442</v>
      </c>
      <c r="D7463" s="675"/>
      <c r="E7463" s="675"/>
      <c r="G7463" s="675"/>
      <c r="H7463" s="675"/>
      <c r="I7463" s="675"/>
      <c r="J7463" s="675"/>
      <c r="K7463" s="675"/>
      <c r="L7463" s="675"/>
      <c r="M7463" s="675"/>
    </row>
    <row r="7464" spans="1:13" x14ac:dyDescent="0.25">
      <c r="A7464" s="675" t="s">
        <v>7443</v>
      </c>
      <c r="B7464" s="675" t="s">
        <v>545</v>
      </c>
      <c r="C7464" s="676" t="s">
        <v>7444</v>
      </c>
      <c r="D7464" s="675"/>
      <c r="E7464" s="675"/>
      <c r="G7464" s="675"/>
      <c r="H7464" s="675"/>
      <c r="I7464" s="675"/>
      <c r="J7464" s="675"/>
      <c r="K7464" s="675"/>
      <c r="L7464" s="675"/>
      <c r="M7464" s="675"/>
    </row>
    <row r="7465" spans="1:13" x14ac:dyDescent="0.25">
      <c r="A7465" s="675" t="s">
        <v>7443</v>
      </c>
      <c r="B7465" s="675" t="s">
        <v>545</v>
      </c>
      <c r="C7465" s="676" t="s">
        <v>7445</v>
      </c>
      <c r="D7465" s="675"/>
      <c r="E7465" s="675"/>
      <c r="G7465" s="675"/>
      <c r="H7465" s="675"/>
      <c r="I7465" s="675"/>
      <c r="J7465" s="675"/>
      <c r="K7465" s="675"/>
      <c r="L7465" s="675"/>
      <c r="M7465" s="675"/>
    </row>
    <row r="7466" spans="1:13" x14ac:dyDescent="0.25">
      <c r="A7466" s="675" t="s">
        <v>7443</v>
      </c>
      <c r="B7466" s="675" t="s">
        <v>545</v>
      </c>
      <c r="C7466" s="676" t="s">
        <v>7446</v>
      </c>
      <c r="D7466" s="675"/>
      <c r="E7466" s="675"/>
      <c r="G7466" s="675"/>
      <c r="H7466" s="675"/>
      <c r="I7466" s="675"/>
      <c r="J7466" s="675"/>
      <c r="K7466" s="675"/>
      <c r="L7466" s="675"/>
      <c r="M7466" s="675"/>
    </row>
    <row r="7467" spans="1:13" x14ac:dyDescent="0.25">
      <c r="A7467" s="675" t="s">
        <v>7443</v>
      </c>
      <c r="B7467" s="675" t="s">
        <v>545</v>
      </c>
      <c r="C7467" s="676" t="s">
        <v>7447</v>
      </c>
      <c r="D7467" s="675"/>
      <c r="E7467" s="675"/>
      <c r="G7467" s="675"/>
      <c r="H7467" s="675"/>
      <c r="I7467" s="675"/>
      <c r="J7467" s="675"/>
      <c r="K7467" s="675"/>
      <c r="L7467" s="675"/>
      <c r="M7467" s="675"/>
    </row>
    <row r="7468" spans="1:13" x14ac:dyDescent="0.25">
      <c r="A7468" s="675" t="s">
        <v>7443</v>
      </c>
      <c r="B7468" s="675" t="s">
        <v>545</v>
      </c>
      <c r="C7468" s="676" t="s">
        <v>7448</v>
      </c>
      <c r="D7468" s="675"/>
      <c r="E7468" s="675"/>
      <c r="G7468" s="675"/>
      <c r="H7468" s="675"/>
      <c r="I7468" s="675"/>
      <c r="J7468" s="675"/>
      <c r="K7468" s="675"/>
      <c r="L7468" s="675"/>
      <c r="M7468" s="675"/>
    </row>
    <row r="7469" spans="1:13" x14ac:dyDescent="0.25">
      <c r="A7469" s="675" t="s">
        <v>7443</v>
      </c>
      <c r="B7469" s="675" t="s">
        <v>545</v>
      </c>
      <c r="C7469" s="676" t="s">
        <v>7449</v>
      </c>
      <c r="D7469" s="675"/>
      <c r="E7469" s="675"/>
      <c r="G7469" s="675"/>
      <c r="H7469" s="675"/>
      <c r="I7469" s="675"/>
      <c r="J7469" s="675"/>
      <c r="K7469" s="675"/>
      <c r="L7469" s="675"/>
      <c r="M7469" s="675"/>
    </row>
    <row r="7470" spans="1:13" x14ac:dyDescent="0.25">
      <c r="A7470" s="675" t="s">
        <v>7443</v>
      </c>
      <c r="B7470" s="675" t="s">
        <v>545</v>
      </c>
      <c r="C7470" s="676" t="s">
        <v>7450</v>
      </c>
      <c r="D7470" s="675"/>
      <c r="E7470" s="675"/>
      <c r="G7470" s="675"/>
      <c r="H7470" s="675"/>
      <c r="I7470" s="675"/>
      <c r="J7470" s="675"/>
      <c r="K7470" s="675"/>
      <c r="L7470" s="675"/>
      <c r="M7470" s="675"/>
    </row>
    <row r="7471" spans="1:13" x14ac:dyDescent="0.25">
      <c r="A7471" s="675" t="s">
        <v>7443</v>
      </c>
      <c r="B7471" s="675" t="s">
        <v>545</v>
      </c>
      <c r="C7471" s="676" t="s">
        <v>7451</v>
      </c>
      <c r="D7471" s="675"/>
      <c r="E7471" s="675"/>
      <c r="G7471" s="675"/>
      <c r="H7471" s="675"/>
      <c r="I7471" s="675"/>
      <c r="J7471" s="675"/>
      <c r="K7471" s="675"/>
      <c r="L7471" s="675"/>
      <c r="M7471" s="675"/>
    </row>
    <row r="7472" spans="1:13" x14ac:dyDescent="0.25">
      <c r="A7472" s="675" t="s">
        <v>7443</v>
      </c>
      <c r="B7472" s="675" t="s">
        <v>545</v>
      </c>
      <c r="C7472" s="676" t="s">
        <v>7452</v>
      </c>
      <c r="D7472" s="675"/>
      <c r="E7472" s="675"/>
      <c r="G7472" s="675"/>
      <c r="H7472" s="675"/>
      <c r="I7472" s="675"/>
      <c r="J7472" s="675"/>
      <c r="K7472" s="675"/>
      <c r="L7472" s="675"/>
      <c r="M7472" s="675"/>
    </row>
    <row r="7473" spans="1:13" x14ac:dyDescent="0.25">
      <c r="A7473" s="675" t="s">
        <v>7443</v>
      </c>
      <c r="B7473" s="675" t="s">
        <v>545</v>
      </c>
      <c r="C7473" s="676" t="s">
        <v>7453</v>
      </c>
      <c r="D7473" s="675"/>
      <c r="E7473" s="675"/>
      <c r="G7473" s="675"/>
      <c r="H7473" s="675"/>
      <c r="I7473" s="675"/>
      <c r="J7473" s="675"/>
      <c r="K7473" s="675"/>
      <c r="L7473" s="675"/>
      <c r="M7473" s="675"/>
    </row>
    <row r="7474" spans="1:13" x14ac:dyDescent="0.25">
      <c r="A7474" s="675" t="s">
        <v>7443</v>
      </c>
      <c r="B7474" s="675" t="s">
        <v>564</v>
      </c>
      <c r="C7474" s="676" t="s">
        <v>7454</v>
      </c>
      <c r="D7474" s="675"/>
      <c r="E7474" s="675"/>
      <c r="G7474" s="675"/>
      <c r="H7474" s="675"/>
      <c r="I7474" s="675"/>
      <c r="J7474" s="675"/>
      <c r="K7474" s="675"/>
      <c r="L7474" s="675"/>
      <c r="M7474" s="675"/>
    </row>
    <row r="7475" spans="1:13" x14ac:dyDescent="0.25">
      <c r="A7475" s="675" t="s">
        <v>7443</v>
      </c>
      <c r="B7475" s="675" t="s">
        <v>564</v>
      </c>
      <c r="C7475" s="676" t="s">
        <v>7455</v>
      </c>
      <c r="D7475" s="675"/>
      <c r="E7475" s="675"/>
      <c r="G7475" s="675"/>
      <c r="H7475" s="675"/>
      <c r="I7475" s="675"/>
      <c r="J7475" s="675"/>
      <c r="K7475" s="675"/>
      <c r="L7475" s="675"/>
      <c r="M7475" s="675"/>
    </row>
    <row r="7476" spans="1:13" x14ac:dyDescent="0.25">
      <c r="A7476" s="675" t="s">
        <v>7443</v>
      </c>
      <c r="B7476" s="675" t="s">
        <v>564</v>
      </c>
      <c r="C7476" s="676" t="s">
        <v>7456</v>
      </c>
      <c r="D7476" s="675"/>
      <c r="E7476" s="675"/>
      <c r="G7476" s="675"/>
      <c r="H7476" s="675"/>
      <c r="I7476" s="675"/>
      <c r="J7476" s="675"/>
      <c r="K7476" s="675"/>
      <c r="L7476" s="675"/>
      <c r="M7476" s="675"/>
    </row>
    <row r="7477" spans="1:13" x14ac:dyDescent="0.25">
      <c r="A7477" s="675" t="s">
        <v>7443</v>
      </c>
      <c r="B7477" s="675" t="s">
        <v>564</v>
      </c>
      <c r="C7477" s="676" t="s">
        <v>7457</v>
      </c>
      <c r="D7477" s="675"/>
      <c r="E7477" s="675"/>
      <c r="G7477" s="675"/>
      <c r="H7477" s="675"/>
      <c r="I7477" s="675"/>
      <c r="J7477" s="675"/>
      <c r="K7477" s="675"/>
      <c r="L7477" s="675"/>
      <c r="M7477" s="675"/>
    </row>
    <row r="7478" spans="1:13" x14ac:dyDescent="0.25">
      <c r="A7478" s="675" t="s">
        <v>7443</v>
      </c>
      <c r="B7478" s="675" t="s">
        <v>564</v>
      </c>
      <c r="C7478" s="676" t="s">
        <v>7458</v>
      </c>
      <c r="D7478" s="675"/>
      <c r="E7478" s="675"/>
      <c r="G7478" s="675"/>
      <c r="H7478" s="675"/>
      <c r="I7478" s="675"/>
      <c r="J7478" s="675"/>
      <c r="K7478" s="675"/>
      <c r="L7478" s="675"/>
      <c r="M7478" s="675"/>
    </row>
    <row r="7479" spans="1:13" x14ac:dyDescent="0.25">
      <c r="A7479" s="675" t="s">
        <v>7443</v>
      </c>
      <c r="B7479" s="675" t="s">
        <v>564</v>
      </c>
      <c r="C7479" s="676" t="s">
        <v>7459</v>
      </c>
      <c r="D7479" s="675"/>
      <c r="E7479" s="675"/>
      <c r="G7479" s="675"/>
      <c r="H7479" s="675"/>
      <c r="I7479" s="675"/>
      <c r="J7479" s="675"/>
      <c r="K7479" s="675"/>
      <c r="L7479" s="675"/>
      <c r="M7479" s="675"/>
    </row>
    <row r="7480" spans="1:13" x14ac:dyDescent="0.25">
      <c r="A7480" s="675" t="s">
        <v>7443</v>
      </c>
      <c r="B7480" s="675" t="s">
        <v>564</v>
      </c>
      <c r="C7480" s="676" t="s">
        <v>7460</v>
      </c>
      <c r="D7480" s="675"/>
      <c r="E7480" s="675"/>
      <c r="G7480" s="675"/>
      <c r="H7480" s="675"/>
      <c r="I7480" s="675"/>
      <c r="J7480" s="675"/>
      <c r="K7480" s="675"/>
      <c r="L7480" s="675"/>
      <c r="M7480" s="675"/>
    </row>
    <row r="7481" spans="1:13" x14ac:dyDescent="0.25">
      <c r="A7481" s="675" t="s">
        <v>7443</v>
      </c>
      <c r="B7481" s="675" t="s">
        <v>564</v>
      </c>
      <c r="C7481" s="676" t="s">
        <v>7461</v>
      </c>
      <c r="D7481" s="675"/>
      <c r="E7481" s="675"/>
      <c r="G7481" s="675"/>
      <c r="H7481" s="675"/>
      <c r="I7481" s="675"/>
      <c r="J7481" s="675"/>
      <c r="K7481" s="675"/>
      <c r="L7481" s="675"/>
      <c r="M7481" s="675"/>
    </row>
    <row r="7482" spans="1:13" x14ac:dyDescent="0.25">
      <c r="A7482" s="675" t="s">
        <v>7443</v>
      </c>
      <c r="B7482" s="675" t="s">
        <v>564</v>
      </c>
      <c r="C7482" s="676" t="s">
        <v>7462</v>
      </c>
      <c r="D7482" s="675"/>
      <c r="E7482" s="675"/>
      <c r="G7482" s="675"/>
      <c r="H7482" s="675"/>
      <c r="I7482" s="675"/>
      <c r="J7482" s="675"/>
      <c r="K7482" s="675"/>
      <c r="L7482" s="675"/>
      <c r="M7482" s="675"/>
    </row>
    <row r="7483" spans="1:13" x14ac:dyDescent="0.25">
      <c r="A7483" s="675" t="s">
        <v>7443</v>
      </c>
      <c r="B7483" s="675" t="s">
        <v>564</v>
      </c>
      <c r="C7483" s="676" t="s">
        <v>7463</v>
      </c>
      <c r="D7483" s="675"/>
      <c r="E7483" s="675"/>
      <c r="G7483" s="675"/>
      <c r="H7483" s="675"/>
      <c r="I7483" s="675"/>
      <c r="J7483" s="675"/>
      <c r="K7483" s="675"/>
      <c r="L7483" s="675"/>
      <c r="M7483" s="675"/>
    </row>
    <row r="7484" spans="1:13" x14ac:dyDescent="0.25">
      <c r="A7484" s="675" t="s">
        <v>7443</v>
      </c>
      <c r="B7484" s="675" t="s">
        <v>512</v>
      </c>
      <c r="C7484" s="676" t="s">
        <v>7464</v>
      </c>
      <c r="D7484" s="675"/>
      <c r="E7484" s="675"/>
      <c r="G7484" s="675"/>
      <c r="H7484" s="675"/>
      <c r="I7484" s="675"/>
      <c r="J7484" s="675"/>
      <c r="K7484" s="675"/>
      <c r="L7484" s="675"/>
      <c r="M7484" s="675"/>
    </row>
    <row r="7485" spans="1:13" x14ac:dyDescent="0.25">
      <c r="A7485" s="675" t="s">
        <v>7443</v>
      </c>
      <c r="B7485" s="675" t="s">
        <v>512</v>
      </c>
      <c r="C7485" s="676" t="s">
        <v>7465</v>
      </c>
      <c r="D7485" s="675"/>
      <c r="E7485" s="675"/>
      <c r="G7485" s="675"/>
      <c r="H7485" s="675"/>
      <c r="I7485" s="675"/>
      <c r="J7485" s="675"/>
      <c r="K7485" s="675"/>
      <c r="L7485" s="675"/>
      <c r="M7485" s="675"/>
    </row>
    <row r="7486" spans="1:13" x14ac:dyDescent="0.25">
      <c r="A7486" s="675" t="s">
        <v>7443</v>
      </c>
      <c r="B7486" s="675" t="s">
        <v>512</v>
      </c>
      <c r="C7486" s="676" t="s">
        <v>7466</v>
      </c>
      <c r="D7486" s="675"/>
      <c r="E7486" s="675"/>
      <c r="G7486" s="675"/>
      <c r="H7486" s="675"/>
      <c r="I7486" s="675"/>
      <c r="J7486" s="675"/>
      <c r="K7486" s="675"/>
      <c r="L7486" s="675"/>
      <c r="M7486" s="675"/>
    </row>
    <row r="7487" spans="1:13" x14ac:dyDescent="0.25">
      <c r="A7487" s="675" t="s">
        <v>7443</v>
      </c>
      <c r="B7487" s="675" t="s">
        <v>512</v>
      </c>
      <c r="C7487" s="676" t="s">
        <v>7467</v>
      </c>
      <c r="D7487" s="675"/>
      <c r="E7487" s="675"/>
      <c r="G7487" s="675"/>
      <c r="H7487" s="675"/>
      <c r="I7487" s="675"/>
      <c r="J7487" s="675"/>
      <c r="K7487" s="675"/>
      <c r="L7487" s="675"/>
      <c r="M7487" s="675"/>
    </row>
    <row r="7488" spans="1:13" x14ac:dyDescent="0.25">
      <c r="A7488" s="675" t="s">
        <v>7443</v>
      </c>
      <c r="B7488" s="675" t="s">
        <v>512</v>
      </c>
      <c r="C7488" s="676" t="s">
        <v>7468</v>
      </c>
      <c r="D7488" s="675"/>
      <c r="E7488" s="675"/>
      <c r="G7488" s="675"/>
      <c r="H7488" s="675"/>
      <c r="I7488" s="675"/>
      <c r="J7488" s="675"/>
      <c r="K7488" s="675"/>
      <c r="L7488" s="675"/>
      <c r="M7488" s="675"/>
    </row>
    <row r="7489" spans="1:13" x14ac:dyDescent="0.25">
      <c r="A7489" s="675" t="s">
        <v>7443</v>
      </c>
      <c r="B7489" s="675" t="s">
        <v>512</v>
      </c>
      <c r="C7489" s="676" t="s">
        <v>7469</v>
      </c>
      <c r="D7489" s="675"/>
      <c r="E7489" s="675"/>
      <c r="G7489" s="675"/>
      <c r="H7489" s="675"/>
      <c r="I7489" s="675"/>
      <c r="J7489" s="675"/>
      <c r="K7489" s="675"/>
      <c r="L7489" s="675"/>
      <c r="M7489" s="675"/>
    </row>
    <row r="7490" spans="1:13" x14ac:dyDescent="0.25">
      <c r="A7490" s="675" t="s">
        <v>7443</v>
      </c>
      <c r="B7490" s="675" t="s">
        <v>512</v>
      </c>
      <c r="C7490" s="676" t="s">
        <v>7470</v>
      </c>
      <c r="D7490" s="675"/>
      <c r="E7490" s="675"/>
      <c r="G7490" s="675"/>
      <c r="H7490" s="675"/>
      <c r="I7490" s="675"/>
      <c r="J7490" s="675"/>
      <c r="K7490" s="675"/>
      <c r="L7490" s="675"/>
      <c r="M7490" s="675"/>
    </row>
    <row r="7491" spans="1:13" x14ac:dyDescent="0.25">
      <c r="A7491" s="675" t="s">
        <v>7443</v>
      </c>
      <c r="B7491" s="675" t="s">
        <v>512</v>
      </c>
      <c r="C7491" s="676" t="s">
        <v>7471</v>
      </c>
      <c r="D7491" s="675"/>
      <c r="E7491" s="675"/>
      <c r="G7491" s="675"/>
      <c r="H7491" s="675"/>
      <c r="I7491" s="675"/>
      <c r="J7491" s="675"/>
      <c r="K7491" s="675"/>
      <c r="L7491" s="675"/>
      <c r="M7491" s="675"/>
    </row>
    <row r="7492" spans="1:13" x14ac:dyDescent="0.25">
      <c r="A7492" s="675" t="s">
        <v>7443</v>
      </c>
      <c r="B7492" s="675" t="s">
        <v>512</v>
      </c>
      <c r="C7492" s="676" t="s">
        <v>7472</v>
      </c>
      <c r="D7492" s="675"/>
      <c r="E7492" s="675"/>
      <c r="G7492" s="675"/>
      <c r="H7492" s="675"/>
      <c r="I7492" s="675"/>
      <c r="J7492" s="675"/>
      <c r="K7492" s="675"/>
      <c r="L7492" s="675"/>
      <c r="M7492" s="675"/>
    </row>
    <row r="7493" spans="1:13" x14ac:dyDescent="0.25">
      <c r="A7493" s="675" t="s">
        <v>7443</v>
      </c>
      <c r="B7493" s="675" t="s">
        <v>512</v>
      </c>
      <c r="C7493" s="676" t="s">
        <v>7473</v>
      </c>
      <c r="D7493" s="675"/>
      <c r="E7493" s="675"/>
      <c r="G7493" s="675"/>
      <c r="H7493" s="675"/>
      <c r="I7493" s="675"/>
      <c r="J7493" s="675"/>
      <c r="K7493" s="675"/>
      <c r="L7493" s="675"/>
      <c r="M7493" s="675"/>
    </row>
    <row r="7494" spans="1:13" x14ac:dyDescent="0.25">
      <c r="A7494" s="675" t="s">
        <v>7474</v>
      </c>
      <c r="B7494" s="675" t="s">
        <v>545</v>
      </c>
      <c r="C7494" s="676" t="s">
        <v>7475</v>
      </c>
      <c r="D7494" s="675"/>
      <c r="E7494" s="675"/>
      <c r="G7494" s="675"/>
      <c r="H7494" s="675"/>
      <c r="I7494" s="675"/>
      <c r="J7494" s="675"/>
      <c r="K7494" s="675"/>
      <c r="L7494" s="675"/>
      <c r="M7494" s="675"/>
    </row>
    <row r="7495" spans="1:13" x14ac:dyDescent="0.25">
      <c r="A7495" s="675" t="s">
        <v>7474</v>
      </c>
      <c r="B7495" s="675" t="s">
        <v>545</v>
      </c>
      <c r="C7495" s="676" t="s">
        <v>7476</v>
      </c>
      <c r="D7495" s="675"/>
      <c r="E7495" s="675"/>
      <c r="G7495" s="675"/>
      <c r="H7495" s="675"/>
      <c r="I7495" s="675"/>
      <c r="J7495" s="675"/>
      <c r="K7495" s="675"/>
      <c r="L7495" s="675"/>
      <c r="M7495" s="675"/>
    </row>
    <row r="7496" spans="1:13" x14ac:dyDescent="0.25">
      <c r="A7496" s="675" t="s">
        <v>7474</v>
      </c>
      <c r="B7496" s="675" t="s">
        <v>545</v>
      </c>
      <c r="C7496" s="676" t="s">
        <v>7477</v>
      </c>
      <c r="D7496" s="675"/>
      <c r="E7496" s="675"/>
      <c r="G7496" s="675"/>
      <c r="H7496" s="675"/>
      <c r="I7496" s="675"/>
      <c r="J7496" s="675"/>
      <c r="K7496" s="675"/>
      <c r="L7496" s="675"/>
      <c r="M7496" s="675"/>
    </row>
    <row r="7497" spans="1:13" x14ac:dyDescent="0.25">
      <c r="A7497" s="675" t="s">
        <v>7474</v>
      </c>
      <c r="B7497" s="675" t="s">
        <v>545</v>
      </c>
      <c r="C7497" s="676" t="s">
        <v>7478</v>
      </c>
      <c r="D7497" s="675"/>
      <c r="E7497" s="675"/>
      <c r="G7497" s="675"/>
      <c r="H7497" s="675"/>
      <c r="I7497" s="675"/>
      <c r="J7497" s="675"/>
      <c r="K7497" s="675"/>
      <c r="L7497" s="675"/>
      <c r="M7497" s="675"/>
    </row>
    <row r="7498" spans="1:13" x14ac:dyDescent="0.25">
      <c r="A7498" s="675" t="s">
        <v>7474</v>
      </c>
      <c r="B7498" s="675" t="s">
        <v>545</v>
      </c>
      <c r="C7498" s="676" t="s">
        <v>7479</v>
      </c>
      <c r="D7498" s="675"/>
      <c r="E7498" s="675"/>
      <c r="G7498" s="675"/>
      <c r="H7498" s="675"/>
      <c r="I7498" s="675"/>
      <c r="J7498" s="675"/>
      <c r="K7498" s="675"/>
      <c r="L7498" s="675"/>
      <c r="M7498" s="675"/>
    </row>
    <row r="7499" spans="1:13" x14ac:dyDescent="0.25">
      <c r="A7499" s="675" t="s">
        <v>7474</v>
      </c>
      <c r="B7499" s="675" t="s">
        <v>545</v>
      </c>
      <c r="C7499" s="676" t="s">
        <v>7480</v>
      </c>
      <c r="D7499" s="675"/>
      <c r="E7499" s="675"/>
      <c r="G7499" s="675"/>
      <c r="H7499" s="675"/>
      <c r="I7499" s="675"/>
      <c r="J7499" s="675"/>
      <c r="K7499" s="675"/>
      <c r="L7499" s="675"/>
      <c r="M7499" s="675"/>
    </row>
    <row r="7500" spans="1:13" x14ac:dyDescent="0.25">
      <c r="A7500" s="675" t="s">
        <v>7474</v>
      </c>
      <c r="B7500" s="675" t="s">
        <v>545</v>
      </c>
      <c r="C7500" s="676" t="s">
        <v>7481</v>
      </c>
      <c r="D7500" s="675"/>
      <c r="E7500" s="675"/>
      <c r="G7500" s="675"/>
      <c r="H7500" s="675"/>
      <c r="I7500" s="675"/>
      <c r="J7500" s="675"/>
      <c r="K7500" s="675"/>
      <c r="L7500" s="675"/>
      <c r="M7500" s="675"/>
    </row>
    <row r="7501" spans="1:13" ht="30" x14ac:dyDescent="0.25">
      <c r="A7501" s="675" t="s">
        <v>7474</v>
      </c>
      <c r="B7501" s="675" t="s">
        <v>545</v>
      </c>
      <c r="C7501" s="676" t="s">
        <v>7482</v>
      </c>
      <c r="D7501" s="675"/>
      <c r="E7501" s="675"/>
      <c r="G7501" s="675"/>
      <c r="H7501" s="675"/>
      <c r="I7501" s="675"/>
      <c r="J7501" s="675"/>
      <c r="K7501" s="675"/>
      <c r="L7501" s="675"/>
      <c r="M7501" s="675"/>
    </row>
    <row r="7502" spans="1:13" x14ac:dyDescent="0.25">
      <c r="A7502" s="675" t="s">
        <v>7474</v>
      </c>
      <c r="B7502" s="675" t="s">
        <v>545</v>
      </c>
      <c r="C7502" s="676" t="s">
        <v>7483</v>
      </c>
      <c r="D7502" s="675"/>
      <c r="E7502" s="675"/>
      <c r="G7502" s="675"/>
      <c r="H7502" s="675"/>
      <c r="I7502" s="675"/>
      <c r="J7502" s="675"/>
      <c r="K7502" s="675"/>
      <c r="L7502" s="675"/>
      <c r="M7502" s="675"/>
    </row>
    <row r="7503" spans="1:13" x14ac:dyDescent="0.25">
      <c r="A7503" s="675" t="s">
        <v>7474</v>
      </c>
      <c r="B7503" s="675" t="s">
        <v>545</v>
      </c>
      <c r="C7503" s="676" t="s">
        <v>7484</v>
      </c>
      <c r="D7503" s="675"/>
      <c r="E7503" s="675"/>
      <c r="G7503" s="675"/>
      <c r="H7503" s="675"/>
      <c r="I7503" s="675"/>
      <c r="J7503" s="675"/>
      <c r="K7503" s="675"/>
      <c r="L7503" s="675"/>
      <c r="M7503" s="675"/>
    </row>
    <row r="7504" spans="1:13" x14ac:dyDescent="0.25">
      <c r="A7504" s="675" t="s">
        <v>7474</v>
      </c>
      <c r="B7504" s="675" t="s">
        <v>564</v>
      </c>
      <c r="C7504" s="676" t="s">
        <v>7485</v>
      </c>
      <c r="D7504" s="675"/>
      <c r="E7504" s="675"/>
      <c r="G7504" s="675"/>
      <c r="H7504" s="675"/>
      <c r="I7504" s="675"/>
      <c r="J7504" s="675"/>
      <c r="K7504" s="675"/>
      <c r="L7504" s="675"/>
      <c r="M7504" s="675"/>
    </row>
    <row r="7505" spans="1:13" x14ac:dyDescent="0.25">
      <c r="A7505" s="675" t="s">
        <v>7474</v>
      </c>
      <c r="B7505" s="675" t="s">
        <v>564</v>
      </c>
      <c r="C7505" s="676" t="s">
        <v>7486</v>
      </c>
      <c r="D7505" s="675"/>
      <c r="E7505" s="675"/>
      <c r="G7505" s="675"/>
      <c r="H7505" s="675"/>
      <c r="I7505" s="675"/>
      <c r="J7505" s="675"/>
      <c r="K7505" s="675"/>
      <c r="L7505" s="675"/>
      <c r="M7505" s="675"/>
    </row>
    <row r="7506" spans="1:13" x14ac:dyDescent="0.25">
      <c r="A7506" s="675" t="s">
        <v>7474</v>
      </c>
      <c r="B7506" s="675" t="s">
        <v>564</v>
      </c>
      <c r="C7506" s="676" t="s">
        <v>7487</v>
      </c>
      <c r="D7506" s="675"/>
      <c r="E7506" s="675"/>
      <c r="G7506" s="675"/>
      <c r="H7506" s="675"/>
      <c r="I7506" s="675"/>
      <c r="J7506" s="675"/>
      <c r="K7506" s="675"/>
      <c r="L7506" s="675"/>
      <c r="M7506" s="675"/>
    </row>
    <row r="7507" spans="1:13" x14ac:dyDescent="0.25">
      <c r="A7507" s="675" t="s">
        <v>7474</v>
      </c>
      <c r="B7507" s="675" t="s">
        <v>564</v>
      </c>
      <c r="C7507" s="676" t="s">
        <v>7488</v>
      </c>
      <c r="D7507" s="675"/>
      <c r="E7507" s="675"/>
      <c r="G7507" s="675"/>
      <c r="H7507" s="675"/>
      <c r="I7507" s="675"/>
      <c r="J7507" s="675"/>
      <c r="K7507" s="675"/>
      <c r="L7507" s="675"/>
      <c r="M7507" s="675"/>
    </row>
    <row r="7508" spans="1:13" x14ac:dyDescent="0.25">
      <c r="A7508" s="675" t="s">
        <v>7474</v>
      </c>
      <c r="B7508" s="675" t="s">
        <v>564</v>
      </c>
      <c r="C7508" s="676" t="s">
        <v>7489</v>
      </c>
      <c r="D7508" s="675"/>
      <c r="E7508" s="675"/>
      <c r="G7508" s="675"/>
      <c r="H7508" s="675"/>
      <c r="I7508" s="675"/>
      <c r="J7508" s="675"/>
      <c r="K7508" s="675"/>
      <c r="L7508" s="675"/>
      <c r="M7508" s="675"/>
    </row>
    <row r="7509" spans="1:13" x14ac:dyDescent="0.25">
      <c r="A7509" s="675" t="s">
        <v>7474</v>
      </c>
      <c r="B7509" s="675" t="s">
        <v>564</v>
      </c>
      <c r="C7509" s="676" t="s">
        <v>7490</v>
      </c>
      <c r="D7509" s="675"/>
      <c r="E7509" s="675"/>
      <c r="G7509" s="675"/>
      <c r="H7509" s="675"/>
      <c r="I7509" s="675"/>
      <c r="J7509" s="675"/>
      <c r="K7509" s="675"/>
      <c r="L7509" s="675"/>
      <c r="M7509" s="675"/>
    </row>
    <row r="7510" spans="1:13" x14ac:dyDescent="0.25">
      <c r="A7510" s="675" t="s">
        <v>7474</v>
      </c>
      <c r="B7510" s="675" t="s">
        <v>564</v>
      </c>
      <c r="C7510" s="676" t="s">
        <v>7491</v>
      </c>
      <c r="D7510" s="675"/>
      <c r="E7510" s="675"/>
      <c r="G7510" s="675"/>
      <c r="H7510" s="675"/>
      <c r="I7510" s="675"/>
      <c r="J7510" s="675"/>
      <c r="K7510" s="675"/>
      <c r="L7510" s="675"/>
      <c r="M7510" s="675"/>
    </row>
    <row r="7511" spans="1:13" x14ac:dyDescent="0.25">
      <c r="A7511" s="675" t="s">
        <v>7474</v>
      </c>
      <c r="B7511" s="675" t="s">
        <v>564</v>
      </c>
      <c r="C7511" s="676" t="s">
        <v>7492</v>
      </c>
      <c r="D7511" s="675"/>
      <c r="E7511" s="675"/>
      <c r="G7511" s="675"/>
      <c r="H7511" s="675"/>
      <c r="I7511" s="675"/>
      <c r="J7511" s="675"/>
      <c r="K7511" s="675"/>
      <c r="L7511" s="675"/>
      <c r="M7511" s="675"/>
    </row>
    <row r="7512" spans="1:13" x14ac:dyDescent="0.25">
      <c r="A7512" s="675" t="s">
        <v>7474</v>
      </c>
      <c r="B7512" s="675" t="s">
        <v>564</v>
      </c>
      <c r="C7512" s="676" t="s">
        <v>7493</v>
      </c>
      <c r="D7512" s="675"/>
      <c r="E7512" s="675"/>
      <c r="G7512" s="675"/>
      <c r="H7512" s="675"/>
      <c r="I7512" s="675"/>
      <c r="J7512" s="675"/>
      <c r="K7512" s="675"/>
      <c r="L7512" s="675"/>
      <c r="M7512" s="675"/>
    </row>
    <row r="7513" spans="1:13" x14ac:dyDescent="0.25">
      <c r="A7513" s="675" t="s">
        <v>7474</v>
      </c>
      <c r="B7513" s="675" t="s">
        <v>564</v>
      </c>
      <c r="C7513" s="676" t="s">
        <v>7494</v>
      </c>
      <c r="D7513" s="675"/>
      <c r="E7513" s="675"/>
      <c r="G7513" s="675"/>
      <c r="H7513" s="675"/>
      <c r="I7513" s="675"/>
      <c r="J7513" s="675"/>
      <c r="K7513" s="675"/>
      <c r="L7513" s="675"/>
      <c r="M7513" s="675"/>
    </row>
    <row r="7514" spans="1:13" x14ac:dyDescent="0.25">
      <c r="A7514" s="675" t="s">
        <v>7474</v>
      </c>
      <c r="B7514" s="675" t="s">
        <v>512</v>
      </c>
      <c r="C7514" s="676" t="s">
        <v>7495</v>
      </c>
      <c r="D7514" s="675"/>
      <c r="E7514" s="675"/>
      <c r="G7514" s="675"/>
      <c r="H7514" s="675"/>
      <c r="I7514" s="675"/>
      <c r="J7514" s="675"/>
      <c r="K7514" s="675"/>
      <c r="L7514" s="675"/>
      <c r="M7514" s="675"/>
    </row>
    <row r="7515" spans="1:13" x14ac:dyDescent="0.25">
      <c r="A7515" s="675" t="s">
        <v>7474</v>
      </c>
      <c r="B7515" s="675" t="s">
        <v>512</v>
      </c>
      <c r="C7515" s="676" t="s">
        <v>7496</v>
      </c>
      <c r="D7515" s="675"/>
      <c r="E7515" s="675"/>
      <c r="G7515" s="675"/>
      <c r="H7515" s="675"/>
      <c r="I7515" s="675"/>
      <c r="J7515" s="675"/>
      <c r="K7515" s="675"/>
      <c r="L7515" s="675"/>
      <c r="M7515" s="675"/>
    </row>
    <row r="7516" spans="1:13" x14ac:dyDescent="0.25">
      <c r="A7516" s="675" t="s">
        <v>7474</v>
      </c>
      <c r="B7516" s="675" t="s">
        <v>512</v>
      </c>
      <c r="C7516" s="676" t="s">
        <v>7497</v>
      </c>
      <c r="D7516" s="675"/>
      <c r="E7516" s="675"/>
      <c r="G7516" s="675"/>
      <c r="H7516" s="675"/>
      <c r="I7516" s="675"/>
      <c r="J7516" s="675"/>
      <c r="K7516" s="675"/>
      <c r="L7516" s="675"/>
      <c r="M7516" s="675"/>
    </row>
    <row r="7517" spans="1:13" x14ac:dyDescent="0.25">
      <c r="A7517" s="675" t="s">
        <v>7474</v>
      </c>
      <c r="B7517" s="675" t="s">
        <v>512</v>
      </c>
      <c r="C7517" s="676" t="s">
        <v>7498</v>
      </c>
      <c r="D7517" s="675"/>
      <c r="E7517" s="675"/>
      <c r="G7517" s="675"/>
      <c r="H7517" s="675"/>
      <c r="I7517" s="675"/>
      <c r="J7517" s="675"/>
      <c r="K7517" s="675"/>
      <c r="L7517" s="675"/>
      <c r="M7517" s="675"/>
    </row>
    <row r="7518" spans="1:13" x14ac:dyDescent="0.25">
      <c r="A7518" s="675" t="s">
        <v>7474</v>
      </c>
      <c r="B7518" s="675" t="s">
        <v>512</v>
      </c>
      <c r="C7518" s="676" t="s">
        <v>7499</v>
      </c>
      <c r="D7518" s="675"/>
      <c r="E7518" s="675"/>
      <c r="G7518" s="675"/>
      <c r="H7518" s="675"/>
      <c r="I7518" s="675"/>
      <c r="J7518" s="675"/>
      <c r="K7518" s="675"/>
      <c r="L7518" s="675"/>
      <c r="M7518" s="675"/>
    </row>
    <row r="7519" spans="1:13" x14ac:dyDescent="0.25">
      <c r="A7519" s="675" t="s">
        <v>7474</v>
      </c>
      <c r="B7519" s="675" t="s">
        <v>512</v>
      </c>
      <c r="C7519" s="676" t="s">
        <v>7500</v>
      </c>
      <c r="D7519" s="675"/>
      <c r="E7519" s="675"/>
      <c r="G7519" s="675"/>
      <c r="H7519" s="675"/>
      <c r="I7519" s="675"/>
      <c r="J7519" s="675"/>
      <c r="K7519" s="675"/>
      <c r="L7519" s="675"/>
      <c r="M7519" s="675"/>
    </row>
    <row r="7520" spans="1:13" x14ac:dyDescent="0.25">
      <c r="A7520" s="675" t="s">
        <v>7474</v>
      </c>
      <c r="B7520" s="675" t="s">
        <v>512</v>
      </c>
      <c r="C7520" s="676" t="s">
        <v>7501</v>
      </c>
      <c r="D7520" s="675"/>
      <c r="E7520" s="675"/>
      <c r="G7520" s="675"/>
      <c r="H7520" s="675"/>
      <c r="I7520" s="675"/>
      <c r="J7520" s="675"/>
      <c r="K7520" s="675"/>
      <c r="L7520" s="675"/>
      <c r="M7520" s="675"/>
    </row>
    <row r="7521" spans="1:13" x14ac:dyDescent="0.25">
      <c r="A7521" s="675" t="s">
        <v>7474</v>
      </c>
      <c r="B7521" s="675" t="s">
        <v>512</v>
      </c>
      <c r="C7521" s="676" t="s">
        <v>7502</v>
      </c>
      <c r="D7521" s="675"/>
      <c r="E7521" s="675"/>
      <c r="G7521" s="675"/>
      <c r="H7521" s="675"/>
      <c r="I7521" s="675"/>
      <c r="J7521" s="675"/>
      <c r="K7521" s="675"/>
      <c r="L7521" s="675"/>
      <c r="M7521" s="675"/>
    </row>
    <row r="7522" spans="1:13" x14ac:dyDescent="0.25">
      <c r="A7522" s="675" t="s">
        <v>7474</v>
      </c>
      <c r="B7522" s="675" t="s">
        <v>512</v>
      </c>
      <c r="C7522" s="676" t="s">
        <v>7503</v>
      </c>
      <c r="D7522" s="675"/>
      <c r="E7522" s="675"/>
      <c r="G7522" s="675"/>
      <c r="H7522" s="675"/>
      <c r="I7522" s="675"/>
      <c r="J7522" s="675"/>
      <c r="K7522" s="675"/>
      <c r="L7522" s="675"/>
      <c r="M7522" s="675"/>
    </row>
    <row r="7523" spans="1:13" x14ac:dyDescent="0.25">
      <c r="A7523" s="675" t="s">
        <v>7474</v>
      </c>
      <c r="B7523" s="675" t="s">
        <v>512</v>
      </c>
      <c r="C7523" s="676" t="s">
        <v>7504</v>
      </c>
      <c r="D7523" s="675"/>
      <c r="E7523" s="675"/>
      <c r="G7523" s="675"/>
      <c r="H7523" s="675"/>
      <c r="I7523" s="675"/>
      <c r="J7523" s="675"/>
      <c r="K7523" s="675"/>
      <c r="L7523" s="675"/>
      <c r="M7523" s="675"/>
    </row>
    <row r="7524" spans="1:13" x14ac:dyDescent="0.25">
      <c r="A7524" s="675" t="s">
        <v>7505</v>
      </c>
      <c r="B7524" s="675" t="s">
        <v>545</v>
      </c>
      <c r="C7524" s="676" t="s">
        <v>7506</v>
      </c>
      <c r="D7524" s="675"/>
      <c r="E7524" s="675"/>
      <c r="G7524" s="675"/>
      <c r="H7524" s="675"/>
      <c r="I7524" s="675"/>
      <c r="J7524" s="675"/>
      <c r="K7524" s="675"/>
      <c r="L7524" s="675"/>
      <c r="M7524" s="675"/>
    </row>
    <row r="7525" spans="1:13" x14ac:dyDescent="0.25">
      <c r="A7525" s="675" t="s">
        <v>7505</v>
      </c>
      <c r="B7525" s="675" t="s">
        <v>545</v>
      </c>
      <c r="C7525" s="676" t="s">
        <v>7507</v>
      </c>
      <c r="D7525" s="675"/>
      <c r="E7525" s="675"/>
      <c r="G7525" s="675"/>
      <c r="H7525" s="675"/>
      <c r="I7525" s="675"/>
      <c r="J7525" s="675"/>
      <c r="K7525" s="675"/>
      <c r="L7525" s="675"/>
      <c r="M7525" s="675"/>
    </row>
    <row r="7526" spans="1:13" x14ac:dyDescent="0.25">
      <c r="A7526" s="675" t="s">
        <v>7505</v>
      </c>
      <c r="B7526" s="675" t="s">
        <v>545</v>
      </c>
      <c r="C7526" s="676" t="s">
        <v>7508</v>
      </c>
      <c r="D7526" s="675"/>
      <c r="E7526" s="675"/>
      <c r="G7526" s="675"/>
      <c r="H7526" s="675"/>
      <c r="I7526" s="675"/>
      <c r="J7526" s="675"/>
      <c r="K7526" s="675"/>
      <c r="L7526" s="675"/>
      <c r="M7526" s="675"/>
    </row>
    <row r="7527" spans="1:13" x14ac:dyDescent="0.25">
      <c r="A7527" s="675" t="s">
        <v>7505</v>
      </c>
      <c r="B7527" s="675" t="s">
        <v>545</v>
      </c>
      <c r="C7527" s="676" t="s">
        <v>7509</v>
      </c>
      <c r="D7527" s="675"/>
      <c r="E7527" s="675"/>
      <c r="G7527" s="675"/>
      <c r="H7527" s="675"/>
      <c r="I7527" s="675"/>
      <c r="J7527" s="675"/>
      <c r="K7527" s="675"/>
      <c r="L7527" s="675"/>
      <c r="M7527" s="675"/>
    </row>
    <row r="7528" spans="1:13" x14ac:dyDescent="0.25">
      <c r="A7528" s="675" t="s">
        <v>7505</v>
      </c>
      <c r="B7528" s="675" t="s">
        <v>545</v>
      </c>
      <c r="C7528" s="676" t="s">
        <v>7510</v>
      </c>
      <c r="D7528" s="675"/>
      <c r="E7528" s="675"/>
      <c r="G7528" s="675"/>
      <c r="H7528" s="675"/>
      <c r="I7528" s="675"/>
      <c r="J7528" s="675"/>
      <c r="K7528" s="675"/>
      <c r="L7528" s="675"/>
      <c r="M7528" s="675"/>
    </row>
    <row r="7529" spans="1:13" x14ac:dyDescent="0.25">
      <c r="A7529" s="675" t="s">
        <v>7505</v>
      </c>
      <c r="B7529" s="675" t="s">
        <v>545</v>
      </c>
      <c r="C7529" s="676" t="s">
        <v>7511</v>
      </c>
      <c r="D7529" s="675"/>
      <c r="E7529" s="675"/>
      <c r="G7529" s="675"/>
      <c r="H7529" s="675"/>
      <c r="I7529" s="675"/>
      <c r="J7529" s="675"/>
      <c r="K7529" s="675"/>
      <c r="L7529" s="675"/>
      <c r="M7529" s="675"/>
    </row>
    <row r="7530" spans="1:13" x14ac:dyDescent="0.25">
      <c r="A7530" s="675" t="s">
        <v>7505</v>
      </c>
      <c r="B7530" s="675" t="s">
        <v>545</v>
      </c>
      <c r="C7530" s="676" t="s">
        <v>7512</v>
      </c>
      <c r="D7530" s="675"/>
      <c r="E7530" s="675"/>
      <c r="G7530" s="675"/>
      <c r="H7530" s="675"/>
      <c r="I7530" s="675"/>
      <c r="J7530" s="675"/>
      <c r="K7530" s="675"/>
      <c r="L7530" s="675"/>
      <c r="M7530" s="675"/>
    </row>
    <row r="7531" spans="1:13" x14ac:dyDescent="0.25">
      <c r="A7531" s="675" t="s">
        <v>7505</v>
      </c>
      <c r="B7531" s="675" t="s">
        <v>545</v>
      </c>
      <c r="C7531" s="676" t="s">
        <v>7513</v>
      </c>
      <c r="D7531" s="675"/>
      <c r="E7531" s="675"/>
      <c r="G7531" s="675"/>
      <c r="H7531" s="675"/>
      <c r="I7531" s="675"/>
      <c r="J7531" s="675"/>
      <c r="K7531" s="675"/>
      <c r="L7531" s="675"/>
      <c r="M7531" s="675"/>
    </row>
    <row r="7532" spans="1:13" x14ac:dyDescent="0.25">
      <c r="A7532" s="675" t="s">
        <v>7505</v>
      </c>
      <c r="B7532" s="675" t="s">
        <v>545</v>
      </c>
      <c r="C7532" s="676" t="s">
        <v>7514</v>
      </c>
      <c r="D7532" s="675"/>
      <c r="E7532" s="675"/>
      <c r="G7532" s="675"/>
      <c r="H7532" s="675"/>
      <c r="I7532" s="675"/>
      <c r="J7532" s="675"/>
      <c r="K7532" s="675"/>
      <c r="L7532" s="675"/>
      <c r="M7532" s="675"/>
    </row>
    <row r="7533" spans="1:13" x14ac:dyDescent="0.25">
      <c r="A7533" s="675" t="s">
        <v>7505</v>
      </c>
      <c r="B7533" s="675" t="s">
        <v>545</v>
      </c>
      <c r="C7533" s="676" t="s">
        <v>7515</v>
      </c>
      <c r="D7533" s="675"/>
      <c r="E7533" s="675"/>
      <c r="G7533" s="675"/>
      <c r="H7533" s="675"/>
      <c r="I7533" s="675"/>
      <c r="J7533" s="675"/>
      <c r="K7533" s="675"/>
      <c r="L7533" s="675"/>
      <c r="M7533" s="675"/>
    </row>
    <row r="7534" spans="1:13" x14ac:dyDescent="0.25">
      <c r="A7534" s="675" t="s">
        <v>7505</v>
      </c>
      <c r="B7534" s="675" t="s">
        <v>564</v>
      </c>
      <c r="C7534" s="676" t="s">
        <v>7516</v>
      </c>
      <c r="D7534" s="675"/>
      <c r="E7534" s="675"/>
      <c r="G7534" s="675"/>
      <c r="H7534" s="675"/>
      <c r="I7534" s="675"/>
      <c r="J7534" s="675"/>
      <c r="K7534" s="675"/>
      <c r="L7534" s="675"/>
      <c r="M7534" s="675"/>
    </row>
    <row r="7535" spans="1:13" x14ac:dyDescent="0.25">
      <c r="A7535" s="675" t="s">
        <v>7505</v>
      </c>
      <c r="B7535" s="675" t="s">
        <v>564</v>
      </c>
      <c r="C7535" s="676" t="s">
        <v>7517</v>
      </c>
      <c r="D7535" s="675"/>
      <c r="E7535" s="675"/>
      <c r="G7535" s="675"/>
      <c r="H7535" s="675"/>
      <c r="I7535" s="675"/>
      <c r="J7535" s="675"/>
      <c r="K7535" s="675"/>
      <c r="L7535" s="675"/>
      <c r="M7535" s="675"/>
    </row>
    <row r="7536" spans="1:13" x14ac:dyDescent="0.25">
      <c r="A7536" s="675" t="s">
        <v>7505</v>
      </c>
      <c r="B7536" s="675" t="s">
        <v>564</v>
      </c>
      <c r="C7536" s="676" t="s">
        <v>7518</v>
      </c>
      <c r="D7536" s="675"/>
      <c r="E7536" s="675"/>
      <c r="G7536" s="675"/>
      <c r="H7536" s="675"/>
      <c r="I7536" s="675"/>
      <c r="J7536" s="675"/>
      <c r="K7536" s="675"/>
      <c r="L7536" s="675"/>
      <c r="M7536" s="675"/>
    </row>
    <row r="7537" spans="1:13" x14ac:dyDescent="0.25">
      <c r="A7537" s="675" t="s">
        <v>7505</v>
      </c>
      <c r="B7537" s="675" t="s">
        <v>564</v>
      </c>
      <c r="C7537" s="676" t="s">
        <v>7519</v>
      </c>
      <c r="D7537" s="675"/>
      <c r="E7537" s="675"/>
      <c r="G7537" s="675"/>
      <c r="H7537" s="675"/>
      <c r="I7537" s="675"/>
      <c r="J7537" s="675"/>
      <c r="K7537" s="675"/>
      <c r="L7537" s="675"/>
      <c r="M7537" s="675"/>
    </row>
    <row r="7538" spans="1:13" x14ac:dyDescent="0.25">
      <c r="A7538" s="675" t="s">
        <v>7505</v>
      </c>
      <c r="B7538" s="675" t="s">
        <v>564</v>
      </c>
      <c r="C7538" s="676" t="s">
        <v>7520</v>
      </c>
      <c r="D7538" s="675"/>
      <c r="E7538" s="675"/>
      <c r="G7538" s="675"/>
      <c r="H7538" s="675"/>
      <c r="I7538" s="675"/>
      <c r="J7538" s="675"/>
      <c r="K7538" s="675"/>
      <c r="L7538" s="675"/>
      <c r="M7538" s="675"/>
    </row>
    <row r="7539" spans="1:13" x14ac:dyDescent="0.25">
      <c r="A7539" s="675" t="s">
        <v>7505</v>
      </c>
      <c r="B7539" s="675" t="s">
        <v>564</v>
      </c>
      <c r="C7539" s="676" t="s">
        <v>7521</v>
      </c>
      <c r="D7539" s="675"/>
      <c r="E7539" s="675"/>
      <c r="G7539" s="675"/>
      <c r="H7539" s="675"/>
      <c r="I7539" s="675"/>
      <c r="J7539" s="675"/>
      <c r="K7539" s="675"/>
      <c r="L7539" s="675"/>
      <c r="M7539" s="675"/>
    </row>
    <row r="7540" spans="1:13" x14ac:dyDescent="0.25">
      <c r="A7540" s="675" t="s">
        <v>7505</v>
      </c>
      <c r="B7540" s="675" t="s">
        <v>564</v>
      </c>
      <c r="C7540" s="676" t="s">
        <v>7522</v>
      </c>
      <c r="D7540" s="675"/>
      <c r="E7540" s="675"/>
      <c r="G7540" s="675"/>
      <c r="H7540" s="675"/>
      <c r="I7540" s="675"/>
      <c r="J7540" s="675"/>
      <c r="K7540" s="675"/>
      <c r="L7540" s="675"/>
      <c r="M7540" s="675"/>
    </row>
    <row r="7541" spans="1:13" x14ac:dyDescent="0.25">
      <c r="A7541" s="675" t="s">
        <v>7505</v>
      </c>
      <c r="B7541" s="675" t="s">
        <v>564</v>
      </c>
      <c r="C7541" s="676" t="s">
        <v>7523</v>
      </c>
      <c r="D7541" s="675"/>
      <c r="E7541" s="675"/>
      <c r="G7541" s="675"/>
      <c r="H7541" s="675"/>
      <c r="I7541" s="675"/>
      <c r="J7541" s="675"/>
      <c r="K7541" s="675"/>
      <c r="L7541" s="675"/>
      <c r="M7541" s="675"/>
    </row>
    <row r="7542" spans="1:13" x14ac:dyDescent="0.25">
      <c r="A7542" s="675" t="s">
        <v>7505</v>
      </c>
      <c r="B7542" s="675" t="s">
        <v>564</v>
      </c>
      <c r="C7542" s="676" t="s">
        <v>7524</v>
      </c>
      <c r="D7542" s="675"/>
      <c r="E7542" s="675"/>
      <c r="G7542" s="675"/>
      <c r="H7542" s="675"/>
      <c r="I7542" s="675"/>
      <c r="J7542" s="675"/>
      <c r="K7542" s="675"/>
      <c r="L7542" s="675"/>
      <c r="M7542" s="675"/>
    </row>
    <row r="7543" spans="1:13" x14ac:dyDescent="0.25">
      <c r="A7543" s="675" t="s">
        <v>7505</v>
      </c>
      <c r="B7543" s="675" t="s">
        <v>564</v>
      </c>
      <c r="C7543" s="676" t="s">
        <v>7525</v>
      </c>
      <c r="D7543" s="675"/>
      <c r="E7543" s="675"/>
      <c r="G7543" s="675"/>
      <c r="H7543" s="675"/>
      <c r="I7543" s="675"/>
      <c r="J7543" s="675"/>
      <c r="K7543" s="675"/>
      <c r="L7543" s="675"/>
      <c r="M7543" s="675"/>
    </row>
    <row r="7544" spans="1:13" x14ac:dyDescent="0.25">
      <c r="A7544" s="675" t="s">
        <v>7505</v>
      </c>
      <c r="B7544" s="675" t="s">
        <v>512</v>
      </c>
      <c r="C7544" s="676" t="s">
        <v>7526</v>
      </c>
      <c r="D7544" s="675"/>
      <c r="E7544" s="675"/>
      <c r="G7544" s="675"/>
      <c r="H7544" s="675"/>
      <c r="I7544" s="675"/>
      <c r="J7544" s="675"/>
      <c r="K7544" s="675"/>
      <c r="L7544" s="675"/>
      <c r="M7544" s="675"/>
    </row>
    <row r="7545" spans="1:13" x14ac:dyDescent="0.25">
      <c r="A7545" s="675" t="s">
        <v>7505</v>
      </c>
      <c r="B7545" s="675" t="s">
        <v>512</v>
      </c>
      <c r="C7545" s="676" t="s">
        <v>7527</v>
      </c>
      <c r="D7545" s="675"/>
      <c r="E7545" s="675"/>
      <c r="G7545" s="675"/>
      <c r="H7545" s="675"/>
      <c r="I7545" s="675"/>
      <c r="J7545" s="675"/>
      <c r="K7545" s="675"/>
      <c r="L7545" s="675"/>
      <c r="M7545" s="675"/>
    </row>
    <row r="7546" spans="1:13" x14ac:dyDescent="0.25">
      <c r="A7546" s="675" t="s">
        <v>7505</v>
      </c>
      <c r="B7546" s="675" t="s">
        <v>512</v>
      </c>
      <c r="C7546" s="676" t="s">
        <v>7528</v>
      </c>
      <c r="D7546" s="675"/>
      <c r="E7546" s="675"/>
      <c r="G7546" s="675"/>
      <c r="H7546" s="675"/>
      <c r="I7546" s="675"/>
      <c r="J7546" s="675"/>
      <c r="K7546" s="675"/>
      <c r="L7546" s="675"/>
      <c r="M7546" s="675"/>
    </row>
    <row r="7547" spans="1:13" x14ac:dyDescent="0.25">
      <c r="A7547" s="675" t="s">
        <v>7505</v>
      </c>
      <c r="B7547" s="675" t="s">
        <v>512</v>
      </c>
      <c r="C7547" s="676" t="s">
        <v>7529</v>
      </c>
      <c r="D7547" s="675"/>
      <c r="E7547" s="675"/>
      <c r="G7547" s="675"/>
      <c r="H7547" s="675"/>
      <c r="I7547" s="675"/>
      <c r="J7547" s="675"/>
      <c r="K7547" s="675"/>
      <c r="L7547" s="675"/>
      <c r="M7547" s="675"/>
    </row>
    <row r="7548" spans="1:13" x14ac:dyDescent="0.25">
      <c r="A7548" s="675" t="s">
        <v>7505</v>
      </c>
      <c r="B7548" s="675" t="s">
        <v>512</v>
      </c>
      <c r="C7548" s="676" t="s">
        <v>7530</v>
      </c>
      <c r="D7548" s="675"/>
      <c r="E7548" s="675"/>
      <c r="G7548" s="675"/>
      <c r="H7548" s="675"/>
      <c r="I7548" s="675"/>
      <c r="J7548" s="675"/>
      <c r="K7548" s="675"/>
      <c r="L7548" s="675"/>
      <c r="M7548" s="675"/>
    </row>
    <row r="7549" spans="1:13" x14ac:dyDescent="0.25">
      <c r="A7549" s="675" t="s">
        <v>7505</v>
      </c>
      <c r="B7549" s="675" t="s">
        <v>512</v>
      </c>
      <c r="C7549" s="676" t="s">
        <v>7531</v>
      </c>
      <c r="D7549" s="675"/>
      <c r="E7549" s="675"/>
      <c r="G7549" s="675"/>
      <c r="H7549" s="675"/>
      <c r="I7549" s="675"/>
      <c r="J7549" s="675"/>
      <c r="K7549" s="675"/>
      <c r="L7549" s="675"/>
      <c r="M7549" s="675"/>
    </row>
    <row r="7550" spans="1:13" x14ac:dyDescent="0.25">
      <c r="A7550" s="675" t="s">
        <v>7505</v>
      </c>
      <c r="B7550" s="675" t="s">
        <v>512</v>
      </c>
      <c r="C7550" s="676" t="s">
        <v>7532</v>
      </c>
      <c r="D7550" s="675"/>
      <c r="E7550" s="675"/>
      <c r="G7550" s="675"/>
      <c r="H7550" s="675"/>
      <c r="I7550" s="675"/>
      <c r="J7550" s="675"/>
      <c r="K7550" s="675"/>
      <c r="L7550" s="675"/>
      <c r="M7550" s="675"/>
    </row>
    <row r="7551" spans="1:13" x14ac:dyDescent="0.25">
      <c r="A7551" s="675" t="s">
        <v>7505</v>
      </c>
      <c r="B7551" s="675" t="s">
        <v>512</v>
      </c>
      <c r="C7551" s="676" t="s">
        <v>7533</v>
      </c>
      <c r="D7551" s="675"/>
      <c r="E7551" s="675"/>
      <c r="G7551" s="675"/>
      <c r="H7551" s="675"/>
      <c r="I7551" s="675"/>
      <c r="J7551" s="675"/>
      <c r="K7551" s="675"/>
      <c r="L7551" s="675"/>
      <c r="M7551" s="675"/>
    </row>
    <row r="7552" spans="1:13" x14ac:dyDescent="0.25">
      <c r="A7552" s="675" t="s">
        <v>7505</v>
      </c>
      <c r="B7552" s="675" t="s">
        <v>512</v>
      </c>
      <c r="C7552" s="676" t="s">
        <v>7534</v>
      </c>
      <c r="D7552" s="675"/>
      <c r="E7552" s="675"/>
      <c r="G7552" s="675"/>
      <c r="H7552" s="675"/>
      <c r="I7552" s="675"/>
      <c r="J7552" s="675"/>
      <c r="K7552" s="675"/>
      <c r="L7552" s="675"/>
      <c r="M7552" s="675"/>
    </row>
    <row r="7553" spans="1:13" x14ac:dyDescent="0.25">
      <c r="A7553" s="675" t="s">
        <v>7505</v>
      </c>
      <c r="B7553" s="675" t="s">
        <v>512</v>
      </c>
      <c r="C7553" s="676" t="s">
        <v>7535</v>
      </c>
      <c r="D7553" s="675"/>
      <c r="E7553" s="675"/>
      <c r="G7553" s="675"/>
      <c r="H7553" s="675"/>
      <c r="I7553" s="675"/>
      <c r="J7553" s="675"/>
      <c r="K7553" s="675"/>
      <c r="L7553" s="675"/>
      <c r="M7553" s="675"/>
    </row>
    <row r="7554" spans="1:13" x14ac:dyDescent="0.25">
      <c r="A7554" s="675" t="s">
        <v>7536</v>
      </c>
      <c r="B7554" s="675" t="s">
        <v>545</v>
      </c>
      <c r="C7554" s="676" t="s">
        <v>7537</v>
      </c>
      <c r="D7554" s="675"/>
      <c r="E7554" s="675"/>
      <c r="G7554" s="675"/>
      <c r="H7554" s="675"/>
      <c r="I7554" s="675"/>
      <c r="J7554" s="675"/>
      <c r="K7554" s="675"/>
      <c r="L7554" s="675"/>
      <c r="M7554" s="675"/>
    </row>
    <row r="7555" spans="1:13" x14ac:dyDescent="0.25">
      <c r="A7555" s="675" t="s">
        <v>7536</v>
      </c>
      <c r="B7555" s="675" t="s">
        <v>545</v>
      </c>
      <c r="C7555" s="676" t="s">
        <v>7538</v>
      </c>
      <c r="D7555" s="675"/>
      <c r="E7555" s="675"/>
      <c r="G7555" s="675"/>
      <c r="H7555" s="675"/>
      <c r="I7555" s="675"/>
      <c r="J7555" s="675"/>
      <c r="K7555" s="675"/>
      <c r="L7555" s="675"/>
      <c r="M7555" s="675"/>
    </row>
    <row r="7556" spans="1:13" x14ac:dyDescent="0.25">
      <c r="A7556" s="675" t="s">
        <v>7536</v>
      </c>
      <c r="B7556" s="675" t="s">
        <v>545</v>
      </c>
      <c r="C7556" s="676" t="s">
        <v>7539</v>
      </c>
      <c r="D7556" s="675"/>
      <c r="E7556" s="675"/>
      <c r="G7556" s="675"/>
      <c r="H7556" s="675"/>
      <c r="I7556" s="675"/>
      <c r="J7556" s="675"/>
      <c r="K7556" s="675"/>
      <c r="L7556" s="675"/>
      <c r="M7556" s="675"/>
    </row>
    <row r="7557" spans="1:13" x14ac:dyDescent="0.25">
      <c r="A7557" s="675" t="s">
        <v>7536</v>
      </c>
      <c r="B7557" s="675" t="s">
        <v>545</v>
      </c>
      <c r="C7557" s="676" t="s">
        <v>7540</v>
      </c>
      <c r="D7557" s="675"/>
      <c r="E7557" s="675"/>
      <c r="G7557" s="675"/>
      <c r="H7557" s="675"/>
      <c r="I7557" s="675"/>
      <c r="J7557" s="675"/>
      <c r="K7557" s="675"/>
      <c r="L7557" s="675"/>
      <c r="M7557" s="675"/>
    </row>
    <row r="7558" spans="1:13" x14ac:dyDescent="0.25">
      <c r="A7558" s="675" t="s">
        <v>7536</v>
      </c>
      <c r="B7558" s="675" t="s">
        <v>545</v>
      </c>
      <c r="C7558" s="676" t="s">
        <v>7541</v>
      </c>
      <c r="D7558" s="675"/>
      <c r="E7558" s="675"/>
      <c r="G7558" s="675"/>
      <c r="H7558" s="675"/>
      <c r="I7558" s="675"/>
      <c r="J7558" s="675"/>
      <c r="K7558" s="675"/>
      <c r="L7558" s="675"/>
      <c r="M7558" s="675"/>
    </row>
    <row r="7559" spans="1:13" x14ac:dyDescent="0.25">
      <c r="A7559" s="675" t="s">
        <v>7536</v>
      </c>
      <c r="B7559" s="675" t="s">
        <v>545</v>
      </c>
      <c r="C7559" s="676" t="s">
        <v>7542</v>
      </c>
      <c r="D7559" s="675"/>
      <c r="E7559" s="675"/>
      <c r="G7559" s="675"/>
      <c r="H7559" s="675"/>
      <c r="I7559" s="675"/>
      <c r="J7559" s="675"/>
      <c r="K7559" s="675"/>
      <c r="L7559" s="675"/>
      <c r="M7559" s="675"/>
    </row>
    <row r="7560" spans="1:13" x14ac:dyDescent="0.25">
      <c r="A7560" s="675" t="s">
        <v>7536</v>
      </c>
      <c r="B7560" s="675" t="s">
        <v>545</v>
      </c>
      <c r="C7560" s="676" t="s">
        <v>7543</v>
      </c>
      <c r="D7560" s="675"/>
      <c r="E7560" s="675"/>
      <c r="G7560" s="675"/>
      <c r="H7560" s="675"/>
      <c r="I7560" s="675"/>
      <c r="J7560" s="675"/>
      <c r="K7560" s="675"/>
      <c r="L7560" s="675"/>
      <c r="M7560" s="675"/>
    </row>
    <row r="7561" spans="1:13" x14ac:dyDescent="0.25">
      <c r="A7561" s="675" t="s">
        <v>7536</v>
      </c>
      <c r="B7561" s="675" t="s">
        <v>545</v>
      </c>
      <c r="C7561" s="676" t="s">
        <v>7544</v>
      </c>
      <c r="D7561" s="675"/>
      <c r="E7561" s="675"/>
      <c r="G7561" s="675"/>
      <c r="H7561" s="675"/>
      <c r="I7561" s="675"/>
      <c r="J7561" s="675"/>
      <c r="K7561" s="675"/>
      <c r="L7561" s="675"/>
      <c r="M7561" s="675"/>
    </row>
    <row r="7562" spans="1:13" x14ac:dyDescent="0.25">
      <c r="A7562" s="675" t="s">
        <v>7536</v>
      </c>
      <c r="B7562" s="675" t="s">
        <v>545</v>
      </c>
      <c r="C7562" s="676" t="s">
        <v>7545</v>
      </c>
      <c r="D7562" s="675"/>
      <c r="E7562" s="675"/>
      <c r="G7562" s="675"/>
      <c r="H7562" s="675"/>
      <c r="I7562" s="675"/>
      <c r="J7562" s="675"/>
      <c r="K7562" s="675"/>
      <c r="L7562" s="675"/>
      <c r="M7562" s="675"/>
    </row>
    <row r="7563" spans="1:13" x14ac:dyDescent="0.25">
      <c r="A7563" s="675" t="s">
        <v>7536</v>
      </c>
      <c r="B7563" s="675" t="s">
        <v>545</v>
      </c>
      <c r="C7563" s="676" t="s">
        <v>7546</v>
      </c>
      <c r="D7563" s="675"/>
      <c r="E7563" s="675"/>
      <c r="G7563" s="675"/>
      <c r="H7563" s="675"/>
      <c r="I7563" s="675"/>
      <c r="J7563" s="675"/>
      <c r="K7563" s="675"/>
      <c r="L7563" s="675"/>
      <c r="M7563" s="675"/>
    </row>
    <row r="7564" spans="1:13" x14ac:dyDescent="0.25">
      <c r="A7564" s="675" t="s">
        <v>7536</v>
      </c>
      <c r="B7564" s="675" t="s">
        <v>564</v>
      </c>
      <c r="C7564" s="676" t="s">
        <v>7547</v>
      </c>
      <c r="D7564" s="675"/>
      <c r="E7564" s="675"/>
      <c r="G7564" s="675"/>
      <c r="H7564" s="675"/>
      <c r="I7564" s="675"/>
      <c r="J7564" s="675"/>
      <c r="K7564" s="675"/>
      <c r="L7564" s="675"/>
      <c r="M7564" s="675"/>
    </row>
    <row r="7565" spans="1:13" x14ac:dyDescent="0.25">
      <c r="A7565" s="675" t="s">
        <v>7536</v>
      </c>
      <c r="B7565" s="675" t="s">
        <v>564</v>
      </c>
      <c r="C7565" s="676" t="s">
        <v>7548</v>
      </c>
      <c r="D7565" s="675"/>
      <c r="E7565" s="675"/>
      <c r="G7565" s="675"/>
      <c r="H7565" s="675"/>
      <c r="I7565" s="675"/>
      <c r="J7565" s="675"/>
      <c r="K7565" s="675"/>
      <c r="L7565" s="675"/>
      <c r="M7565" s="675"/>
    </row>
    <row r="7566" spans="1:13" x14ac:dyDescent="0.25">
      <c r="A7566" s="675" t="s">
        <v>7536</v>
      </c>
      <c r="B7566" s="675" t="s">
        <v>564</v>
      </c>
      <c r="C7566" s="676" t="s">
        <v>7549</v>
      </c>
      <c r="D7566" s="675"/>
      <c r="E7566" s="675"/>
      <c r="G7566" s="675"/>
      <c r="H7566" s="675"/>
      <c r="I7566" s="675"/>
      <c r="J7566" s="675"/>
      <c r="K7566" s="675"/>
      <c r="L7566" s="675"/>
      <c r="M7566" s="675"/>
    </row>
    <row r="7567" spans="1:13" x14ac:dyDescent="0.25">
      <c r="A7567" s="675" t="s">
        <v>7536</v>
      </c>
      <c r="B7567" s="675" t="s">
        <v>564</v>
      </c>
      <c r="C7567" s="676" t="s">
        <v>7550</v>
      </c>
      <c r="D7567" s="675"/>
      <c r="E7567" s="675"/>
      <c r="G7567" s="675"/>
      <c r="H7567" s="675"/>
      <c r="I7567" s="675"/>
      <c r="J7567" s="675"/>
      <c r="K7567" s="675"/>
      <c r="L7567" s="675"/>
      <c r="M7567" s="675"/>
    </row>
    <row r="7568" spans="1:13" x14ac:dyDescent="0.25">
      <c r="A7568" s="675" t="s">
        <v>7536</v>
      </c>
      <c r="B7568" s="675" t="s">
        <v>564</v>
      </c>
      <c r="C7568" s="676" t="s">
        <v>7551</v>
      </c>
      <c r="D7568" s="675"/>
      <c r="E7568" s="675"/>
      <c r="G7568" s="675"/>
      <c r="H7568" s="675"/>
      <c r="I7568" s="675"/>
      <c r="J7568" s="675"/>
      <c r="K7568" s="675"/>
      <c r="L7568" s="675"/>
      <c r="M7568" s="675"/>
    </row>
    <row r="7569" spans="1:13" x14ac:dyDescent="0.25">
      <c r="A7569" s="675" t="s">
        <v>7536</v>
      </c>
      <c r="B7569" s="675" t="s">
        <v>564</v>
      </c>
      <c r="C7569" s="676" t="s">
        <v>7552</v>
      </c>
      <c r="D7569" s="675"/>
      <c r="E7569" s="675"/>
      <c r="G7569" s="675"/>
      <c r="H7569" s="675"/>
      <c r="I7569" s="675"/>
      <c r="J7569" s="675"/>
      <c r="K7569" s="675"/>
      <c r="L7569" s="675"/>
      <c r="M7569" s="675"/>
    </row>
    <row r="7570" spans="1:13" x14ac:dyDescent="0.25">
      <c r="A7570" s="675" t="s">
        <v>7536</v>
      </c>
      <c r="B7570" s="675" t="s">
        <v>564</v>
      </c>
      <c r="C7570" s="676" t="s">
        <v>7553</v>
      </c>
      <c r="D7570" s="675"/>
      <c r="E7570" s="675"/>
      <c r="G7570" s="675"/>
      <c r="H7570" s="675"/>
      <c r="I7570" s="675"/>
      <c r="J7570" s="675"/>
      <c r="K7570" s="675"/>
      <c r="L7570" s="675"/>
      <c r="M7570" s="675"/>
    </row>
    <row r="7571" spans="1:13" x14ac:dyDescent="0.25">
      <c r="A7571" s="675" t="s">
        <v>7536</v>
      </c>
      <c r="B7571" s="675" t="s">
        <v>564</v>
      </c>
      <c r="C7571" s="676" t="s">
        <v>7554</v>
      </c>
      <c r="D7571" s="675"/>
      <c r="E7571" s="675"/>
      <c r="G7571" s="675"/>
      <c r="H7571" s="675"/>
      <c r="I7571" s="675"/>
      <c r="J7571" s="675"/>
      <c r="K7571" s="675"/>
      <c r="L7571" s="675"/>
      <c r="M7571" s="675"/>
    </row>
    <row r="7572" spans="1:13" x14ac:dyDescent="0.25">
      <c r="A7572" s="675" t="s">
        <v>7536</v>
      </c>
      <c r="B7572" s="675" t="s">
        <v>564</v>
      </c>
      <c r="C7572" s="676" t="s">
        <v>7555</v>
      </c>
      <c r="D7572" s="675"/>
      <c r="E7572" s="675"/>
      <c r="G7572" s="675"/>
      <c r="H7572" s="675"/>
      <c r="I7572" s="675"/>
      <c r="J7572" s="675"/>
      <c r="K7572" s="675"/>
      <c r="L7572" s="675"/>
      <c r="M7572" s="675"/>
    </row>
    <row r="7573" spans="1:13" x14ac:dyDescent="0.25">
      <c r="A7573" s="675" t="s">
        <v>7536</v>
      </c>
      <c r="B7573" s="675" t="s">
        <v>564</v>
      </c>
      <c r="C7573" s="676" t="s">
        <v>7556</v>
      </c>
      <c r="D7573" s="675"/>
      <c r="E7573" s="675"/>
      <c r="G7573" s="675"/>
      <c r="H7573" s="675"/>
      <c r="I7573" s="675"/>
      <c r="J7573" s="675"/>
      <c r="K7573" s="675"/>
      <c r="L7573" s="675"/>
      <c r="M7573" s="675"/>
    </row>
    <row r="7574" spans="1:13" x14ac:dyDescent="0.25">
      <c r="A7574" s="675" t="s">
        <v>7536</v>
      </c>
      <c r="B7574" s="675" t="s">
        <v>512</v>
      </c>
      <c r="C7574" s="676" t="s">
        <v>7557</v>
      </c>
      <c r="D7574" s="675"/>
      <c r="E7574" s="675"/>
      <c r="G7574" s="675"/>
      <c r="H7574" s="675"/>
      <c r="I7574" s="675"/>
      <c r="J7574" s="675"/>
      <c r="K7574" s="675"/>
      <c r="L7574" s="675"/>
      <c r="M7574" s="675"/>
    </row>
    <row r="7575" spans="1:13" x14ac:dyDescent="0.25">
      <c r="A7575" s="675" t="s">
        <v>7536</v>
      </c>
      <c r="B7575" s="675" t="s">
        <v>512</v>
      </c>
      <c r="C7575" s="676" t="s">
        <v>7558</v>
      </c>
      <c r="D7575" s="675"/>
      <c r="E7575" s="675"/>
      <c r="G7575" s="675"/>
      <c r="H7575" s="675"/>
      <c r="I7575" s="675"/>
      <c r="J7575" s="675"/>
      <c r="K7575" s="675"/>
      <c r="L7575" s="675"/>
      <c r="M7575" s="675"/>
    </row>
    <row r="7576" spans="1:13" x14ac:dyDescent="0.25">
      <c r="A7576" s="675" t="s">
        <v>7536</v>
      </c>
      <c r="B7576" s="675" t="s">
        <v>512</v>
      </c>
      <c r="C7576" s="676" t="s">
        <v>7559</v>
      </c>
      <c r="D7576" s="675"/>
      <c r="E7576" s="675"/>
      <c r="G7576" s="675"/>
      <c r="H7576" s="675"/>
      <c r="I7576" s="675"/>
      <c r="J7576" s="675"/>
      <c r="K7576" s="675"/>
      <c r="L7576" s="675"/>
      <c r="M7576" s="675"/>
    </row>
    <row r="7577" spans="1:13" x14ac:dyDescent="0.25">
      <c r="A7577" s="675" t="s">
        <v>7536</v>
      </c>
      <c r="B7577" s="675" t="s">
        <v>512</v>
      </c>
      <c r="C7577" s="676" t="s">
        <v>7560</v>
      </c>
      <c r="D7577" s="675"/>
      <c r="E7577" s="675"/>
      <c r="G7577" s="675"/>
      <c r="H7577" s="675"/>
      <c r="I7577" s="675"/>
      <c r="J7577" s="675"/>
      <c r="K7577" s="675"/>
      <c r="L7577" s="675"/>
      <c r="M7577" s="675"/>
    </row>
    <row r="7578" spans="1:13" x14ac:dyDescent="0.25">
      <c r="A7578" s="675" t="s">
        <v>7536</v>
      </c>
      <c r="B7578" s="675" t="s">
        <v>512</v>
      </c>
      <c r="C7578" s="676" t="s">
        <v>7561</v>
      </c>
      <c r="D7578" s="675"/>
      <c r="E7578" s="675"/>
      <c r="G7578" s="675"/>
      <c r="H7578" s="675"/>
      <c r="I7578" s="675"/>
      <c r="J7578" s="675"/>
      <c r="K7578" s="675"/>
      <c r="L7578" s="675"/>
      <c r="M7578" s="675"/>
    </row>
    <row r="7579" spans="1:13" x14ac:dyDescent="0.25">
      <c r="A7579" s="675" t="s">
        <v>7536</v>
      </c>
      <c r="B7579" s="675" t="s">
        <v>512</v>
      </c>
      <c r="C7579" s="676" t="s">
        <v>7562</v>
      </c>
      <c r="D7579" s="675"/>
      <c r="E7579" s="675"/>
      <c r="G7579" s="675"/>
      <c r="H7579" s="675"/>
      <c r="I7579" s="675"/>
      <c r="J7579" s="675"/>
      <c r="K7579" s="675"/>
      <c r="L7579" s="675"/>
      <c r="M7579" s="675"/>
    </row>
    <row r="7580" spans="1:13" x14ac:dyDescent="0.25">
      <c r="A7580" s="675" t="s">
        <v>7536</v>
      </c>
      <c r="B7580" s="675" t="s">
        <v>512</v>
      </c>
      <c r="C7580" s="676" t="s">
        <v>7563</v>
      </c>
      <c r="D7580" s="675"/>
      <c r="E7580" s="675"/>
      <c r="G7580" s="675"/>
      <c r="H7580" s="675"/>
      <c r="I7580" s="675"/>
      <c r="J7580" s="675"/>
      <c r="K7580" s="675"/>
      <c r="L7580" s="675"/>
      <c r="M7580" s="675"/>
    </row>
    <row r="7581" spans="1:13" x14ac:dyDescent="0.25">
      <c r="A7581" s="675" t="s">
        <v>7536</v>
      </c>
      <c r="B7581" s="675" t="s">
        <v>512</v>
      </c>
      <c r="C7581" s="676" t="s">
        <v>7564</v>
      </c>
      <c r="D7581" s="675"/>
      <c r="E7581" s="675"/>
      <c r="G7581" s="675"/>
      <c r="H7581" s="675"/>
      <c r="I7581" s="675"/>
      <c r="J7581" s="675"/>
      <c r="K7581" s="675"/>
      <c r="L7581" s="675"/>
      <c r="M7581" s="675"/>
    </row>
    <row r="7582" spans="1:13" x14ac:dyDescent="0.25">
      <c r="A7582" s="675" t="s">
        <v>7536</v>
      </c>
      <c r="B7582" s="675" t="s">
        <v>512</v>
      </c>
      <c r="C7582" s="676" t="s">
        <v>7565</v>
      </c>
      <c r="D7582" s="675"/>
      <c r="E7582" s="675"/>
      <c r="G7582" s="675"/>
      <c r="H7582" s="675"/>
      <c r="I7582" s="675"/>
      <c r="J7582" s="675"/>
      <c r="K7582" s="675"/>
      <c r="L7582" s="675"/>
      <c r="M7582" s="675"/>
    </row>
    <row r="7583" spans="1:13" x14ac:dyDescent="0.25">
      <c r="A7583" s="675" t="s">
        <v>7536</v>
      </c>
      <c r="B7583" s="675" t="s">
        <v>512</v>
      </c>
      <c r="C7583" s="676" t="s">
        <v>7566</v>
      </c>
      <c r="D7583" s="675"/>
      <c r="E7583" s="675"/>
      <c r="G7583" s="675"/>
      <c r="H7583" s="675"/>
      <c r="I7583" s="675"/>
      <c r="J7583" s="675"/>
      <c r="K7583" s="675"/>
      <c r="L7583" s="675"/>
      <c r="M7583" s="675"/>
    </row>
    <row r="7584" spans="1:13" ht="30" x14ac:dyDescent="0.25">
      <c r="A7584" s="675" t="s">
        <v>7567</v>
      </c>
      <c r="B7584" s="675" t="s">
        <v>545</v>
      </c>
      <c r="C7584" s="676" t="s">
        <v>7568</v>
      </c>
      <c r="D7584" s="675"/>
      <c r="E7584" s="675"/>
      <c r="G7584" s="675"/>
      <c r="H7584" s="675"/>
      <c r="I7584" s="675"/>
      <c r="J7584" s="675"/>
      <c r="K7584" s="675"/>
      <c r="L7584" s="675"/>
      <c r="M7584" s="675"/>
    </row>
    <row r="7585" spans="1:13" x14ac:dyDescent="0.25">
      <c r="A7585" s="675" t="s">
        <v>7567</v>
      </c>
      <c r="B7585" s="675" t="s">
        <v>545</v>
      </c>
      <c r="C7585" s="676" t="s">
        <v>7569</v>
      </c>
      <c r="D7585" s="675"/>
      <c r="E7585" s="675"/>
      <c r="G7585" s="675"/>
      <c r="H7585" s="675"/>
      <c r="I7585" s="675"/>
      <c r="J7585" s="675"/>
      <c r="K7585" s="675"/>
      <c r="L7585" s="675"/>
      <c r="M7585" s="675"/>
    </row>
    <row r="7586" spans="1:13" x14ac:dyDescent="0.25">
      <c r="A7586" s="675" t="s">
        <v>7567</v>
      </c>
      <c r="B7586" s="675" t="s">
        <v>545</v>
      </c>
      <c r="C7586" s="676" t="s">
        <v>7570</v>
      </c>
      <c r="D7586" s="675"/>
      <c r="E7586" s="675"/>
      <c r="G7586" s="675"/>
      <c r="H7586" s="675"/>
      <c r="I7586" s="675"/>
      <c r="J7586" s="675"/>
      <c r="K7586" s="675"/>
      <c r="L7586" s="675"/>
      <c r="M7586" s="675"/>
    </row>
    <row r="7587" spans="1:13" x14ac:dyDescent="0.25">
      <c r="A7587" s="675" t="s">
        <v>7567</v>
      </c>
      <c r="B7587" s="675" t="s">
        <v>545</v>
      </c>
      <c r="C7587" s="676" t="s">
        <v>7571</v>
      </c>
      <c r="D7587" s="675"/>
      <c r="E7587" s="675"/>
      <c r="G7587" s="675"/>
      <c r="H7587" s="675"/>
      <c r="I7587" s="675"/>
      <c r="J7587" s="675"/>
      <c r="K7587" s="675"/>
      <c r="L7587" s="675"/>
      <c r="M7587" s="675"/>
    </row>
    <row r="7588" spans="1:13" x14ac:dyDescent="0.25">
      <c r="A7588" s="675" t="s">
        <v>7567</v>
      </c>
      <c r="B7588" s="675" t="s">
        <v>545</v>
      </c>
      <c r="C7588" s="676" t="s">
        <v>7572</v>
      </c>
      <c r="D7588" s="675"/>
      <c r="E7588" s="675"/>
      <c r="G7588" s="675"/>
      <c r="H7588" s="675"/>
      <c r="I7588" s="675"/>
      <c r="J7588" s="675"/>
      <c r="K7588" s="675"/>
      <c r="L7588" s="675"/>
      <c r="M7588" s="675"/>
    </row>
    <row r="7589" spans="1:13" x14ac:dyDescent="0.25">
      <c r="A7589" s="675" t="s">
        <v>7567</v>
      </c>
      <c r="B7589" s="675" t="s">
        <v>545</v>
      </c>
      <c r="C7589" s="676" t="s">
        <v>7573</v>
      </c>
      <c r="D7589" s="675"/>
      <c r="E7589" s="675"/>
      <c r="G7589" s="675"/>
      <c r="H7589" s="675"/>
      <c r="I7589" s="675"/>
      <c r="J7589" s="675"/>
      <c r="K7589" s="675"/>
      <c r="L7589" s="675"/>
      <c r="M7589" s="675"/>
    </row>
    <row r="7590" spans="1:13" ht="30" x14ac:dyDescent="0.25">
      <c r="A7590" s="675" t="s">
        <v>7567</v>
      </c>
      <c r="B7590" s="675" t="s">
        <v>545</v>
      </c>
      <c r="C7590" s="676" t="s">
        <v>7574</v>
      </c>
      <c r="D7590" s="675"/>
      <c r="E7590" s="675"/>
      <c r="G7590" s="675"/>
      <c r="H7590" s="675"/>
      <c r="I7590" s="675"/>
      <c r="J7590" s="675"/>
      <c r="K7590" s="675"/>
      <c r="L7590" s="675"/>
      <c r="M7590" s="675"/>
    </row>
    <row r="7591" spans="1:13" ht="30" x14ac:dyDescent="0.25">
      <c r="A7591" s="675" t="s">
        <v>7567</v>
      </c>
      <c r="B7591" s="675" t="s">
        <v>545</v>
      </c>
      <c r="C7591" s="676" t="s">
        <v>7575</v>
      </c>
      <c r="D7591" s="675"/>
      <c r="E7591" s="675"/>
      <c r="G7591" s="675"/>
      <c r="H7591" s="675"/>
      <c r="I7591" s="675"/>
      <c r="J7591" s="675"/>
      <c r="K7591" s="675"/>
      <c r="L7591" s="675"/>
      <c r="M7591" s="675"/>
    </row>
    <row r="7592" spans="1:13" x14ac:dyDescent="0.25">
      <c r="A7592" s="675" t="s">
        <v>7567</v>
      </c>
      <c r="B7592" s="675" t="s">
        <v>545</v>
      </c>
      <c r="C7592" s="676" t="s">
        <v>7576</v>
      </c>
      <c r="D7592" s="675"/>
      <c r="E7592" s="675"/>
      <c r="G7592" s="675"/>
      <c r="H7592" s="675"/>
      <c r="I7592" s="675"/>
      <c r="J7592" s="675"/>
      <c r="K7592" s="675"/>
      <c r="L7592" s="675"/>
      <c r="M7592" s="675"/>
    </row>
    <row r="7593" spans="1:13" ht="30" x14ac:dyDescent="0.25">
      <c r="A7593" s="675" t="s">
        <v>7567</v>
      </c>
      <c r="B7593" s="675" t="s">
        <v>545</v>
      </c>
      <c r="C7593" s="676" t="s">
        <v>7577</v>
      </c>
      <c r="D7593" s="675"/>
      <c r="E7593" s="675"/>
      <c r="G7593" s="675"/>
      <c r="H7593" s="675"/>
      <c r="I7593" s="675"/>
      <c r="J7593" s="675"/>
      <c r="K7593" s="675"/>
      <c r="L7593" s="675"/>
      <c r="M7593" s="675"/>
    </row>
    <row r="7594" spans="1:13" ht="30" x14ac:dyDescent="0.25">
      <c r="A7594" s="675" t="s">
        <v>7567</v>
      </c>
      <c r="B7594" s="675" t="s">
        <v>564</v>
      </c>
      <c r="C7594" s="676" t="s">
        <v>7578</v>
      </c>
      <c r="D7594" s="675"/>
      <c r="E7594" s="675"/>
      <c r="G7594" s="675"/>
      <c r="H7594" s="675"/>
      <c r="I7594" s="675"/>
      <c r="J7594" s="675"/>
      <c r="K7594" s="675"/>
      <c r="L7594" s="675"/>
      <c r="M7594" s="675"/>
    </row>
    <row r="7595" spans="1:13" x14ac:dyDescent="0.25">
      <c r="A7595" s="675" t="s">
        <v>7567</v>
      </c>
      <c r="B7595" s="675" t="s">
        <v>564</v>
      </c>
      <c r="C7595" s="676" t="s">
        <v>7579</v>
      </c>
      <c r="D7595" s="675"/>
      <c r="E7595" s="675"/>
      <c r="G7595" s="675"/>
      <c r="H7595" s="675"/>
      <c r="I7595" s="675"/>
      <c r="J7595" s="675"/>
      <c r="K7595" s="675"/>
      <c r="L7595" s="675"/>
      <c r="M7595" s="675"/>
    </row>
    <row r="7596" spans="1:13" x14ac:dyDescent="0.25">
      <c r="A7596" s="675" t="s">
        <v>7567</v>
      </c>
      <c r="B7596" s="675" t="s">
        <v>564</v>
      </c>
      <c r="C7596" s="676" t="s">
        <v>7580</v>
      </c>
      <c r="D7596" s="675"/>
      <c r="E7596" s="675"/>
      <c r="G7596" s="675"/>
      <c r="H7596" s="675"/>
      <c r="I7596" s="675"/>
      <c r="J7596" s="675"/>
      <c r="K7596" s="675"/>
      <c r="L7596" s="675"/>
      <c r="M7596" s="675"/>
    </row>
    <row r="7597" spans="1:13" x14ac:dyDescent="0.25">
      <c r="A7597" s="675" t="s">
        <v>7567</v>
      </c>
      <c r="B7597" s="675" t="s">
        <v>564</v>
      </c>
      <c r="C7597" s="676" t="s">
        <v>7581</v>
      </c>
      <c r="D7597" s="675"/>
      <c r="E7597" s="675"/>
      <c r="G7597" s="675"/>
      <c r="H7597" s="675"/>
      <c r="I7597" s="675"/>
      <c r="J7597" s="675"/>
      <c r="K7597" s="675"/>
      <c r="L7597" s="675"/>
      <c r="M7597" s="675"/>
    </row>
    <row r="7598" spans="1:13" x14ac:dyDescent="0.25">
      <c r="A7598" s="675" t="s">
        <v>7567</v>
      </c>
      <c r="B7598" s="675" t="s">
        <v>564</v>
      </c>
      <c r="C7598" s="676" t="s">
        <v>7582</v>
      </c>
      <c r="D7598" s="675"/>
      <c r="E7598" s="675"/>
      <c r="G7598" s="675"/>
      <c r="H7598" s="675"/>
      <c r="I7598" s="675"/>
      <c r="J7598" s="675"/>
      <c r="K7598" s="675"/>
      <c r="L7598" s="675"/>
      <c r="M7598" s="675"/>
    </row>
    <row r="7599" spans="1:13" x14ac:dyDescent="0.25">
      <c r="A7599" s="675" t="s">
        <v>7567</v>
      </c>
      <c r="B7599" s="675" t="s">
        <v>564</v>
      </c>
      <c r="C7599" s="676" t="s">
        <v>7583</v>
      </c>
      <c r="D7599" s="675"/>
      <c r="E7599" s="675"/>
      <c r="G7599" s="675"/>
      <c r="H7599" s="675"/>
      <c r="I7599" s="675"/>
      <c r="J7599" s="675"/>
      <c r="K7599" s="675"/>
      <c r="L7599" s="675"/>
      <c r="M7599" s="675"/>
    </row>
    <row r="7600" spans="1:13" ht="30" x14ac:dyDescent="0.25">
      <c r="A7600" s="675" t="s">
        <v>7567</v>
      </c>
      <c r="B7600" s="675" t="s">
        <v>564</v>
      </c>
      <c r="C7600" s="676" t="s">
        <v>7584</v>
      </c>
      <c r="D7600" s="675"/>
      <c r="E7600" s="675"/>
      <c r="G7600" s="675"/>
      <c r="H7600" s="675"/>
      <c r="I7600" s="675"/>
      <c r="J7600" s="675"/>
      <c r="K7600" s="675"/>
      <c r="L7600" s="675"/>
      <c r="M7600" s="675"/>
    </row>
    <row r="7601" spans="1:13" ht="30" x14ac:dyDescent="0.25">
      <c r="A7601" s="675" t="s">
        <v>7567</v>
      </c>
      <c r="B7601" s="675" t="s">
        <v>564</v>
      </c>
      <c r="C7601" s="676" t="s">
        <v>7585</v>
      </c>
      <c r="D7601" s="675"/>
      <c r="E7601" s="675"/>
      <c r="G7601" s="675"/>
      <c r="H7601" s="675"/>
      <c r="I7601" s="675"/>
      <c r="J7601" s="675"/>
      <c r="K7601" s="675"/>
      <c r="L7601" s="675"/>
      <c r="M7601" s="675"/>
    </row>
    <row r="7602" spans="1:13" x14ac:dyDescent="0.25">
      <c r="A7602" s="675" t="s">
        <v>7567</v>
      </c>
      <c r="B7602" s="675" t="s">
        <v>564</v>
      </c>
      <c r="C7602" s="676" t="s">
        <v>7586</v>
      </c>
      <c r="D7602" s="675"/>
      <c r="E7602" s="675"/>
      <c r="G7602" s="675"/>
      <c r="H7602" s="675"/>
      <c r="I7602" s="675"/>
      <c r="J7602" s="675"/>
      <c r="K7602" s="675"/>
      <c r="L7602" s="675"/>
      <c r="M7602" s="675"/>
    </row>
    <row r="7603" spans="1:13" x14ac:dyDescent="0.25">
      <c r="A7603" s="675" t="s">
        <v>7567</v>
      </c>
      <c r="B7603" s="675" t="s">
        <v>564</v>
      </c>
      <c r="C7603" s="676" t="s">
        <v>7587</v>
      </c>
      <c r="D7603" s="675"/>
      <c r="E7603" s="675"/>
      <c r="G7603" s="675"/>
      <c r="H7603" s="675"/>
      <c r="I7603" s="675"/>
      <c r="J7603" s="675"/>
      <c r="K7603" s="675"/>
      <c r="L7603" s="675"/>
      <c r="M7603" s="675"/>
    </row>
    <row r="7604" spans="1:13" x14ac:dyDescent="0.25">
      <c r="A7604" s="675" t="s">
        <v>7567</v>
      </c>
      <c r="B7604" s="675" t="s">
        <v>512</v>
      </c>
      <c r="C7604" s="676" t="s">
        <v>7588</v>
      </c>
      <c r="D7604" s="675"/>
      <c r="E7604" s="675"/>
      <c r="G7604" s="675"/>
      <c r="H7604" s="675"/>
      <c r="I7604" s="675"/>
      <c r="J7604" s="675"/>
      <c r="K7604" s="675"/>
      <c r="L7604" s="675"/>
      <c r="M7604" s="675"/>
    </row>
    <row r="7605" spans="1:13" x14ac:dyDescent="0.25">
      <c r="A7605" s="675" t="s">
        <v>7567</v>
      </c>
      <c r="B7605" s="675" t="s">
        <v>512</v>
      </c>
      <c r="C7605" s="676" t="s">
        <v>7589</v>
      </c>
      <c r="D7605" s="675"/>
      <c r="E7605" s="675"/>
      <c r="G7605" s="675"/>
      <c r="H7605" s="675"/>
      <c r="I7605" s="675"/>
      <c r="J7605" s="675"/>
      <c r="K7605" s="675"/>
      <c r="L7605" s="675"/>
      <c r="M7605" s="675"/>
    </row>
    <row r="7606" spans="1:13" x14ac:dyDescent="0.25">
      <c r="A7606" s="675" t="s">
        <v>7567</v>
      </c>
      <c r="B7606" s="675" t="s">
        <v>512</v>
      </c>
      <c r="C7606" s="676" t="s">
        <v>7590</v>
      </c>
      <c r="D7606" s="675"/>
      <c r="E7606" s="675"/>
      <c r="G7606" s="675"/>
      <c r="H7606" s="675"/>
      <c r="I7606" s="675"/>
      <c r="J7606" s="675"/>
      <c r="K7606" s="675"/>
      <c r="L7606" s="675"/>
      <c r="M7606" s="675"/>
    </row>
    <row r="7607" spans="1:13" x14ac:dyDescent="0.25">
      <c r="A7607" s="675" t="s">
        <v>7567</v>
      </c>
      <c r="B7607" s="675" t="s">
        <v>512</v>
      </c>
      <c r="C7607" s="676" t="s">
        <v>7591</v>
      </c>
      <c r="D7607" s="675"/>
      <c r="E7607" s="675"/>
      <c r="G7607" s="675"/>
      <c r="H7607" s="675"/>
      <c r="I7607" s="675"/>
      <c r="J7607" s="675"/>
      <c r="K7607" s="675"/>
      <c r="L7607" s="675"/>
      <c r="M7607" s="675"/>
    </row>
    <row r="7608" spans="1:13" x14ac:dyDescent="0.25">
      <c r="A7608" s="675" t="s">
        <v>7567</v>
      </c>
      <c r="B7608" s="675" t="s">
        <v>512</v>
      </c>
      <c r="C7608" s="676" t="s">
        <v>7592</v>
      </c>
      <c r="D7608" s="675"/>
      <c r="E7608" s="675"/>
      <c r="G7608" s="675"/>
      <c r="H7608" s="675"/>
      <c r="I7608" s="675"/>
      <c r="J7608" s="675"/>
      <c r="K7608" s="675"/>
      <c r="L7608" s="675"/>
      <c r="M7608" s="675"/>
    </row>
    <row r="7609" spans="1:13" x14ac:dyDescent="0.25">
      <c r="A7609" s="675" t="s">
        <v>7567</v>
      </c>
      <c r="B7609" s="675" t="s">
        <v>512</v>
      </c>
      <c r="C7609" s="676" t="s">
        <v>7593</v>
      </c>
      <c r="D7609" s="675"/>
      <c r="E7609" s="675"/>
      <c r="G7609" s="675"/>
      <c r="H7609" s="675"/>
      <c r="I7609" s="675"/>
      <c r="J7609" s="675"/>
      <c r="K7609" s="675"/>
      <c r="L7609" s="675"/>
      <c r="M7609" s="675"/>
    </row>
    <row r="7610" spans="1:13" x14ac:dyDescent="0.25">
      <c r="A7610" s="675" t="s">
        <v>7567</v>
      </c>
      <c r="B7610" s="675" t="s">
        <v>512</v>
      </c>
      <c r="C7610" s="676" t="s">
        <v>7594</v>
      </c>
      <c r="D7610" s="675"/>
      <c r="E7610" s="675"/>
      <c r="G7610" s="675"/>
      <c r="H7610" s="675"/>
      <c r="I7610" s="675"/>
      <c r="J7610" s="675"/>
      <c r="K7610" s="675"/>
      <c r="L7610" s="675"/>
      <c r="M7610" s="675"/>
    </row>
    <row r="7611" spans="1:13" x14ac:dyDescent="0.25">
      <c r="A7611" s="675" t="s">
        <v>7567</v>
      </c>
      <c r="B7611" s="675" t="s">
        <v>512</v>
      </c>
      <c r="C7611" s="676" t="s">
        <v>7595</v>
      </c>
      <c r="D7611" s="675"/>
      <c r="E7611" s="675"/>
      <c r="G7611" s="675"/>
      <c r="H7611" s="675"/>
      <c r="I7611" s="675"/>
      <c r="J7611" s="675"/>
      <c r="K7611" s="675"/>
      <c r="L7611" s="675"/>
      <c r="M7611" s="675"/>
    </row>
    <row r="7612" spans="1:13" x14ac:dyDescent="0.25">
      <c r="A7612" s="675" t="s">
        <v>7567</v>
      </c>
      <c r="B7612" s="675" t="s">
        <v>512</v>
      </c>
      <c r="C7612" s="676" t="s">
        <v>7596</v>
      </c>
      <c r="D7612" s="675"/>
      <c r="E7612" s="675"/>
      <c r="G7612" s="675"/>
      <c r="H7612" s="675"/>
      <c r="I7612" s="675"/>
      <c r="J7612" s="675"/>
      <c r="K7612" s="675"/>
      <c r="L7612" s="675"/>
      <c r="M7612" s="675"/>
    </row>
    <row r="7613" spans="1:13" x14ac:dyDescent="0.25">
      <c r="A7613" s="675" t="s">
        <v>7567</v>
      </c>
      <c r="B7613" s="675" t="s">
        <v>512</v>
      </c>
      <c r="C7613" s="676" t="s">
        <v>7597</v>
      </c>
      <c r="D7613" s="675"/>
      <c r="E7613" s="675"/>
      <c r="G7613" s="675"/>
      <c r="H7613" s="675"/>
      <c r="I7613" s="675"/>
      <c r="J7613" s="675"/>
      <c r="K7613" s="675"/>
      <c r="L7613" s="675"/>
      <c r="M7613" s="675"/>
    </row>
    <row r="7614" spans="1:13" ht="30" x14ac:dyDescent="0.25">
      <c r="A7614" s="675" t="s">
        <v>2519</v>
      </c>
      <c r="B7614" s="675" t="s">
        <v>545</v>
      </c>
      <c r="C7614" s="676" t="s">
        <v>7598</v>
      </c>
      <c r="D7614" s="675"/>
      <c r="E7614" s="675"/>
      <c r="G7614" s="675"/>
      <c r="H7614" s="675"/>
      <c r="I7614" s="675"/>
      <c r="J7614" s="675"/>
      <c r="K7614" s="675"/>
      <c r="L7614" s="675"/>
      <c r="M7614" s="675"/>
    </row>
    <row r="7615" spans="1:13" ht="30" x14ac:dyDescent="0.25">
      <c r="A7615" s="675" t="s">
        <v>2519</v>
      </c>
      <c r="B7615" s="675" t="s">
        <v>545</v>
      </c>
      <c r="C7615" s="676" t="s">
        <v>7599</v>
      </c>
      <c r="D7615" s="675"/>
      <c r="E7615" s="675"/>
      <c r="G7615" s="675"/>
      <c r="H7615" s="675"/>
      <c r="I7615" s="675"/>
      <c r="J7615" s="675"/>
      <c r="K7615" s="675"/>
      <c r="L7615" s="675"/>
      <c r="M7615" s="675"/>
    </row>
    <row r="7616" spans="1:13" ht="30" x14ac:dyDescent="0.25">
      <c r="A7616" s="675" t="s">
        <v>2519</v>
      </c>
      <c r="B7616" s="675" t="s">
        <v>545</v>
      </c>
      <c r="C7616" s="676" t="s">
        <v>7600</v>
      </c>
      <c r="D7616" s="675"/>
      <c r="E7616" s="675"/>
      <c r="G7616" s="675"/>
      <c r="H7616" s="675"/>
      <c r="I7616" s="675"/>
      <c r="J7616" s="675"/>
      <c r="K7616" s="675"/>
      <c r="L7616" s="675"/>
      <c r="M7616" s="675"/>
    </row>
    <row r="7617" spans="1:13" x14ac:dyDescent="0.25">
      <c r="A7617" s="675" t="s">
        <v>2519</v>
      </c>
      <c r="B7617" s="675" t="s">
        <v>545</v>
      </c>
      <c r="C7617" s="676" t="s">
        <v>7601</v>
      </c>
      <c r="D7617" s="675"/>
      <c r="E7617" s="675"/>
      <c r="G7617" s="675"/>
      <c r="H7617" s="675"/>
      <c r="I7617" s="675"/>
      <c r="J7617" s="675"/>
      <c r="K7617" s="675"/>
      <c r="L7617" s="675"/>
      <c r="M7617" s="675"/>
    </row>
    <row r="7618" spans="1:13" ht="30" x14ac:dyDescent="0.25">
      <c r="A7618" s="675" t="s">
        <v>2519</v>
      </c>
      <c r="B7618" s="675" t="s">
        <v>545</v>
      </c>
      <c r="C7618" s="676" t="s">
        <v>7602</v>
      </c>
      <c r="D7618" s="675"/>
      <c r="E7618" s="675"/>
      <c r="G7618" s="675"/>
      <c r="H7618" s="675"/>
      <c r="I7618" s="675"/>
      <c r="J7618" s="675"/>
      <c r="K7618" s="675"/>
      <c r="L7618" s="675"/>
      <c r="M7618" s="675"/>
    </row>
    <row r="7619" spans="1:13" ht="30" x14ac:dyDescent="0.25">
      <c r="A7619" s="675" t="s">
        <v>2519</v>
      </c>
      <c r="B7619" s="675" t="s">
        <v>545</v>
      </c>
      <c r="C7619" s="676" t="s">
        <v>7603</v>
      </c>
      <c r="D7619" s="675"/>
      <c r="E7619" s="675"/>
      <c r="G7619" s="675"/>
      <c r="H7619" s="675"/>
      <c r="I7619" s="675"/>
      <c r="J7619" s="675"/>
      <c r="K7619" s="675"/>
      <c r="L7619" s="675"/>
      <c r="M7619" s="675"/>
    </row>
    <row r="7620" spans="1:13" ht="30" x14ac:dyDescent="0.25">
      <c r="A7620" s="675" t="s">
        <v>2519</v>
      </c>
      <c r="B7620" s="675" t="s">
        <v>545</v>
      </c>
      <c r="C7620" s="676" t="s">
        <v>7604</v>
      </c>
      <c r="D7620" s="675"/>
      <c r="E7620" s="675"/>
      <c r="G7620" s="675"/>
      <c r="H7620" s="675"/>
      <c r="I7620" s="675"/>
      <c r="J7620" s="675"/>
      <c r="K7620" s="675"/>
      <c r="L7620" s="675"/>
      <c r="M7620" s="675"/>
    </row>
    <row r="7621" spans="1:13" x14ac:dyDescent="0.25">
      <c r="A7621" s="675" t="s">
        <v>2519</v>
      </c>
      <c r="B7621" s="675" t="s">
        <v>545</v>
      </c>
      <c r="C7621" s="676" t="s">
        <v>7605</v>
      </c>
      <c r="D7621" s="675"/>
      <c r="E7621" s="675"/>
      <c r="G7621" s="675"/>
      <c r="H7621" s="675"/>
      <c r="I7621" s="675"/>
      <c r="J7621" s="675"/>
      <c r="K7621" s="675"/>
      <c r="L7621" s="675"/>
      <c r="M7621" s="675"/>
    </row>
    <row r="7622" spans="1:13" ht="30" x14ac:dyDescent="0.25">
      <c r="A7622" s="675" t="s">
        <v>2519</v>
      </c>
      <c r="B7622" s="675" t="s">
        <v>545</v>
      </c>
      <c r="C7622" s="676" t="s">
        <v>7606</v>
      </c>
      <c r="D7622" s="675"/>
      <c r="E7622" s="675"/>
      <c r="G7622" s="675"/>
      <c r="H7622" s="675"/>
      <c r="I7622" s="675"/>
      <c r="J7622" s="675"/>
      <c r="K7622" s="675"/>
      <c r="L7622" s="675"/>
      <c r="M7622" s="675"/>
    </row>
    <row r="7623" spans="1:13" ht="30" x14ac:dyDescent="0.25">
      <c r="A7623" s="675" t="s">
        <v>2519</v>
      </c>
      <c r="B7623" s="675" t="s">
        <v>545</v>
      </c>
      <c r="C7623" s="676" t="s">
        <v>7607</v>
      </c>
      <c r="D7623" s="675"/>
      <c r="E7623" s="675"/>
      <c r="G7623" s="675"/>
      <c r="H7623" s="675"/>
      <c r="I7623" s="675"/>
      <c r="J7623" s="675"/>
      <c r="K7623" s="675"/>
      <c r="L7623" s="675"/>
      <c r="M7623" s="675"/>
    </row>
    <row r="7624" spans="1:13" ht="30" x14ac:dyDescent="0.25">
      <c r="A7624" s="675" t="s">
        <v>2519</v>
      </c>
      <c r="B7624" s="675" t="s">
        <v>564</v>
      </c>
      <c r="C7624" s="676" t="s">
        <v>7608</v>
      </c>
      <c r="D7624" s="675"/>
      <c r="E7624" s="675"/>
      <c r="G7624" s="675"/>
      <c r="H7624" s="675"/>
      <c r="I7624" s="675"/>
      <c r="J7624" s="675"/>
      <c r="K7624" s="675"/>
      <c r="L7624" s="675"/>
      <c r="M7624" s="675"/>
    </row>
    <row r="7625" spans="1:13" x14ac:dyDescent="0.25">
      <c r="A7625" s="675" t="s">
        <v>2519</v>
      </c>
      <c r="B7625" s="675" t="s">
        <v>564</v>
      </c>
      <c r="C7625" s="676" t="s">
        <v>7609</v>
      </c>
      <c r="D7625" s="675"/>
      <c r="E7625" s="675"/>
      <c r="G7625" s="675"/>
      <c r="H7625" s="675"/>
      <c r="I7625" s="675"/>
      <c r="J7625" s="675"/>
      <c r="K7625" s="675"/>
      <c r="L7625" s="675"/>
      <c r="M7625" s="675"/>
    </row>
    <row r="7626" spans="1:13" ht="30" x14ac:dyDescent="0.25">
      <c r="A7626" s="675" t="s">
        <v>2519</v>
      </c>
      <c r="B7626" s="675" t="s">
        <v>564</v>
      </c>
      <c r="C7626" s="676" t="s">
        <v>7610</v>
      </c>
      <c r="D7626" s="675"/>
      <c r="E7626" s="675"/>
      <c r="G7626" s="675"/>
      <c r="H7626" s="675"/>
      <c r="I7626" s="675"/>
      <c r="J7626" s="675"/>
      <c r="K7626" s="675"/>
      <c r="L7626" s="675"/>
      <c r="M7626" s="675"/>
    </row>
    <row r="7627" spans="1:13" x14ac:dyDescent="0.25">
      <c r="A7627" s="675" t="s">
        <v>2519</v>
      </c>
      <c r="B7627" s="675" t="s">
        <v>564</v>
      </c>
      <c r="C7627" s="676" t="s">
        <v>7611</v>
      </c>
      <c r="D7627" s="675"/>
      <c r="E7627" s="675"/>
      <c r="G7627" s="675"/>
      <c r="H7627" s="675"/>
      <c r="I7627" s="675"/>
      <c r="J7627" s="675"/>
      <c r="K7627" s="675"/>
      <c r="L7627" s="675"/>
      <c r="M7627" s="675"/>
    </row>
    <row r="7628" spans="1:13" x14ac:dyDescent="0.25">
      <c r="A7628" s="675" t="s">
        <v>2519</v>
      </c>
      <c r="B7628" s="675" t="s">
        <v>564</v>
      </c>
      <c r="C7628" s="676" t="s">
        <v>7612</v>
      </c>
      <c r="D7628" s="675"/>
      <c r="E7628" s="675"/>
      <c r="G7628" s="675"/>
      <c r="H7628" s="675"/>
      <c r="I7628" s="675"/>
      <c r="J7628" s="675"/>
      <c r="K7628" s="675"/>
      <c r="L7628" s="675"/>
      <c r="M7628" s="675"/>
    </row>
    <row r="7629" spans="1:13" ht="30" x14ac:dyDescent="0.25">
      <c r="A7629" s="675" t="s">
        <v>2519</v>
      </c>
      <c r="B7629" s="675" t="s">
        <v>564</v>
      </c>
      <c r="C7629" s="676" t="s">
        <v>7613</v>
      </c>
      <c r="D7629" s="675"/>
      <c r="E7629" s="675"/>
      <c r="G7629" s="675"/>
      <c r="H7629" s="675"/>
      <c r="I7629" s="675"/>
      <c r="J7629" s="675"/>
      <c r="K7629" s="675"/>
      <c r="L7629" s="675"/>
      <c r="M7629" s="675"/>
    </row>
    <row r="7630" spans="1:13" x14ac:dyDescent="0.25">
      <c r="A7630" s="675" t="s">
        <v>2519</v>
      </c>
      <c r="B7630" s="675" t="s">
        <v>564</v>
      </c>
      <c r="C7630" s="676" t="s">
        <v>7614</v>
      </c>
      <c r="D7630" s="675"/>
      <c r="E7630" s="675"/>
      <c r="G7630" s="675"/>
      <c r="H7630" s="675"/>
      <c r="I7630" s="675"/>
      <c r="J7630" s="675"/>
      <c r="K7630" s="675"/>
      <c r="L7630" s="675"/>
      <c r="M7630" s="675"/>
    </row>
    <row r="7631" spans="1:13" x14ac:dyDescent="0.25">
      <c r="A7631" s="675" t="s">
        <v>2519</v>
      </c>
      <c r="B7631" s="675" t="s">
        <v>564</v>
      </c>
      <c r="C7631" s="676" t="s">
        <v>7615</v>
      </c>
      <c r="D7631" s="675"/>
      <c r="E7631" s="675"/>
      <c r="G7631" s="675"/>
      <c r="H7631" s="675"/>
      <c r="I7631" s="675"/>
      <c r="J7631" s="675"/>
      <c r="K7631" s="675"/>
      <c r="L7631" s="675"/>
      <c r="M7631" s="675"/>
    </row>
    <row r="7632" spans="1:13" x14ac:dyDescent="0.25">
      <c r="A7632" s="675" t="s">
        <v>2519</v>
      </c>
      <c r="B7632" s="675" t="s">
        <v>564</v>
      </c>
      <c r="C7632" s="676" t="s">
        <v>7616</v>
      </c>
      <c r="D7632" s="675"/>
      <c r="E7632" s="675"/>
      <c r="G7632" s="675"/>
      <c r="H7632" s="675"/>
      <c r="I7632" s="675"/>
      <c r="J7632" s="675"/>
      <c r="K7632" s="675"/>
      <c r="L7632" s="675"/>
      <c r="M7632" s="675"/>
    </row>
    <row r="7633" spans="1:13" x14ac:dyDescent="0.25">
      <c r="A7633" s="675" t="s">
        <v>2519</v>
      </c>
      <c r="B7633" s="675" t="s">
        <v>564</v>
      </c>
      <c r="C7633" s="676" t="s">
        <v>7617</v>
      </c>
      <c r="D7633" s="675"/>
      <c r="E7633" s="675"/>
      <c r="G7633" s="675"/>
      <c r="H7633" s="675"/>
      <c r="I7633" s="675"/>
      <c r="J7633" s="675"/>
      <c r="K7633" s="675"/>
      <c r="L7633" s="675"/>
      <c r="M7633" s="675"/>
    </row>
    <row r="7634" spans="1:13" ht="30" x14ac:dyDescent="0.25">
      <c r="A7634" s="675" t="s">
        <v>2519</v>
      </c>
      <c r="B7634" s="675" t="s">
        <v>512</v>
      </c>
      <c r="C7634" s="676" t="s">
        <v>7618</v>
      </c>
      <c r="D7634" s="675"/>
      <c r="E7634" s="675"/>
      <c r="G7634" s="675"/>
      <c r="H7634" s="675"/>
      <c r="I7634" s="675"/>
      <c r="J7634" s="675"/>
      <c r="K7634" s="675"/>
      <c r="L7634" s="675"/>
      <c r="M7634" s="675"/>
    </row>
    <row r="7635" spans="1:13" ht="30" x14ac:dyDescent="0.25">
      <c r="A7635" s="675" t="s">
        <v>2519</v>
      </c>
      <c r="B7635" s="675" t="s">
        <v>512</v>
      </c>
      <c r="C7635" s="676" t="s">
        <v>7619</v>
      </c>
      <c r="D7635" s="675"/>
      <c r="E7635" s="675"/>
      <c r="G7635" s="675"/>
      <c r="H7635" s="675"/>
      <c r="I7635" s="675"/>
      <c r="J7635" s="675"/>
      <c r="K7635" s="675"/>
      <c r="L7635" s="675"/>
      <c r="M7635" s="675"/>
    </row>
    <row r="7636" spans="1:13" ht="30" x14ac:dyDescent="0.25">
      <c r="A7636" s="675" t="s">
        <v>2519</v>
      </c>
      <c r="B7636" s="675" t="s">
        <v>512</v>
      </c>
      <c r="C7636" s="676" t="s">
        <v>7620</v>
      </c>
      <c r="D7636" s="675"/>
      <c r="E7636" s="675"/>
      <c r="G7636" s="675"/>
      <c r="H7636" s="675"/>
      <c r="I7636" s="675"/>
      <c r="J7636" s="675"/>
      <c r="K7636" s="675"/>
      <c r="L7636" s="675"/>
      <c r="M7636" s="675"/>
    </row>
    <row r="7637" spans="1:13" ht="30" x14ac:dyDescent="0.25">
      <c r="A7637" s="675" t="s">
        <v>2519</v>
      </c>
      <c r="B7637" s="675" t="s">
        <v>512</v>
      </c>
      <c r="C7637" s="676" t="s">
        <v>7621</v>
      </c>
      <c r="D7637" s="675"/>
      <c r="E7637" s="675"/>
      <c r="G7637" s="675"/>
      <c r="H7637" s="675"/>
      <c r="I7637" s="675"/>
      <c r="J7637" s="675"/>
      <c r="K7637" s="675"/>
      <c r="L7637" s="675"/>
      <c r="M7637" s="675"/>
    </row>
    <row r="7638" spans="1:13" x14ac:dyDescent="0.25">
      <c r="A7638" s="675" t="s">
        <v>2519</v>
      </c>
      <c r="B7638" s="675" t="s">
        <v>512</v>
      </c>
      <c r="C7638" s="676" t="s">
        <v>7622</v>
      </c>
      <c r="D7638" s="675"/>
      <c r="E7638" s="675"/>
      <c r="G7638" s="675"/>
      <c r="H7638" s="675"/>
      <c r="I7638" s="675"/>
      <c r="J7638" s="675"/>
      <c r="K7638" s="675"/>
      <c r="L7638" s="675"/>
      <c r="M7638" s="675"/>
    </row>
    <row r="7639" spans="1:13" x14ac:dyDescent="0.25">
      <c r="A7639" s="675" t="s">
        <v>2519</v>
      </c>
      <c r="B7639" s="675" t="s">
        <v>512</v>
      </c>
      <c r="C7639" s="676" t="s">
        <v>7623</v>
      </c>
      <c r="D7639" s="675"/>
      <c r="E7639" s="675"/>
      <c r="G7639" s="675"/>
      <c r="H7639" s="675"/>
      <c r="I7639" s="675"/>
      <c r="J7639" s="675"/>
      <c r="K7639" s="675"/>
      <c r="L7639" s="675"/>
      <c r="M7639" s="675"/>
    </row>
    <row r="7640" spans="1:13" x14ac:dyDescent="0.25">
      <c r="A7640" s="675" t="s">
        <v>2519</v>
      </c>
      <c r="B7640" s="675" t="s">
        <v>512</v>
      </c>
      <c r="C7640" s="676" t="s">
        <v>7624</v>
      </c>
      <c r="D7640" s="675"/>
      <c r="E7640" s="675"/>
      <c r="G7640" s="675"/>
      <c r="H7640" s="675"/>
      <c r="I7640" s="675"/>
      <c r="J7640" s="675"/>
      <c r="K7640" s="675"/>
      <c r="L7640" s="675"/>
      <c r="M7640" s="675"/>
    </row>
    <row r="7641" spans="1:13" x14ac:dyDescent="0.25">
      <c r="A7641" s="675" t="s">
        <v>2519</v>
      </c>
      <c r="B7641" s="675" t="s">
        <v>512</v>
      </c>
      <c r="C7641" s="676" t="s">
        <v>7625</v>
      </c>
      <c r="D7641" s="675"/>
      <c r="E7641" s="675"/>
      <c r="G7641" s="675"/>
      <c r="H7641" s="675"/>
      <c r="I7641" s="675"/>
      <c r="J7641" s="675"/>
      <c r="K7641" s="675"/>
      <c r="L7641" s="675"/>
      <c r="M7641" s="675"/>
    </row>
    <row r="7642" spans="1:13" x14ac:dyDescent="0.25">
      <c r="A7642" s="675" t="s">
        <v>2519</v>
      </c>
      <c r="B7642" s="675" t="s">
        <v>512</v>
      </c>
      <c r="C7642" s="676" t="s">
        <v>7626</v>
      </c>
      <c r="D7642" s="675"/>
      <c r="E7642" s="675"/>
      <c r="G7642" s="675"/>
      <c r="H7642" s="675"/>
      <c r="I7642" s="675"/>
      <c r="J7642" s="675"/>
      <c r="K7642" s="675"/>
      <c r="L7642" s="675"/>
      <c r="M7642" s="675"/>
    </row>
    <row r="7643" spans="1:13" x14ac:dyDescent="0.25">
      <c r="A7643" s="675" t="s">
        <v>2519</v>
      </c>
      <c r="B7643" s="675" t="s">
        <v>512</v>
      </c>
      <c r="C7643" s="676" t="s">
        <v>7627</v>
      </c>
      <c r="D7643" s="675"/>
      <c r="E7643" s="675"/>
      <c r="G7643" s="675"/>
      <c r="H7643" s="675"/>
      <c r="I7643" s="675"/>
      <c r="J7643" s="675"/>
      <c r="K7643" s="675"/>
      <c r="L7643" s="675"/>
      <c r="M7643" s="675"/>
    </row>
    <row r="7644" spans="1:13" x14ac:dyDescent="0.25">
      <c r="A7644" s="675" t="s">
        <v>7628</v>
      </c>
      <c r="B7644" s="675" t="s">
        <v>545</v>
      </c>
      <c r="C7644" s="676" t="s">
        <v>7629</v>
      </c>
      <c r="D7644" s="675"/>
      <c r="E7644" s="675"/>
      <c r="G7644" s="675"/>
      <c r="H7644" s="675"/>
      <c r="I7644" s="675"/>
      <c r="J7644" s="675"/>
      <c r="K7644" s="675"/>
      <c r="L7644" s="675"/>
      <c r="M7644" s="675"/>
    </row>
    <row r="7645" spans="1:13" x14ac:dyDescent="0.25">
      <c r="A7645" s="675" t="s">
        <v>7628</v>
      </c>
      <c r="B7645" s="675" t="s">
        <v>545</v>
      </c>
      <c r="C7645" s="676" t="s">
        <v>7630</v>
      </c>
      <c r="D7645" s="675"/>
      <c r="E7645" s="675"/>
      <c r="G7645" s="675"/>
      <c r="H7645" s="675"/>
      <c r="I7645" s="675"/>
      <c r="J7645" s="675"/>
      <c r="K7645" s="675"/>
      <c r="L7645" s="675"/>
      <c r="M7645" s="675"/>
    </row>
    <row r="7646" spans="1:13" x14ac:dyDescent="0.25">
      <c r="A7646" s="675" t="s">
        <v>7628</v>
      </c>
      <c r="B7646" s="675" t="s">
        <v>545</v>
      </c>
      <c r="C7646" s="676" t="s">
        <v>7631</v>
      </c>
      <c r="D7646" s="675"/>
      <c r="E7646" s="675"/>
      <c r="G7646" s="675"/>
      <c r="H7646" s="675"/>
      <c r="I7646" s="675"/>
      <c r="J7646" s="675"/>
      <c r="K7646" s="675"/>
      <c r="L7646" s="675"/>
      <c r="M7646" s="675"/>
    </row>
    <row r="7647" spans="1:13" x14ac:dyDescent="0.25">
      <c r="A7647" s="675" t="s">
        <v>7628</v>
      </c>
      <c r="B7647" s="675" t="s">
        <v>545</v>
      </c>
      <c r="C7647" s="676" t="s">
        <v>7632</v>
      </c>
      <c r="D7647" s="675"/>
      <c r="E7647" s="675"/>
      <c r="G7647" s="675"/>
      <c r="H7647" s="675"/>
      <c r="I7647" s="675"/>
      <c r="J7647" s="675"/>
      <c r="K7647" s="675"/>
      <c r="L7647" s="675"/>
      <c r="M7647" s="675"/>
    </row>
    <row r="7648" spans="1:13" x14ac:dyDescent="0.25">
      <c r="A7648" s="675" t="s">
        <v>7628</v>
      </c>
      <c r="B7648" s="675" t="s">
        <v>545</v>
      </c>
      <c r="C7648" s="676" t="s">
        <v>7633</v>
      </c>
      <c r="D7648" s="675"/>
      <c r="E7648" s="675"/>
      <c r="G7648" s="675"/>
      <c r="H7648" s="675"/>
      <c r="I7648" s="675"/>
      <c r="J7648" s="675"/>
      <c r="K7648" s="675"/>
      <c r="L7648" s="675"/>
      <c r="M7648" s="675"/>
    </row>
    <row r="7649" spans="1:13" x14ac:dyDescent="0.25">
      <c r="A7649" s="675" t="s">
        <v>7628</v>
      </c>
      <c r="B7649" s="675" t="s">
        <v>545</v>
      </c>
      <c r="C7649" s="676" t="s">
        <v>7634</v>
      </c>
      <c r="D7649" s="675"/>
      <c r="E7649" s="675"/>
      <c r="G7649" s="675"/>
      <c r="H7649" s="675"/>
      <c r="I7649" s="675"/>
      <c r="J7649" s="675"/>
      <c r="K7649" s="675"/>
      <c r="L7649" s="675"/>
      <c r="M7649" s="675"/>
    </row>
    <row r="7650" spans="1:13" x14ac:dyDescent="0.25">
      <c r="A7650" s="675" t="s">
        <v>7628</v>
      </c>
      <c r="B7650" s="675" t="s">
        <v>545</v>
      </c>
      <c r="C7650" s="676" t="s">
        <v>7635</v>
      </c>
      <c r="D7650" s="675"/>
      <c r="E7650" s="675"/>
      <c r="G7650" s="675"/>
      <c r="H7650" s="675"/>
      <c r="I7650" s="675"/>
      <c r="J7650" s="675"/>
      <c r="K7650" s="675"/>
      <c r="L7650" s="675"/>
      <c r="M7650" s="675"/>
    </row>
    <row r="7651" spans="1:13" x14ac:dyDescent="0.25">
      <c r="A7651" s="675" t="s">
        <v>7628</v>
      </c>
      <c r="B7651" s="675" t="s">
        <v>545</v>
      </c>
      <c r="C7651" s="676" t="s">
        <v>7636</v>
      </c>
      <c r="D7651" s="675"/>
      <c r="E7651" s="675"/>
      <c r="G7651" s="675"/>
      <c r="H7651" s="675"/>
      <c r="I7651" s="675"/>
      <c r="J7651" s="675"/>
      <c r="K7651" s="675"/>
      <c r="L7651" s="675"/>
      <c r="M7651" s="675"/>
    </row>
    <row r="7652" spans="1:13" x14ac:dyDescent="0.25">
      <c r="A7652" s="675" t="s">
        <v>7628</v>
      </c>
      <c r="B7652" s="675" t="s">
        <v>545</v>
      </c>
      <c r="C7652" s="676" t="s">
        <v>7637</v>
      </c>
      <c r="D7652" s="675"/>
      <c r="E7652" s="675"/>
      <c r="G7652" s="675"/>
      <c r="H7652" s="675"/>
      <c r="I7652" s="675"/>
      <c r="J7652" s="675"/>
      <c r="K7652" s="675"/>
      <c r="L7652" s="675"/>
      <c r="M7652" s="675"/>
    </row>
    <row r="7653" spans="1:13" x14ac:dyDescent="0.25">
      <c r="A7653" s="675" t="s">
        <v>7628</v>
      </c>
      <c r="B7653" s="675" t="s">
        <v>545</v>
      </c>
      <c r="C7653" s="676" t="s">
        <v>7638</v>
      </c>
      <c r="D7653" s="675"/>
      <c r="E7653" s="675"/>
      <c r="G7653" s="675"/>
      <c r="H7653" s="675"/>
      <c r="I7653" s="675"/>
      <c r="J7653" s="675"/>
      <c r="K7653" s="675"/>
      <c r="L7653" s="675"/>
      <c r="M7653" s="675"/>
    </row>
    <row r="7654" spans="1:13" x14ac:dyDescent="0.25">
      <c r="A7654" s="675" t="s">
        <v>7628</v>
      </c>
      <c r="B7654" s="675" t="s">
        <v>564</v>
      </c>
      <c r="C7654" s="676" t="s">
        <v>7639</v>
      </c>
      <c r="D7654" s="675"/>
      <c r="E7654" s="675"/>
      <c r="G7654" s="675"/>
      <c r="H7654" s="675"/>
      <c r="I7654" s="675"/>
      <c r="J7654" s="675"/>
      <c r="K7654" s="675"/>
      <c r="L7654" s="675"/>
      <c r="M7654" s="675"/>
    </row>
    <row r="7655" spans="1:13" x14ac:dyDescent="0.25">
      <c r="A7655" s="675" t="s">
        <v>7628</v>
      </c>
      <c r="B7655" s="675" t="s">
        <v>564</v>
      </c>
      <c r="C7655" s="676" t="s">
        <v>7640</v>
      </c>
      <c r="D7655" s="675"/>
      <c r="E7655" s="675"/>
      <c r="G7655" s="675"/>
      <c r="H7655" s="675"/>
      <c r="I7655" s="675"/>
      <c r="J7655" s="675"/>
      <c r="K7655" s="675"/>
      <c r="L7655" s="675"/>
      <c r="M7655" s="675"/>
    </row>
    <row r="7656" spans="1:13" x14ac:dyDescent="0.25">
      <c r="A7656" s="675" t="s">
        <v>7628</v>
      </c>
      <c r="B7656" s="675" t="s">
        <v>564</v>
      </c>
      <c r="C7656" s="676" t="s">
        <v>7641</v>
      </c>
      <c r="D7656" s="675"/>
      <c r="E7656" s="675"/>
      <c r="G7656" s="675"/>
      <c r="H7656" s="675"/>
      <c r="I7656" s="675"/>
      <c r="J7656" s="675"/>
      <c r="K7656" s="675"/>
      <c r="L7656" s="675"/>
      <c r="M7656" s="675"/>
    </row>
    <row r="7657" spans="1:13" x14ac:dyDescent="0.25">
      <c r="A7657" s="675" t="s">
        <v>7628</v>
      </c>
      <c r="B7657" s="675" t="s">
        <v>564</v>
      </c>
      <c r="C7657" s="676" t="s">
        <v>7642</v>
      </c>
      <c r="D7657" s="675"/>
      <c r="E7657" s="675"/>
      <c r="G7657" s="675"/>
      <c r="H7657" s="675"/>
      <c r="I7657" s="675"/>
      <c r="J7657" s="675"/>
      <c r="K7657" s="675"/>
      <c r="L7657" s="675"/>
      <c r="M7657" s="675"/>
    </row>
    <row r="7658" spans="1:13" x14ac:dyDescent="0.25">
      <c r="A7658" s="675" t="s">
        <v>7628</v>
      </c>
      <c r="B7658" s="675" t="s">
        <v>564</v>
      </c>
      <c r="C7658" s="676" t="s">
        <v>7643</v>
      </c>
      <c r="D7658" s="675"/>
      <c r="E7658" s="675"/>
      <c r="G7658" s="675"/>
      <c r="H7658" s="675"/>
      <c r="I7658" s="675"/>
      <c r="J7658" s="675"/>
      <c r="K7658" s="675"/>
      <c r="L7658" s="675"/>
      <c r="M7658" s="675"/>
    </row>
    <row r="7659" spans="1:13" x14ac:dyDescent="0.25">
      <c r="A7659" s="675" t="s">
        <v>7628</v>
      </c>
      <c r="B7659" s="675" t="s">
        <v>564</v>
      </c>
      <c r="C7659" s="676" t="s">
        <v>7644</v>
      </c>
      <c r="D7659" s="675"/>
      <c r="E7659" s="675"/>
      <c r="G7659" s="675"/>
      <c r="H7659" s="675"/>
      <c r="I7659" s="675"/>
      <c r="J7659" s="675"/>
      <c r="K7659" s="675"/>
      <c r="L7659" s="675"/>
      <c r="M7659" s="675"/>
    </row>
    <row r="7660" spans="1:13" x14ac:dyDescent="0.25">
      <c r="A7660" s="675" t="s">
        <v>7628</v>
      </c>
      <c r="B7660" s="675" t="s">
        <v>564</v>
      </c>
      <c r="C7660" s="676" t="s">
        <v>7645</v>
      </c>
      <c r="D7660" s="675"/>
      <c r="E7660" s="675"/>
      <c r="G7660" s="675"/>
      <c r="H7660" s="675"/>
      <c r="I7660" s="675"/>
      <c r="J7660" s="675"/>
      <c r="K7660" s="675"/>
      <c r="L7660" s="675"/>
      <c r="M7660" s="675"/>
    </row>
    <row r="7661" spans="1:13" x14ac:dyDescent="0.25">
      <c r="A7661" s="675" t="s">
        <v>7628</v>
      </c>
      <c r="B7661" s="675" t="s">
        <v>564</v>
      </c>
      <c r="C7661" s="676" t="s">
        <v>7646</v>
      </c>
      <c r="D7661" s="675"/>
      <c r="E7661" s="675"/>
      <c r="G7661" s="675"/>
      <c r="H7661" s="675"/>
      <c r="I7661" s="675"/>
      <c r="J7661" s="675"/>
      <c r="K7661" s="675"/>
      <c r="L7661" s="675"/>
      <c r="M7661" s="675"/>
    </row>
    <row r="7662" spans="1:13" x14ac:dyDescent="0.25">
      <c r="A7662" s="675" t="s">
        <v>7628</v>
      </c>
      <c r="B7662" s="675" t="s">
        <v>564</v>
      </c>
      <c r="C7662" s="676" t="s">
        <v>7647</v>
      </c>
      <c r="D7662" s="675"/>
      <c r="E7662" s="675"/>
      <c r="G7662" s="675"/>
      <c r="H7662" s="675"/>
      <c r="I7662" s="675"/>
      <c r="J7662" s="675"/>
      <c r="K7662" s="675"/>
      <c r="L7662" s="675"/>
      <c r="M7662" s="675"/>
    </row>
    <row r="7663" spans="1:13" x14ac:dyDescent="0.25">
      <c r="A7663" s="675" t="s">
        <v>7628</v>
      </c>
      <c r="B7663" s="675" t="s">
        <v>564</v>
      </c>
      <c r="C7663" s="676" t="s">
        <v>7648</v>
      </c>
      <c r="D7663" s="675"/>
      <c r="E7663" s="675"/>
      <c r="G7663" s="675"/>
      <c r="H7663" s="675"/>
      <c r="I7663" s="675"/>
      <c r="J7663" s="675"/>
      <c r="K7663" s="675"/>
      <c r="L7663" s="675"/>
      <c r="M7663" s="675"/>
    </row>
    <row r="7664" spans="1:13" x14ac:dyDescent="0.25">
      <c r="A7664" s="675" t="s">
        <v>7628</v>
      </c>
      <c r="B7664" s="675" t="s">
        <v>512</v>
      </c>
      <c r="C7664" s="676" t="s">
        <v>7649</v>
      </c>
      <c r="D7664" s="675"/>
      <c r="E7664" s="675"/>
      <c r="G7664" s="675"/>
      <c r="H7664" s="675"/>
      <c r="I7664" s="675"/>
      <c r="J7664" s="675"/>
      <c r="K7664" s="675"/>
      <c r="L7664" s="675"/>
      <c r="M7664" s="675"/>
    </row>
    <row r="7665" spans="1:13" x14ac:dyDescent="0.25">
      <c r="A7665" s="675" t="s">
        <v>7628</v>
      </c>
      <c r="B7665" s="675" t="s">
        <v>512</v>
      </c>
      <c r="C7665" s="676" t="s">
        <v>7650</v>
      </c>
      <c r="D7665" s="675"/>
      <c r="E7665" s="675"/>
      <c r="G7665" s="675"/>
      <c r="H7665" s="675"/>
      <c r="I7665" s="675"/>
      <c r="J7665" s="675"/>
      <c r="K7665" s="675"/>
      <c r="L7665" s="675"/>
      <c r="M7665" s="675"/>
    </row>
    <row r="7666" spans="1:13" x14ac:dyDescent="0.25">
      <c r="A7666" s="675" t="s">
        <v>7628</v>
      </c>
      <c r="B7666" s="675" t="s">
        <v>512</v>
      </c>
      <c r="C7666" s="676" t="s">
        <v>7651</v>
      </c>
      <c r="D7666" s="675"/>
      <c r="E7666" s="675"/>
      <c r="G7666" s="675"/>
      <c r="H7666" s="675"/>
      <c r="I7666" s="675"/>
      <c r="J7666" s="675"/>
      <c r="K7666" s="675"/>
      <c r="L7666" s="675"/>
      <c r="M7666" s="675"/>
    </row>
    <row r="7667" spans="1:13" x14ac:dyDescent="0.25">
      <c r="A7667" s="675" t="s">
        <v>7628</v>
      </c>
      <c r="B7667" s="675" t="s">
        <v>512</v>
      </c>
      <c r="C7667" s="676" t="s">
        <v>7652</v>
      </c>
      <c r="D7667" s="675"/>
      <c r="E7667" s="675"/>
      <c r="G7667" s="675"/>
      <c r="H7667" s="675"/>
      <c r="I7667" s="675"/>
      <c r="J7667" s="675"/>
      <c r="K7667" s="675"/>
      <c r="L7667" s="675"/>
      <c r="M7667" s="675"/>
    </row>
    <row r="7668" spans="1:13" x14ac:dyDescent="0.25">
      <c r="A7668" s="675" t="s">
        <v>7628</v>
      </c>
      <c r="B7668" s="675" t="s">
        <v>512</v>
      </c>
      <c r="C7668" s="676" t="s">
        <v>7653</v>
      </c>
      <c r="D7668" s="675"/>
      <c r="E7668" s="675"/>
      <c r="G7668" s="675"/>
      <c r="H7668" s="675"/>
      <c r="I7668" s="675"/>
      <c r="J7668" s="675"/>
      <c r="K7668" s="675"/>
      <c r="L7668" s="675"/>
      <c r="M7668" s="675"/>
    </row>
    <row r="7669" spans="1:13" x14ac:dyDescent="0.25">
      <c r="A7669" s="675" t="s">
        <v>7628</v>
      </c>
      <c r="B7669" s="675" t="s">
        <v>512</v>
      </c>
      <c r="C7669" s="676" t="s">
        <v>7654</v>
      </c>
      <c r="D7669" s="675"/>
      <c r="E7669" s="675"/>
      <c r="G7669" s="675"/>
      <c r="H7669" s="675"/>
      <c r="I7669" s="675"/>
      <c r="J7669" s="675"/>
      <c r="K7669" s="675"/>
      <c r="L7669" s="675"/>
      <c r="M7669" s="675"/>
    </row>
    <row r="7670" spans="1:13" x14ac:dyDescent="0.25">
      <c r="A7670" s="675" t="s">
        <v>7628</v>
      </c>
      <c r="B7670" s="675" t="s">
        <v>512</v>
      </c>
      <c r="C7670" s="676" t="s">
        <v>7655</v>
      </c>
      <c r="D7670" s="675"/>
      <c r="E7670" s="675"/>
      <c r="G7670" s="675"/>
      <c r="H7670" s="675"/>
      <c r="I7670" s="675"/>
      <c r="J7670" s="675"/>
      <c r="K7670" s="675"/>
      <c r="L7670" s="675"/>
      <c r="M7670" s="675"/>
    </row>
    <row r="7671" spans="1:13" x14ac:dyDescent="0.25">
      <c r="A7671" s="675" t="s">
        <v>7628</v>
      </c>
      <c r="B7671" s="675" t="s">
        <v>512</v>
      </c>
      <c r="C7671" s="676" t="s">
        <v>7656</v>
      </c>
      <c r="D7671" s="675"/>
      <c r="E7671" s="675"/>
      <c r="G7671" s="675"/>
      <c r="H7671" s="675"/>
      <c r="I7671" s="675"/>
      <c r="J7671" s="675"/>
      <c r="K7671" s="675"/>
      <c r="L7671" s="675"/>
      <c r="M7671" s="675"/>
    </row>
    <row r="7672" spans="1:13" x14ac:dyDescent="0.25">
      <c r="A7672" s="675" t="s">
        <v>7628</v>
      </c>
      <c r="B7672" s="675" t="s">
        <v>512</v>
      </c>
      <c r="C7672" s="676" t="s">
        <v>7657</v>
      </c>
      <c r="D7672" s="675"/>
      <c r="E7672" s="675"/>
      <c r="G7672" s="675"/>
      <c r="H7672" s="675"/>
      <c r="I7672" s="675"/>
      <c r="J7672" s="675"/>
      <c r="K7672" s="675"/>
      <c r="L7672" s="675"/>
      <c r="M7672" s="675"/>
    </row>
    <row r="7673" spans="1:13" x14ac:dyDescent="0.25">
      <c r="A7673" s="675" t="s">
        <v>7628</v>
      </c>
      <c r="B7673" s="675" t="s">
        <v>512</v>
      </c>
      <c r="C7673" s="676" t="s">
        <v>7658</v>
      </c>
      <c r="D7673" s="675"/>
      <c r="E7673" s="675"/>
      <c r="G7673" s="675"/>
      <c r="H7673" s="675"/>
      <c r="I7673" s="675"/>
      <c r="J7673" s="675"/>
      <c r="K7673" s="675"/>
      <c r="L7673" s="675"/>
      <c r="M7673" s="675"/>
    </row>
    <row r="7674" spans="1:13" x14ac:dyDescent="0.25">
      <c r="A7674" s="675" t="s">
        <v>7659</v>
      </c>
      <c r="B7674" s="675" t="s">
        <v>545</v>
      </c>
      <c r="C7674" s="676" t="s">
        <v>7660</v>
      </c>
      <c r="D7674" s="675"/>
      <c r="E7674" s="675"/>
      <c r="G7674" s="675"/>
      <c r="H7674" s="675"/>
      <c r="I7674" s="675"/>
      <c r="J7674" s="675"/>
      <c r="K7674" s="675"/>
      <c r="L7674" s="675"/>
      <c r="M7674" s="675"/>
    </row>
    <row r="7675" spans="1:13" x14ac:dyDescent="0.25">
      <c r="A7675" s="675" t="s">
        <v>7659</v>
      </c>
      <c r="B7675" s="675" t="s">
        <v>545</v>
      </c>
      <c r="C7675" s="676" t="s">
        <v>7661</v>
      </c>
      <c r="D7675" s="675"/>
      <c r="E7675" s="675"/>
      <c r="G7675" s="675"/>
      <c r="H7675" s="675"/>
      <c r="I7675" s="675"/>
      <c r="J7675" s="675"/>
      <c r="K7675" s="675"/>
      <c r="L7675" s="675"/>
      <c r="M7675" s="675"/>
    </row>
    <row r="7676" spans="1:13" x14ac:dyDescent="0.25">
      <c r="A7676" s="675" t="s">
        <v>7659</v>
      </c>
      <c r="B7676" s="675" t="s">
        <v>545</v>
      </c>
      <c r="C7676" s="676" t="s">
        <v>7662</v>
      </c>
      <c r="D7676" s="675"/>
      <c r="E7676" s="675"/>
      <c r="G7676" s="675"/>
      <c r="H7676" s="675"/>
      <c r="I7676" s="675"/>
      <c r="J7676" s="675"/>
      <c r="K7676" s="675"/>
      <c r="L7676" s="675"/>
      <c r="M7676" s="675"/>
    </row>
    <row r="7677" spans="1:13" x14ac:dyDescent="0.25">
      <c r="A7677" s="675" t="s">
        <v>7659</v>
      </c>
      <c r="B7677" s="675" t="s">
        <v>545</v>
      </c>
      <c r="C7677" s="676" t="s">
        <v>7663</v>
      </c>
      <c r="D7677" s="675"/>
      <c r="E7677" s="675"/>
      <c r="G7677" s="675"/>
      <c r="H7677" s="675"/>
      <c r="I7677" s="675"/>
      <c r="J7677" s="675"/>
      <c r="K7677" s="675"/>
      <c r="L7677" s="675"/>
      <c r="M7677" s="675"/>
    </row>
    <row r="7678" spans="1:13" x14ac:dyDescent="0.25">
      <c r="A7678" s="675" t="s">
        <v>7659</v>
      </c>
      <c r="B7678" s="675" t="s">
        <v>545</v>
      </c>
      <c r="C7678" s="676" t="s">
        <v>7664</v>
      </c>
      <c r="D7678" s="675"/>
      <c r="E7678" s="675"/>
      <c r="G7678" s="675"/>
      <c r="H7678" s="675"/>
      <c r="I7678" s="675"/>
      <c r="J7678" s="675"/>
      <c r="K7678" s="675"/>
      <c r="L7678" s="675"/>
      <c r="M7678" s="675"/>
    </row>
    <row r="7679" spans="1:13" x14ac:dyDescent="0.25">
      <c r="A7679" s="675" t="s">
        <v>7659</v>
      </c>
      <c r="B7679" s="675" t="s">
        <v>545</v>
      </c>
      <c r="C7679" s="676" t="s">
        <v>7665</v>
      </c>
      <c r="D7679" s="675"/>
      <c r="E7679" s="675"/>
      <c r="G7679" s="675"/>
      <c r="H7679" s="675"/>
      <c r="I7679" s="675"/>
      <c r="J7679" s="675"/>
      <c r="K7679" s="675"/>
      <c r="L7679" s="675"/>
      <c r="M7679" s="675"/>
    </row>
    <row r="7680" spans="1:13" x14ac:dyDescent="0.25">
      <c r="A7680" s="675" t="s">
        <v>7659</v>
      </c>
      <c r="B7680" s="675" t="s">
        <v>545</v>
      </c>
      <c r="C7680" s="676" t="s">
        <v>7666</v>
      </c>
      <c r="D7680" s="675"/>
      <c r="E7680" s="675"/>
      <c r="G7680" s="675"/>
      <c r="H7680" s="675"/>
      <c r="I7680" s="675"/>
      <c r="J7680" s="675"/>
      <c r="K7680" s="675"/>
      <c r="L7680" s="675"/>
      <c r="M7680" s="675"/>
    </row>
    <row r="7681" spans="1:13" x14ac:dyDescent="0.25">
      <c r="A7681" s="675" t="s">
        <v>7659</v>
      </c>
      <c r="B7681" s="675" t="s">
        <v>545</v>
      </c>
      <c r="C7681" s="676" t="s">
        <v>7667</v>
      </c>
      <c r="D7681" s="675"/>
      <c r="E7681" s="675"/>
      <c r="G7681" s="675"/>
      <c r="H7681" s="675"/>
      <c r="I7681" s="675"/>
      <c r="J7681" s="675"/>
      <c r="K7681" s="675"/>
      <c r="L7681" s="675"/>
      <c r="M7681" s="675"/>
    </row>
    <row r="7682" spans="1:13" x14ac:dyDescent="0.25">
      <c r="A7682" s="675" t="s">
        <v>7659</v>
      </c>
      <c r="B7682" s="675" t="s">
        <v>545</v>
      </c>
      <c r="C7682" s="676" t="s">
        <v>7668</v>
      </c>
      <c r="D7682" s="675"/>
      <c r="E7682" s="675"/>
      <c r="G7682" s="675"/>
      <c r="H7682" s="675"/>
      <c r="I7682" s="675"/>
      <c r="J7682" s="675"/>
      <c r="K7682" s="675"/>
      <c r="L7682" s="675"/>
      <c r="M7682" s="675"/>
    </row>
    <row r="7683" spans="1:13" x14ac:dyDescent="0.25">
      <c r="A7683" s="675" t="s">
        <v>7659</v>
      </c>
      <c r="B7683" s="675" t="s">
        <v>545</v>
      </c>
      <c r="C7683" s="676" t="s">
        <v>7669</v>
      </c>
      <c r="D7683" s="675"/>
      <c r="E7683" s="675"/>
      <c r="G7683" s="675"/>
      <c r="H7683" s="675"/>
      <c r="I7683" s="675"/>
      <c r="J7683" s="675"/>
      <c r="K7683" s="675"/>
      <c r="L7683" s="675"/>
      <c r="M7683" s="675"/>
    </row>
    <row r="7684" spans="1:13" x14ac:dyDescent="0.25">
      <c r="A7684" s="675" t="s">
        <v>7659</v>
      </c>
      <c r="B7684" s="675" t="s">
        <v>564</v>
      </c>
      <c r="C7684" s="676" t="s">
        <v>7670</v>
      </c>
      <c r="D7684" s="675"/>
      <c r="E7684" s="675"/>
      <c r="G7684" s="675"/>
      <c r="H7684" s="675"/>
      <c r="I7684" s="675"/>
      <c r="J7684" s="675"/>
      <c r="K7684" s="675"/>
      <c r="L7684" s="675"/>
      <c r="M7684" s="675"/>
    </row>
    <row r="7685" spans="1:13" x14ac:dyDescent="0.25">
      <c r="A7685" s="675" t="s">
        <v>7659</v>
      </c>
      <c r="B7685" s="675" t="s">
        <v>564</v>
      </c>
      <c r="C7685" s="676" t="s">
        <v>7671</v>
      </c>
      <c r="D7685" s="675"/>
      <c r="E7685" s="675"/>
      <c r="G7685" s="675"/>
      <c r="H7685" s="675"/>
      <c r="I7685" s="675"/>
      <c r="J7685" s="675"/>
      <c r="K7685" s="675"/>
      <c r="L7685" s="675"/>
      <c r="M7685" s="675"/>
    </row>
    <row r="7686" spans="1:13" x14ac:dyDescent="0.25">
      <c r="A7686" s="675" t="s">
        <v>7659</v>
      </c>
      <c r="B7686" s="675" t="s">
        <v>564</v>
      </c>
      <c r="C7686" s="676" t="s">
        <v>7672</v>
      </c>
      <c r="D7686" s="675"/>
      <c r="E7686" s="675"/>
      <c r="G7686" s="675"/>
      <c r="H7686" s="675"/>
      <c r="I7686" s="675"/>
      <c r="J7686" s="675"/>
      <c r="K7686" s="675"/>
      <c r="L7686" s="675"/>
      <c r="M7686" s="675"/>
    </row>
    <row r="7687" spans="1:13" x14ac:dyDescent="0.25">
      <c r="A7687" s="675" t="s">
        <v>7659</v>
      </c>
      <c r="B7687" s="675" t="s">
        <v>564</v>
      </c>
      <c r="C7687" s="676" t="s">
        <v>7673</v>
      </c>
      <c r="D7687" s="675"/>
      <c r="E7687" s="675"/>
      <c r="G7687" s="675"/>
      <c r="H7687" s="675"/>
      <c r="I7687" s="675"/>
      <c r="J7687" s="675"/>
      <c r="K7687" s="675"/>
      <c r="L7687" s="675"/>
      <c r="M7687" s="675"/>
    </row>
    <row r="7688" spans="1:13" x14ac:dyDescent="0.25">
      <c r="A7688" s="675" t="s">
        <v>7659</v>
      </c>
      <c r="B7688" s="675" t="s">
        <v>564</v>
      </c>
      <c r="C7688" s="676" t="s">
        <v>7674</v>
      </c>
      <c r="D7688" s="675"/>
      <c r="E7688" s="675"/>
      <c r="G7688" s="675"/>
      <c r="H7688" s="675"/>
      <c r="I7688" s="675"/>
      <c r="J7688" s="675"/>
      <c r="K7688" s="675"/>
      <c r="L7688" s="675"/>
      <c r="M7688" s="675"/>
    </row>
    <row r="7689" spans="1:13" x14ac:dyDescent="0.25">
      <c r="A7689" s="675" t="s">
        <v>7659</v>
      </c>
      <c r="B7689" s="675" t="s">
        <v>564</v>
      </c>
      <c r="C7689" s="676" t="s">
        <v>7675</v>
      </c>
      <c r="D7689" s="675"/>
      <c r="E7689" s="675"/>
      <c r="G7689" s="675"/>
      <c r="H7689" s="675"/>
      <c r="I7689" s="675"/>
      <c r="J7689" s="675"/>
      <c r="K7689" s="675"/>
      <c r="L7689" s="675"/>
      <c r="M7689" s="675"/>
    </row>
    <row r="7690" spans="1:13" x14ac:dyDescent="0.25">
      <c r="A7690" s="675" t="s">
        <v>7659</v>
      </c>
      <c r="B7690" s="675" t="s">
        <v>564</v>
      </c>
      <c r="C7690" s="676" t="s">
        <v>7676</v>
      </c>
      <c r="D7690" s="675"/>
      <c r="E7690" s="675"/>
      <c r="G7690" s="675"/>
      <c r="H7690" s="675"/>
      <c r="I7690" s="675"/>
      <c r="J7690" s="675"/>
      <c r="K7690" s="675"/>
      <c r="L7690" s="675"/>
      <c r="M7690" s="675"/>
    </row>
    <row r="7691" spans="1:13" x14ac:dyDescent="0.25">
      <c r="A7691" s="675" t="s">
        <v>7659</v>
      </c>
      <c r="B7691" s="675" t="s">
        <v>564</v>
      </c>
      <c r="C7691" s="676" t="s">
        <v>7677</v>
      </c>
      <c r="D7691" s="675"/>
      <c r="E7691" s="675"/>
      <c r="G7691" s="675"/>
      <c r="H7691" s="675"/>
      <c r="I7691" s="675"/>
      <c r="J7691" s="675"/>
      <c r="K7691" s="675"/>
      <c r="L7691" s="675"/>
      <c r="M7691" s="675"/>
    </row>
    <row r="7692" spans="1:13" x14ac:dyDescent="0.25">
      <c r="A7692" s="675" t="s">
        <v>7659</v>
      </c>
      <c r="B7692" s="675" t="s">
        <v>564</v>
      </c>
      <c r="C7692" s="676" t="s">
        <v>7678</v>
      </c>
      <c r="D7692" s="675"/>
      <c r="E7692" s="675"/>
      <c r="G7692" s="675"/>
      <c r="H7692" s="675"/>
      <c r="I7692" s="675"/>
      <c r="J7692" s="675"/>
      <c r="K7692" s="675"/>
      <c r="L7692" s="675"/>
      <c r="M7692" s="675"/>
    </row>
    <row r="7693" spans="1:13" x14ac:dyDescent="0.25">
      <c r="A7693" s="675" t="s">
        <v>7659</v>
      </c>
      <c r="B7693" s="675"/>
      <c r="C7693" s="676" t="s">
        <v>7679</v>
      </c>
      <c r="D7693" s="675"/>
      <c r="E7693" s="675"/>
      <c r="G7693" s="675"/>
      <c r="H7693" s="675"/>
      <c r="I7693" s="675"/>
      <c r="J7693" s="675"/>
      <c r="K7693" s="675"/>
      <c r="L7693" s="675"/>
      <c r="M7693" s="675"/>
    </row>
    <row r="7694" spans="1:13" x14ac:dyDescent="0.25">
      <c r="A7694" s="675" t="s">
        <v>7659</v>
      </c>
      <c r="B7694" s="675" t="s">
        <v>512</v>
      </c>
      <c r="C7694" s="676" t="s">
        <v>7680</v>
      </c>
      <c r="D7694" s="675"/>
      <c r="E7694" s="675"/>
      <c r="G7694" s="675"/>
      <c r="H7694" s="675"/>
      <c r="I7694" s="675"/>
      <c r="J7694" s="675"/>
      <c r="K7694" s="675"/>
      <c r="L7694" s="675"/>
      <c r="M7694" s="675"/>
    </row>
    <row r="7695" spans="1:13" x14ac:dyDescent="0.25">
      <c r="A7695" s="675" t="s">
        <v>7659</v>
      </c>
      <c r="B7695" s="675" t="s">
        <v>512</v>
      </c>
      <c r="C7695" s="676" t="s">
        <v>7681</v>
      </c>
      <c r="D7695" s="675"/>
      <c r="E7695" s="675"/>
      <c r="G7695" s="675"/>
      <c r="H7695" s="675"/>
      <c r="I7695" s="675"/>
      <c r="J7695" s="675"/>
      <c r="K7695" s="675"/>
      <c r="L7695" s="675"/>
      <c r="M7695" s="675"/>
    </row>
    <row r="7696" spans="1:13" x14ac:dyDescent="0.25">
      <c r="A7696" s="675" t="s">
        <v>7659</v>
      </c>
      <c r="B7696" s="675" t="s">
        <v>512</v>
      </c>
      <c r="C7696" s="676" t="s">
        <v>7682</v>
      </c>
      <c r="D7696" s="675"/>
      <c r="E7696" s="675"/>
      <c r="G7696" s="675"/>
      <c r="H7696" s="675"/>
      <c r="I7696" s="675"/>
      <c r="J7696" s="675"/>
      <c r="K7696" s="675"/>
      <c r="L7696" s="675"/>
      <c r="M7696" s="675"/>
    </row>
    <row r="7697" spans="1:13" x14ac:dyDescent="0.25">
      <c r="A7697" s="675" t="s">
        <v>7659</v>
      </c>
      <c r="B7697" s="675" t="s">
        <v>512</v>
      </c>
      <c r="C7697" s="676" t="s">
        <v>7683</v>
      </c>
      <c r="D7697" s="675"/>
      <c r="E7697" s="675"/>
      <c r="G7697" s="675"/>
      <c r="H7697" s="675"/>
      <c r="I7697" s="675"/>
      <c r="J7697" s="675"/>
      <c r="K7697" s="675"/>
      <c r="L7697" s="675"/>
      <c r="M7697" s="675"/>
    </row>
    <row r="7698" spans="1:13" x14ac:dyDescent="0.25">
      <c r="A7698" s="675" t="s">
        <v>7659</v>
      </c>
      <c r="B7698" s="675" t="s">
        <v>512</v>
      </c>
      <c r="C7698" s="676" t="s">
        <v>7684</v>
      </c>
      <c r="D7698" s="675"/>
      <c r="E7698" s="675"/>
      <c r="G7698" s="675"/>
      <c r="H7698" s="675"/>
      <c r="I7698" s="675"/>
      <c r="J7698" s="675"/>
      <c r="K7698" s="675"/>
      <c r="L7698" s="675"/>
      <c r="M7698" s="675"/>
    </row>
    <row r="7699" spans="1:13" x14ac:dyDescent="0.25">
      <c r="A7699" s="675" t="s">
        <v>7659</v>
      </c>
      <c r="B7699" s="675" t="s">
        <v>512</v>
      </c>
      <c r="C7699" s="676" t="s">
        <v>7685</v>
      </c>
      <c r="D7699" s="675"/>
      <c r="E7699" s="675"/>
      <c r="G7699" s="675"/>
      <c r="H7699" s="675"/>
      <c r="I7699" s="675"/>
      <c r="J7699" s="675"/>
      <c r="K7699" s="675"/>
      <c r="L7699" s="675"/>
      <c r="M7699" s="675"/>
    </row>
    <row r="7700" spans="1:13" x14ac:dyDescent="0.25">
      <c r="A7700" s="675" t="s">
        <v>7659</v>
      </c>
      <c r="B7700" s="675" t="s">
        <v>512</v>
      </c>
      <c r="C7700" s="676" t="s">
        <v>7686</v>
      </c>
      <c r="D7700" s="675"/>
      <c r="E7700" s="675"/>
      <c r="G7700" s="675"/>
      <c r="H7700" s="675"/>
      <c r="I7700" s="675"/>
      <c r="J7700" s="675"/>
      <c r="K7700" s="675"/>
      <c r="L7700" s="675"/>
      <c r="M7700" s="675"/>
    </row>
    <row r="7701" spans="1:13" x14ac:dyDescent="0.25">
      <c r="A7701" s="675" t="s">
        <v>7659</v>
      </c>
      <c r="B7701" s="675" t="s">
        <v>512</v>
      </c>
      <c r="C7701" s="676" t="s">
        <v>7687</v>
      </c>
      <c r="D7701" s="675"/>
      <c r="E7701" s="675"/>
      <c r="G7701" s="675"/>
      <c r="H7701" s="675"/>
      <c r="I7701" s="675"/>
      <c r="J7701" s="675"/>
      <c r="K7701" s="675"/>
      <c r="L7701" s="675"/>
      <c r="M7701" s="675"/>
    </row>
    <row r="7702" spans="1:13" x14ac:dyDescent="0.25">
      <c r="A7702" s="675" t="s">
        <v>7659</v>
      </c>
      <c r="B7702" s="675" t="s">
        <v>512</v>
      </c>
      <c r="C7702" s="676" t="s">
        <v>7688</v>
      </c>
      <c r="D7702" s="675"/>
      <c r="E7702" s="675"/>
      <c r="G7702" s="675"/>
      <c r="H7702" s="675"/>
      <c r="I7702" s="675"/>
      <c r="J7702" s="675"/>
      <c r="K7702" s="675"/>
      <c r="L7702" s="675"/>
      <c r="M7702" s="675"/>
    </row>
    <row r="7703" spans="1:13" x14ac:dyDescent="0.25">
      <c r="A7703" s="675" t="s">
        <v>7659</v>
      </c>
      <c r="B7703" s="675" t="s">
        <v>512</v>
      </c>
      <c r="C7703" s="676" t="s">
        <v>7689</v>
      </c>
      <c r="D7703" s="675"/>
      <c r="E7703" s="675"/>
      <c r="G7703" s="675"/>
      <c r="H7703" s="675"/>
      <c r="I7703" s="675"/>
      <c r="J7703" s="675"/>
      <c r="K7703" s="675"/>
      <c r="L7703" s="675"/>
      <c r="M7703" s="675"/>
    </row>
    <row r="7704" spans="1:13" ht="30" x14ac:dyDescent="0.25">
      <c r="A7704" s="675" t="s">
        <v>7690</v>
      </c>
      <c r="B7704" s="675" t="s">
        <v>545</v>
      </c>
      <c r="C7704" s="676" t="s">
        <v>7691</v>
      </c>
      <c r="D7704" s="675"/>
      <c r="E7704" s="675"/>
      <c r="G7704" s="675"/>
      <c r="H7704" s="675"/>
      <c r="I7704" s="675"/>
      <c r="J7704" s="675"/>
      <c r="K7704" s="675"/>
      <c r="L7704" s="675"/>
      <c r="M7704" s="675"/>
    </row>
    <row r="7705" spans="1:13" ht="30" x14ac:dyDescent="0.25">
      <c r="A7705" s="675" t="s">
        <v>7690</v>
      </c>
      <c r="B7705" s="675" t="s">
        <v>545</v>
      </c>
      <c r="C7705" s="676" t="s">
        <v>7692</v>
      </c>
      <c r="D7705" s="675"/>
      <c r="E7705" s="675"/>
      <c r="G7705" s="675"/>
      <c r="H7705" s="675"/>
      <c r="I7705" s="675"/>
      <c r="J7705" s="675"/>
      <c r="K7705" s="675"/>
      <c r="L7705" s="675"/>
      <c r="M7705" s="675"/>
    </row>
    <row r="7706" spans="1:13" x14ac:dyDescent="0.25">
      <c r="A7706" s="675" t="s">
        <v>7690</v>
      </c>
      <c r="B7706" s="675" t="s">
        <v>545</v>
      </c>
      <c r="C7706" s="676" t="s">
        <v>7693</v>
      </c>
      <c r="D7706" s="675"/>
      <c r="E7706" s="675"/>
      <c r="G7706" s="675"/>
      <c r="H7706" s="675"/>
      <c r="I7706" s="675"/>
      <c r="J7706" s="675"/>
      <c r="K7706" s="675"/>
      <c r="L7706" s="675"/>
      <c r="M7706" s="675"/>
    </row>
    <row r="7707" spans="1:13" x14ac:dyDescent="0.25">
      <c r="A7707" s="675" t="s">
        <v>7690</v>
      </c>
      <c r="B7707" s="675" t="s">
        <v>545</v>
      </c>
      <c r="C7707" s="676" t="s">
        <v>7694</v>
      </c>
      <c r="D7707" s="675"/>
      <c r="E7707" s="675"/>
      <c r="G7707" s="675"/>
      <c r="H7707" s="675"/>
      <c r="I7707" s="675"/>
      <c r="J7707" s="675"/>
      <c r="K7707" s="675"/>
      <c r="L7707" s="675"/>
      <c r="M7707" s="675"/>
    </row>
    <row r="7708" spans="1:13" x14ac:dyDescent="0.25">
      <c r="A7708" s="675" t="s">
        <v>7690</v>
      </c>
      <c r="B7708" s="675" t="s">
        <v>545</v>
      </c>
      <c r="C7708" s="676" t="s">
        <v>7695</v>
      </c>
      <c r="D7708" s="675"/>
      <c r="E7708" s="675"/>
      <c r="G7708" s="675"/>
      <c r="H7708" s="675"/>
      <c r="I7708" s="675"/>
      <c r="J7708" s="675"/>
      <c r="K7708" s="675"/>
      <c r="L7708" s="675"/>
      <c r="M7708" s="675"/>
    </row>
    <row r="7709" spans="1:13" x14ac:dyDescent="0.25">
      <c r="A7709" s="675" t="s">
        <v>7690</v>
      </c>
      <c r="B7709" s="675" t="s">
        <v>545</v>
      </c>
      <c r="C7709" s="676" t="s">
        <v>7696</v>
      </c>
      <c r="D7709" s="675"/>
      <c r="E7709" s="675"/>
      <c r="G7709" s="675"/>
      <c r="H7709" s="675"/>
      <c r="I7709" s="675"/>
      <c r="J7709" s="675"/>
      <c r="K7709" s="675"/>
      <c r="L7709" s="675"/>
      <c r="M7709" s="675"/>
    </row>
    <row r="7710" spans="1:13" x14ac:dyDescent="0.25">
      <c r="A7710" s="675" t="s">
        <v>7690</v>
      </c>
      <c r="B7710" s="675" t="s">
        <v>545</v>
      </c>
      <c r="C7710" s="676" t="s">
        <v>7697</v>
      </c>
      <c r="D7710" s="675"/>
      <c r="E7710" s="675"/>
      <c r="G7710" s="675"/>
      <c r="H7710" s="675"/>
      <c r="I7710" s="675"/>
      <c r="J7710" s="675"/>
      <c r="K7710" s="675"/>
      <c r="L7710" s="675"/>
      <c r="M7710" s="675"/>
    </row>
    <row r="7711" spans="1:13" x14ac:dyDescent="0.25">
      <c r="A7711" s="675" t="s">
        <v>7690</v>
      </c>
      <c r="B7711" s="675" t="s">
        <v>545</v>
      </c>
      <c r="C7711" s="676" t="s">
        <v>7698</v>
      </c>
      <c r="D7711" s="675"/>
      <c r="E7711" s="675"/>
      <c r="G7711" s="675"/>
      <c r="H7711" s="675"/>
      <c r="I7711" s="675"/>
      <c r="J7711" s="675"/>
      <c r="K7711" s="675"/>
      <c r="L7711" s="675"/>
      <c r="M7711" s="675"/>
    </row>
    <row r="7712" spans="1:13" x14ac:dyDescent="0.25">
      <c r="A7712" s="675" t="s">
        <v>7690</v>
      </c>
      <c r="B7712" s="675" t="s">
        <v>545</v>
      </c>
      <c r="C7712" s="676" t="s">
        <v>7699</v>
      </c>
      <c r="D7712" s="675"/>
      <c r="E7712" s="675"/>
      <c r="G7712" s="675"/>
      <c r="H7712" s="675"/>
      <c r="I7712" s="675"/>
      <c r="J7712" s="675"/>
      <c r="K7712" s="675"/>
      <c r="L7712" s="675"/>
      <c r="M7712" s="675"/>
    </row>
    <row r="7713" spans="1:13" x14ac:dyDescent="0.25">
      <c r="A7713" s="675" t="s">
        <v>7690</v>
      </c>
      <c r="B7713" s="675" t="s">
        <v>545</v>
      </c>
      <c r="C7713" s="676" t="s">
        <v>7700</v>
      </c>
      <c r="D7713" s="675"/>
      <c r="E7713" s="675"/>
      <c r="G7713" s="675"/>
      <c r="H7713" s="675"/>
      <c r="I7713" s="675"/>
      <c r="J7713" s="675"/>
      <c r="K7713" s="675"/>
      <c r="L7713" s="675"/>
      <c r="M7713" s="675"/>
    </row>
    <row r="7714" spans="1:13" x14ac:dyDescent="0.25">
      <c r="A7714" s="675" t="s">
        <v>7690</v>
      </c>
      <c r="B7714" s="675" t="s">
        <v>564</v>
      </c>
      <c r="C7714" s="676" t="s">
        <v>7701</v>
      </c>
      <c r="D7714" s="675"/>
      <c r="E7714" s="675"/>
      <c r="G7714" s="675"/>
      <c r="H7714" s="675"/>
      <c r="I7714" s="675"/>
      <c r="J7714" s="675"/>
      <c r="K7714" s="675"/>
      <c r="L7714" s="675"/>
      <c r="M7714" s="675"/>
    </row>
    <row r="7715" spans="1:13" ht="30" x14ac:dyDescent="0.25">
      <c r="A7715" s="675" t="s">
        <v>7690</v>
      </c>
      <c r="B7715" s="675" t="s">
        <v>564</v>
      </c>
      <c r="C7715" s="676" t="s">
        <v>7702</v>
      </c>
      <c r="D7715" s="675"/>
      <c r="E7715" s="675"/>
      <c r="G7715" s="675"/>
      <c r="H7715" s="675"/>
      <c r="I7715" s="675"/>
      <c r="J7715" s="675"/>
      <c r="K7715" s="675"/>
      <c r="L7715" s="675"/>
      <c r="M7715" s="675"/>
    </row>
    <row r="7716" spans="1:13" x14ac:dyDescent="0.25">
      <c r="A7716" s="675" t="s">
        <v>7690</v>
      </c>
      <c r="B7716" s="675" t="s">
        <v>564</v>
      </c>
      <c r="C7716" s="676" t="s">
        <v>7703</v>
      </c>
      <c r="D7716" s="675"/>
      <c r="E7716" s="675"/>
      <c r="G7716" s="675"/>
      <c r="H7716" s="675"/>
      <c r="I7716" s="675"/>
      <c r="J7716" s="675"/>
      <c r="K7716" s="675"/>
      <c r="L7716" s="675"/>
      <c r="M7716" s="675"/>
    </row>
    <row r="7717" spans="1:13" x14ac:dyDescent="0.25">
      <c r="A7717" s="675" t="s">
        <v>7690</v>
      </c>
      <c r="B7717" s="675" t="s">
        <v>564</v>
      </c>
      <c r="C7717" s="676" t="s">
        <v>7704</v>
      </c>
      <c r="D7717" s="675"/>
      <c r="E7717" s="675"/>
      <c r="G7717" s="675"/>
      <c r="H7717" s="675"/>
      <c r="I7717" s="675"/>
      <c r="J7717" s="675"/>
      <c r="K7717" s="675"/>
      <c r="L7717" s="675"/>
      <c r="M7717" s="675"/>
    </row>
    <row r="7718" spans="1:13" x14ac:dyDescent="0.25">
      <c r="A7718" s="675" t="s">
        <v>7690</v>
      </c>
      <c r="B7718" s="675" t="s">
        <v>564</v>
      </c>
      <c r="C7718" s="676" t="s">
        <v>7705</v>
      </c>
      <c r="D7718" s="675"/>
      <c r="E7718" s="675"/>
      <c r="G7718" s="675"/>
      <c r="H7718" s="675"/>
      <c r="I7718" s="675"/>
      <c r="J7718" s="675"/>
      <c r="K7718" s="675"/>
      <c r="L7718" s="675"/>
      <c r="M7718" s="675"/>
    </row>
    <row r="7719" spans="1:13" x14ac:dyDescent="0.25">
      <c r="A7719" s="675" t="s">
        <v>7690</v>
      </c>
      <c r="B7719" s="675" t="s">
        <v>564</v>
      </c>
      <c r="C7719" s="676" t="s">
        <v>7706</v>
      </c>
      <c r="D7719" s="675"/>
      <c r="E7719" s="675"/>
      <c r="G7719" s="675"/>
      <c r="H7719" s="675"/>
      <c r="I7719" s="675"/>
      <c r="J7719" s="675"/>
      <c r="K7719" s="675"/>
      <c r="L7719" s="675"/>
      <c r="M7719" s="675"/>
    </row>
    <row r="7720" spans="1:13" x14ac:dyDescent="0.25">
      <c r="A7720" s="675" t="s">
        <v>7690</v>
      </c>
      <c r="B7720" s="675" t="s">
        <v>564</v>
      </c>
      <c r="C7720" s="676" t="s">
        <v>7707</v>
      </c>
      <c r="D7720" s="675"/>
      <c r="E7720" s="675"/>
      <c r="G7720" s="675"/>
      <c r="H7720" s="675"/>
      <c r="I7720" s="675"/>
      <c r="J7720" s="675"/>
      <c r="K7720" s="675"/>
      <c r="L7720" s="675"/>
      <c r="M7720" s="675"/>
    </row>
    <row r="7721" spans="1:13" x14ac:dyDescent="0.25">
      <c r="A7721" s="675" t="s">
        <v>7690</v>
      </c>
      <c r="B7721" s="675" t="s">
        <v>564</v>
      </c>
      <c r="C7721" s="676" t="s">
        <v>7708</v>
      </c>
      <c r="D7721" s="675"/>
      <c r="E7721" s="675"/>
      <c r="G7721" s="675"/>
      <c r="H7721" s="675"/>
      <c r="I7721" s="675"/>
      <c r="J7721" s="675"/>
      <c r="K7721" s="675"/>
      <c r="L7721" s="675"/>
      <c r="M7721" s="675"/>
    </row>
    <row r="7722" spans="1:13" x14ac:dyDescent="0.25">
      <c r="A7722" s="675" t="s">
        <v>7690</v>
      </c>
      <c r="B7722" s="675" t="s">
        <v>564</v>
      </c>
      <c r="C7722" s="676" t="s">
        <v>7709</v>
      </c>
      <c r="D7722" s="675"/>
      <c r="E7722" s="675"/>
      <c r="G7722" s="675"/>
      <c r="H7722" s="675"/>
      <c r="I7722" s="675"/>
      <c r="J7722" s="675"/>
      <c r="K7722" s="675"/>
      <c r="L7722" s="675"/>
      <c r="M7722" s="675"/>
    </row>
    <row r="7723" spans="1:13" x14ac:dyDescent="0.25">
      <c r="A7723" s="675" t="s">
        <v>7690</v>
      </c>
      <c r="B7723" s="675" t="s">
        <v>564</v>
      </c>
      <c r="C7723" s="676" t="s">
        <v>7710</v>
      </c>
      <c r="D7723" s="675"/>
      <c r="E7723" s="675"/>
      <c r="G7723" s="675"/>
      <c r="H7723" s="675"/>
      <c r="I7723" s="675"/>
      <c r="J7723" s="675"/>
      <c r="K7723" s="675"/>
      <c r="L7723" s="675"/>
      <c r="M7723" s="675"/>
    </row>
    <row r="7724" spans="1:13" x14ac:dyDescent="0.25">
      <c r="A7724" s="675" t="s">
        <v>7690</v>
      </c>
      <c r="B7724" s="675" t="s">
        <v>512</v>
      </c>
      <c r="C7724" s="676" t="s">
        <v>7711</v>
      </c>
      <c r="D7724" s="675"/>
      <c r="E7724" s="675"/>
      <c r="G7724" s="675"/>
      <c r="H7724" s="675"/>
      <c r="I7724" s="675"/>
      <c r="J7724" s="675"/>
      <c r="K7724" s="675"/>
      <c r="L7724" s="675"/>
      <c r="M7724" s="675"/>
    </row>
    <row r="7725" spans="1:13" x14ac:dyDescent="0.25">
      <c r="A7725" s="675" t="s">
        <v>7690</v>
      </c>
      <c r="B7725" s="675" t="s">
        <v>512</v>
      </c>
      <c r="C7725" s="676" t="s">
        <v>7712</v>
      </c>
      <c r="D7725" s="675"/>
      <c r="E7725" s="675"/>
      <c r="G7725" s="675"/>
      <c r="H7725" s="675"/>
      <c r="I7725" s="675"/>
      <c r="J7725" s="675"/>
      <c r="K7725" s="675"/>
      <c r="L7725" s="675"/>
      <c r="M7725" s="675"/>
    </row>
    <row r="7726" spans="1:13" x14ac:dyDescent="0.25">
      <c r="A7726" s="675" t="s">
        <v>7690</v>
      </c>
      <c r="B7726" s="675" t="s">
        <v>512</v>
      </c>
      <c r="C7726" s="676" t="s">
        <v>7713</v>
      </c>
      <c r="D7726" s="675"/>
      <c r="E7726" s="675"/>
      <c r="G7726" s="675"/>
      <c r="H7726" s="675"/>
      <c r="I7726" s="675"/>
      <c r="J7726" s="675"/>
      <c r="K7726" s="675"/>
      <c r="L7726" s="675"/>
      <c r="M7726" s="675"/>
    </row>
    <row r="7727" spans="1:13" x14ac:dyDescent="0.25">
      <c r="A7727" s="675" t="s">
        <v>7690</v>
      </c>
      <c r="B7727" s="675" t="s">
        <v>512</v>
      </c>
      <c r="C7727" s="676" t="s">
        <v>7714</v>
      </c>
      <c r="D7727" s="675"/>
      <c r="E7727" s="675"/>
      <c r="G7727" s="675"/>
      <c r="H7727" s="675"/>
      <c r="I7727" s="675"/>
      <c r="J7727" s="675"/>
      <c r="K7727" s="675"/>
      <c r="L7727" s="675"/>
      <c r="M7727" s="675"/>
    </row>
    <row r="7728" spans="1:13" x14ac:dyDescent="0.25">
      <c r="A7728" s="675" t="s">
        <v>7690</v>
      </c>
      <c r="B7728" s="675" t="s">
        <v>512</v>
      </c>
      <c r="C7728" s="676" t="s">
        <v>7715</v>
      </c>
      <c r="D7728" s="675"/>
      <c r="E7728" s="675"/>
      <c r="G7728" s="675"/>
      <c r="H7728" s="675"/>
      <c r="I7728" s="675"/>
      <c r="J7728" s="675"/>
      <c r="K7728" s="675"/>
      <c r="L7728" s="675"/>
      <c r="M7728" s="675"/>
    </row>
    <row r="7729" spans="1:13" x14ac:dyDescent="0.25">
      <c r="A7729" s="675" t="s">
        <v>7690</v>
      </c>
      <c r="B7729" s="675" t="s">
        <v>512</v>
      </c>
      <c r="C7729" s="676" t="s">
        <v>7716</v>
      </c>
      <c r="D7729" s="675"/>
      <c r="E7729" s="675"/>
      <c r="G7729" s="675"/>
      <c r="H7729" s="675"/>
      <c r="I7729" s="675"/>
      <c r="J7729" s="675"/>
      <c r="K7729" s="675"/>
      <c r="L7729" s="675"/>
      <c r="M7729" s="675"/>
    </row>
    <row r="7730" spans="1:13" x14ac:dyDescent="0.25">
      <c r="A7730" s="675" t="s">
        <v>7690</v>
      </c>
      <c r="B7730" s="675" t="s">
        <v>512</v>
      </c>
      <c r="C7730" s="676" t="s">
        <v>7717</v>
      </c>
      <c r="D7730" s="675"/>
      <c r="E7730" s="675"/>
      <c r="G7730" s="675"/>
      <c r="H7730" s="675"/>
      <c r="I7730" s="675"/>
      <c r="J7730" s="675"/>
      <c r="K7730" s="675"/>
      <c r="L7730" s="675"/>
      <c r="M7730" s="675"/>
    </row>
    <row r="7731" spans="1:13" x14ac:dyDescent="0.25">
      <c r="A7731" s="675" t="s">
        <v>7690</v>
      </c>
      <c r="B7731" s="675" t="s">
        <v>512</v>
      </c>
      <c r="C7731" s="676" t="s">
        <v>7718</v>
      </c>
      <c r="D7731" s="675"/>
      <c r="E7731" s="675"/>
      <c r="G7731" s="675"/>
      <c r="H7731" s="675"/>
      <c r="I7731" s="675"/>
      <c r="J7731" s="675"/>
      <c r="K7731" s="675"/>
      <c r="L7731" s="675"/>
      <c r="M7731" s="675"/>
    </row>
    <row r="7732" spans="1:13" x14ac:dyDescent="0.25">
      <c r="A7732" s="675" t="s">
        <v>7690</v>
      </c>
      <c r="B7732" s="675" t="s">
        <v>512</v>
      </c>
      <c r="C7732" s="676" t="s">
        <v>7719</v>
      </c>
      <c r="D7732" s="675"/>
      <c r="E7732" s="675"/>
      <c r="G7732" s="675"/>
      <c r="H7732" s="675"/>
      <c r="I7732" s="675"/>
      <c r="J7732" s="675"/>
      <c r="K7732" s="675"/>
      <c r="L7732" s="675"/>
      <c r="M7732" s="675"/>
    </row>
    <row r="7733" spans="1:13" x14ac:dyDescent="0.25">
      <c r="A7733" s="675" t="s">
        <v>7690</v>
      </c>
      <c r="B7733" s="675" t="s">
        <v>512</v>
      </c>
      <c r="C7733" s="676" t="s">
        <v>7720</v>
      </c>
      <c r="D7733" s="675"/>
      <c r="E7733" s="675"/>
      <c r="G7733" s="675"/>
      <c r="H7733" s="675"/>
      <c r="I7733" s="675"/>
      <c r="J7733" s="675"/>
      <c r="K7733" s="675"/>
      <c r="L7733" s="675"/>
      <c r="M7733" s="675"/>
    </row>
    <row r="7734" spans="1:13" x14ac:dyDescent="0.25">
      <c r="A7734" s="675" t="s">
        <v>7721</v>
      </c>
      <c r="B7734" s="675" t="s">
        <v>545</v>
      </c>
      <c r="C7734" s="676" t="s">
        <v>7722</v>
      </c>
      <c r="D7734" s="675"/>
      <c r="E7734" s="675"/>
      <c r="G7734" s="675"/>
      <c r="H7734" s="675"/>
      <c r="I7734" s="675"/>
      <c r="J7734" s="675"/>
      <c r="K7734" s="675"/>
      <c r="L7734" s="675"/>
      <c r="M7734" s="675"/>
    </row>
    <row r="7735" spans="1:13" x14ac:dyDescent="0.25">
      <c r="A7735" s="675" t="s">
        <v>7721</v>
      </c>
      <c r="B7735" s="675" t="s">
        <v>545</v>
      </c>
      <c r="C7735" s="676" t="s">
        <v>7723</v>
      </c>
      <c r="D7735" s="675"/>
      <c r="E7735" s="675"/>
      <c r="G7735" s="675"/>
      <c r="H7735" s="675"/>
      <c r="I7735" s="675"/>
      <c r="J7735" s="675"/>
      <c r="K7735" s="675"/>
      <c r="L7735" s="675"/>
      <c r="M7735" s="675"/>
    </row>
    <row r="7736" spans="1:13" x14ac:dyDescent="0.25">
      <c r="A7736" s="675" t="s">
        <v>7721</v>
      </c>
      <c r="B7736" s="675" t="s">
        <v>545</v>
      </c>
      <c r="C7736" s="676" t="s">
        <v>7724</v>
      </c>
      <c r="D7736" s="675"/>
      <c r="E7736" s="675"/>
      <c r="G7736" s="675"/>
      <c r="H7736" s="675"/>
      <c r="I7736" s="675"/>
      <c r="J7736" s="675"/>
      <c r="K7736" s="675"/>
      <c r="L7736" s="675"/>
      <c r="M7736" s="675"/>
    </row>
    <row r="7737" spans="1:13" x14ac:dyDescent="0.25">
      <c r="A7737" s="675" t="s">
        <v>7721</v>
      </c>
      <c r="B7737" s="675" t="s">
        <v>545</v>
      </c>
      <c r="C7737" s="676" t="s">
        <v>7725</v>
      </c>
      <c r="D7737" s="675"/>
      <c r="E7737" s="675"/>
      <c r="G7737" s="675"/>
      <c r="H7737" s="675"/>
      <c r="I7737" s="675"/>
      <c r="J7737" s="675"/>
      <c r="K7737" s="675"/>
      <c r="L7737" s="675"/>
      <c r="M7737" s="675"/>
    </row>
    <row r="7738" spans="1:13" x14ac:dyDescent="0.25">
      <c r="A7738" s="675" t="s">
        <v>7721</v>
      </c>
      <c r="B7738" s="675" t="s">
        <v>545</v>
      </c>
      <c r="C7738" s="676" t="s">
        <v>7726</v>
      </c>
      <c r="D7738" s="675"/>
      <c r="E7738" s="675"/>
      <c r="G7738" s="675"/>
      <c r="H7738" s="675"/>
      <c r="I7738" s="675"/>
      <c r="J7738" s="675"/>
      <c r="K7738" s="675"/>
      <c r="L7738" s="675"/>
      <c r="M7738" s="675"/>
    </row>
    <row r="7739" spans="1:13" x14ac:dyDescent="0.25">
      <c r="A7739" s="675" t="s">
        <v>7721</v>
      </c>
      <c r="B7739" s="675" t="s">
        <v>545</v>
      </c>
      <c r="C7739" s="676" t="s">
        <v>7727</v>
      </c>
      <c r="D7739" s="675"/>
      <c r="E7739" s="675"/>
      <c r="G7739" s="675"/>
      <c r="H7739" s="675"/>
      <c r="I7739" s="675"/>
      <c r="J7739" s="675"/>
      <c r="K7739" s="675"/>
      <c r="L7739" s="675"/>
      <c r="M7739" s="675"/>
    </row>
    <row r="7740" spans="1:13" x14ac:dyDescent="0.25">
      <c r="A7740" s="675" t="s">
        <v>7721</v>
      </c>
      <c r="B7740" s="675" t="s">
        <v>545</v>
      </c>
      <c r="C7740" s="676" t="s">
        <v>7728</v>
      </c>
      <c r="D7740" s="675"/>
      <c r="E7740" s="675"/>
      <c r="G7740" s="675"/>
      <c r="H7740" s="675"/>
      <c r="I7740" s="675"/>
      <c r="J7740" s="675"/>
      <c r="K7740" s="675"/>
      <c r="L7740" s="675"/>
      <c r="M7740" s="675"/>
    </row>
    <row r="7741" spans="1:13" x14ac:dyDescent="0.25">
      <c r="A7741" s="675" t="s">
        <v>7721</v>
      </c>
      <c r="B7741" s="675" t="s">
        <v>545</v>
      </c>
      <c r="C7741" s="676" t="s">
        <v>7729</v>
      </c>
      <c r="D7741" s="675"/>
      <c r="E7741" s="675"/>
      <c r="G7741" s="675"/>
      <c r="H7741" s="675"/>
      <c r="I7741" s="675"/>
      <c r="J7741" s="675"/>
      <c r="K7741" s="675"/>
      <c r="L7741" s="675"/>
      <c r="M7741" s="675"/>
    </row>
    <row r="7742" spans="1:13" x14ac:dyDescent="0.25">
      <c r="A7742" s="675" t="s">
        <v>7721</v>
      </c>
      <c r="B7742" s="675" t="s">
        <v>545</v>
      </c>
      <c r="C7742" s="676" t="s">
        <v>7730</v>
      </c>
      <c r="D7742" s="675"/>
      <c r="E7742" s="675"/>
      <c r="G7742" s="675"/>
      <c r="H7742" s="675"/>
      <c r="I7742" s="675"/>
      <c r="J7742" s="675"/>
      <c r="K7742" s="675"/>
      <c r="L7742" s="675"/>
      <c r="M7742" s="675"/>
    </row>
    <row r="7743" spans="1:13" x14ac:dyDescent="0.25">
      <c r="A7743" s="675" t="s">
        <v>7721</v>
      </c>
      <c r="B7743" s="675" t="s">
        <v>545</v>
      </c>
      <c r="C7743" s="676" t="s">
        <v>7731</v>
      </c>
      <c r="D7743" s="675"/>
      <c r="E7743" s="675"/>
      <c r="G7743" s="675"/>
      <c r="H7743" s="675"/>
      <c r="I7743" s="675"/>
      <c r="J7743" s="675"/>
      <c r="K7743" s="675"/>
      <c r="L7743" s="675"/>
      <c r="M7743" s="675"/>
    </row>
    <row r="7744" spans="1:13" x14ac:dyDescent="0.25">
      <c r="A7744" s="675" t="s">
        <v>7721</v>
      </c>
      <c r="B7744" s="675" t="s">
        <v>564</v>
      </c>
      <c r="C7744" s="676" t="s">
        <v>7732</v>
      </c>
      <c r="D7744" s="675"/>
      <c r="E7744" s="675"/>
      <c r="G7744" s="675"/>
      <c r="H7744" s="675"/>
      <c r="I7744" s="675"/>
      <c r="J7744" s="675"/>
      <c r="K7744" s="675"/>
      <c r="L7744" s="675"/>
      <c r="M7744" s="675"/>
    </row>
    <row r="7745" spans="1:13" ht="30" x14ac:dyDescent="0.25">
      <c r="A7745" s="675" t="s">
        <v>7721</v>
      </c>
      <c r="B7745" s="675" t="s">
        <v>564</v>
      </c>
      <c r="C7745" s="676" t="s">
        <v>7733</v>
      </c>
      <c r="D7745" s="675"/>
      <c r="E7745" s="675"/>
      <c r="G7745" s="675"/>
      <c r="H7745" s="675"/>
      <c r="I7745" s="675"/>
      <c r="J7745" s="675"/>
      <c r="K7745" s="675"/>
      <c r="L7745" s="675"/>
      <c r="M7745" s="675"/>
    </row>
    <row r="7746" spans="1:13" x14ac:dyDescent="0.25">
      <c r="A7746" s="675" t="s">
        <v>7721</v>
      </c>
      <c r="B7746" s="675" t="s">
        <v>564</v>
      </c>
      <c r="C7746" s="676" t="s">
        <v>7734</v>
      </c>
      <c r="D7746" s="675"/>
      <c r="E7746" s="675"/>
      <c r="G7746" s="675"/>
      <c r="H7746" s="675"/>
      <c r="I7746" s="675"/>
      <c r="J7746" s="675"/>
      <c r="K7746" s="675"/>
      <c r="L7746" s="675"/>
      <c r="M7746" s="675"/>
    </row>
    <row r="7747" spans="1:13" x14ac:dyDescent="0.25">
      <c r="A7747" s="675" t="s">
        <v>7721</v>
      </c>
      <c r="B7747" s="675" t="s">
        <v>564</v>
      </c>
      <c r="C7747" s="676" t="s">
        <v>7735</v>
      </c>
      <c r="D7747" s="675"/>
      <c r="E7747" s="675"/>
      <c r="G7747" s="675"/>
      <c r="H7747" s="675"/>
      <c r="I7747" s="675"/>
      <c r="J7747" s="675"/>
      <c r="K7747" s="675"/>
      <c r="L7747" s="675"/>
      <c r="M7747" s="675"/>
    </row>
    <row r="7748" spans="1:13" x14ac:dyDescent="0.25">
      <c r="A7748" s="675" t="s">
        <v>7721</v>
      </c>
      <c r="B7748" s="675" t="s">
        <v>564</v>
      </c>
      <c r="C7748" s="676" t="s">
        <v>7736</v>
      </c>
      <c r="D7748" s="675"/>
      <c r="E7748" s="675"/>
      <c r="G7748" s="675"/>
      <c r="H7748" s="675"/>
      <c r="I7748" s="675"/>
      <c r="J7748" s="675"/>
      <c r="K7748" s="675"/>
      <c r="L7748" s="675"/>
      <c r="M7748" s="675"/>
    </row>
    <row r="7749" spans="1:13" x14ac:dyDescent="0.25">
      <c r="A7749" s="675" t="s">
        <v>7721</v>
      </c>
      <c r="B7749" s="675" t="s">
        <v>564</v>
      </c>
      <c r="C7749" s="676" t="s">
        <v>7737</v>
      </c>
      <c r="D7749" s="675"/>
      <c r="E7749" s="675"/>
      <c r="G7749" s="675"/>
      <c r="H7749" s="675"/>
      <c r="I7749" s="675"/>
      <c r="J7749" s="675"/>
      <c r="K7749" s="675"/>
      <c r="L7749" s="675"/>
      <c r="M7749" s="675"/>
    </row>
    <row r="7750" spans="1:13" x14ac:dyDescent="0.25">
      <c r="A7750" s="675" t="s">
        <v>7721</v>
      </c>
      <c r="B7750" s="675" t="s">
        <v>564</v>
      </c>
      <c r="C7750" s="676" t="s">
        <v>7738</v>
      </c>
      <c r="D7750" s="675"/>
      <c r="E7750" s="675"/>
      <c r="G7750" s="675"/>
      <c r="H7750" s="675"/>
      <c r="I7750" s="675"/>
      <c r="J7750" s="675"/>
      <c r="K7750" s="675"/>
      <c r="L7750" s="675"/>
      <c r="M7750" s="675"/>
    </row>
    <row r="7751" spans="1:13" x14ac:dyDescent="0.25">
      <c r="A7751" s="675" t="s">
        <v>7721</v>
      </c>
      <c r="B7751" s="675" t="s">
        <v>564</v>
      </c>
      <c r="C7751" s="676" t="s">
        <v>7739</v>
      </c>
      <c r="D7751" s="675"/>
      <c r="E7751" s="675"/>
      <c r="G7751" s="675"/>
      <c r="H7751" s="675"/>
      <c r="I7751" s="675"/>
      <c r="J7751" s="675"/>
      <c r="K7751" s="675"/>
      <c r="L7751" s="675"/>
      <c r="M7751" s="675"/>
    </row>
    <row r="7752" spans="1:13" x14ac:dyDescent="0.25">
      <c r="A7752" s="675" t="s">
        <v>7721</v>
      </c>
      <c r="B7752" s="675" t="s">
        <v>564</v>
      </c>
      <c r="C7752" s="676" t="s">
        <v>7740</v>
      </c>
      <c r="D7752" s="675"/>
      <c r="E7752" s="675"/>
      <c r="G7752" s="675"/>
      <c r="H7752" s="675"/>
      <c r="I7752" s="675"/>
      <c r="J7752" s="675"/>
      <c r="K7752" s="675"/>
      <c r="L7752" s="675"/>
      <c r="M7752" s="675"/>
    </row>
    <row r="7753" spans="1:13" x14ac:dyDescent="0.25">
      <c r="A7753" s="675" t="s">
        <v>7721</v>
      </c>
      <c r="B7753" s="675" t="s">
        <v>564</v>
      </c>
      <c r="C7753" s="676" t="s">
        <v>7741</v>
      </c>
      <c r="D7753" s="675"/>
      <c r="E7753" s="675"/>
      <c r="G7753" s="675"/>
      <c r="H7753" s="675"/>
      <c r="I7753" s="675"/>
      <c r="J7753" s="675"/>
      <c r="K7753" s="675"/>
      <c r="L7753" s="675"/>
      <c r="M7753" s="675"/>
    </row>
    <row r="7754" spans="1:13" x14ac:dyDescent="0.25">
      <c r="A7754" s="675" t="s">
        <v>7721</v>
      </c>
      <c r="B7754" s="675" t="s">
        <v>512</v>
      </c>
      <c r="C7754" s="676" t="s">
        <v>7742</v>
      </c>
      <c r="D7754" s="675"/>
      <c r="E7754" s="675"/>
      <c r="G7754" s="675"/>
      <c r="H7754" s="675"/>
      <c r="I7754" s="675"/>
      <c r="J7754" s="675"/>
      <c r="K7754" s="675"/>
      <c r="L7754" s="675"/>
      <c r="M7754" s="675"/>
    </row>
    <row r="7755" spans="1:13" x14ac:dyDescent="0.25">
      <c r="A7755" s="675" t="s">
        <v>7721</v>
      </c>
      <c r="B7755" s="675" t="s">
        <v>512</v>
      </c>
      <c r="C7755" s="676" t="s">
        <v>7743</v>
      </c>
      <c r="D7755" s="675"/>
      <c r="E7755" s="675"/>
      <c r="G7755" s="675"/>
      <c r="H7755" s="675"/>
      <c r="I7755" s="675"/>
      <c r="J7755" s="675"/>
      <c r="K7755" s="675"/>
      <c r="L7755" s="675"/>
      <c r="M7755" s="675"/>
    </row>
    <row r="7756" spans="1:13" x14ac:dyDescent="0.25">
      <c r="A7756" s="675" t="s">
        <v>7721</v>
      </c>
      <c r="B7756" s="675" t="s">
        <v>512</v>
      </c>
      <c r="C7756" s="676" t="s">
        <v>7744</v>
      </c>
      <c r="D7756" s="675"/>
      <c r="E7756" s="675"/>
      <c r="G7756" s="675"/>
      <c r="H7756" s="675"/>
      <c r="I7756" s="675"/>
      <c r="J7756" s="675"/>
      <c r="K7756" s="675"/>
      <c r="L7756" s="675"/>
      <c r="M7756" s="675"/>
    </row>
    <row r="7757" spans="1:13" x14ac:dyDescent="0.25">
      <c r="A7757" s="675" t="s">
        <v>7721</v>
      </c>
      <c r="B7757" s="675" t="s">
        <v>512</v>
      </c>
      <c r="C7757" s="676" t="s">
        <v>7745</v>
      </c>
      <c r="D7757" s="675"/>
      <c r="E7757" s="675"/>
      <c r="G7757" s="675"/>
      <c r="H7757" s="675"/>
      <c r="I7757" s="675"/>
      <c r="J7757" s="675"/>
      <c r="K7757" s="675"/>
      <c r="L7757" s="675"/>
      <c r="M7757" s="675"/>
    </row>
    <row r="7758" spans="1:13" x14ac:dyDescent="0.25">
      <c r="A7758" s="675" t="s">
        <v>7721</v>
      </c>
      <c r="B7758" s="675" t="s">
        <v>512</v>
      </c>
      <c r="C7758" s="676" t="s">
        <v>7746</v>
      </c>
      <c r="D7758" s="675"/>
      <c r="E7758" s="675"/>
      <c r="G7758" s="675"/>
      <c r="H7758" s="675"/>
      <c r="I7758" s="675"/>
      <c r="J7758" s="675"/>
      <c r="K7758" s="675"/>
      <c r="L7758" s="675"/>
      <c r="M7758" s="675"/>
    </row>
    <row r="7759" spans="1:13" x14ac:dyDescent="0.25">
      <c r="A7759" s="675" t="s">
        <v>7721</v>
      </c>
      <c r="B7759" s="675" t="s">
        <v>512</v>
      </c>
      <c r="C7759" s="676" t="s">
        <v>7747</v>
      </c>
      <c r="D7759" s="675"/>
      <c r="E7759" s="675"/>
      <c r="G7759" s="675"/>
      <c r="H7759" s="675"/>
      <c r="I7759" s="675"/>
      <c r="J7759" s="675"/>
      <c r="K7759" s="675"/>
      <c r="L7759" s="675"/>
      <c r="M7759" s="675"/>
    </row>
    <row r="7760" spans="1:13" x14ac:dyDescent="0.25">
      <c r="A7760" s="675" t="s">
        <v>7721</v>
      </c>
      <c r="B7760" s="675" t="s">
        <v>512</v>
      </c>
      <c r="C7760" s="676" t="s">
        <v>7748</v>
      </c>
      <c r="D7760" s="675"/>
      <c r="E7760" s="675"/>
      <c r="G7760" s="675"/>
      <c r="H7760" s="675"/>
      <c r="I7760" s="675"/>
      <c r="J7760" s="675"/>
      <c r="K7760" s="675"/>
      <c r="L7760" s="675"/>
      <c r="M7760" s="675"/>
    </row>
    <row r="7761" spans="1:13" x14ac:dyDescent="0.25">
      <c r="A7761" s="675" t="s">
        <v>7721</v>
      </c>
      <c r="B7761" s="675" t="s">
        <v>512</v>
      </c>
      <c r="C7761" s="676" t="s">
        <v>7749</v>
      </c>
      <c r="D7761" s="675"/>
      <c r="E7761" s="675"/>
      <c r="G7761" s="675"/>
      <c r="H7761" s="675"/>
      <c r="I7761" s="675"/>
      <c r="J7761" s="675"/>
      <c r="K7761" s="675"/>
      <c r="L7761" s="675"/>
      <c r="M7761" s="675"/>
    </row>
    <row r="7762" spans="1:13" x14ac:dyDescent="0.25">
      <c r="A7762" s="675" t="s">
        <v>7721</v>
      </c>
      <c r="B7762" s="675" t="s">
        <v>512</v>
      </c>
      <c r="C7762" s="676" t="s">
        <v>7750</v>
      </c>
      <c r="D7762" s="675"/>
      <c r="E7762" s="675"/>
      <c r="G7762" s="675"/>
      <c r="H7762" s="675"/>
      <c r="I7762" s="675"/>
      <c r="J7762" s="675"/>
      <c r="K7762" s="675"/>
      <c r="L7762" s="675"/>
      <c r="M7762" s="675"/>
    </row>
    <row r="7763" spans="1:13" x14ac:dyDescent="0.25">
      <c r="A7763" s="675" t="s">
        <v>7721</v>
      </c>
      <c r="B7763" s="675" t="s">
        <v>512</v>
      </c>
      <c r="C7763" s="676" t="s">
        <v>7751</v>
      </c>
      <c r="D7763" s="675"/>
      <c r="E7763" s="675"/>
      <c r="G7763" s="675"/>
      <c r="H7763" s="675"/>
      <c r="I7763" s="675"/>
      <c r="J7763" s="675"/>
      <c r="K7763" s="675"/>
      <c r="L7763" s="675"/>
      <c r="M7763" s="675"/>
    </row>
    <row r="7764" spans="1:13" x14ac:dyDescent="0.25">
      <c r="A7764" s="675" t="s">
        <v>3202</v>
      </c>
      <c r="B7764" s="675" t="s">
        <v>545</v>
      </c>
      <c r="C7764" s="676" t="s">
        <v>7752</v>
      </c>
      <c r="D7764" s="675"/>
      <c r="E7764" s="675"/>
      <c r="G7764" s="675"/>
      <c r="H7764" s="675"/>
      <c r="I7764" s="675"/>
      <c r="J7764" s="675"/>
      <c r="K7764" s="675"/>
      <c r="L7764" s="675"/>
      <c r="M7764" s="675"/>
    </row>
    <row r="7765" spans="1:13" x14ac:dyDescent="0.25">
      <c r="A7765" s="675" t="s">
        <v>3202</v>
      </c>
      <c r="B7765" s="675" t="s">
        <v>545</v>
      </c>
      <c r="C7765" s="676" t="s">
        <v>7753</v>
      </c>
      <c r="D7765" s="675"/>
      <c r="E7765" s="675"/>
      <c r="G7765" s="675"/>
      <c r="H7765" s="675"/>
      <c r="I7765" s="675"/>
      <c r="J7765" s="675"/>
      <c r="K7765" s="675"/>
      <c r="L7765" s="675"/>
      <c r="M7765" s="675"/>
    </row>
    <row r="7766" spans="1:13" ht="30" x14ac:dyDescent="0.25">
      <c r="A7766" s="675" t="s">
        <v>3202</v>
      </c>
      <c r="B7766" s="675" t="s">
        <v>545</v>
      </c>
      <c r="C7766" s="676" t="s">
        <v>7754</v>
      </c>
      <c r="D7766" s="675"/>
      <c r="E7766" s="675"/>
      <c r="G7766" s="675"/>
      <c r="H7766" s="675"/>
      <c r="I7766" s="675"/>
      <c r="J7766" s="675"/>
      <c r="K7766" s="675"/>
      <c r="L7766" s="675"/>
      <c r="M7766" s="675"/>
    </row>
    <row r="7767" spans="1:13" x14ac:dyDescent="0.25">
      <c r="A7767" s="675" t="s">
        <v>3202</v>
      </c>
      <c r="B7767" s="675" t="s">
        <v>545</v>
      </c>
      <c r="C7767" s="676" t="s">
        <v>7755</v>
      </c>
      <c r="D7767" s="675"/>
      <c r="E7767" s="675"/>
      <c r="G7767" s="675"/>
      <c r="H7767" s="675"/>
      <c r="I7767" s="675"/>
      <c r="J7767" s="675"/>
      <c r="K7767" s="675"/>
      <c r="L7767" s="675"/>
      <c r="M7767" s="675"/>
    </row>
    <row r="7768" spans="1:13" x14ac:dyDescent="0.25">
      <c r="A7768" s="675" t="s">
        <v>3202</v>
      </c>
      <c r="B7768" s="675" t="s">
        <v>545</v>
      </c>
      <c r="C7768" s="676" t="s">
        <v>7756</v>
      </c>
      <c r="D7768" s="675"/>
      <c r="E7768" s="675"/>
      <c r="G7768" s="675"/>
      <c r="H7768" s="675"/>
      <c r="I7768" s="675"/>
      <c r="J7768" s="675"/>
      <c r="K7768" s="675"/>
      <c r="L7768" s="675"/>
      <c r="M7768" s="675"/>
    </row>
    <row r="7769" spans="1:13" x14ac:dyDescent="0.25">
      <c r="A7769" s="675" t="s">
        <v>3202</v>
      </c>
      <c r="B7769" s="675" t="s">
        <v>545</v>
      </c>
      <c r="C7769" s="676" t="s">
        <v>7757</v>
      </c>
      <c r="D7769" s="675"/>
      <c r="E7769" s="675"/>
      <c r="G7769" s="675"/>
      <c r="H7769" s="675"/>
      <c r="I7769" s="675"/>
      <c r="J7769" s="675"/>
      <c r="K7769" s="675"/>
      <c r="L7769" s="675"/>
      <c r="M7769" s="675"/>
    </row>
    <row r="7770" spans="1:13" x14ac:dyDescent="0.25">
      <c r="A7770" s="675" t="s">
        <v>3202</v>
      </c>
      <c r="B7770" s="675" t="s">
        <v>545</v>
      </c>
      <c r="C7770" s="676" t="s">
        <v>7758</v>
      </c>
      <c r="D7770" s="675"/>
      <c r="E7770" s="675"/>
      <c r="G7770" s="675"/>
      <c r="H7770" s="675"/>
      <c r="I7770" s="675"/>
      <c r="J7770" s="675"/>
      <c r="K7770" s="675"/>
      <c r="L7770" s="675"/>
      <c r="M7770" s="675"/>
    </row>
    <row r="7771" spans="1:13" x14ac:dyDescent="0.25">
      <c r="A7771" s="675" t="s">
        <v>3202</v>
      </c>
      <c r="B7771" s="675" t="s">
        <v>545</v>
      </c>
      <c r="C7771" s="676" t="s">
        <v>7759</v>
      </c>
      <c r="D7771" s="675"/>
      <c r="E7771" s="675"/>
      <c r="G7771" s="675"/>
      <c r="H7771" s="675"/>
      <c r="I7771" s="675"/>
      <c r="J7771" s="675"/>
      <c r="K7771" s="675"/>
      <c r="L7771" s="675"/>
      <c r="M7771" s="675"/>
    </row>
    <row r="7772" spans="1:13" x14ac:dyDescent="0.25">
      <c r="A7772" s="675" t="s">
        <v>3202</v>
      </c>
      <c r="B7772" s="675" t="s">
        <v>545</v>
      </c>
      <c r="C7772" s="676" t="s">
        <v>7760</v>
      </c>
      <c r="D7772" s="675"/>
      <c r="E7772" s="675"/>
      <c r="G7772" s="675"/>
      <c r="H7772" s="675"/>
      <c r="I7772" s="675"/>
      <c r="J7772" s="675"/>
      <c r="K7772" s="675"/>
      <c r="L7772" s="675"/>
      <c r="M7772" s="675"/>
    </row>
    <row r="7773" spans="1:13" x14ac:dyDescent="0.25">
      <c r="A7773" s="675" t="s">
        <v>3202</v>
      </c>
      <c r="B7773" s="675" t="s">
        <v>545</v>
      </c>
      <c r="C7773" s="676" t="s">
        <v>7761</v>
      </c>
      <c r="D7773" s="675"/>
      <c r="E7773" s="675"/>
      <c r="G7773" s="675"/>
      <c r="H7773" s="675"/>
      <c r="I7773" s="675"/>
      <c r="J7773" s="675"/>
      <c r="K7773" s="675"/>
      <c r="L7773" s="675"/>
      <c r="M7773" s="675"/>
    </row>
    <row r="7774" spans="1:13" x14ac:dyDescent="0.25">
      <c r="A7774" s="675" t="s">
        <v>3202</v>
      </c>
      <c r="B7774" s="675" t="s">
        <v>564</v>
      </c>
      <c r="C7774" s="676" t="s">
        <v>7762</v>
      </c>
      <c r="D7774" s="675"/>
      <c r="E7774" s="675"/>
      <c r="G7774" s="675"/>
      <c r="H7774" s="675"/>
      <c r="I7774" s="675"/>
      <c r="J7774" s="675"/>
      <c r="K7774" s="675"/>
      <c r="L7774" s="675"/>
      <c r="M7774" s="675"/>
    </row>
    <row r="7775" spans="1:13" x14ac:dyDescent="0.25">
      <c r="A7775" s="675" t="s">
        <v>3202</v>
      </c>
      <c r="B7775" s="675" t="s">
        <v>564</v>
      </c>
      <c r="C7775" s="676" t="s">
        <v>7763</v>
      </c>
      <c r="D7775" s="675"/>
      <c r="E7775" s="675"/>
      <c r="G7775" s="675"/>
      <c r="H7775" s="675"/>
      <c r="I7775" s="675"/>
      <c r="J7775" s="675"/>
      <c r="K7775" s="675"/>
      <c r="L7775" s="675"/>
      <c r="M7775" s="675"/>
    </row>
    <row r="7776" spans="1:13" x14ac:dyDescent="0.25">
      <c r="A7776" s="675" t="s">
        <v>3202</v>
      </c>
      <c r="B7776" s="675" t="s">
        <v>564</v>
      </c>
      <c r="C7776" s="676" t="s">
        <v>7764</v>
      </c>
      <c r="D7776" s="675"/>
      <c r="E7776" s="675"/>
      <c r="G7776" s="675"/>
      <c r="H7776" s="675"/>
      <c r="I7776" s="675"/>
      <c r="J7776" s="675"/>
      <c r="K7776" s="675"/>
      <c r="L7776" s="675"/>
      <c r="M7776" s="675"/>
    </row>
    <row r="7777" spans="1:13" x14ac:dyDescent="0.25">
      <c r="A7777" s="675" t="s">
        <v>3202</v>
      </c>
      <c r="B7777" s="675" t="s">
        <v>564</v>
      </c>
      <c r="C7777" s="676" t="s">
        <v>7765</v>
      </c>
      <c r="D7777" s="675"/>
      <c r="E7777" s="675"/>
      <c r="G7777" s="675"/>
      <c r="H7777" s="675"/>
      <c r="I7777" s="675"/>
      <c r="J7777" s="675"/>
      <c r="K7777" s="675"/>
      <c r="L7777" s="675"/>
      <c r="M7777" s="675"/>
    </row>
    <row r="7778" spans="1:13" x14ac:dyDescent="0.25">
      <c r="A7778" s="675" t="s">
        <v>3202</v>
      </c>
      <c r="B7778" s="675" t="s">
        <v>564</v>
      </c>
      <c r="C7778" s="676" t="s">
        <v>7766</v>
      </c>
      <c r="D7778" s="675"/>
      <c r="E7778" s="675"/>
      <c r="G7778" s="675"/>
      <c r="H7778" s="675"/>
      <c r="I7778" s="675"/>
      <c r="J7778" s="675"/>
      <c r="K7778" s="675"/>
      <c r="L7778" s="675"/>
      <c r="M7778" s="675"/>
    </row>
    <row r="7779" spans="1:13" x14ac:dyDescent="0.25">
      <c r="A7779" s="675" t="s">
        <v>3202</v>
      </c>
      <c r="B7779" s="675" t="s">
        <v>564</v>
      </c>
      <c r="C7779" s="676" t="s">
        <v>7767</v>
      </c>
      <c r="D7779" s="675"/>
      <c r="E7779" s="675"/>
      <c r="G7779" s="675"/>
      <c r="H7779" s="675"/>
      <c r="I7779" s="675"/>
      <c r="J7779" s="675"/>
      <c r="K7779" s="675"/>
      <c r="L7779" s="675"/>
      <c r="M7779" s="675"/>
    </row>
    <row r="7780" spans="1:13" x14ac:dyDescent="0.25">
      <c r="A7780" s="675" t="s">
        <v>3202</v>
      </c>
      <c r="B7780" s="675" t="s">
        <v>564</v>
      </c>
      <c r="C7780" s="676" t="s">
        <v>7768</v>
      </c>
      <c r="D7780" s="675"/>
      <c r="E7780" s="675"/>
      <c r="G7780" s="675"/>
      <c r="H7780" s="675"/>
      <c r="I7780" s="675"/>
      <c r="J7780" s="675"/>
      <c r="K7780" s="675"/>
      <c r="L7780" s="675"/>
      <c r="M7780" s="675"/>
    </row>
    <row r="7781" spans="1:13" x14ac:dyDescent="0.25">
      <c r="A7781" s="675" t="s">
        <v>3202</v>
      </c>
      <c r="B7781" s="675" t="s">
        <v>564</v>
      </c>
      <c r="C7781" s="676" t="s">
        <v>7769</v>
      </c>
      <c r="D7781" s="675"/>
      <c r="E7781" s="675"/>
      <c r="G7781" s="675"/>
      <c r="H7781" s="675"/>
      <c r="I7781" s="675"/>
      <c r="J7781" s="675"/>
      <c r="K7781" s="675"/>
      <c r="L7781" s="675"/>
      <c r="M7781" s="675"/>
    </row>
    <row r="7782" spans="1:13" x14ac:dyDescent="0.25">
      <c r="A7782" s="675" t="s">
        <v>3202</v>
      </c>
      <c r="B7782" s="675" t="s">
        <v>564</v>
      </c>
      <c r="C7782" s="676" t="s">
        <v>7770</v>
      </c>
      <c r="D7782" s="675"/>
      <c r="E7782" s="675"/>
      <c r="G7782" s="675"/>
      <c r="H7782" s="675"/>
      <c r="I7782" s="675"/>
      <c r="J7782" s="675"/>
      <c r="K7782" s="675"/>
      <c r="L7782" s="675"/>
      <c r="M7782" s="675"/>
    </row>
    <row r="7783" spans="1:13" x14ac:dyDescent="0.25">
      <c r="A7783" s="675" t="s">
        <v>3202</v>
      </c>
      <c r="B7783" s="675" t="s">
        <v>564</v>
      </c>
      <c r="C7783" s="676" t="s">
        <v>7771</v>
      </c>
      <c r="D7783" s="675"/>
      <c r="E7783" s="675"/>
      <c r="G7783" s="675"/>
      <c r="H7783" s="675"/>
      <c r="I7783" s="675"/>
      <c r="J7783" s="675"/>
      <c r="K7783" s="675"/>
      <c r="L7783" s="675"/>
      <c r="M7783" s="675"/>
    </row>
    <row r="7784" spans="1:13" x14ac:dyDescent="0.25">
      <c r="A7784" s="675" t="s">
        <v>3202</v>
      </c>
      <c r="B7784" s="675" t="s">
        <v>512</v>
      </c>
      <c r="C7784" s="676" t="s">
        <v>7772</v>
      </c>
      <c r="D7784" s="675"/>
      <c r="E7784" s="675"/>
      <c r="G7784" s="675"/>
      <c r="H7784" s="675"/>
      <c r="I7784" s="675"/>
      <c r="J7784" s="675"/>
      <c r="K7784" s="675"/>
      <c r="L7784" s="675"/>
      <c r="M7784" s="675"/>
    </row>
    <row r="7785" spans="1:13" x14ac:dyDescent="0.25">
      <c r="A7785" s="675" t="s">
        <v>3202</v>
      </c>
      <c r="B7785" s="675" t="s">
        <v>512</v>
      </c>
      <c r="C7785" s="676" t="s">
        <v>7773</v>
      </c>
      <c r="D7785" s="675"/>
      <c r="E7785" s="675"/>
      <c r="G7785" s="675"/>
      <c r="H7785" s="675"/>
      <c r="I7785" s="675"/>
      <c r="J7785" s="675"/>
      <c r="K7785" s="675"/>
      <c r="L7785" s="675"/>
      <c r="M7785" s="675"/>
    </row>
    <row r="7786" spans="1:13" x14ac:dyDescent="0.25">
      <c r="A7786" s="675" t="s">
        <v>3202</v>
      </c>
      <c r="B7786" s="675" t="s">
        <v>512</v>
      </c>
      <c r="C7786" s="676" t="s">
        <v>7774</v>
      </c>
      <c r="D7786" s="675"/>
      <c r="E7786" s="675"/>
      <c r="G7786" s="675"/>
      <c r="H7786" s="675"/>
      <c r="I7786" s="675"/>
      <c r="J7786" s="675"/>
      <c r="K7786" s="675"/>
      <c r="L7786" s="675"/>
      <c r="M7786" s="675"/>
    </row>
    <row r="7787" spans="1:13" x14ac:dyDescent="0.25">
      <c r="A7787" s="675" t="s">
        <v>3202</v>
      </c>
      <c r="B7787" s="675" t="s">
        <v>512</v>
      </c>
      <c r="C7787" s="676" t="s">
        <v>7775</v>
      </c>
      <c r="D7787" s="675"/>
      <c r="E7787" s="675"/>
      <c r="G7787" s="675"/>
      <c r="H7787" s="675"/>
      <c r="I7787" s="675"/>
      <c r="J7787" s="675"/>
      <c r="K7787" s="675"/>
      <c r="L7787" s="675"/>
      <c r="M7787" s="675"/>
    </row>
    <row r="7788" spans="1:13" x14ac:dyDescent="0.25">
      <c r="A7788" s="675" t="s">
        <v>3202</v>
      </c>
      <c r="B7788" s="675" t="s">
        <v>512</v>
      </c>
      <c r="C7788" s="676" t="s">
        <v>7776</v>
      </c>
      <c r="D7788" s="675"/>
      <c r="E7788" s="675"/>
      <c r="G7788" s="675"/>
      <c r="H7788" s="675"/>
      <c r="I7788" s="675"/>
      <c r="J7788" s="675"/>
      <c r="K7788" s="675"/>
      <c r="L7788" s="675"/>
      <c r="M7788" s="675"/>
    </row>
    <row r="7789" spans="1:13" x14ac:dyDescent="0.25">
      <c r="A7789" s="675" t="s">
        <v>3202</v>
      </c>
      <c r="B7789" s="675" t="s">
        <v>512</v>
      </c>
      <c r="C7789" s="676" t="s">
        <v>7777</v>
      </c>
      <c r="D7789" s="675"/>
      <c r="E7789" s="675"/>
      <c r="G7789" s="675"/>
      <c r="H7789" s="675"/>
      <c r="I7789" s="675"/>
      <c r="J7789" s="675"/>
      <c r="K7789" s="675"/>
      <c r="L7789" s="675"/>
      <c r="M7789" s="675"/>
    </row>
    <row r="7790" spans="1:13" x14ac:dyDescent="0.25">
      <c r="A7790" s="675" t="s">
        <v>3202</v>
      </c>
      <c r="B7790" s="675" t="s">
        <v>512</v>
      </c>
      <c r="C7790" s="676" t="s">
        <v>7778</v>
      </c>
      <c r="D7790" s="675"/>
      <c r="E7790" s="675"/>
      <c r="G7790" s="675"/>
      <c r="H7790" s="675"/>
      <c r="I7790" s="675"/>
      <c r="J7790" s="675"/>
      <c r="K7790" s="675"/>
      <c r="L7790" s="675"/>
      <c r="M7790" s="675"/>
    </row>
    <row r="7791" spans="1:13" x14ac:dyDescent="0.25">
      <c r="A7791" s="675" t="s">
        <v>3202</v>
      </c>
      <c r="B7791" s="675" t="s">
        <v>512</v>
      </c>
      <c r="C7791" s="676" t="s">
        <v>7779</v>
      </c>
      <c r="D7791" s="675"/>
      <c r="E7791" s="675"/>
      <c r="G7791" s="675"/>
      <c r="H7791" s="675"/>
      <c r="I7791" s="675"/>
      <c r="J7791" s="675"/>
      <c r="K7791" s="675"/>
      <c r="L7791" s="675"/>
      <c r="M7791" s="675"/>
    </row>
    <row r="7792" spans="1:13" x14ac:dyDescent="0.25">
      <c r="A7792" s="675" t="s">
        <v>3202</v>
      </c>
      <c r="B7792" s="675" t="s">
        <v>512</v>
      </c>
      <c r="C7792" s="676" t="s">
        <v>7780</v>
      </c>
      <c r="D7792" s="675"/>
      <c r="E7792" s="675"/>
      <c r="G7792" s="675"/>
      <c r="H7792" s="675"/>
      <c r="I7792" s="675"/>
      <c r="J7792" s="675"/>
      <c r="K7792" s="675"/>
      <c r="L7792" s="675"/>
      <c r="M7792" s="675"/>
    </row>
    <row r="7793" spans="1:13" x14ac:dyDescent="0.25">
      <c r="A7793" s="675" t="s">
        <v>3202</v>
      </c>
      <c r="B7793" s="675" t="s">
        <v>512</v>
      </c>
      <c r="C7793" s="676" t="s">
        <v>7781</v>
      </c>
      <c r="D7793" s="675"/>
      <c r="E7793" s="675"/>
      <c r="G7793" s="675"/>
      <c r="H7793" s="675"/>
      <c r="I7793" s="675"/>
      <c r="J7793" s="675"/>
      <c r="K7793" s="675"/>
      <c r="L7793" s="675"/>
      <c r="M7793" s="675"/>
    </row>
    <row r="7794" spans="1:13" x14ac:dyDescent="0.25">
      <c r="A7794" s="675" t="s">
        <v>7782</v>
      </c>
      <c r="B7794" s="675" t="s">
        <v>545</v>
      </c>
      <c r="C7794" s="676" t="s">
        <v>7783</v>
      </c>
      <c r="D7794" s="675"/>
      <c r="E7794" s="675"/>
      <c r="G7794" s="675"/>
      <c r="H7794" s="675"/>
      <c r="I7794" s="675"/>
      <c r="J7794" s="675"/>
      <c r="K7794" s="675"/>
      <c r="L7794" s="675"/>
      <c r="M7794" s="675"/>
    </row>
    <row r="7795" spans="1:13" x14ac:dyDescent="0.25">
      <c r="A7795" s="675" t="s">
        <v>7782</v>
      </c>
      <c r="B7795" s="675" t="s">
        <v>545</v>
      </c>
      <c r="C7795" s="676" t="s">
        <v>7784</v>
      </c>
      <c r="D7795" s="675"/>
      <c r="E7795" s="675"/>
      <c r="G7795" s="675"/>
      <c r="H7795" s="675"/>
      <c r="I7795" s="675"/>
      <c r="J7795" s="675"/>
      <c r="K7795" s="675"/>
      <c r="L7795" s="675"/>
      <c r="M7795" s="675"/>
    </row>
    <row r="7796" spans="1:13" x14ac:dyDescent="0.25">
      <c r="A7796" s="675" t="s">
        <v>7782</v>
      </c>
      <c r="B7796" s="675" t="s">
        <v>545</v>
      </c>
      <c r="C7796" s="676" t="s">
        <v>7785</v>
      </c>
      <c r="D7796" s="675"/>
      <c r="E7796" s="675"/>
      <c r="G7796" s="675"/>
      <c r="H7796" s="675"/>
      <c r="I7796" s="675"/>
      <c r="J7796" s="675"/>
      <c r="K7796" s="675"/>
      <c r="L7796" s="675"/>
      <c r="M7796" s="675"/>
    </row>
    <row r="7797" spans="1:13" x14ac:dyDescent="0.25">
      <c r="A7797" s="675" t="s">
        <v>7782</v>
      </c>
      <c r="B7797" s="675" t="s">
        <v>545</v>
      </c>
      <c r="C7797" s="676" t="s">
        <v>7786</v>
      </c>
      <c r="D7797" s="675"/>
      <c r="E7797" s="675"/>
      <c r="G7797" s="675"/>
      <c r="H7797" s="675"/>
      <c r="I7797" s="675"/>
      <c r="J7797" s="675"/>
      <c r="K7797" s="675"/>
      <c r="L7797" s="675"/>
      <c r="M7797" s="675"/>
    </row>
    <row r="7798" spans="1:13" x14ac:dyDescent="0.25">
      <c r="A7798" s="675" t="s">
        <v>7782</v>
      </c>
      <c r="B7798" s="675" t="s">
        <v>545</v>
      </c>
      <c r="C7798" s="676" t="s">
        <v>7787</v>
      </c>
      <c r="D7798" s="675"/>
      <c r="E7798" s="675"/>
      <c r="G7798" s="675"/>
      <c r="H7798" s="675"/>
      <c r="I7798" s="675"/>
      <c r="J7798" s="675"/>
      <c r="K7798" s="675"/>
      <c r="L7798" s="675"/>
      <c r="M7798" s="675"/>
    </row>
    <row r="7799" spans="1:13" x14ac:dyDescent="0.25">
      <c r="A7799" s="675" t="s">
        <v>7782</v>
      </c>
      <c r="B7799" s="675" t="s">
        <v>545</v>
      </c>
      <c r="C7799" s="676" t="s">
        <v>7788</v>
      </c>
      <c r="D7799" s="675"/>
      <c r="E7799" s="675"/>
      <c r="G7799" s="675"/>
      <c r="H7799" s="675"/>
      <c r="I7799" s="675"/>
      <c r="J7799" s="675"/>
      <c r="K7799" s="675"/>
      <c r="L7799" s="675"/>
      <c r="M7799" s="675"/>
    </row>
    <row r="7800" spans="1:13" x14ac:dyDescent="0.25">
      <c r="A7800" s="675" t="s">
        <v>7782</v>
      </c>
      <c r="B7800" s="675" t="s">
        <v>545</v>
      </c>
      <c r="C7800" s="676" t="s">
        <v>7789</v>
      </c>
      <c r="D7800" s="675"/>
      <c r="E7800" s="675"/>
      <c r="G7800" s="675"/>
      <c r="H7800" s="675"/>
      <c r="I7800" s="675"/>
      <c r="J7800" s="675"/>
      <c r="K7800" s="675"/>
      <c r="L7800" s="675"/>
      <c r="M7800" s="675"/>
    </row>
    <row r="7801" spans="1:13" x14ac:dyDescent="0.25">
      <c r="A7801" s="675" t="s">
        <v>7782</v>
      </c>
      <c r="B7801" s="675" t="s">
        <v>545</v>
      </c>
      <c r="C7801" s="676" t="s">
        <v>7790</v>
      </c>
      <c r="D7801" s="675"/>
      <c r="E7801" s="675"/>
      <c r="G7801" s="675"/>
      <c r="H7801" s="675"/>
      <c r="I7801" s="675"/>
      <c r="J7801" s="675"/>
      <c r="K7801" s="675"/>
      <c r="L7801" s="675"/>
      <c r="M7801" s="675"/>
    </row>
    <row r="7802" spans="1:13" x14ac:dyDescent="0.25">
      <c r="A7802" s="675" t="s">
        <v>7782</v>
      </c>
      <c r="B7802" s="675" t="s">
        <v>545</v>
      </c>
      <c r="C7802" s="676" t="s">
        <v>7791</v>
      </c>
      <c r="D7802" s="675"/>
      <c r="E7802" s="675"/>
      <c r="G7802" s="675"/>
      <c r="H7802" s="675"/>
      <c r="I7802" s="675"/>
      <c r="J7802" s="675"/>
      <c r="K7802" s="675"/>
      <c r="L7802" s="675"/>
      <c r="M7802" s="675"/>
    </row>
    <row r="7803" spans="1:13" x14ac:dyDescent="0.25">
      <c r="A7803" s="675" t="s">
        <v>7782</v>
      </c>
      <c r="B7803" s="675" t="s">
        <v>545</v>
      </c>
      <c r="C7803" s="676" t="s">
        <v>7792</v>
      </c>
      <c r="D7803" s="675"/>
      <c r="E7803" s="675"/>
      <c r="G7803" s="675"/>
      <c r="H7803" s="675"/>
      <c r="I7803" s="675"/>
      <c r="J7803" s="675"/>
      <c r="K7803" s="675"/>
      <c r="L7803" s="675"/>
      <c r="M7803" s="675"/>
    </row>
    <row r="7804" spans="1:13" x14ac:dyDescent="0.25">
      <c r="A7804" s="675" t="s">
        <v>7782</v>
      </c>
      <c r="B7804" s="675" t="s">
        <v>564</v>
      </c>
      <c r="C7804" s="676" t="s">
        <v>7793</v>
      </c>
      <c r="D7804" s="675"/>
      <c r="E7804" s="675"/>
      <c r="G7804" s="675"/>
      <c r="H7804" s="675"/>
      <c r="I7804" s="675"/>
      <c r="J7804" s="675"/>
      <c r="K7804" s="675"/>
      <c r="L7804" s="675"/>
      <c r="M7804" s="675"/>
    </row>
    <row r="7805" spans="1:13" x14ac:dyDescent="0.25">
      <c r="A7805" s="675" t="s">
        <v>7782</v>
      </c>
      <c r="B7805" s="675" t="s">
        <v>564</v>
      </c>
      <c r="C7805" s="676" t="s">
        <v>7794</v>
      </c>
      <c r="D7805" s="675"/>
      <c r="E7805" s="675"/>
      <c r="G7805" s="675"/>
      <c r="H7805" s="675"/>
      <c r="I7805" s="675"/>
      <c r="J7805" s="675"/>
      <c r="K7805" s="675"/>
      <c r="L7805" s="675"/>
      <c r="M7805" s="675"/>
    </row>
    <row r="7806" spans="1:13" x14ac:dyDescent="0.25">
      <c r="A7806" s="675" t="s">
        <v>7782</v>
      </c>
      <c r="B7806" s="675" t="s">
        <v>564</v>
      </c>
      <c r="C7806" s="676" t="s">
        <v>7795</v>
      </c>
      <c r="D7806" s="675"/>
      <c r="E7806" s="675"/>
      <c r="G7806" s="675"/>
      <c r="H7806" s="675"/>
      <c r="I7806" s="675"/>
      <c r="J7806" s="675"/>
      <c r="K7806" s="675"/>
      <c r="L7806" s="675"/>
      <c r="M7806" s="675"/>
    </row>
    <row r="7807" spans="1:13" x14ac:dyDescent="0.25">
      <c r="A7807" s="675" t="s">
        <v>7782</v>
      </c>
      <c r="B7807" s="675" t="s">
        <v>564</v>
      </c>
      <c r="C7807" s="676" t="s">
        <v>7796</v>
      </c>
      <c r="D7807" s="675"/>
      <c r="E7807" s="675"/>
      <c r="G7807" s="675"/>
      <c r="H7807" s="675"/>
      <c r="I7807" s="675"/>
      <c r="J7807" s="675"/>
      <c r="K7807" s="675"/>
      <c r="L7807" s="675"/>
      <c r="M7807" s="675"/>
    </row>
    <row r="7808" spans="1:13" x14ac:dyDescent="0.25">
      <c r="A7808" s="675" t="s">
        <v>7782</v>
      </c>
      <c r="B7808" s="675" t="s">
        <v>564</v>
      </c>
      <c r="C7808" s="676" t="s">
        <v>7797</v>
      </c>
      <c r="D7808" s="675"/>
      <c r="E7808" s="675"/>
      <c r="G7808" s="675"/>
      <c r="H7808" s="675"/>
      <c r="I7808" s="675"/>
      <c r="J7808" s="675"/>
      <c r="K7808" s="675"/>
      <c r="L7808" s="675"/>
      <c r="M7808" s="675"/>
    </row>
    <row r="7809" spans="1:13" x14ac:dyDescent="0.25">
      <c r="A7809" s="675" t="s">
        <v>7782</v>
      </c>
      <c r="B7809" s="675" t="s">
        <v>564</v>
      </c>
      <c r="C7809" s="676" t="s">
        <v>7798</v>
      </c>
      <c r="D7809" s="675"/>
      <c r="E7809" s="675"/>
      <c r="G7809" s="675"/>
      <c r="H7809" s="675"/>
      <c r="I7809" s="675"/>
      <c r="J7809" s="675"/>
      <c r="K7809" s="675"/>
      <c r="L7809" s="675"/>
      <c r="M7809" s="675"/>
    </row>
    <row r="7810" spans="1:13" x14ac:dyDescent="0.25">
      <c r="A7810" s="675" t="s">
        <v>7782</v>
      </c>
      <c r="B7810" s="675" t="s">
        <v>564</v>
      </c>
      <c r="C7810" s="676" t="s">
        <v>7799</v>
      </c>
      <c r="D7810" s="675"/>
      <c r="E7810" s="675"/>
      <c r="G7810" s="675"/>
      <c r="H7810" s="675"/>
      <c r="I7810" s="675"/>
      <c r="J7810" s="675"/>
      <c r="K7810" s="675"/>
      <c r="L7810" s="675"/>
      <c r="M7810" s="675"/>
    </row>
    <row r="7811" spans="1:13" x14ac:dyDescent="0.25">
      <c r="A7811" s="675" t="s">
        <v>7782</v>
      </c>
      <c r="B7811" s="675" t="s">
        <v>564</v>
      </c>
      <c r="C7811" s="676" t="s">
        <v>7800</v>
      </c>
      <c r="D7811" s="675"/>
      <c r="E7811" s="675"/>
      <c r="G7811" s="675"/>
      <c r="H7811" s="675"/>
      <c r="I7811" s="675"/>
      <c r="J7811" s="675"/>
      <c r="K7811" s="675"/>
      <c r="L7811" s="675"/>
      <c r="M7811" s="675"/>
    </row>
    <row r="7812" spans="1:13" x14ac:dyDescent="0.25">
      <c r="A7812" s="675" t="s">
        <v>7782</v>
      </c>
      <c r="B7812" s="675" t="s">
        <v>564</v>
      </c>
      <c r="C7812" s="676" t="s">
        <v>7801</v>
      </c>
      <c r="D7812" s="675"/>
      <c r="E7812" s="675"/>
      <c r="G7812" s="675"/>
      <c r="H7812" s="675"/>
      <c r="I7812" s="675"/>
      <c r="J7812" s="675"/>
      <c r="K7812" s="675"/>
      <c r="L7812" s="675"/>
      <c r="M7812" s="675"/>
    </row>
    <row r="7813" spans="1:13" x14ac:dyDescent="0.25">
      <c r="A7813" s="675" t="s">
        <v>7782</v>
      </c>
      <c r="B7813" s="675" t="s">
        <v>564</v>
      </c>
      <c r="C7813" s="676" t="s">
        <v>7802</v>
      </c>
      <c r="D7813" s="675"/>
      <c r="E7813" s="675"/>
      <c r="G7813" s="675"/>
      <c r="H7813" s="675"/>
      <c r="I7813" s="675"/>
      <c r="J7813" s="675"/>
      <c r="K7813" s="675"/>
      <c r="L7813" s="675"/>
      <c r="M7813" s="675"/>
    </row>
    <row r="7814" spans="1:13" x14ac:dyDescent="0.25">
      <c r="A7814" s="675" t="s">
        <v>7782</v>
      </c>
      <c r="B7814" s="675" t="s">
        <v>512</v>
      </c>
      <c r="C7814" s="676" t="s">
        <v>7803</v>
      </c>
      <c r="D7814" s="675"/>
      <c r="E7814" s="675"/>
      <c r="G7814" s="675"/>
      <c r="H7814" s="675"/>
      <c r="I7814" s="675"/>
      <c r="J7814" s="675"/>
      <c r="K7814" s="675"/>
      <c r="L7814" s="675"/>
      <c r="M7814" s="675"/>
    </row>
    <row r="7815" spans="1:13" x14ac:dyDescent="0.25">
      <c r="A7815" s="675" t="s">
        <v>7782</v>
      </c>
      <c r="B7815" s="675" t="s">
        <v>512</v>
      </c>
      <c r="C7815" s="676" t="s">
        <v>7804</v>
      </c>
      <c r="D7815" s="675"/>
      <c r="E7815" s="675"/>
      <c r="G7815" s="675"/>
      <c r="H7815" s="675"/>
      <c r="I7815" s="675"/>
      <c r="J7815" s="675"/>
      <c r="K7815" s="675"/>
      <c r="L7815" s="675"/>
      <c r="M7815" s="675"/>
    </row>
    <row r="7816" spans="1:13" x14ac:dyDescent="0.25">
      <c r="A7816" s="675" t="s">
        <v>7782</v>
      </c>
      <c r="B7816" s="675" t="s">
        <v>512</v>
      </c>
      <c r="C7816" s="676" t="s">
        <v>7805</v>
      </c>
      <c r="D7816" s="675"/>
      <c r="E7816" s="675"/>
      <c r="G7816" s="675"/>
      <c r="H7816" s="675"/>
      <c r="I7816" s="675"/>
      <c r="J7816" s="675"/>
      <c r="K7816" s="675"/>
      <c r="L7816" s="675"/>
      <c r="M7816" s="675"/>
    </row>
    <row r="7817" spans="1:13" x14ac:dyDescent="0.25">
      <c r="A7817" s="675" t="s">
        <v>7782</v>
      </c>
      <c r="B7817" s="675" t="s">
        <v>512</v>
      </c>
      <c r="C7817" s="676" t="s">
        <v>7806</v>
      </c>
      <c r="D7817" s="675"/>
      <c r="E7817" s="675"/>
      <c r="G7817" s="675"/>
      <c r="H7817" s="675"/>
      <c r="I7817" s="675"/>
      <c r="J7817" s="675"/>
      <c r="K7817" s="675"/>
      <c r="L7817" s="675"/>
      <c r="M7817" s="675"/>
    </row>
    <row r="7818" spans="1:13" x14ac:dyDescent="0.25">
      <c r="A7818" s="675" t="s">
        <v>7782</v>
      </c>
      <c r="B7818" s="675" t="s">
        <v>512</v>
      </c>
      <c r="C7818" s="676" t="s">
        <v>7807</v>
      </c>
      <c r="D7818" s="675"/>
      <c r="E7818" s="675"/>
      <c r="G7818" s="675"/>
      <c r="H7818" s="675"/>
      <c r="I7818" s="675"/>
      <c r="J7818" s="675"/>
      <c r="K7818" s="675"/>
      <c r="L7818" s="675"/>
      <c r="M7818" s="675"/>
    </row>
    <row r="7819" spans="1:13" x14ac:dyDescent="0.25">
      <c r="A7819" s="675" t="s">
        <v>7782</v>
      </c>
      <c r="B7819" s="675" t="s">
        <v>512</v>
      </c>
      <c r="C7819" s="676" t="s">
        <v>7808</v>
      </c>
      <c r="D7819" s="675"/>
      <c r="E7819" s="675"/>
      <c r="G7819" s="675"/>
      <c r="H7819" s="675"/>
      <c r="I7819" s="675"/>
      <c r="J7819" s="675"/>
      <c r="K7819" s="675"/>
      <c r="L7819" s="675"/>
      <c r="M7819" s="675"/>
    </row>
    <row r="7820" spans="1:13" x14ac:dyDescent="0.25">
      <c r="A7820" s="675" t="s">
        <v>7782</v>
      </c>
      <c r="B7820" s="675" t="s">
        <v>512</v>
      </c>
      <c r="C7820" s="676" t="s">
        <v>7809</v>
      </c>
      <c r="D7820" s="675"/>
      <c r="E7820" s="675"/>
      <c r="G7820" s="675"/>
      <c r="H7820" s="675"/>
      <c r="I7820" s="675"/>
      <c r="J7820" s="675"/>
      <c r="K7820" s="675"/>
      <c r="L7820" s="675"/>
      <c r="M7820" s="675"/>
    </row>
    <row r="7821" spans="1:13" x14ac:dyDescent="0.25">
      <c r="A7821" s="675" t="s">
        <v>7782</v>
      </c>
      <c r="B7821" s="675" t="s">
        <v>512</v>
      </c>
      <c r="C7821" s="676" t="s">
        <v>7810</v>
      </c>
      <c r="D7821" s="675"/>
      <c r="E7821" s="675"/>
      <c r="G7821" s="675"/>
      <c r="H7821" s="675"/>
      <c r="I7821" s="675"/>
      <c r="J7821" s="675"/>
      <c r="K7821" s="675"/>
      <c r="L7821" s="675"/>
      <c r="M7821" s="675"/>
    </row>
    <row r="7822" spans="1:13" x14ac:dyDescent="0.25">
      <c r="A7822" s="675" t="s">
        <v>7782</v>
      </c>
      <c r="B7822" s="675" t="s">
        <v>512</v>
      </c>
      <c r="C7822" s="676" t="s">
        <v>7811</v>
      </c>
      <c r="D7822" s="675"/>
      <c r="E7822" s="675"/>
      <c r="G7822" s="675"/>
      <c r="H7822" s="675"/>
      <c r="I7822" s="675"/>
      <c r="J7822" s="675"/>
      <c r="K7822" s="675"/>
      <c r="L7822" s="675"/>
      <c r="M7822" s="675"/>
    </row>
    <row r="7823" spans="1:13" x14ac:dyDescent="0.25">
      <c r="A7823" s="675" t="s">
        <v>7782</v>
      </c>
      <c r="B7823" s="675" t="s">
        <v>512</v>
      </c>
      <c r="C7823" s="676" t="s">
        <v>7812</v>
      </c>
      <c r="D7823" s="675"/>
      <c r="E7823" s="675"/>
      <c r="G7823" s="675"/>
      <c r="H7823" s="675"/>
      <c r="I7823" s="675"/>
      <c r="J7823" s="675"/>
      <c r="K7823" s="675"/>
      <c r="L7823" s="675"/>
      <c r="M7823" s="675"/>
    </row>
    <row r="7824" spans="1:13" x14ac:dyDescent="0.25">
      <c r="A7824" s="675" t="s">
        <v>7813</v>
      </c>
      <c r="B7824" s="675" t="s">
        <v>545</v>
      </c>
      <c r="C7824" s="675" t="s">
        <v>7814</v>
      </c>
      <c r="D7824" s="675"/>
      <c r="E7824" s="675"/>
      <c r="G7824" s="675"/>
      <c r="H7824" s="675"/>
      <c r="I7824" s="675"/>
      <c r="J7824" s="675"/>
      <c r="K7824" s="675"/>
      <c r="L7824" s="675"/>
      <c r="M7824" s="675"/>
    </row>
    <row r="7825" spans="1:13" x14ac:dyDescent="0.25">
      <c r="A7825" s="675" t="s">
        <v>7813</v>
      </c>
      <c r="B7825" s="675" t="s">
        <v>545</v>
      </c>
      <c r="C7825" s="675" t="s">
        <v>7815</v>
      </c>
      <c r="D7825" s="675"/>
      <c r="E7825" s="675"/>
      <c r="G7825" s="675"/>
      <c r="H7825" s="675"/>
      <c r="I7825" s="675"/>
      <c r="J7825" s="675"/>
      <c r="K7825" s="675"/>
      <c r="L7825" s="675"/>
      <c r="M7825" s="675"/>
    </row>
    <row r="7826" spans="1:13" x14ac:dyDescent="0.25">
      <c r="A7826" s="675" t="s">
        <v>7813</v>
      </c>
      <c r="B7826" s="675" t="s">
        <v>545</v>
      </c>
      <c r="C7826" s="675" t="s">
        <v>7816</v>
      </c>
      <c r="D7826" s="675"/>
      <c r="E7826" s="675"/>
      <c r="G7826" s="675"/>
      <c r="H7826" s="675"/>
      <c r="I7826" s="675"/>
      <c r="J7826" s="675"/>
      <c r="K7826" s="675"/>
      <c r="L7826" s="675"/>
      <c r="M7826" s="675"/>
    </row>
    <row r="7827" spans="1:13" x14ac:dyDescent="0.25">
      <c r="A7827" s="675" t="s">
        <v>7813</v>
      </c>
      <c r="B7827" s="675" t="s">
        <v>545</v>
      </c>
      <c r="C7827" s="675" t="s">
        <v>7817</v>
      </c>
      <c r="D7827" s="675"/>
      <c r="E7827" s="675"/>
      <c r="G7827" s="675"/>
      <c r="H7827" s="675"/>
      <c r="I7827" s="675"/>
      <c r="J7827" s="675"/>
      <c r="K7827" s="675"/>
      <c r="L7827" s="675"/>
      <c r="M7827" s="675"/>
    </row>
    <row r="7828" spans="1:13" x14ac:dyDescent="0.25">
      <c r="A7828" s="675" t="s">
        <v>7813</v>
      </c>
      <c r="B7828" s="675" t="s">
        <v>545</v>
      </c>
      <c r="C7828" s="675" t="s">
        <v>7818</v>
      </c>
      <c r="D7828" s="675"/>
      <c r="E7828" s="675"/>
      <c r="G7828" s="675"/>
      <c r="H7828" s="675"/>
      <c r="I7828" s="675"/>
      <c r="J7828" s="675"/>
      <c r="K7828" s="675"/>
      <c r="L7828" s="675"/>
      <c r="M7828" s="675"/>
    </row>
    <row r="7829" spans="1:13" x14ac:dyDescent="0.25">
      <c r="A7829" s="675" t="s">
        <v>7813</v>
      </c>
      <c r="B7829" s="675" t="s">
        <v>545</v>
      </c>
      <c r="C7829" s="675" t="s">
        <v>7819</v>
      </c>
      <c r="D7829" s="675"/>
      <c r="E7829" s="675"/>
      <c r="G7829" s="675"/>
      <c r="H7829" s="675"/>
      <c r="I7829" s="675"/>
      <c r="J7829" s="675"/>
      <c r="K7829" s="675"/>
      <c r="L7829" s="675"/>
      <c r="M7829" s="675"/>
    </row>
    <row r="7830" spans="1:13" x14ac:dyDescent="0.25">
      <c r="A7830" s="675" t="s">
        <v>7813</v>
      </c>
      <c r="B7830" s="675" t="s">
        <v>545</v>
      </c>
      <c r="C7830" s="675" t="s">
        <v>7820</v>
      </c>
      <c r="D7830" s="675"/>
      <c r="E7830" s="675"/>
      <c r="G7830" s="675"/>
      <c r="H7830" s="675"/>
      <c r="I7830" s="675"/>
      <c r="J7830" s="675"/>
      <c r="K7830" s="675"/>
      <c r="L7830" s="675"/>
      <c r="M7830" s="675"/>
    </row>
    <row r="7831" spans="1:13" x14ac:dyDescent="0.25">
      <c r="A7831" s="675" t="s">
        <v>7813</v>
      </c>
      <c r="B7831" s="675" t="s">
        <v>545</v>
      </c>
      <c r="C7831" s="675" t="s">
        <v>7821</v>
      </c>
      <c r="D7831" s="675"/>
      <c r="E7831" s="675"/>
      <c r="G7831" s="675"/>
      <c r="H7831" s="675"/>
      <c r="I7831" s="675"/>
      <c r="J7831" s="675"/>
      <c r="K7831" s="675"/>
      <c r="L7831" s="675"/>
      <c r="M7831" s="675"/>
    </row>
    <row r="7832" spans="1:13" x14ac:dyDescent="0.25">
      <c r="A7832" s="675" t="s">
        <v>7813</v>
      </c>
      <c r="B7832" s="675" t="s">
        <v>545</v>
      </c>
      <c r="C7832" s="675" t="s">
        <v>7822</v>
      </c>
      <c r="D7832" s="675"/>
      <c r="E7832" s="675"/>
      <c r="G7832" s="675"/>
      <c r="H7832" s="675"/>
      <c r="I7832" s="675"/>
      <c r="J7832" s="675"/>
      <c r="K7832" s="675"/>
      <c r="L7832" s="675"/>
      <c r="M7832" s="675"/>
    </row>
    <row r="7833" spans="1:13" x14ac:dyDescent="0.25">
      <c r="A7833" s="675" t="s">
        <v>7813</v>
      </c>
      <c r="B7833" s="675" t="s">
        <v>545</v>
      </c>
      <c r="C7833" s="675" t="s">
        <v>7823</v>
      </c>
      <c r="D7833" s="675"/>
      <c r="E7833" s="675"/>
      <c r="G7833" s="675"/>
      <c r="H7833" s="675"/>
      <c r="I7833" s="675"/>
      <c r="J7833" s="675"/>
      <c r="K7833" s="675"/>
      <c r="L7833" s="675"/>
      <c r="M7833" s="675"/>
    </row>
    <row r="7834" spans="1:13" x14ac:dyDescent="0.25">
      <c r="A7834" s="675" t="s">
        <v>7813</v>
      </c>
      <c r="B7834" s="675" t="s">
        <v>564</v>
      </c>
      <c r="C7834" s="675" t="s">
        <v>7824</v>
      </c>
      <c r="D7834" s="675"/>
      <c r="E7834" s="675"/>
      <c r="G7834" s="675"/>
      <c r="H7834" s="675"/>
      <c r="I7834" s="675"/>
      <c r="J7834" s="675"/>
      <c r="K7834" s="675"/>
      <c r="L7834" s="675"/>
      <c r="M7834" s="675"/>
    </row>
    <row r="7835" spans="1:13" x14ac:dyDescent="0.25">
      <c r="A7835" s="675" t="s">
        <v>7813</v>
      </c>
      <c r="B7835" s="675" t="s">
        <v>564</v>
      </c>
      <c r="C7835" s="675" t="s">
        <v>7825</v>
      </c>
      <c r="D7835" s="675"/>
      <c r="E7835" s="675"/>
      <c r="G7835" s="675"/>
      <c r="H7835" s="675"/>
      <c r="I7835" s="675"/>
      <c r="J7835" s="675"/>
      <c r="K7835" s="675"/>
      <c r="L7835" s="675"/>
      <c r="M7835" s="675"/>
    </row>
    <row r="7836" spans="1:13" x14ac:dyDescent="0.25">
      <c r="A7836" s="675" t="s">
        <v>7813</v>
      </c>
      <c r="B7836" s="675" t="s">
        <v>564</v>
      </c>
      <c r="C7836" s="675" t="s">
        <v>7826</v>
      </c>
      <c r="D7836" s="675"/>
      <c r="E7836" s="675"/>
      <c r="G7836" s="675"/>
      <c r="H7836" s="675"/>
      <c r="I7836" s="675"/>
      <c r="J7836" s="675"/>
      <c r="K7836" s="675"/>
      <c r="L7836" s="675"/>
      <c r="M7836" s="675"/>
    </row>
    <row r="7837" spans="1:13" x14ac:dyDescent="0.25">
      <c r="A7837" s="675" t="s">
        <v>7813</v>
      </c>
      <c r="B7837" s="675" t="s">
        <v>564</v>
      </c>
      <c r="C7837" s="675" t="s">
        <v>7827</v>
      </c>
      <c r="D7837" s="675"/>
      <c r="E7837" s="675"/>
      <c r="G7837" s="675"/>
      <c r="H7837" s="675"/>
      <c r="I7837" s="675"/>
      <c r="J7837" s="675"/>
      <c r="K7837" s="675"/>
      <c r="L7837" s="675"/>
      <c r="M7837" s="675"/>
    </row>
    <row r="7838" spans="1:13" x14ac:dyDescent="0.25">
      <c r="A7838" s="675" t="s">
        <v>7813</v>
      </c>
      <c r="B7838" s="675" t="s">
        <v>564</v>
      </c>
      <c r="C7838" s="675" t="s">
        <v>7828</v>
      </c>
      <c r="D7838" s="675"/>
      <c r="E7838" s="675"/>
      <c r="G7838" s="675"/>
      <c r="H7838" s="675"/>
      <c r="I7838" s="675"/>
      <c r="J7838" s="675"/>
      <c r="K7838" s="675"/>
      <c r="L7838" s="675"/>
      <c r="M7838" s="675"/>
    </row>
    <row r="7839" spans="1:13" x14ac:dyDescent="0.25">
      <c r="A7839" s="675" t="s">
        <v>7813</v>
      </c>
      <c r="B7839" s="675" t="s">
        <v>564</v>
      </c>
      <c r="C7839" s="675" t="s">
        <v>7829</v>
      </c>
      <c r="D7839" s="675"/>
      <c r="E7839" s="675"/>
      <c r="G7839" s="675"/>
      <c r="H7839" s="675"/>
      <c r="I7839" s="675"/>
      <c r="J7839" s="675"/>
      <c r="K7839" s="675"/>
      <c r="L7839" s="675"/>
      <c r="M7839" s="675"/>
    </row>
    <row r="7840" spans="1:13" x14ac:dyDescent="0.25">
      <c r="A7840" s="675" t="s">
        <v>7813</v>
      </c>
      <c r="B7840" s="675" t="s">
        <v>564</v>
      </c>
      <c r="C7840" s="675" t="s">
        <v>7830</v>
      </c>
      <c r="D7840" s="675"/>
      <c r="E7840" s="675"/>
      <c r="G7840" s="675"/>
      <c r="H7840" s="675"/>
      <c r="I7840" s="675"/>
      <c r="J7840" s="675"/>
      <c r="K7840" s="675"/>
      <c r="L7840" s="675"/>
      <c r="M7840" s="675"/>
    </row>
    <row r="7841" spans="1:13" x14ac:dyDescent="0.25">
      <c r="A7841" s="675" t="s">
        <v>7813</v>
      </c>
      <c r="B7841" s="675" t="s">
        <v>564</v>
      </c>
      <c r="C7841" s="675" t="s">
        <v>7831</v>
      </c>
      <c r="D7841" s="675"/>
      <c r="E7841" s="675"/>
      <c r="G7841" s="675"/>
      <c r="H7841" s="675"/>
      <c r="I7841" s="675"/>
      <c r="J7841" s="675"/>
      <c r="K7841" s="675"/>
      <c r="L7841" s="675"/>
      <c r="M7841" s="675"/>
    </row>
    <row r="7842" spans="1:13" x14ac:dyDescent="0.25">
      <c r="A7842" s="675" t="s">
        <v>7813</v>
      </c>
      <c r="B7842" s="675" t="s">
        <v>564</v>
      </c>
      <c r="C7842" s="675" t="s">
        <v>7832</v>
      </c>
      <c r="D7842" s="675"/>
      <c r="E7842" s="675"/>
      <c r="G7842" s="675"/>
      <c r="H7842" s="675"/>
      <c r="I7842" s="675"/>
      <c r="J7842" s="675"/>
      <c r="K7842" s="675"/>
      <c r="L7842" s="675"/>
      <c r="M7842" s="675"/>
    </row>
    <row r="7843" spans="1:13" x14ac:dyDescent="0.25">
      <c r="A7843" s="675" t="s">
        <v>7813</v>
      </c>
      <c r="B7843" s="675" t="s">
        <v>564</v>
      </c>
      <c r="C7843" s="675" t="s">
        <v>7833</v>
      </c>
      <c r="D7843" s="675"/>
      <c r="E7843" s="675"/>
      <c r="G7843" s="675"/>
      <c r="H7843" s="675"/>
      <c r="I7843" s="675"/>
      <c r="J7843" s="675"/>
      <c r="K7843" s="675"/>
      <c r="L7843" s="675"/>
      <c r="M7843" s="675"/>
    </row>
    <row r="7844" spans="1:13" x14ac:dyDescent="0.25">
      <c r="A7844" s="675" t="s">
        <v>7813</v>
      </c>
      <c r="B7844" s="675" t="s">
        <v>512</v>
      </c>
      <c r="C7844" s="675" t="s">
        <v>7834</v>
      </c>
      <c r="D7844" s="675"/>
      <c r="E7844" s="675"/>
      <c r="G7844" s="675"/>
      <c r="H7844" s="675"/>
      <c r="I7844" s="675"/>
      <c r="J7844" s="675"/>
      <c r="K7844" s="675"/>
      <c r="L7844" s="675"/>
      <c r="M7844" s="675"/>
    </row>
    <row r="7845" spans="1:13" x14ac:dyDescent="0.25">
      <c r="A7845" s="675" t="s">
        <v>7813</v>
      </c>
      <c r="B7845" s="675" t="s">
        <v>512</v>
      </c>
      <c r="C7845" s="675" t="s">
        <v>7835</v>
      </c>
      <c r="D7845" s="675"/>
      <c r="E7845" s="675"/>
      <c r="G7845" s="675"/>
      <c r="H7845" s="675"/>
      <c r="I7845" s="675"/>
      <c r="J7845" s="675"/>
      <c r="K7845" s="675"/>
      <c r="L7845" s="675"/>
      <c r="M7845" s="675"/>
    </row>
    <row r="7846" spans="1:13" x14ac:dyDescent="0.25">
      <c r="A7846" s="675" t="s">
        <v>7813</v>
      </c>
      <c r="B7846" s="675" t="s">
        <v>512</v>
      </c>
      <c r="C7846" s="675" t="s">
        <v>7836</v>
      </c>
      <c r="D7846" s="675"/>
      <c r="E7846" s="675"/>
      <c r="G7846" s="675"/>
      <c r="H7846" s="675"/>
      <c r="I7846" s="675"/>
      <c r="J7846" s="675"/>
      <c r="K7846" s="675"/>
      <c r="L7846" s="675"/>
      <c r="M7846" s="675"/>
    </row>
    <row r="7847" spans="1:13" x14ac:dyDescent="0.25">
      <c r="A7847" s="675" t="s">
        <v>7813</v>
      </c>
      <c r="B7847" s="675" t="s">
        <v>512</v>
      </c>
      <c r="C7847" s="675" t="s">
        <v>7837</v>
      </c>
      <c r="D7847" s="675"/>
      <c r="E7847" s="675"/>
      <c r="G7847" s="675"/>
      <c r="H7847" s="675"/>
      <c r="I7847" s="675"/>
      <c r="J7847" s="675"/>
      <c r="K7847" s="675"/>
      <c r="L7847" s="675"/>
      <c r="M7847" s="675"/>
    </row>
    <row r="7848" spans="1:13" x14ac:dyDescent="0.25">
      <c r="A7848" s="675" t="s">
        <v>7813</v>
      </c>
      <c r="B7848" s="675" t="s">
        <v>512</v>
      </c>
      <c r="C7848" s="675" t="s">
        <v>7838</v>
      </c>
      <c r="D7848" s="675"/>
      <c r="E7848" s="675"/>
      <c r="G7848" s="675"/>
      <c r="H7848" s="675"/>
      <c r="I7848" s="675"/>
      <c r="J7848" s="675"/>
      <c r="K7848" s="675"/>
      <c r="L7848" s="675"/>
      <c r="M7848" s="675"/>
    </row>
    <row r="7849" spans="1:13" x14ac:dyDescent="0.25">
      <c r="A7849" s="675" t="s">
        <v>7813</v>
      </c>
      <c r="B7849" s="675" t="s">
        <v>512</v>
      </c>
      <c r="C7849" s="675" t="s">
        <v>7839</v>
      </c>
      <c r="D7849" s="675"/>
      <c r="E7849" s="675"/>
      <c r="G7849" s="675"/>
      <c r="H7849" s="675"/>
      <c r="I7849" s="675"/>
      <c r="J7849" s="675"/>
      <c r="K7849" s="675"/>
      <c r="L7849" s="675"/>
      <c r="M7849" s="675"/>
    </row>
    <row r="7850" spans="1:13" x14ac:dyDescent="0.25">
      <c r="A7850" s="675" t="s">
        <v>7813</v>
      </c>
      <c r="B7850" s="675" t="s">
        <v>512</v>
      </c>
      <c r="C7850" s="675" t="s">
        <v>7840</v>
      </c>
      <c r="D7850" s="675"/>
      <c r="E7850" s="675"/>
      <c r="G7850" s="675"/>
      <c r="H7850" s="675"/>
      <c r="I7850" s="675"/>
      <c r="J7850" s="675"/>
      <c r="K7850" s="675"/>
      <c r="L7850" s="675"/>
      <c r="M7850" s="675"/>
    </row>
    <row r="7851" spans="1:13" x14ac:dyDescent="0.25">
      <c r="A7851" s="675" t="s">
        <v>7813</v>
      </c>
      <c r="B7851" s="675" t="s">
        <v>512</v>
      </c>
      <c r="C7851" s="675" t="s">
        <v>7841</v>
      </c>
      <c r="D7851" s="675"/>
      <c r="E7851" s="675"/>
      <c r="G7851" s="675"/>
      <c r="H7851" s="675"/>
      <c r="I7851" s="675"/>
      <c r="J7851" s="675"/>
      <c r="K7851" s="675"/>
      <c r="L7851" s="675"/>
      <c r="M7851" s="675"/>
    </row>
    <row r="7852" spans="1:13" x14ac:dyDescent="0.25">
      <c r="A7852" s="675" t="s">
        <v>7813</v>
      </c>
      <c r="B7852" s="675" t="s">
        <v>512</v>
      </c>
      <c r="C7852" s="675" t="s">
        <v>7842</v>
      </c>
      <c r="D7852" s="675"/>
      <c r="E7852" s="675"/>
      <c r="G7852" s="675"/>
      <c r="H7852" s="675"/>
      <c r="I7852" s="675"/>
      <c r="J7852" s="675"/>
      <c r="K7852" s="675"/>
      <c r="L7852" s="675"/>
      <c r="M7852" s="675"/>
    </row>
    <row r="7853" spans="1:13" x14ac:dyDescent="0.25">
      <c r="A7853" s="675" t="s">
        <v>7813</v>
      </c>
      <c r="B7853" s="675" t="s">
        <v>512</v>
      </c>
      <c r="C7853" s="675" t="s">
        <v>7843</v>
      </c>
      <c r="D7853" s="675"/>
      <c r="E7853" s="675"/>
      <c r="G7853" s="675"/>
      <c r="H7853" s="675"/>
      <c r="I7853" s="675"/>
      <c r="J7853" s="675"/>
      <c r="K7853" s="675"/>
      <c r="L7853" s="675"/>
      <c r="M7853" s="675"/>
    </row>
    <row r="7854" spans="1:13" x14ac:dyDescent="0.25">
      <c r="A7854" s="675" t="s">
        <v>7844</v>
      </c>
      <c r="B7854" s="675" t="s">
        <v>545</v>
      </c>
      <c r="C7854" s="675" t="s">
        <v>7845</v>
      </c>
      <c r="D7854" s="675"/>
      <c r="E7854" s="675"/>
      <c r="G7854" s="675"/>
      <c r="H7854" s="675"/>
      <c r="I7854" s="675"/>
      <c r="J7854" s="675"/>
      <c r="K7854" s="675"/>
      <c r="L7854" s="675"/>
      <c r="M7854" s="675"/>
    </row>
    <row r="7855" spans="1:13" x14ac:dyDescent="0.25">
      <c r="A7855" s="675" t="s">
        <v>7844</v>
      </c>
      <c r="B7855" s="675" t="s">
        <v>545</v>
      </c>
      <c r="C7855" s="675" t="s">
        <v>7846</v>
      </c>
      <c r="D7855" s="675"/>
      <c r="E7855" s="675"/>
      <c r="G7855" s="675"/>
      <c r="H7855" s="675"/>
      <c r="I7855" s="675"/>
      <c r="J7855" s="675"/>
      <c r="K7855" s="675"/>
      <c r="L7855" s="675"/>
      <c r="M7855" s="675"/>
    </row>
    <row r="7856" spans="1:13" x14ac:dyDescent="0.25">
      <c r="A7856" s="675" t="s">
        <v>7844</v>
      </c>
      <c r="B7856" s="675" t="s">
        <v>545</v>
      </c>
      <c r="C7856" s="675" t="s">
        <v>7847</v>
      </c>
      <c r="D7856" s="675"/>
      <c r="E7856" s="675"/>
      <c r="G7856" s="675"/>
      <c r="H7856" s="675"/>
      <c r="I7856" s="675"/>
      <c r="J7856" s="675"/>
      <c r="K7856" s="675"/>
      <c r="L7856" s="675"/>
      <c r="M7856" s="675"/>
    </row>
    <row r="7857" spans="1:13" x14ac:dyDescent="0.25">
      <c r="A7857" s="675" t="s">
        <v>7844</v>
      </c>
      <c r="B7857" s="675" t="s">
        <v>545</v>
      </c>
      <c r="C7857" s="675" t="s">
        <v>7848</v>
      </c>
      <c r="D7857" s="675"/>
      <c r="E7857" s="675"/>
      <c r="G7857" s="675"/>
      <c r="H7857" s="675"/>
      <c r="I7857" s="675"/>
      <c r="J7857" s="675"/>
      <c r="K7857" s="675"/>
      <c r="L7857" s="675"/>
      <c r="M7857" s="675"/>
    </row>
    <row r="7858" spans="1:13" x14ac:dyDescent="0.25">
      <c r="A7858" s="675" t="s">
        <v>7844</v>
      </c>
      <c r="B7858" s="675" t="s">
        <v>545</v>
      </c>
      <c r="C7858" s="675" t="s">
        <v>7849</v>
      </c>
      <c r="D7858" s="675"/>
      <c r="E7858" s="675"/>
      <c r="G7858" s="675"/>
      <c r="H7858" s="675"/>
      <c r="I7858" s="675"/>
      <c r="J7858" s="675"/>
      <c r="K7858" s="675"/>
      <c r="L7858" s="675"/>
      <c r="M7858" s="675"/>
    </row>
    <row r="7859" spans="1:13" x14ac:dyDescent="0.25">
      <c r="A7859" s="675" t="s">
        <v>7844</v>
      </c>
      <c r="B7859" s="675" t="s">
        <v>545</v>
      </c>
      <c r="C7859" s="675" t="s">
        <v>7850</v>
      </c>
      <c r="D7859" s="675"/>
      <c r="E7859" s="675"/>
      <c r="G7859" s="675"/>
      <c r="H7859" s="675"/>
      <c r="I7859" s="675"/>
      <c r="J7859" s="675"/>
      <c r="K7859" s="675"/>
      <c r="L7859" s="675"/>
      <c r="M7859" s="675"/>
    </row>
    <row r="7860" spans="1:13" x14ac:dyDescent="0.25">
      <c r="A7860" s="675" t="s">
        <v>7844</v>
      </c>
      <c r="B7860" s="675" t="s">
        <v>545</v>
      </c>
      <c r="C7860" s="675" t="s">
        <v>7851</v>
      </c>
      <c r="D7860" s="675"/>
      <c r="E7860" s="675"/>
      <c r="G7860" s="675"/>
      <c r="H7860" s="675"/>
      <c r="I7860" s="675"/>
      <c r="J7860" s="675"/>
      <c r="K7860" s="675"/>
      <c r="L7860" s="675"/>
      <c r="M7860" s="675"/>
    </row>
    <row r="7861" spans="1:13" x14ac:dyDescent="0.25">
      <c r="A7861" s="675" t="s">
        <v>7844</v>
      </c>
      <c r="B7861" s="675" t="s">
        <v>545</v>
      </c>
      <c r="C7861" s="675" t="s">
        <v>7852</v>
      </c>
      <c r="D7861" s="675"/>
      <c r="E7861" s="675"/>
      <c r="G7861" s="675"/>
      <c r="H7861" s="675"/>
      <c r="I7861" s="675"/>
      <c r="J7861" s="675"/>
      <c r="K7861" s="675"/>
      <c r="L7861" s="675"/>
      <c r="M7861" s="675"/>
    </row>
    <row r="7862" spans="1:13" x14ac:dyDescent="0.25">
      <c r="A7862" s="675" t="s">
        <v>7844</v>
      </c>
      <c r="B7862" s="675" t="s">
        <v>545</v>
      </c>
      <c r="C7862" s="675" t="s">
        <v>7853</v>
      </c>
      <c r="D7862" s="675"/>
      <c r="E7862" s="675"/>
      <c r="G7862" s="675"/>
      <c r="H7862" s="675"/>
      <c r="I7862" s="675"/>
      <c r="J7862" s="675"/>
      <c r="K7862" s="675"/>
      <c r="L7862" s="675"/>
      <c r="M7862" s="675"/>
    </row>
    <row r="7863" spans="1:13" x14ac:dyDescent="0.25">
      <c r="A7863" s="675" t="s">
        <v>7844</v>
      </c>
      <c r="B7863" s="675" t="s">
        <v>545</v>
      </c>
      <c r="C7863" s="675" t="s">
        <v>7854</v>
      </c>
      <c r="D7863" s="675"/>
      <c r="E7863" s="675"/>
      <c r="G7863" s="675"/>
      <c r="H7863" s="675"/>
      <c r="I7863" s="675"/>
      <c r="J7863" s="675"/>
      <c r="K7863" s="675"/>
      <c r="L7863" s="675"/>
      <c r="M7863" s="675"/>
    </row>
    <row r="7864" spans="1:13" x14ac:dyDescent="0.25">
      <c r="A7864" s="675" t="s">
        <v>7844</v>
      </c>
      <c r="B7864" s="675" t="s">
        <v>564</v>
      </c>
      <c r="C7864" s="675" t="s">
        <v>7855</v>
      </c>
      <c r="D7864" s="675"/>
      <c r="E7864" s="675"/>
      <c r="G7864" s="675"/>
      <c r="H7864" s="675"/>
      <c r="I7864" s="675"/>
      <c r="J7864" s="675"/>
      <c r="K7864" s="675"/>
      <c r="L7864" s="675"/>
      <c r="M7864" s="675"/>
    </row>
    <row r="7865" spans="1:13" x14ac:dyDescent="0.25">
      <c r="A7865" s="675" t="s">
        <v>7844</v>
      </c>
      <c r="B7865" s="675" t="s">
        <v>564</v>
      </c>
      <c r="C7865" s="675" t="s">
        <v>7856</v>
      </c>
      <c r="D7865" s="675"/>
      <c r="E7865" s="675"/>
      <c r="G7865" s="675"/>
      <c r="H7865" s="675"/>
      <c r="I7865" s="675"/>
      <c r="J7865" s="675"/>
      <c r="K7865" s="675"/>
      <c r="L7865" s="675"/>
      <c r="M7865" s="675"/>
    </row>
    <row r="7866" spans="1:13" x14ac:dyDescent="0.25">
      <c r="A7866" s="675" t="s">
        <v>7844</v>
      </c>
      <c r="B7866" s="675" t="s">
        <v>564</v>
      </c>
      <c r="C7866" s="675" t="s">
        <v>7857</v>
      </c>
      <c r="D7866" s="675"/>
      <c r="E7866" s="675"/>
      <c r="G7866" s="675"/>
      <c r="H7866" s="675"/>
      <c r="I7866" s="675"/>
      <c r="J7866" s="675"/>
      <c r="K7866" s="675"/>
      <c r="L7866" s="675"/>
      <c r="M7866" s="675"/>
    </row>
    <row r="7867" spans="1:13" x14ac:dyDescent="0.25">
      <c r="A7867" s="675" t="s">
        <v>7844</v>
      </c>
      <c r="B7867" s="675" t="s">
        <v>564</v>
      </c>
      <c r="C7867" s="675" t="s">
        <v>7858</v>
      </c>
      <c r="D7867" s="675"/>
      <c r="E7867" s="675"/>
      <c r="G7867" s="675"/>
      <c r="H7867" s="675"/>
      <c r="I7867" s="675"/>
      <c r="J7867" s="675"/>
      <c r="K7867" s="675"/>
      <c r="L7867" s="675"/>
      <c r="M7867" s="675"/>
    </row>
    <row r="7868" spans="1:13" x14ac:dyDescent="0.25">
      <c r="A7868" s="675" t="s">
        <v>7844</v>
      </c>
      <c r="B7868" s="675" t="s">
        <v>564</v>
      </c>
      <c r="C7868" s="675" t="s">
        <v>7859</v>
      </c>
      <c r="D7868" s="675"/>
      <c r="E7868" s="675"/>
      <c r="G7868" s="675"/>
      <c r="H7868" s="675"/>
      <c r="I7868" s="675"/>
      <c r="J7868" s="675"/>
      <c r="K7868" s="675"/>
      <c r="L7868" s="675"/>
      <c r="M7868" s="675"/>
    </row>
    <row r="7869" spans="1:13" x14ac:dyDescent="0.25">
      <c r="A7869" s="675" t="s">
        <v>7844</v>
      </c>
      <c r="B7869" s="675" t="s">
        <v>564</v>
      </c>
      <c r="C7869" s="675" t="s">
        <v>7860</v>
      </c>
      <c r="D7869" s="675"/>
      <c r="E7869" s="675"/>
      <c r="G7869" s="675"/>
      <c r="H7869" s="675"/>
      <c r="I7869" s="675"/>
      <c r="J7869" s="675"/>
      <c r="K7869" s="675"/>
      <c r="L7869" s="675"/>
      <c r="M7869" s="675"/>
    </row>
    <row r="7870" spans="1:13" x14ac:dyDescent="0.25">
      <c r="A7870" s="675" t="s">
        <v>7844</v>
      </c>
      <c r="B7870" s="675" t="s">
        <v>564</v>
      </c>
      <c r="C7870" s="675" t="s">
        <v>7861</v>
      </c>
      <c r="D7870" s="675"/>
      <c r="E7870" s="675"/>
      <c r="G7870" s="675"/>
      <c r="H7870" s="675"/>
      <c r="I7870" s="675"/>
      <c r="J7870" s="675"/>
      <c r="K7870" s="675"/>
      <c r="L7870" s="675"/>
      <c r="M7870" s="675"/>
    </row>
    <row r="7871" spans="1:13" x14ac:dyDescent="0.25">
      <c r="A7871" s="675" t="s">
        <v>7844</v>
      </c>
      <c r="B7871" s="675" t="s">
        <v>564</v>
      </c>
      <c r="C7871" s="675" t="s">
        <v>7862</v>
      </c>
      <c r="D7871" s="675"/>
      <c r="E7871" s="675"/>
      <c r="G7871" s="675"/>
      <c r="H7871" s="675"/>
      <c r="I7871" s="675"/>
      <c r="J7871" s="675"/>
      <c r="K7871" s="675"/>
      <c r="L7871" s="675"/>
      <c r="M7871" s="675"/>
    </row>
    <row r="7872" spans="1:13" x14ac:dyDescent="0.25">
      <c r="A7872" s="675" t="s">
        <v>7844</v>
      </c>
      <c r="B7872" s="675" t="s">
        <v>564</v>
      </c>
      <c r="C7872" s="675" t="s">
        <v>7863</v>
      </c>
      <c r="D7872" s="675"/>
      <c r="E7872" s="675"/>
      <c r="G7872" s="675"/>
      <c r="H7872" s="675"/>
      <c r="I7872" s="675"/>
      <c r="J7872" s="675"/>
      <c r="K7872" s="675"/>
      <c r="L7872" s="675"/>
      <c r="M7872" s="675"/>
    </row>
    <row r="7873" spans="1:13" x14ac:dyDescent="0.25">
      <c r="A7873" s="675" t="s">
        <v>7844</v>
      </c>
      <c r="B7873" s="675" t="s">
        <v>564</v>
      </c>
      <c r="C7873" s="675" t="s">
        <v>7864</v>
      </c>
      <c r="D7873" s="675"/>
      <c r="E7873" s="675"/>
      <c r="G7873" s="675"/>
      <c r="H7873" s="675"/>
      <c r="I7873" s="675"/>
      <c r="J7873" s="675"/>
      <c r="K7873" s="675"/>
      <c r="L7873" s="675"/>
      <c r="M7873" s="675"/>
    </row>
    <row r="7874" spans="1:13" x14ac:dyDescent="0.25">
      <c r="A7874" s="675" t="s">
        <v>7844</v>
      </c>
      <c r="B7874" s="675" t="s">
        <v>512</v>
      </c>
      <c r="C7874" s="675" t="s">
        <v>7865</v>
      </c>
      <c r="D7874" s="675"/>
      <c r="E7874" s="675"/>
      <c r="G7874" s="675"/>
      <c r="H7874" s="675"/>
      <c r="I7874" s="675"/>
      <c r="J7874" s="675"/>
      <c r="K7874" s="675"/>
      <c r="L7874" s="675"/>
      <c r="M7874" s="675"/>
    </row>
    <row r="7875" spans="1:13" x14ac:dyDescent="0.25">
      <c r="A7875" s="675" t="s">
        <v>7844</v>
      </c>
      <c r="B7875" s="675" t="s">
        <v>512</v>
      </c>
      <c r="C7875" s="675" t="s">
        <v>7866</v>
      </c>
      <c r="D7875" s="675"/>
      <c r="E7875" s="675"/>
      <c r="G7875" s="675"/>
      <c r="H7875" s="675"/>
      <c r="I7875" s="675"/>
      <c r="J7875" s="675"/>
      <c r="K7875" s="675"/>
      <c r="L7875" s="675"/>
      <c r="M7875" s="675"/>
    </row>
    <row r="7876" spans="1:13" x14ac:dyDescent="0.25">
      <c r="A7876" s="675" t="s">
        <v>7844</v>
      </c>
      <c r="B7876" s="675" t="s">
        <v>512</v>
      </c>
      <c r="C7876" s="675" t="s">
        <v>7867</v>
      </c>
      <c r="D7876" s="675"/>
      <c r="E7876" s="675"/>
      <c r="G7876" s="675"/>
      <c r="H7876" s="675"/>
      <c r="I7876" s="675"/>
      <c r="J7876" s="675"/>
      <c r="K7876" s="675"/>
      <c r="L7876" s="675"/>
      <c r="M7876" s="675"/>
    </row>
    <row r="7877" spans="1:13" x14ac:dyDescent="0.25">
      <c r="A7877" s="675" t="s">
        <v>7844</v>
      </c>
      <c r="B7877" s="675" t="s">
        <v>512</v>
      </c>
      <c r="C7877" s="675" t="s">
        <v>7868</v>
      </c>
      <c r="D7877" s="675"/>
      <c r="E7877" s="675"/>
      <c r="G7877" s="675"/>
      <c r="H7877" s="675"/>
      <c r="I7877" s="675"/>
      <c r="J7877" s="675"/>
      <c r="K7877" s="675"/>
      <c r="L7877" s="675"/>
      <c r="M7877" s="675"/>
    </row>
    <row r="7878" spans="1:13" x14ac:dyDescent="0.25">
      <c r="A7878" s="675" t="s">
        <v>7844</v>
      </c>
      <c r="B7878" s="675" t="s">
        <v>512</v>
      </c>
      <c r="C7878" s="675" t="s">
        <v>7869</v>
      </c>
      <c r="D7878" s="675"/>
      <c r="E7878" s="675"/>
      <c r="G7878" s="675"/>
      <c r="H7878" s="675"/>
      <c r="I7878" s="675"/>
      <c r="J7878" s="675"/>
      <c r="K7878" s="675"/>
      <c r="L7878" s="675"/>
      <c r="M7878" s="675"/>
    </row>
    <row r="7879" spans="1:13" x14ac:dyDescent="0.25">
      <c r="A7879" s="675" t="s">
        <v>7844</v>
      </c>
      <c r="B7879" s="675" t="s">
        <v>512</v>
      </c>
      <c r="C7879" s="675" t="s">
        <v>7870</v>
      </c>
      <c r="D7879" s="675"/>
      <c r="E7879" s="675"/>
      <c r="G7879" s="675"/>
      <c r="H7879" s="675"/>
      <c r="I7879" s="675"/>
      <c r="J7879" s="675"/>
      <c r="K7879" s="675"/>
      <c r="L7879" s="675"/>
      <c r="M7879" s="675"/>
    </row>
    <row r="7880" spans="1:13" x14ac:dyDescent="0.25">
      <c r="A7880" s="675" t="s">
        <v>7844</v>
      </c>
      <c r="B7880" s="675" t="s">
        <v>512</v>
      </c>
      <c r="C7880" s="675" t="s">
        <v>7871</v>
      </c>
      <c r="D7880" s="675"/>
      <c r="E7880" s="675"/>
      <c r="G7880" s="675"/>
      <c r="H7880" s="675"/>
      <c r="I7880" s="675"/>
      <c r="J7880" s="675"/>
      <c r="K7880" s="675"/>
      <c r="L7880" s="675"/>
      <c r="M7880" s="675"/>
    </row>
    <row r="7881" spans="1:13" x14ac:dyDescent="0.25">
      <c r="A7881" s="675" t="s">
        <v>7844</v>
      </c>
      <c r="B7881" s="675" t="s">
        <v>512</v>
      </c>
      <c r="C7881" s="675" t="s">
        <v>7872</v>
      </c>
      <c r="D7881" s="675"/>
      <c r="E7881" s="675"/>
      <c r="G7881" s="675"/>
      <c r="H7881" s="675"/>
      <c r="I7881" s="675"/>
      <c r="J7881" s="675"/>
      <c r="K7881" s="675"/>
      <c r="L7881" s="675"/>
      <c r="M7881" s="675"/>
    </row>
    <row r="7882" spans="1:13" x14ac:dyDescent="0.25">
      <c r="A7882" s="675" t="s">
        <v>7844</v>
      </c>
      <c r="B7882" s="675" t="s">
        <v>512</v>
      </c>
      <c r="C7882" s="675" t="s">
        <v>7873</v>
      </c>
      <c r="D7882" s="675"/>
      <c r="E7882" s="675"/>
      <c r="G7882" s="675"/>
      <c r="H7882" s="675"/>
      <c r="I7882" s="675"/>
      <c r="J7882" s="675"/>
      <c r="K7882" s="675"/>
      <c r="L7882" s="675"/>
      <c r="M7882" s="675"/>
    </row>
    <row r="7883" spans="1:13" x14ac:dyDescent="0.25">
      <c r="A7883" s="675" t="s">
        <v>7844</v>
      </c>
      <c r="B7883" s="675" t="s">
        <v>512</v>
      </c>
      <c r="C7883" s="675" t="s">
        <v>7874</v>
      </c>
      <c r="D7883" s="675"/>
      <c r="E7883" s="675"/>
      <c r="G7883" s="675"/>
      <c r="H7883" s="675"/>
      <c r="I7883" s="675"/>
      <c r="J7883" s="675"/>
      <c r="K7883" s="675"/>
      <c r="L7883" s="675"/>
      <c r="M7883" s="675"/>
    </row>
    <row r="7884" spans="1:13" x14ac:dyDescent="0.25">
      <c r="A7884" s="675" t="s">
        <v>7875</v>
      </c>
      <c r="B7884" s="675" t="s">
        <v>545</v>
      </c>
      <c r="C7884" s="675" t="s">
        <v>7876</v>
      </c>
      <c r="D7884" s="675"/>
      <c r="E7884" s="675"/>
      <c r="G7884" s="675"/>
      <c r="H7884" s="675"/>
      <c r="I7884" s="675"/>
      <c r="J7884" s="675"/>
      <c r="K7884" s="675"/>
      <c r="L7884" s="675"/>
      <c r="M7884" s="675"/>
    </row>
    <row r="7885" spans="1:13" x14ac:dyDescent="0.25">
      <c r="A7885" s="675" t="s">
        <v>7875</v>
      </c>
      <c r="B7885" s="675" t="s">
        <v>545</v>
      </c>
      <c r="C7885" s="675" t="s">
        <v>7877</v>
      </c>
      <c r="D7885" s="675"/>
      <c r="E7885" s="675"/>
      <c r="G7885" s="675"/>
      <c r="H7885" s="675"/>
      <c r="I7885" s="675"/>
      <c r="J7885" s="675"/>
      <c r="K7885" s="675"/>
      <c r="L7885" s="675"/>
      <c r="M7885" s="675"/>
    </row>
    <row r="7886" spans="1:13" x14ac:dyDescent="0.25">
      <c r="A7886" s="675" t="s">
        <v>7875</v>
      </c>
      <c r="B7886" s="675" t="s">
        <v>545</v>
      </c>
      <c r="C7886" s="675" t="s">
        <v>7878</v>
      </c>
      <c r="D7886" s="675"/>
      <c r="E7886" s="675"/>
      <c r="G7886" s="675"/>
      <c r="H7886" s="675"/>
      <c r="I7886" s="675"/>
      <c r="J7886" s="675"/>
      <c r="K7886" s="675"/>
      <c r="L7886" s="675"/>
      <c r="M7886" s="675"/>
    </row>
    <row r="7887" spans="1:13" x14ac:dyDescent="0.25">
      <c r="A7887" s="675" t="s">
        <v>7875</v>
      </c>
      <c r="B7887" s="675" t="s">
        <v>545</v>
      </c>
      <c r="C7887" s="675" t="s">
        <v>7879</v>
      </c>
      <c r="D7887" s="675"/>
      <c r="E7887" s="675"/>
      <c r="G7887" s="675"/>
      <c r="H7887" s="675"/>
      <c r="I7887" s="675"/>
      <c r="J7887" s="675"/>
      <c r="K7887" s="675"/>
      <c r="L7887" s="675"/>
      <c r="M7887" s="675"/>
    </row>
    <row r="7888" spans="1:13" x14ac:dyDescent="0.25">
      <c r="A7888" s="675" t="s">
        <v>7875</v>
      </c>
      <c r="B7888" s="675" t="s">
        <v>545</v>
      </c>
      <c r="C7888" s="675" t="s">
        <v>7880</v>
      </c>
      <c r="D7888" s="675"/>
      <c r="E7888" s="675"/>
      <c r="G7888" s="675"/>
      <c r="H7888" s="675"/>
      <c r="I7888" s="675"/>
      <c r="J7888" s="675"/>
      <c r="K7888" s="675"/>
      <c r="L7888" s="675"/>
      <c r="M7888" s="675"/>
    </row>
    <row r="7889" spans="1:13" x14ac:dyDescent="0.25">
      <c r="A7889" s="675" t="s">
        <v>7875</v>
      </c>
      <c r="B7889" s="675" t="s">
        <v>545</v>
      </c>
      <c r="C7889" s="675" t="s">
        <v>7881</v>
      </c>
      <c r="D7889" s="675"/>
      <c r="E7889" s="675"/>
      <c r="G7889" s="675"/>
      <c r="H7889" s="675"/>
      <c r="I7889" s="675"/>
      <c r="J7889" s="675"/>
      <c r="K7889" s="675"/>
      <c r="L7889" s="675"/>
      <c r="M7889" s="675"/>
    </row>
    <row r="7890" spans="1:13" x14ac:dyDescent="0.25">
      <c r="A7890" s="675" t="s">
        <v>7875</v>
      </c>
      <c r="B7890" s="675" t="s">
        <v>545</v>
      </c>
      <c r="C7890" s="675" t="s">
        <v>7882</v>
      </c>
      <c r="D7890" s="675"/>
      <c r="E7890" s="675"/>
      <c r="G7890" s="675"/>
      <c r="H7890" s="675"/>
      <c r="I7890" s="675"/>
      <c r="J7890" s="675"/>
      <c r="K7890" s="675"/>
      <c r="L7890" s="675"/>
      <c r="M7890" s="675"/>
    </row>
    <row r="7891" spans="1:13" x14ac:dyDescent="0.25">
      <c r="A7891" s="675" t="s">
        <v>7875</v>
      </c>
      <c r="B7891" s="675" t="s">
        <v>545</v>
      </c>
      <c r="C7891" s="675" t="s">
        <v>7883</v>
      </c>
      <c r="D7891" s="675"/>
      <c r="E7891" s="675"/>
      <c r="G7891" s="675"/>
      <c r="H7891" s="675"/>
      <c r="I7891" s="675"/>
      <c r="J7891" s="675"/>
      <c r="K7891" s="675"/>
      <c r="L7891" s="675"/>
      <c r="M7891" s="675"/>
    </row>
    <row r="7892" spans="1:13" x14ac:dyDescent="0.25">
      <c r="A7892" s="675" t="s">
        <v>7875</v>
      </c>
      <c r="B7892" s="675" t="s">
        <v>545</v>
      </c>
      <c r="C7892" s="675" t="s">
        <v>7884</v>
      </c>
      <c r="D7892" s="675"/>
      <c r="E7892" s="675"/>
      <c r="G7892" s="675"/>
      <c r="H7892" s="675"/>
      <c r="I7892" s="675"/>
      <c r="J7892" s="675"/>
      <c r="K7892" s="675"/>
      <c r="L7892" s="675"/>
      <c r="M7892" s="675"/>
    </row>
    <row r="7893" spans="1:13" x14ac:dyDescent="0.25">
      <c r="A7893" s="675" t="s">
        <v>7875</v>
      </c>
      <c r="B7893" s="675" t="s">
        <v>545</v>
      </c>
      <c r="C7893" s="675" t="s">
        <v>7885</v>
      </c>
      <c r="D7893" s="675"/>
      <c r="E7893" s="675"/>
      <c r="G7893" s="675"/>
      <c r="H7893" s="675"/>
      <c r="I7893" s="675"/>
      <c r="J7893" s="675"/>
      <c r="K7893" s="675"/>
      <c r="L7893" s="675"/>
      <c r="M7893" s="675"/>
    </row>
    <row r="7894" spans="1:13" x14ac:dyDescent="0.25">
      <c r="A7894" s="675" t="s">
        <v>7875</v>
      </c>
      <c r="B7894" s="675" t="s">
        <v>564</v>
      </c>
      <c r="C7894" s="675" t="s">
        <v>7886</v>
      </c>
      <c r="D7894" s="675"/>
      <c r="E7894" s="675"/>
      <c r="G7894" s="675"/>
      <c r="H7894" s="675"/>
      <c r="I7894" s="675"/>
      <c r="J7894" s="675"/>
      <c r="K7894" s="675"/>
      <c r="L7894" s="675"/>
      <c r="M7894" s="675"/>
    </row>
    <row r="7895" spans="1:13" x14ac:dyDescent="0.25">
      <c r="A7895" s="675" t="s">
        <v>7875</v>
      </c>
      <c r="B7895" s="675" t="s">
        <v>564</v>
      </c>
      <c r="C7895" s="675" t="s">
        <v>7887</v>
      </c>
      <c r="D7895" s="675"/>
      <c r="E7895" s="675"/>
      <c r="G7895" s="675"/>
      <c r="H7895" s="675"/>
      <c r="I7895" s="675"/>
      <c r="J7895" s="675"/>
      <c r="K7895" s="675"/>
      <c r="L7895" s="675"/>
      <c r="M7895" s="675"/>
    </row>
    <row r="7896" spans="1:13" x14ac:dyDescent="0.25">
      <c r="A7896" s="675" t="s">
        <v>7875</v>
      </c>
      <c r="B7896" s="675" t="s">
        <v>564</v>
      </c>
      <c r="C7896" s="675" t="s">
        <v>7888</v>
      </c>
      <c r="D7896" s="675"/>
      <c r="E7896" s="675"/>
      <c r="G7896" s="675"/>
      <c r="H7896" s="675"/>
      <c r="I7896" s="675"/>
      <c r="J7896" s="675"/>
      <c r="K7896" s="675"/>
      <c r="L7896" s="675"/>
      <c r="M7896" s="675"/>
    </row>
    <row r="7897" spans="1:13" x14ac:dyDescent="0.25">
      <c r="A7897" s="675" t="s">
        <v>7875</v>
      </c>
      <c r="B7897" s="675" t="s">
        <v>564</v>
      </c>
      <c r="C7897" s="675" t="s">
        <v>7889</v>
      </c>
      <c r="D7897" s="675"/>
      <c r="E7897" s="675"/>
      <c r="G7897" s="675"/>
      <c r="H7897" s="675"/>
      <c r="I7897" s="675"/>
      <c r="J7897" s="675"/>
      <c r="K7897" s="675"/>
      <c r="L7897" s="675"/>
      <c r="M7897" s="675"/>
    </row>
    <row r="7898" spans="1:13" x14ac:dyDescent="0.25">
      <c r="A7898" s="675" t="s">
        <v>7875</v>
      </c>
      <c r="B7898" s="675" t="s">
        <v>564</v>
      </c>
      <c r="C7898" s="675" t="s">
        <v>7890</v>
      </c>
      <c r="D7898" s="675"/>
      <c r="E7898" s="675"/>
      <c r="G7898" s="675"/>
      <c r="H7898" s="675"/>
      <c r="I7898" s="675"/>
      <c r="J7898" s="675"/>
      <c r="K7898" s="675"/>
      <c r="L7898" s="675"/>
      <c r="M7898" s="675"/>
    </row>
    <row r="7899" spans="1:13" x14ac:dyDescent="0.25">
      <c r="A7899" s="675" t="s">
        <v>7875</v>
      </c>
      <c r="B7899" s="675" t="s">
        <v>564</v>
      </c>
      <c r="C7899" s="675" t="s">
        <v>7891</v>
      </c>
      <c r="D7899" s="675"/>
      <c r="E7899" s="675"/>
      <c r="G7899" s="675"/>
      <c r="H7899" s="675"/>
      <c r="I7899" s="675"/>
      <c r="J7899" s="675"/>
      <c r="K7899" s="675"/>
      <c r="L7899" s="675"/>
      <c r="M7899" s="675"/>
    </row>
    <row r="7900" spans="1:13" x14ac:dyDescent="0.25">
      <c r="A7900" s="675" t="s">
        <v>7875</v>
      </c>
      <c r="B7900" s="675" t="s">
        <v>564</v>
      </c>
      <c r="C7900" s="675" t="s">
        <v>7892</v>
      </c>
      <c r="D7900" s="675"/>
      <c r="E7900" s="675"/>
      <c r="G7900" s="675"/>
      <c r="H7900" s="675"/>
      <c r="I7900" s="675"/>
      <c r="J7900" s="675"/>
      <c r="K7900" s="675"/>
      <c r="L7900" s="675"/>
      <c r="M7900" s="675"/>
    </row>
    <row r="7901" spans="1:13" x14ac:dyDescent="0.25">
      <c r="A7901" s="675" t="s">
        <v>7875</v>
      </c>
      <c r="B7901" s="675" t="s">
        <v>564</v>
      </c>
      <c r="C7901" s="675" t="s">
        <v>7893</v>
      </c>
      <c r="D7901" s="675"/>
      <c r="E7901" s="675"/>
      <c r="G7901" s="675"/>
      <c r="H7901" s="675"/>
      <c r="I7901" s="675"/>
      <c r="J7901" s="675"/>
      <c r="K7901" s="675"/>
      <c r="L7901" s="675"/>
      <c r="M7901" s="675"/>
    </row>
    <row r="7902" spans="1:13" x14ac:dyDescent="0.25">
      <c r="A7902" s="675" t="s">
        <v>7875</v>
      </c>
      <c r="B7902" s="675" t="s">
        <v>564</v>
      </c>
      <c r="C7902" s="675" t="s">
        <v>7894</v>
      </c>
      <c r="D7902" s="675"/>
      <c r="E7902" s="675"/>
      <c r="G7902" s="675"/>
      <c r="H7902" s="675"/>
      <c r="I7902" s="675"/>
      <c r="J7902" s="675"/>
      <c r="K7902" s="675"/>
      <c r="L7902" s="675"/>
      <c r="M7902" s="675"/>
    </row>
    <row r="7903" spans="1:13" x14ac:dyDescent="0.25">
      <c r="A7903" s="675" t="s">
        <v>7875</v>
      </c>
      <c r="B7903" s="675" t="s">
        <v>564</v>
      </c>
      <c r="C7903" s="675" t="s">
        <v>7895</v>
      </c>
      <c r="D7903" s="675"/>
      <c r="E7903" s="675"/>
      <c r="G7903" s="675"/>
      <c r="H7903" s="675"/>
      <c r="I7903" s="675"/>
      <c r="J7903" s="675"/>
      <c r="K7903" s="675"/>
      <c r="L7903" s="675"/>
      <c r="M7903" s="675"/>
    </row>
    <row r="7904" spans="1:13" x14ac:dyDescent="0.25">
      <c r="A7904" s="675" t="s">
        <v>7875</v>
      </c>
      <c r="B7904" s="675" t="s">
        <v>512</v>
      </c>
      <c r="C7904" s="675" t="s">
        <v>7896</v>
      </c>
      <c r="D7904" s="675"/>
      <c r="E7904" s="675"/>
      <c r="G7904" s="675"/>
      <c r="H7904" s="675"/>
      <c r="I7904" s="675"/>
      <c r="J7904" s="675"/>
      <c r="K7904" s="675"/>
      <c r="L7904" s="675"/>
      <c r="M7904" s="675"/>
    </row>
    <row r="7905" spans="1:13" x14ac:dyDescent="0.25">
      <c r="A7905" s="675" t="s">
        <v>7875</v>
      </c>
      <c r="B7905" s="675" t="s">
        <v>512</v>
      </c>
      <c r="C7905" s="675" t="s">
        <v>7897</v>
      </c>
      <c r="D7905" s="675"/>
      <c r="E7905" s="675"/>
      <c r="G7905" s="675"/>
      <c r="H7905" s="675"/>
      <c r="I7905" s="675"/>
      <c r="J7905" s="675"/>
      <c r="K7905" s="675"/>
      <c r="L7905" s="675"/>
      <c r="M7905" s="675"/>
    </row>
    <row r="7906" spans="1:13" x14ac:dyDescent="0.25">
      <c r="A7906" s="675" t="s">
        <v>7875</v>
      </c>
      <c r="B7906" s="675" t="s">
        <v>512</v>
      </c>
      <c r="C7906" s="675" t="s">
        <v>7898</v>
      </c>
      <c r="D7906" s="675"/>
      <c r="E7906" s="675"/>
      <c r="G7906" s="675"/>
      <c r="H7906" s="675"/>
      <c r="I7906" s="675"/>
      <c r="J7906" s="675"/>
      <c r="K7906" s="675"/>
      <c r="L7906" s="675"/>
      <c r="M7906" s="675"/>
    </row>
    <row r="7907" spans="1:13" x14ac:dyDescent="0.25">
      <c r="A7907" s="675" t="s">
        <v>7875</v>
      </c>
      <c r="B7907" s="675" t="s">
        <v>512</v>
      </c>
      <c r="C7907" s="675" t="s">
        <v>7899</v>
      </c>
      <c r="D7907" s="675"/>
      <c r="E7907" s="675"/>
      <c r="G7907" s="675"/>
      <c r="H7907" s="675"/>
      <c r="I7907" s="675"/>
      <c r="J7907" s="675"/>
      <c r="K7907" s="675"/>
      <c r="L7907" s="675"/>
      <c r="M7907" s="675"/>
    </row>
    <row r="7908" spans="1:13" x14ac:dyDescent="0.25">
      <c r="A7908" s="675" t="s">
        <v>7875</v>
      </c>
      <c r="B7908" s="675" t="s">
        <v>512</v>
      </c>
      <c r="C7908" s="675" t="s">
        <v>7900</v>
      </c>
      <c r="D7908" s="675"/>
      <c r="E7908" s="675"/>
      <c r="G7908" s="675"/>
      <c r="H7908" s="675"/>
      <c r="I7908" s="675"/>
      <c r="J7908" s="675"/>
      <c r="K7908" s="675"/>
      <c r="L7908" s="675"/>
      <c r="M7908" s="675"/>
    </row>
    <row r="7909" spans="1:13" x14ac:dyDescent="0.25">
      <c r="A7909" s="675" t="s">
        <v>7875</v>
      </c>
      <c r="B7909" s="675" t="s">
        <v>512</v>
      </c>
      <c r="C7909" s="675" t="s">
        <v>7901</v>
      </c>
      <c r="D7909" s="675"/>
      <c r="E7909" s="675"/>
      <c r="G7909" s="675"/>
      <c r="H7909" s="675"/>
      <c r="I7909" s="675"/>
      <c r="J7909" s="675"/>
      <c r="K7909" s="675"/>
      <c r="L7909" s="675"/>
      <c r="M7909" s="675"/>
    </row>
    <row r="7910" spans="1:13" x14ac:dyDescent="0.25">
      <c r="A7910" s="675" t="s">
        <v>7875</v>
      </c>
      <c r="B7910" s="675" t="s">
        <v>512</v>
      </c>
      <c r="C7910" s="675" t="s">
        <v>7902</v>
      </c>
      <c r="D7910" s="675"/>
      <c r="E7910" s="675"/>
      <c r="G7910" s="675"/>
      <c r="H7910" s="675"/>
      <c r="I7910" s="675"/>
      <c r="J7910" s="675"/>
      <c r="K7910" s="675"/>
      <c r="L7910" s="675"/>
      <c r="M7910" s="675"/>
    </row>
    <row r="7911" spans="1:13" x14ac:dyDescent="0.25">
      <c r="A7911" s="675" t="s">
        <v>7875</v>
      </c>
      <c r="B7911" s="675" t="s">
        <v>512</v>
      </c>
      <c r="C7911" s="675" t="s">
        <v>7903</v>
      </c>
      <c r="D7911" s="675"/>
      <c r="E7911" s="675"/>
      <c r="G7911" s="675"/>
      <c r="H7911" s="675"/>
      <c r="I7911" s="675"/>
      <c r="J7911" s="675"/>
      <c r="K7911" s="675"/>
      <c r="L7911" s="675"/>
      <c r="M7911" s="675"/>
    </row>
    <row r="7912" spans="1:13" x14ac:dyDescent="0.25">
      <c r="A7912" s="675" t="s">
        <v>7875</v>
      </c>
      <c r="B7912" s="675" t="s">
        <v>512</v>
      </c>
      <c r="C7912" s="675" t="s">
        <v>7904</v>
      </c>
      <c r="D7912" s="675"/>
      <c r="E7912" s="675"/>
      <c r="G7912" s="675"/>
      <c r="H7912" s="675"/>
      <c r="I7912" s="675"/>
      <c r="J7912" s="675"/>
      <c r="K7912" s="675"/>
      <c r="L7912" s="675"/>
      <c r="M7912" s="675"/>
    </row>
    <row r="7913" spans="1:13" x14ac:dyDescent="0.25">
      <c r="A7913" s="675" t="s">
        <v>7875</v>
      </c>
      <c r="B7913" s="675" t="s">
        <v>512</v>
      </c>
      <c r="C7913" s="675" t="s">
        <v>7905</v>
      </c>
      <c r="D7913" s="675"/>
      <c r="E7913" s="675"/>
      <c r="G7913" s="675"/>
      <c r="H7913" s="675"/>
      <c r="I7913" s="675"/>
      <c r="J7913" s="675"/>
      <c r="K7913" s="675"/>
      <c r="L7913" s="675"/>
      <c r="M7913" s="675"/>
    </row>
    <row r="7914" spans="1:13" x14ac:dyDescent="0.25">
      <c r="A7914" s="675" t="s">
        <v>7906</v>
      </c>
      <c r="B7914" s="675" t="s">
        <v>545</v>
      </c>
      <c r="C7914" s="676" t="s">
        <v>7907</v>
      </c>
      <c r="D7914" s="675"/>
      <c r="E7914" s="675"/>
      <c r="G7914" s="675"/>
      <c r="H7914" s="675"/>
      <c r="I7914" s="675"/>
      <c r="J7914" s="675"/>
      <c r="K7914" s="675"/>
      <c r="L7914" s="675"/>
      <c r="M7914" s="675"/>
    </row>
    <row r="7915" spans="1:13" x14ac:dyDescent="0.25">
      <c r="A7915" s="675" t="s">
        <v>7906</v>
      </c>
      <c r="B7915" s="675" t="s">
        <v>545</v>
      </c>
      <c r="C7915" s="676" t="s">
        <v>7908</v>
      </c>
      <c r="D7915" s="675"/>
      <c r="E7915" s="675"/>
      <c r="G7915" s="675"/>
      <c r="H7915" s="675"/>
      <c r="I7915" s="675"/>
      <c r="J7915" s="675"/>
      <c r="K7915" s="675"/>
      <c r="L7915" s="675"/>
      <c r="M7915" s="675"/>
    </row>
    <row r="7916" spans="1:13" x14ac:dyDescent="0.25">
      <c r="A7916" s="675" t="s">
        <v>7906</v>
      </c>
      <c r="B7916" s="675" t="s">
        <v>545</v>
      </c>
      <c r="C7916" s="676" t="s">
        <v>7909</v>
      </c>
      <c r="D7916" s="675"/>
      <c r="E7916" s="675"/>
      <c r="G7916" s="675"/>
      <c r="H7916" s="675"/>
      <c r="I7916" s="675"/>
      <c r="J7916" s="675"/>
      <c r="K7916" s="675"/>
      <c r="L7916" s="675"/>
      <c r="M7916" s="675"/>
    </row>
    <row r="7917" spans="1:13" x14ac:dyDescent="0.25">
      <c r="A7917" s="675" t="s">
        <v>7906</v>
      </c>
      <c r="B7917" s="675" t="s">
        <v>545</v>
      </c>
      <c r="C7917" s="676" t="s">
        <v>7910</v>
      </c>
      <c r="D7917" s="675"/>
      <c r="E7917" s="675"/>
      <c r="G7917" s="675"/>
      <c r="H7917" s="675"/>
      <c r="I7917" s="675"/>
      <c r="J7917" s="675"/>
      <c r="K7917" s="675"/>
      <c r="L7917" s="675"/>
      <c r="M7917" s="675"/>
    </row>
    <row r="7918" spans="1:13" x14ac:dyDescent="0.25">
      <c r="A7918" s="675" t="s">
        <v>7906</v>
      </c>
      <c r="B7918" s="675" t="s">
        <v>545</v>
      </c>
      <c r="C7918" s="676" t="s">
        <v>7911</v>
      </c>
      <c r="D7918" s="675"/>
      <c r="E7918" s="675"/>
      <c r="G7918" s="675"/>
      <c r="H7918" s="675"/>
      <c r="I7918" s="675"/>
      <c r="J7918" s="675"/>
      <c r="K7918" s="675"/>
      <c r="L7918" s="675"/>
      <c r="M7918" s="675"/>
    </row>
    <row r="7919" spans="1:13" x14ac:dyDescent="0.25">
      <c r="A7919" s="675" t="s">
        <v>7906</v>
      </c>
      <c r="B7919" s="675" t="s">
        <v>545</v>
      </c>
      <c r="C7919" s="676" t="s">
        <v>7912</v>
      </c>
      <c r="D7919" s="675"/>
      <c r="E7919" s="675"/>
      <c r="G7919" s="675"/>
      <c r="H7919" s="675"/>
      <c r="I7919" s="675"/>
      <c r="J7919" s="675"/>
      <c r="K7919" s="675"/>
      <c r="L7919" s="675"/>
      <c r="M7919" s="675"/>
    </row>
    <row r="7920" spans="1:13" x14ac:dyDescent="0.25">
      <c r="A7920" s="675" t="s">
        <v>7906</v>
      </c>
      <c r="B7920" s="675" t="s">
        <v>545</v>
      </c>
      <c r="C7920" s="676" t="s">
        <v>7913</v>
      </c>
      <c r="D7920" s="675"/>
      <c r="E7920" s="675"/>
      <c r="G7920" s="675"/>
      <c r="H7920" s="675"/>
      <c r="I7920" s="675"/>
      <c r="J7920" s="675"/>
      <c r="K7920" s="675"/>
      <c r="L7920" s="675"/>
      <c r="M7920" s="675"/>
    </row>
    <row r="7921" spans="1:13" x14ac:dyDescent="0.25">
      <c r="A7921" s="675" t="s">
        <v>7906</v>
      </c>
      <c r="B7921" s="675" t="s">
        <v>545</v>
      </c>
      <c r="C7921" s="676" t="s">
        <v>7914</v>
      </c>
      <c r="D7921" s="675"/>
      <c r="E7921" s="675"/>
      <c r="G7921" s="675"/>
      <c r="H7921" s="675"/>
      <c r="I7921" s="675"/>
      <c r="J7921" s="675"/>
      <c r="K7921" s="675"/>
      <c r="L7921" s="675"/>
      <c r="M7921" s="675"/>
    </row>
    <row r="7922" spans="1:13" x14ac:dyDescent="0.25">
      <c r="A7922" s="675" t="s">
        <v>7906</v>
      </c>
      <c r="B7922" s="675" t="s">
        <v>545</v>
      </c>
      <c r="C7922" s="676" t="s">
        <v>7915</v>
      </c>
      <c r="D7922" s="675"/>
      <c r="E7922" s="675"/>
      <c r="G7922" s="675"/>
      <c r="H7922" s="675"/>
      <c r="I7922" s="675"/>
      <c r="J7922" s="675"/>
      <c r="K7922" s="675"/>
      <c r="L7922" s="675"/>
      <c r="M7922" s="675"/>
    </row>
    <row r="7923" spans="1:13" x14ac:dyDescent="0.25">
      <c r="A7923" s="675" t="s">
        <v>7906</v>
      </c>
      <c r="B7923" s="675" t="s">
        <v>545</v>
      </c>
      <c r="C7923" s="676" t="s">
        <v>7916</v>
      </c>
      <c r="D7923" s="675"/>
      <c r="E7923" s="675"/>
      <c r="G7923" s="675"/>
      <c r="H7923" s="675"/>
      <c r="I7923" s="675"/>
      <c r="J7923" s="675"/>
      <c r="K7923" s="675"/>
      <c r="L7923" s="675"/>
      <c r="M7923" s="675"/>
    </row>
    <row r="7924" spans="1:13" x14ac:dyDescent="0.25">
      <c r="A7924" s="675" t="s">
        <v>7906</v>
      </c>
      <c r="B7924" s="675" t="s">
        <v>564</v>
      </c>
      <c r="C7924" s="676" t="s">
        <v>7917</v>
      </c>
      <c r="D7924" s="675"/>
      <c r="E7924" s="675"/>
      <c r="G7924" s="675"/>
      <c r="H7924" s="675"/>
      <c r="I7924" s="675"/>
      <c r="J7924" s="675"/>
      <c r="K7924" s="675"/>
      <c r="L7924" s="675"/>
      <c r="M7924" s="675"/>
    </row>
    <row r="7925" spans="1:13" x14ac:dyDescent="0.25">
      <c r="A7925" s="675" t="s">
        <v>7906</v>
      </c>
      <c r="B7925" s="675" t="s">
        <v>564</v>
      </c>
      <c r="C7925" s="676" t="s">
        <v>7918</v>
      </c>
      <c r="D7925" s="675"/>
      <c r="E7925" s="675"/>
      <c r="G7925" s="675"/>
      <c r="H7925" s="675"/>
      <c r="I7925" s="675"/>
      <c r="J7925" s="675"/>
      <c r="K7925" s="675"/>
      <c r="L7925" s="675"/>
      <c r="M7925" s="675"/>
    </row>
    <row r="7926" spans="1:13" x14ac:dyDescent="0.25">
      <c r="A7926" s="675" t="s">
        <v>7906</v>
      </c>
      <c r="B7926" s="675" t="s">
        <v>564</v>
      </c>
      <c r="C7926" s="676" t="s">
        <v>7919</v>
      </c>
      <c r="D7926" s="675"/>
      <c r="E7926" s="675"/>
      <c r="G7926" s="675"/>
      <c r="H7926" s="675"/>
      <c r="I7926" s="675"/>
      <c r="J7926" s="675"/>
      <c r="K7926" s="675"/>
      <c r="L7926" s="675"/>
      <c r="M7926" s="675"/>
    </row>
    <row r="7927" spans="1:13" x14ac:dyDescent="0.25">
      <c r="A7927" s="675" t="s">
        <v>7906</v>
      </c>
      <c r="B7927" s="675" t="s">
        <v>564</v>
      </c>
      <c r="C7927" s="676" t="s">
        <v>7920</v>
      </c>
      <c r="D7927" s="675"/>
      <c r="E7927" s="675"/>
      <c r="G7927" s="675"/>
      <c r="H7927" s="675"/>
      <c r="I7927" s="675"/>
      <c r="J7927" s="675"/>
      <c r="K7927" s="675"/>
      <c r="L7927" s="675"/>
      <c r="M7927" s="675"/>
    </row>
    <row r="7928" spans="1:13" x14ac:dyDescent="0.25">
      <c r="A7928" s="675" t="s">
        <v>7906</v>
      </c>
      <c r="B7928" s="675" t="s">
        <v>564</v>
      </c>
      <c r="C7928" s="676" t="s">
        <v>7921</v>
      </c>
      <c r="D7928" s="675"/>
      <c r="E7928" s="675"/>
      <c r="G7928" s="675"/>
      <c r="H7928" s="675"/>
      <c r="I7928" s="675"/>
      <c r="J7928" s="675"/>
      <c r="K7928" s="675"/>
      <c r="L7928" s="675"/>
      <c r="M7928" s="675"/>
    </row>
    <row r="7929" spans="1:13" x14ac:dyDescent="0.25">
      <c r="A7929" s="675" t="s">
        <v>7906</v>
      </c>
      <c r="B7929" s="675" t="s">
        <v>564</v>
      </c>
      <c r="C7929" s="676" t="s">
        <v>7922</v>
      </c>
      <c r="D7929" s="675"/>
      <c r="E7929" s="675"/>
      <c r="G7929" s="675"/>
      <c r="H7929" s="675"/>
      <c r="I7929" s="675"/>
      <c r="J7929" s="675"/>
      <c r="K7929" s="675"/>
      <c r="L7929" s="675"/>
      <c r="M7929" s="675"/>
    </row>
    <row r="7930" spans="1:13" x14ac:dyDescent="0.25">
      <c r="A7930" s="675" t="s">
        <v>7906</v>
      </c>
      <c r="B7930" s="675" t="s">
        <v>564</v>
      </c>
      <c r="C7930" s="676" t="s">
        <v>7923</v>
      </c>
      <c r="D7930" s="675"/>
      <c r="E7930" s="675"/>
      <c r="G7930" s="675"/>
      <c r="H7930" s="675"/>
      <c r="I7930" s="675"/>
      <c r="J7930" s="675"/>
      <c r="K7930" s="675"/>
      <c r="L7930" s="675"/>
      <c r="M7930" s="675"/>
    </row>
    <row r="7931" spans="1:13" x14ac:dyDescent="0.25">
      <c r="A7931" s="675" t="s">
        <v>7906</v>
      </c>
      <c r="B7931" s="675" t="s">
        <v>564</v>
      </c>
      <c r="C7931" s="676" t="s">
        <v>7924</v>
      </c>
      <c r="D7931" s="675"/>
      <c r="E7931" s="675"/>
      <c r="G7931" s="675"/>
      <c r="H7931" s="675"/>
      <c r="I7931" s="675"/>
      <c r="J7931" s="675"/>
      <c r="K7931" s="675"/>
      <c r="L7931" s="675"/>
      <c r="M7931" s="675"/>
    </row>
    <row r="7932" spans="1:13" x14ac:dyDescent="0.25">
      <c r="A7932" s="675" t="s">
        <v>7906</v>
      </c>
      <c r="B7932" s="675" t="s">
        <v>564</v>
      </c>
      <c r="C7932" s="676" t="s">
        <v>7925</v>
      </c>
      <c r="D7932" s="675"/>
      <c r="E7932" s="675"/>
      <c r="G7932" s="675"/>
      <c r="H7932" s="675"/>
      <c r="I7932" s="675"/>
      <c r="J7932" s="675"/>
      <c r="K7932" s="675"/>
      <c r="L7932" s="675"/>
      <c r="M7932" s="675"/>
    </row>
    <row r="7933" spans="1:13" x14ac:dyDescent="0.25">
      <c r="A7933" s="675" t="s">
        <v>7906</v>
      </c>
      <c r="B7933" s="675" t="s">
        <v>564</v>
      </c>
      <c r="C7933" s="676" t="s">
        <v>7926</v>
      </c>
      <c r="D7933" s="675"/>
      <c r="E7933" s="675"/>
      <c r="G7933" s="675"/>
      <c r="H7933" s="675"/>
      <c r="I7933" s="675"/>
      <c r="J7933" s="675"/>
      <c r="K7933" s="675"/>
      <c r="L7933" s="675"/>
      <c r="M7933" s="675"/>
    </row>
    <row r="7934" spans="1:13" x14ac:dyDescent="0.25">
      <c r="A7934" s="675" t="s">
        <v>7906</v>
      </c>
      <c r="B7934" s="675" t="s">
        <v>512</v>
      </c>
      <c r="C7934" s="676" t="s">
        <v>7927</v>
      </c>
      <c r="D7934" s="675"/>
      <c r="E7934" s="675"/>
      <c r="G7934" s="675"/>
      <c r="H7934" s="675"/>
      <c r="I7934" s="675"/>
      <c r="J7934" s="675"/>
      <c r="K7934" s="675"/>
      <c r="L7934" s="675"/>
      <c r="M7934" s="675"/>
    </row>
    <row r="7935" spans="1:13" x14ac:dyDescent="0.25">
      <c r="A7935" s="675" t="s">
        <v>7906</v>
      </c>
      <c r="B7935" s="675" t="s">
        <v>512</v>
      </c>
      <c r="C7935" s="676" t="s">
        <v>7928</v>
      </c>
      <c r="D7935" s="675"/>
      <c r="E7935" s="675"/>
      <c r="G7935" s="675"/>
      <c r="H7935" s="675"/>
      <c r="I7935" s="675"/>
      <c r="J7935" s="675"/>
      <c r="K7935" s="675"/>
      <c r="L7935" s="675"/>
      <c r="M7935" s="675"/>
    </row>
    <row r="7936" spans="1:13" x14ac:dyDescent="0.25">
      <c r="A7936" s="675" t="s">
        <v>7906</v>
      </c>
      <c r="B7936" s="675" t="s">
        <v>512</v>
      </c>
      <c r="C7936" s="676" t="s">
        <v>7929</v>
      </c>
      <c r="D7936" s="675"/>
      <c r="E7936" s="675"/>
      <c r="G7936" s="675"/>
      <c r="H7936" s="675"/>
      <c r="I7936" s="675"/>
      <c r="J7936" s="675"/>
      <c r="K7936" s="675"/>
      <c r="L7936" s="675"/>
      <c r="M7936" s="675"/>
    </row>
    <row r="7937" spans="1:13" x14ac:dyDescent="0.25">
      <c r="A7937" s="675" t="s">
        <v>7906</v>
      </c>
      <c r="B7937" s="675" t="s">
        <v>512</v>
      </c>
      <c r="C7937" s="676" t="s">
        <v>7930</v>
      </c>
      <c r="D7937" s="675"/>
      <c r="E7937" s="675"/>
      <c r="G7937" s="675"/>
      <c r="H7937" s="675"/>
      <c r="I7937" s="675"/>
      <c r="J7937" s="675"/>
      <c r="K7937" s="675"/>
      <c r="L7937" s="675"/>
      <c r="M7937" s="675"/>
    </row>
    <row r="7938" spans="1:13" x14ac:dyDescent="0.25">
      <c r="A7938" s="675" t="s">
        <v>7906</v>
      </c>
      <c r="B7938" s="675" t="s">
        <v>512</v>
      </c>
      <c r="C7938" s="676" t="s">
        <v>7931</v>
      </c>
      <c r="D7938" s="675"/>
      <c r="E7938" s="675"/>
      <c r="G7938" s="675"/>
      <c r="H7938" s="675"/>
      <c r="I7938" s="675"/>
      <c r="J7938" s="675"/>
      <c r="K7938" s="675"/>
      <c r="L7938" s="675"/>
      <c r="M7938" s="675"/>
    </row>
    <row r="7939" spans="1:13" x14ac:dyDescent="0.25">
      <c r="A7939" s="675" t="s">
        <v>7906</v>
      </c>
      <c r="B7939" s="675" t="s">
        <v>512</v>
      </c>
      <c r="C7939" s="676" t="s">
        <v>7932</v>
      </c>
      <c r="D7939" s="675"/>
      <c r="E7939" s="675"/>
      <c r="G7939" s="675"/>
      <c r="H7939" s="675"/>
      <c r="I7939" s="675"/>
      <c r="J7939" s="675"/>
      <c r="K7939" s="675"/>
      <c r="L7939" s="675"/>
      <c r="M7939" s="675"/>
    </row>
    <row r="7940" spans="1:13" x14ac:dyDescent="0.25">
      <c r="A7940" s="675" t="s">
        <v>7906</v>
      </c>
      <c r="B7940" s="675" t="s">
        <v>512</v>
      </c>
      <c r="C7940" s="676" t="s">
        <v>7933</v>
      </c>
      <c r="D7940" s="675"/>
      <c r="E7940" s="675"/>
      <c r="G7940" s="675"/>
      <c r="H7940" s="675"/>
      <c r="I7940" s="675"/>
      <c r="J7940" s="675"/>
      <c r="K7940" s="675"/>
      <c r="L7940" s="675"/>
      <c r="M7940" s="675"/>
    </row>
    <row r="7941" spans="1:13" x14ac:dyDescent="0.25">
      <c r="A7941" s="675" t="s">
        <v>7906</v>
      </c>
      <c r="B7941" s="675" t="s">
        <v>512</v>
      </c>
      <c r="C7941" s="676" t="s">
        <v>7934</v>
      </c>
      <c r="D7941" s="675"/>
      <c r="E7941" s="675"/>
      <c r="G7941" s="675"/>
      <c r="H7941" s="675"/>
      <c r="I7941" s="675"/>
      <c r="J7941" s="675"/>
      <c r="K7941" s="675"/>
      <c r="L7941" s="675"/>
      <c r="M7941" s="675"/>
    </row>
    <row r="7942" spans="1:13" x14ac:dyDescent="0.25">
      <c r="A7942" s="675" t="s">
        <v>7906</v>
      </c>
      <c r="B7942" s="675" t="s">
        <v>512</v>
      </c>
      <c r="C7942" s="676" t="s">
        <v>7935</v>
      </c>
      <c r="D7942" s="675"/>
      <c r="E7942" s="675"/>
      <c r="G7942" s="675"/>
      <c r="H7942" s="675"/>
      <c r="I7942" s="675"/>
      <c r="J7942" s="675"/>
      <c r="K7942" s="675"/>
      <c r="L7942" s="675"/>
      <c r="M7942" s="675"/>
    </row>
    <row r="7943" spans="1:13" x14ac:dyDescent="0.25">
      <c r="A7943" s="675" t="s">
        <v>7906</v>
      </c>
      <c r="B7943" s="675" t="s">
        <v>512</v>
      </c>
      <c r="C7943" s="676" t="s">
        <v>7936</v>
      </c>
      <c r="D7943" s="675"/>
      <c r="E7943" s="675"/>
      <c r="G7943" s="675"/>
      <c r="H7943" s="675"/>
      <c r="I7943" s="675"/>
      <c r="J7943" s="675"/>
      <c r="K7943" s="675"/>
      <c r="L7943" s="675"/>
      <c r="M7943" s="675"/>
    </row>
    <row r="7944" spans="1:13" x14ac:dyDescent="0.25">
      <c r="A7944" s="675" t="s">
        <v>7937</v>
      </c>
      <c r="B7944" s="675" t="s">
        <v>545</v>
      </c>
      <c r="C7944" s="676" t="s">
        <v>7938</v>
      </c>
      <c r="D7944" s="675"/>
      <c r="E7944" s="675"/>
      <c r="G7944" s="675"/>
      <c r="H7944" s="675"/>
      <c r="I7944" s="675"/>
      <c r="J7944" s="675"/>
      <c r="K7944" s="675"/>
      <c r="L7944" s="675"/>
      <c r="M7944" s="675"/>
    </row>
    <row r="7945" spans="1:13" x14ac:dyDescent="0.25">
      <c r="A7945" s="675" t="s">
        <v>7937</v>
      </c>
      <c r="B7945" s="675" t="s">
        <v>545</v>
      </c>
      <c r="C7945" s="676" t="s">
        <v>7939</v>
      </c>
      <c r="D7945" s="675"/>
      <c r="E7945" s="675"/>
      <c r="G7945" s="675"/>
      <c r="H7945" s="675"/>
      <c r="I7945" s="675"/>
      <c r="J7945" s="675"/>
      <c r="K7945" s="675"/>
      <c r="L7945" s="675"/>
      <c r="M7945" s="675"/>
    </row>
    <row r="7946" spans="1:13" x14ac:dyDescent="0.25">
      <c r="A7946" s="675" t="s">
        <v>7937</v>
      </c>
      <c r="B7946" s="675" t="s">
        <v>545</v>
      </c>
      <c r="C7946" s="676" t="s">
        <v>7940</v>
      </c>
      <c r="D7946" s="675"/>
      <c r="E7946" s="675"/>
      <c r="G7946" s="675"/>
      <c r="H7946" s="675"/>
      <c r="I7946" s="675"/>
      <c r="J7946" s="675"/>
      <c r="K7946" s="675"/>
      <c r="L7946" s="675"/>
      <c r="M7946" s="675"/>
    </row>
    <row r="7947" spans="1:13" x14ac:dyDescent="0.25">
      <c r="A7947" s="675" t="s">
        <v>7937</v>
      </c>
      <c r="B7947" s="675" t="s">
        <v>545</v>
      </c>
      <c r="C7947" s="676" t="s">
        <v>7941</v>
      </c>
      <c r="D7947" s="675"/>
      <c r="E7947" s="675"/>
      <c r="G7947" s="675"/>
      <c r="H7947" s="675"/>
      <c r="I7947" s="675"/>
      <c r="J7947" s="675"/>
      <c r="K7947" s="675"/>
      <c r="L7947" s="675"/>
      <c r="M7947" s="675"/>
    </row>
    <row r="7948" spans="1:13" x14ac:dyDescent="0.25">
      <c r="A7948" s="675" t="s">
        <v>7937</v>
      </c>
      <c r="B7948" s="675" t="s">
        <v>545</v>
      </c>
      <c r="C7948" s="676" t="s">
        <v>7942</v>
      </c>
      <c r="D7948" s="675"/>
      <c r="E7948" s="675"/>
      <c r="G7948" s="675"/>
      <c r="H7948" s="675"/>
      <c r="I7948" s="675"/>
      <c r="J7948" s="675"/>
      <c r="K7948" s="675"/>
      <c r="L7948" s="675"/>
      <c r="M7948" s="675"/>
    </row>
    <row r="7949" spans="1:13" x14ac:dyDescent="0.25">
      <c r="A7949" s="675" t="s">
        <v>7937</v>
      </c>
      <c r="B7949" s="675" t="s">
        <v>545</v>
      </c>
      <c r="C7949" s="676" t="s">
        <v>7943</v>
      </c>
      <c r="D7949" s="675"/>
      <c r="E7949" s="675"/>
      <c r="G7949" s="675"/>
      <c r="H7949" s="675"/>
      <c r="I7949" s="675"/>
      <c r="J7949" s="675"/>
      <c r="K7949" s="675"/>
      <c r="L7949" s="675"/>
      <c r="M7949" s="675"/>
    </row>
    <row r="7950" spans="1:13" x14ac:dyDescent="0.25">
      <c r="A7950" s="675" t="s">
        <v>7937</v>
      </c>
      <c r="B7950" s="675" t="s">
        <v>545</v>
      </c>
      <c r="C7950" s="676" t="s">
        <v>7944</v>
      </c>
      <c r="D7950" s="675"/>
      <c r="E7950" s="675"/>
      <c r="G7950" s="675"/>
      <c r="H7950" s="675"/>
      <c r="I7950" s="675"/>
      <c r="J7950" s="675"/>
      <c r="K7950" s="675"/>
      <c r="L7950" s="675"/>
      <c r="M7950" s="675"/>
    </row>
    <row r="7951" spans="1:13" x14ac:dyDescent="0.25">
      <c r="A7951" s="675" t="s">
        <v>7937</v>
      </c>
      <c r="B7951" s="675" t="s">
        <v>545</v>
      </c>
      <c r="C7951" s="676" t="s">
        <v>7945</v>
      </c>
      <c r="D7951" s="675"/>
      <c r="E7951" s="675"/>
      <c r="G7951" s="675"/>
      <c r="H7951" s="675"/>
      <c r="I7951" s="675"/>
      <c r="J7951" s="675"/>
      <c r="K7951" s="675"/>
      <c r="L7951" s="675"/>
      <c r="M7951" s="675"/>
    </row>
    <row r="7952" spans="1:13" x14ac:dyDescent="0.25">
      <c r="A7952" s="675" t="s">
        <v>7937</v>
      </c>
      <c r="B7952" s="675" t="s">
        <v>545</v>
      </c>
      <c r="C7952" s="676" t="s">
        <v>7946</v>
      </c>
      <c r="D7952" s="675"/>
      <c r="E7952" s="675"/>
      <c r="G7952" s="675"/>
      <c r="H7952" s="675"/>
      <c r="I7952" s="675"/>
      <c r="J7952" s="675"/>
      <c r="K7952" s="675"/>
      <c r="L7952" s="675"/>
      <c r="M7952" s="675"/>
    </row>
    <row r="7953" spans="1:13" x14ac:dyDescent="0.25">
      <c r="A7953" s="675" t="s">
        <v>7937</v>
      </c>
      <c r="B7953" s="675" t="s">
        <v>545</v>
      </c>
      <c r="C7953" s="676" t="s">
        <v>7947</v>
      </c>
      <c r="D7953" s="675"/>
      <c r="E7953" s="675"/>
      <c r="G7953" s="675"/>
      <c r="H7953" s="675"/>
      <c r="I7953" s="675"/>
      <c r="J7953" s="675"/>
      <c r="K7953" s="675"/>
      <c r="L7953" s="675"/>
      <c r="M7953" s="675"/>
    </row>
    <row r="7954" spans="1:13" x14ac:dyDescent="0.25">
      <c r="A7954" s="675" t="s">
        <v>7937</v>
      </c>
      <c r="B7954" s="675" t="s">
        <v>564</v>
      </c>
      <c r="C7954" s="676" t="s">
        <v>7948</v>
      </c>
      <c r="D7954" s="675"/>
      <c r="E7954" s="675"/>
      <c r="G7954" s="675"/>
      <c r="H7954" s="675"/>
      <c r="I7954" s="675"/>
      <c r="J7954" s="675"/>
      <c r="K7954" s="675"/>
      <c r="L7954" s="675"/>
      <c r="M7954" s="675"/>
    </row>
    <row r="7955" spans="1:13" x14ac:dyDescent="0.25">
      <c r="A7955" s="675" t="s">
        <v>7937</v>
      </c>
      <c r="B7955" s="675" t="s">
        <v>564</v>
      </c>
      <c r="C7955" s="676" t="s">
        <v>7949</v>
      </c>
      <c r="D7955" s="675"/>
      <c r="E7955" s="675"/>
      <c r="G7955" s="675"/>
      <c r="H7955" s="675"/>
      <c r="I7955" s="675"/>
      <c r="J7955" s="675"/>
      <c r="K7955" s="675"/>
      <c r="L7955" s="675"/>
      <c r="M7955" s="675"/>
    </row>
    <row r="7956" spans="1:13" x14ac:dyDescent="0.25">
      <c r="A7956" s="675" t="s">
        <v>7937</v>
      </c>
      <c r="B7956" s="675" t="s">
        <v>564</v>
      </c>
      <c r="C7956" s="676" t="s">
        <v>7950</v>
      </c>
      <c r="D7956" s="675"/>
      <c r="E7956" s="675"/>
      <c r="G7956" s="675"/>
      <c r="H7956" s="675"/>
      <c r="I7956" s="675"/>
      <c r="J7956" s="675"/>
      <c r="K7956" s="675"/>
      <c r="L7956" s="675"/>
      <c r="M7956" s="675"/>
    </row>
    <row r="7957" spans="1:13" x14ac:dyDescent="0.25">
      <c r="A7957" s="675" t="s">
        <v>7937</v>
      </c>
      <c r="B7957" s="675" t="s">
        <v>564</v>
      </c>
      <c r="C7957" s="676" t="s">
        <v>7951</v>
      </c>
      <c r="D7957" s="675"/>
      <c r="E7957" s="675"/>
      <c r="G7957" s="675"/>
      <c r="H7957" s="675"/>
      <c r="I7957" s="675"/>
      <c r="J7957" s="675"/>
      <c r="K7957" s="675"/>
      <c r="L7957" s="675"/>
      <c r="M7957" s="675"/>
    </row>
    <row r="7958" spans="1:13" x14ac:dyDescent="0.25">
      <c r="A7958" s="675" t="s">
        <v>7937</v>
      </c>
      <c r="B7958" s="675" t="s">
        <v>564</v>
      </c>
      <c r="C7958" s="676" t="s">
        <v>7952</v>
      </c>
      <c r="D7958" s="675"/>
      <c r="E7958" s="675"/>
      <c r="G7958" s="675"/>
      <c r="H7958" s="675"/>
      <c r="I7958" s="675"/>
      <c r="J7958" s="675"/>
      <c r="K7958" s="675"/>
      <c r="L7958" s="675"/>
      <c r="M7958" s="675"/>
    </row>
    <row r="7959" spans="1:13" x14ac:dyDescent="0.25">
      <c r="A7959" s="675" t="s">
        <v>7937</v>
      </c>
      <c r="B7959" s="675" t="s">
        <v>564</v>
      </c>
      <c r="C7959" s="676" t="s">
        <v>7953</v>
      </c>
      <c r="D7959" s="675"/>
      <c r="E7959" s="675"/>
      <c r="G7959" s="675"/>
      <c r="H7959" s="675"/>
      <c r="I7959" s="675"/>
      <c r="J7959" s="675"/>
      <c r="K7959" s="675"/>
      <c r="L7959" s="675"/>
      <c r="M7959" s="675"/>
    </row>
    <row r="7960" spans="1:13" x14ac:dyDescent="0.25">
      <c r="A7960" s="675" t="s">
        <v>7937</v>
      </c>
      <c r="B7960" s="675" t="s">
        <v>564</v>
      </c>
      <c r="C7960" s="676" t="s">
        <v>7954</v>
      </c>
      <c r="D7960" s="675"/>
      <c r="E7960" s="675"/>
      <c r="G7960" s="675"/>
      <c r="H7960" s="675"/>
      <c r="I7960" s="675"/>
      <c r="J7960" s="675"/>
      <c r="K7960" s="675"/>
      <c r="L7960" s="675"/>
      <c r="M7960" s="675"/>
    </row>
    <row r="7961" spans="1:13" x14ac:dyDescent="0.25">
      <c r="A7961" s="675" t="s">
        <v>7937</v>
      </c>
      <c r="B7961" s="675" t="s">
        <v>564</v>
      </c>
      <c r="C7961" s="676" t="s">
        <v>7955</v>
      </c>
      <c r="D7961" s="675"/>
      <c r="E7961" s="675"/>
      <c r="G7961" s="675"/>
      <c r="H7961" s="675"/>
      <c r="I7961" s="675"/>
      <c r="J7961" s="675"/>
      <c r="K7961" s="675"/>
      <c r="L7961" s="675"/>
      <c r="M7961" s="675"/>
    </row>
    <row r="7962" spans="1:13" x14ac:dyDescent="0.25">
      <c r="A7962" s="675" t="s">
        <v>7937</v>
      </c>
      <c r="B7962" s="675" t="s">
        <v>564</v>
      </c>
      <c r="C7962" s="676" t="s">
        <v>7956</v>
      </c>
      <c r="D7962" s="675"/>
      <c r="E7962" s="675"/>
      <c r="G7962" s="675"/>
      <c r="H7962" s="675"/>
      <c r="I7962" s="675"/>
      <c r="J7962" s="675"/>
      <c r="K7962" s="675"/>
      <c r="L7962" s="675"/>
      <c r="M7962" s="675"/>
    </row>
    <row r="7963" spans="1:13" x14ac:dyDescent="0.25">
      <c r="A7963" s="675" t="s">
        <v>7937</v>
      </c>
      <c r="B7963" s="675" t="s">
        <v>564</v>
      </c>
      <c r="C7963" s="676" t="s">
        <v>7957</v>
      </c>
      <c r="D7963" s="675"/>
      <c r="E7963" s="675"/>
      <c r="G7963" s="675"/>
      <c r="H7963" s="675"/>
      <c r="I7963" s="675"/>
      <c r="J7963" s="675"/>
      <c r="K7963" s="675"/>
      <c r="L7963" s="675"/>
      <c r="M7963" s="675"/>
    </row>
    <row r="7964" spans="1:13" x14ac:dyDescent="0.25">
      <c r="A7964" s="675" t="s">
        <v>7937</v>
      </c>
      <c r="B7964" s="675" t="s">
        <v>512</v>
      </c>
      <c r="C7964" s="676" t="s">
        <v>7958</v>
      </c>
      <c r="D7964" s="675"/>
      <c r="E7964" s="675"/>
      <c r="G7964" s="675"/>
      <c r="H7964" s="675"/>
      <c r="I7964" s="675"/>
      <c r="J7964" s="675"/>
      <c r="K7964" s="675"/>
      <c r="L7964" s="675"/>
      <c r="M7964" s="675"/>
    </row>
    <row r="7965" spans="1:13" x14ac:dyDescent="0.25">
      <c r="A7965" s="675" t="s">
        <v>7937</v>
      </c>
      <c r="B7965" s="675" t="s">
        <v>512</v>
      </c>
      <c r="C7965" s="676" t="s">
        <v>7959</v>
      </c>
      <c r="D7965" s="675"/>
      <c r="E7965" s="675"/>
      <c r="G7965" s="675"/>
      <c r="H7965" s="675"/>
      <c r="I7965" s="675"/>
      <c r="J7965" s="675"/>
      <c r="K7965" s="675"/>
      <c r="L7965" s="675"/>
      <c r="M7965" s="675"/>
    </row>
    <row r="7966" spans="1:13" x14ac:dyDescent="0.25">
      <c r="A7966" s="675" t="s">
        <v>7937</v>
      </c>
      <c r="B7966" s="675" t="s">
        <v>512</v>
      </c>
      <c r="C7966" s="676" t="s">
        <v>7960</v>
      </c>
      <c r="D7966" s="675"/>
      <c r="E7966" s="675"/>
      <c r="G7966" s="675"/>
      <c r="H7966" s="675"/>
      <c r="I7966" s="675"/>
      <c r="J7966" s="675"/>
      <c r="K7966" s="675"/>
      <c r="L7966" s="675"/>
      <c r="M7966" s="675"/>
    </row>
    <row r="7967" spans="1:13" x14ac:dyDescent="0.25">
      <c r="A7967" s="675" t="s">
        <v>7937</v>
      </c>
      <c r="B7967" s="675" t="s">
        <v>512</v>
      </c>
      <c r="C7967" s="676" t="s">
        <v>7961</v>
      </c>
      <c r="D7967" s="675"/>
      <c r="E7967" s="675"/>
      <c r="G7967" s="675"/>
      <c r="H7967" s="675"/>
      <c r="I7967" s="675"/>
      <c r="J7967" s="675"/>
      <c r="K7967" s="675"/>
      <c r="L7967" s="675"/>
      <c r="M7967" s="675"/>
    </row>
    <row r="7968" spans="1:13" x14ac:dyDescent="0.25">
      <c r="A7968" s="675" t="s">
        <v>7937</v>
      </c>
      <c r="B7968" s="675" t="s">
        <v>512</v>
      </c>
      <c r="C7968" s="676" t="s">
        <v>7962</v>
      </c>
      <c r="D7968" s="675"/>
      <c r="E7968" s="675"/>
      <c r="G7968" s="675"/>
      <c r="H7968" s="675"/>
      <c r="I7968" s="675"/>
      <c r="J7968" s="675"/>
      <c r="K7968" s="675"/>
      <c r="L7968" s="675"/>
      <c r="M7968" s="675"/>
    </row>
    <row r="7969" spans="1:13" x14ac:dyDescent="0.25">
      <c r="A7969" s="675" t="s">
        <v>7937</v>
      </c>
      <c r="B7969" s="675" t="s">
        <v>512</v>
      </c>
      <c r="C7969" s="676" t="s">
        <v>7963</v>
      </c>
      <c r="D7969" s="675"/>
      <c r="E7969" s="675"/>
      <c r="G7969" s="675"/>
      <c r="H7969" s="675"/>
      <c r="I7969" s="675"/>
      <c r="J7969" s="675"/>
      <c r="K7969" s="675"/>
      <c r="L7969" s="675"/>
      <c r="M7969" s="675"/>
    </row>
    <row r="7970" spans="1:13" x14ac:dyDescent="0.25">
      <c r="A7970" s="675" t="s">
        <v>7937</v>
      </c>
      <c r="B7970" s="675" t="s">
        <v>512</v>
      </c>
      <c r="C7970" s="676" t="s">
        <v>7964</v>
      </c>
      <c r="D7970" s="675"/>
      <c r="E7970" s="675"/>
      <c r="G7970" s="675"/>
      <c r="H7970" s="675"/>
      <c r="I7970" s="675"/>
      <c r="J7970" s="675"/>
      <c r="K7970" s="675"/>
      <c r="L7970" s="675"/>
      <c r="M7970" s="675"/>
    </row>
    <row r="7971" spans="1:13" x14ac:dyDescent="0.25">
      <c r="A7971" s="675" t="s">
        <v>7937</v>
      </c>
      <c r="B7971" s="675" t="s">
        <v>512</v>
      </c>
      <c r="C7971" s="676" t="s">
        <v>7965</v>
      </c>
      <c r="D7971" s="675"/>
      <c r="E7971" s="675"/>
      <c r="G7971" s="675"/>
      <c r="H7971" s="675"/>
      <c r="I7971" s="675"/>
      <c r="J7971" s="675"/>
      <c r="K7971" s="675"/>
      <c r="L7971" s="675"/>
      <c r="M7971" s="675"/>
    </row>
    <row r="7972" spans="1:13" x14ac:dyDescent="0.25">
      <c r="A7972" s="675" t="s">
        <v>7937</v>
      </c>
      <c r="B7972" s="675" t="s">
        <v>512</v>
      </c>
      <c r="C7972" s="676" t="s">
        <v>7966</v>
      </c>
      <c r="D7972" s="675"/>
      <c r="E7972" s="675"/>
      <c r="G7972" s="675"/>
      <c r="H7972" s="675"/>
      <c r="I7972" s="675"/>
      <c r="J7972" s="675"/>
      <c r="K7972" s="675"/>
      <c r="L7972" s="675"/>
      <c r="M7972" s="675"/>
    </row>
    <row r="7973" spans="1:13" x14ac:dyDescent="0.25">
      <c r="A7973" s="675" t="s">
        <v>7937</v>
      </c>
      <c r="B7973" s="675" t="s">
        <v>512</v>
      </c>
      <c r="C7973" s="676" t="s">
        <v>7967</v>
      </c>
      <c r="D7973" s="675"/>
      <c r="E7973" s="675"/>
      <c r="G7973" s="675"/>
      <c r="H7973" s="675"/>
      <c r="I7973" s="675"/>
      <c r="J7973" s="675"/>
      <c r="K7973" s="675"/>
      <c r="L7973" s="675"/>
      <c r="M7973" s="675"/>
    </row>
    <row r="7974" spans="1:13" x14ac:dyDescent="0.25">
      <c r="A7974" s="675" t="s">
        <v>7968</v>
      </c>
      <c r="B7974" s="675" t="s">
        <v>545</v>
      </c>
      <c r="C7974" s="676" t="s">
        <v>7969</v>
      </c>
      <c r="D7974" s="675"/>
      <c r="E7974" s="675"/>
      <c r="G7974" s="675"/>
      <c r="H7974" s="675"/>
      <c r="I7974" s="675"/>
      <c r="J7974" s="675"/>
      <c r="K7974" s="675"/>
      <c r="L7974" s="675"/>
      <c r="M7974" s="675"/>
    </row>
    <row r="7975" spans="1:13" x14ac:dyDescent="0.25">
      <c r="A7975" s="675" t="s">
        <v>7968</v>
      </c>
      <c r="B7975" s="675" t="s">
        <v>545</v>
      </c>
      <c r="C7975" s="676" t="s">
        <v>7970</v>
      </c>
      <c r="D7975" s="675"/>
      <c r="E7975" s="675"/>
      <c r="G7975" s="675"/>
      <c r="H7975" s="675"/>
      <c r="I7975" s="675"/>
      <c r="J7975" s="675"/>
      <c r="K7975" s="675"/>
      <c r="L7975" s="675"/>
      <c r="M7975" s="675"/>
    </row>
    <row r="7976" spans="1:13" x14ac:dyDescent="0.25">
      <c r="A7976" s="675" t="s">
        <v>7968</v>
      </c>
      <c r="B7976" s="675" t="s">
        <v>545</v>
      </c>
      <c r="C7976" s="676" t="s">
        <v>7971</v>
      </c>
      <c r="D7976" s="675"/>
      <c r="E7976" s="675"/>
      <c r="G7976" s="675"/>
      <c r="H7976" s="675"/>
      <c r="I7976" s="675"/>
      <c r="J7976" s="675"/>
      <c r="K7976" s="675"/>
      <c r="L7976" s="675"/>
      <c r="M7976" s="675"/>
    </row>
    <row r="7977" spans="1:13" x14ac:dyDescent="0.25">
      <c r="A7977" s="675" t="s">
        <v>7968</v>
      </c>
      <c r="B7977" s="675" t="s">
        <v>545</v>
      </c>
      <c r="C7977" s="676" t="s">
        <v>7972</v>
      </c>
      <c r="D7977" s="675"/>
      <c r="E7977" s="675"/>
      <c r="G7977" s="675"/>
      <c r="H7977" s="675"/>
      <c r="I7977" s="675"/>
      <c r="J7977" s="675"/>
      <c r="K7977" s="675"/>
      <c r="L7977" s="675"/>
      <c r="M7977" s="675"/>
    </row>
    <row r="7978" spans="1:13" x14ac:dyDescent="0.25">
      <c r="A7978" s="675" t="s">
        <v>7968</v>
      </c>
      <c r="B7978" s="675" t="s">
        <v>545</v>
      </c>
      <c r="C7978" s="676" t="s">
        <v>7973</v>
      </c>
      <c r="D7978" s="675"/>
      <c r="E7978" s="675"/>
      <c r="G7978" s="675"/>
      <c r="H7978" s="675"/>
      <c r="I7978" s="675"/>
      <c r="J7978" s="675"/>
      <c r="K7978" s="675"/>
      <c r="L7978" s="675"/>
      <c r="M7978" s="675"/>
    </row>
    <row r="7979" spans="1:13" x14ac:dyDescent="0.25">
      <c r="A7979" s="675" t="s">
        <v>7968</v>
      </c>
      <c r="B7979" s="675" t="s">
        <v>545</v>
      </c>
      <c r="C7979" s="676" t="s">
        <v>7974</v>
      </c>
      <c r="D7979" s="675"/>
      <c r="E7979" s="675"/>
      <c r="G7979" s="675"/>
      <c r="H7979" s="675"/>
      <c r="I7979" s="675"/>
      <c r="J7979" s="675"/>
      <c r="K7979" s="675"/>
      <c r="L7979" s="675"/>
      <c r="M7979" s="675"/>
    </row>
    <row r="7980" spans="1:13" x14ac:dyDescent="0.25">
      <c r="A7980" s="675" t="s">
        <v>7968</v>
      </c>
      <c r="B7980" s="675" t="s">
        <v>545</v>
      </c>
      <c r="C7980" s="676" t="s">
        <v>7975</v>
      </c>
      <c r="D7980" s="675"/>
      <c r="E7980" s="675"/>
      <c r="G7980" s="675"/>
      <c r="H7980" s="675"/>
      <c r="I7980" s="675"/>
      <c r="J7980" s="675"/>
      <c r="K7980" s="675"/>
      <c r="L7980" s="675"/>
      <c r="M7980" s="675"/>
    </row>
    <row r="7981" spans="1:13" x14ac:dyDescent="0.25">
      <c r="A7981" s="675" t="s">
        <v>7968</v>
      </c>
      <c r="B7981" s="675" t="s">
        <v>545</v>
      </c>
      <c r="C7981" s="676" t="s">
        <v>7976</v>
      </c>
      <c r="D7981" s="675"/>
      <c r="E7981" s="675"/>
      <c r="G7981" s="675"/>
      <c r="H7981" s="675"/>
      <c r="I7981" s="675"/>
      <c r="J7981" s="675"/>
      <c r="K7981" s="675"/>
      <c r="L7981" s="675"/>
      <c r="M7981" s="675"/>
    </row>
    <row r="7982" spans="1:13" x14ac:dyDescent="0.25">
      <c r="A7982" s="675" t="s">
        <v>7968</v>
      </c>
      <c r="B7982" s="675" t="s">
        <v>545</v>
      </c>
      <c r="C7982" s="676" t="s">
        <v>7977</v>
      </c>
      <c r="D7982" s="675"/>
      <c r="E7982" s="675"/>
      <c r="G7982" s="675"/>
      <c r="H7982" s="675"/>
      <c r="I7982" s="675"/>
      <c r="J7982" s="675"/>
      <c r="K7982" s="675"/>
      <c r="L7982" s="675"/>
      <c r="M7982" s="675"/>
    </row>
    <row r="7983" spans="1:13" x14ac:dyDescent="0.25">
      <c r="A7983" s="675" t="s">
        <v>7968</v>
      </c>
      <c r="B7983" s="675" t="s">
        <v>545</v>
      </c>
      <c r="C7983" s="676" t="s">
        <v>7978</v>
      </c>
      <c r="D7983" s="675"/>
      <c r="E7983" s="675"/>
      <c r="G7983" s="675"/>
      <c r="H7983" s="675"/>
      <c r="I7983" s="675"/>
      <c r="J7983" s="675"/>
      <c r="K7983" s="675"/>
      <c r="L7983" s="675"/>
      <c r="M7983" s="675"/>
    </row>
    <row r="7984" spans="1:13" x14ac:dyDescent="0.25">
      <c r="A7984" s="675" t="s">
        <v>7968</v>
      </c>
      <c r="B7984" s="675" t="s">
        <v>564</v>
      </c>
      <c r="C7984" s="676" t="s">
        <v>7979</v>
      </c>
      <c r="D7984" s="675"/>
      <c r="E7984" s="675"/>
      <c r="G7984" s="675"/>
      <c r="H7984" s="675"/>
      <c r="I7984" s="675"/>
      <c r="J7984" s="675"/>
      <c r="K7984" s="675"/>
      <c r="L7984" s="675"/>
      <c r="M7984" s="675"/>
    </row>
    <row r="7985" spans="1:13" x14ac:dyDescent="0.25">
      <c r="A7985" s="675" t="s">
        <v>7968</v>
      </c>
      <c r="B7985" s="675" t="s">
        <v>564</v>
      </c>
      <c r="C7985" s="676" t="s">
        <v>7980</v>
      </c>
      <c r="D7985" s="675"/>
      <c r="E7985" s="675"/>
      <c r="G7985" s="675"/>
      <c r="H7985" s="675"/>
      <c r="I7985" s="675"/>
      <c r="J7985" s="675"/>
      <c r="K7985" s="675"/>
      <c r="L7985" s="675"/>
      <c r="M7985" s="675"/>
    </row>
    <row r="7986" spans="1:13" x14ac:dyDescent="0.25">
      <c r="A7986" s="675" t="s">
        <v>7968</v>
      </c>
      <c r="B7986" s="675" t="s">
        <v>564</v>
      </c>
      <c r="C7986" s="676" t="s">
        <v>7981</v>
      </c>
      <c r="D7986" s="675"/>
      <c r="E7986" s="675"/>
      <c r="G7986" s="675"/>
      <c r="H7986" s="675"/>
      <c r="I7986" s="675"/>
      <c r="J7986" s="675"/>
      <c r="K7986" s="675"/>
      <c r="L7986" s="675"/>
      <c r="M7986" s="675"/>
    </row>
    <row r="7987" spans="1:13" x14ac:dyDescent="0.25">
      <c r="A7987" s="675" t="s">
        <v>7968</v>
      </c>
      <c r="B7987" s="675" t="s">
        <v>564</v>
      </c>
      <c r="C7987" s="676" t="s">
        <v>7982</v>
      </c>
      <c r="D7987" s="675"/>
      <c r="E7987" s="675"/>
      <c r="G7987" s="675"/>
      <c r="H7987" s="675"/>
      <c r="I7987" s="675"/>
      <c r="J7987" s="675"/>
      <c r="K7987" s="675"/>
      <c r="L7987" s="675"/>
      <c r="M7987" s="675"/>
    </row>
    <row r="7988" spans="1:13" x14ac:dyDescent="0.25">
      <c r="A7988" s="675" t="s">
        <v>7968</v>
      </c>
      <c r="B7988" s="675" t="s">
        <v>564</v>
      </c>
      <c r="C7988" s="676" t="s">
        <v>7983</v>
      </c>
      <c r="D7988" s="675"/>
      <c r="E7988" s="675"/>
      <c r="G7988" s="675"/>
      <c r="H7988" s="675"/>
      <c r="I7988" s="675"/>
      <c r="J7988" s="675"/>
      <c r="K7988" s="675"/>
      <c r="L7988" s="675"/>
      <c r="M7988" s="675"/>
    </row>
    <row r="7989" spans="1:13" x14ac:dyDescent="0.25">
      <c r="A7989" s="675" t="s">
        <v>7968</v>
      </c>
      <c r="B7989" s="675" t="s">
        <v>564</v>
      </c>
      <c r="C7989" s="676" t="s">
        <v>7984</v>
      </c>
      <c r="D7989" s="675"/>
      <c r="E7989" s="675"/>
      <c r="G7989" s="675"/>
      <c r="H7989" s="675"/>
      <c r="I7989" s="675"/>
      <c r="J7989" s="675"/>
      <c r="K7989" s="675"/>
      <c r="L7989" s="675"/>
      <c r="M7989" s="675"/>
    </row>
    <row r="7990" spans="1:13" x14ac:dyDescent="0.25">
      <c r="A7990" s="675" t="s">
        <v>7968</v>
      </c>
      <c r="B7990" s="675" t="s">
        <v>564</v>
      </c>
      <c r="C7990" s="676" t="s">
        <v>7985</v>
      </c>
      <c r="D7990" s="675"/>
      <c r="E7990" s="675"/>
      <c r="G7990" s="675"/>
      <c r="H7990" s="675"/>
      <c r="I7990" s="675"/>
      <c r="J7990" s="675"/>
      <c r="K7990" s="675"/>
      <c r="L7990" s="675"/>
      <c r="M7990" s="675"/>
    </row>
    <row r="7991" spans="1:13" x14ac:dyDescent="0.25">
      <c r="A7991" s="675" t="s">
        <v>7968</v>
      </c>
      <c r="B7991" s="675" t="s">
        <v>564</v>
      </c>
      <c r="C7991" s="676" t="s">
        <v>7986</v>
      </c>
      <c r="D7991" s="675"/>
      <c r="E7991" s="675"/>
      <c r="G7991" s="675"/>
      <c r="H7991" s="675"/>
      <c r="I7991" s="675"/>
      <c r="J7991" s="675"/>
      <c r="K7991" s="675"/>
      <c r="L7991" s="675"/>
      <c r="M7991" s="675"/>
    </row>
    <row r="7992" spans="1:13" x14ac:dyDescent="0.25">
      <c r="A7992" s="675" t="s">
        <v>7968</v>
      </c>
      <c r="B7992" s="675" t="s">
        <v>564</v>
      </c>
      <c r="C7992" s="676" t="s">
        <v>7987</v>
      </c>
      <c r="D7992" s="675"/>
      <c r="E7992" s="675"/>
      <c r="G7992" s="675"/>
      <c r="H7992" s="675"/>
      <c r="I7992" s="675"/>
      <c r="J7992" s="675"/>
      <c r="K7992" s="675"/>
      <c r="L7992" s="675"/>
      <c r="M7992" s="675"/>
    </row>
    <row r="7993" spans="1:13" x14ac:dyDescent="0.25">
      <c r="A7993" s="675" t="s">
        <v>7968</v>
      </c>
      <c r="B7993" s="675" t="s">
        <v>564</v>
      </c>
      <c r="C7993" s="676" t="s">
        <v>7988</v>
      </c>
      <c r="D7993" s="675"/>
      <c r="E7993" s="675"/>
      <c r="G7993" s="675"/>
      <c r="H7993" s="675"/>
      <c r="I7993" s="675"/>
      <c r="J7993" s="675"/>
      <c r="K7993" s="675"/>
      <c r="L7993" s="675"/>
      <c r="M7993" s="675"/>
    </row>
    <row r="7994" spans="1:13" x14ac:dyDescent="0.25">
      <c r="A7994" s="675" t="s">
        <v>7968</v>
      </c>
      <c r="B7994" s="675" t="s">
        <v>512</v>
      </c>
      <c r="C7994" s="676" t="s">
        <v>7989</v>
      </c>
      <c r="D7994" s="675"/>
      <c r="E7994" s="675"/>
      <c r="G7994" s="675"/>
      <c r="H7994" s="675"/>
      <c r="I7994" s="675"/>
      <c r="J7994" s="675"/>
      <c r="K7994" s="675"/>
      <c r="L7994" s="675"/>
      <c r="M7994" s="675"/>
    </row>
    <row r="7995" spans="1:13" x14ac:dyDescent="0.25">
      <c r="A7995" s="675" t="s">
        <v>7968</v>
      </c>
      <c r="B7995" s="675" t="s">
        <v>512</v>
      </c>
      <c r="C7995" s="676" t="s">
        <v>7990</v>
      </c>
      <c r="D7995" s="675"/>
      <c r="E7995" s="675"/>
      <c r="G7995" s="675"/>
      <c r="H7995" s="675"/>
      <c r="I7995" s="675"/>
      <c r="J7995" s="675"/>
      <c r="K7995" s="675"/>
      <c r="L7995" s="675"/>
      <c r="M7995" s="675"/>
    </row>
    <row r="7996" spans="1:13" x14ac:dyDescent="0.25">
      <c r="A7996" s="675" t="s">
        <v>7968</v>
      </c>
      <c r="B7996" s="675" t="s">
        <v>512</v>
      </c>
      <c r="C7996" s="676" t="s">
        <v>7991</v>
      </c>
      <c r="D7996" s="675"/>
      <c r="E7996" s="675"/>
      <c r="G7996" s="675"/>
      <c r="H7996" s="675"/>
      <c r="I7996" s="675"/>
      <c r="J7996" s="675"/>
      <c r="K7996" s="675"/>
      <c r="L7996" s="675"/>
      <c r="M7996" s="675"/>
    </row>
    <row r="7997" spans="1:13" x14ac:dyDescent="0.25">
      <c r="A7997" s="675" t="s">
        <v>7968</v>
      </c>
      <c r="B7997" s="675" t="s">
        <v>512</v>
      </c>
      <c r="C7997" s="676" t="s">
        <v>7992</v>
      </c>
      <c r="D7997" s="675"/>
      <c r="E7997" s="675"/>
      <c r="G7997" s="675"/>
      <c r="H7997" s="675"/>
      <c r="I7997" s="675"/>
      <c r="J7997" s="675"/>
      <c r="K7997" s="675"/>
      <c r="L7997" s="675"/>
      <c r="M7997" s="675"/>
    </row>
    <row r="7998" spans="1:13" x14ac:dyDescent="0.25">
      <c r="A7998" s="675" t="s">
        <v>7968</v>
      </c>
      <c r="B7998" s="675" t="s">
        <v>512</v>
      </c>
      <c r="C7998" s="676" t="s">
        <v>7993</v>
      </c>
      <c r="D7998" s="675"/>
      <c r="E7998" s="675"/>
      <c r="G7998" s="675"/>
      <c r="H7998" s="675"/>
      <c r="I7998" s="675"/>
      <c r="J7998" s="675"/>
      <c r="K7998" s="675"/>
      <c r="L7998" s="675"/>
      <c r="M7998" s="675"/>
    </row>
    <row r="7999" spans="1:13" x14ac:dyDescent="0.25">
      <c r="A7999" s="675" t="s">
        <v>7968</v>
      </c>
      <c r="B7999" s="675" t="s">
        <v>512</v>
      </c>
      <c r="C7999" s="676" t="s">
        <v>7994</v>
      </c>
      <c r="D7999" s="675"/>
      <c r="E7999" s="675"/>
      <c r="G7999" s="675"/>
      <c r="H7999" s="675"/>
      <c r="I7999" s="675"/>
      <c r="J7999" s="675"/>
      <c r="K7999" s="675"/>
      <c r="L7999" s="675"/>
      <c r="M7999" s="675"/>
    </row>
    <row r="8000" spans="1:13" x14ac:dyDescent="0.25">
      <c r="A8000" s="675" t="s">
        <v>7968</v>
      </c>
      <c r="B8000" s="675" t="s">
        <v>512</v>
      </c>
      <c r="C8000" s="676" t="s">
        <v>7995</v>
      </c>
      <c r="D8000" s="675"/>
      <c r="E8000" s="675"/>
      <c r="G8000" s="675"/>
      <c r="H8000" s="675"/>
      <c r="I8000" s="675"/>
      <c r="J8000" s="675"/>
      <c r="K8000" s="675"/>
      <c r="L8000" s="675"/>
      <c r="M8000" s="675"/>
    </row>
    <row r="8001" spans="1:13" x14ac:dyDescent="0.25">
      <c r="A8001" s="675" t="s">
        <v>7968</v>
      </c>
      <c r="B8001" s="675" t="s">
        <v>512</v>
      </c>
      <c r="C8001" s="676" t="s">
        <v>7996</v>
      </c>
      <c r="D8001" s="675"/>
      <c r="E8001" s="675"/>
      <c r="G8001" s="675"/>
      <c r="H8001" s="675"/>
      <c r="I8001" s="675"/>
      <c r="J8001" s="675"/>
      <c r="K8001" s="675"/>
      <c r="L8001" s="675"/>
      <c r="M8001" s="675"/>
    </row>
    <row r="8002" spans="1:13" x14ac:dyDescent="0.25">
      <c r="A8002" s="675" t="s">
        <v>7968</v>
      </c>
      <c r="B8002" s="675" t="s">
        <v>512</v>
      </c>
      <c r="C8002" s="676" t="s">
        <v>7997</v>
      </c>
      <c r="D8002" s="675"/>
      <c r="E8002" s="675"/>
      <c r="G8002" s="675"/>
      <c r="H8002" s="675"/>
      <c r="I8002" s="675"/>
      <c r="J8002" s="675"/>
      <c r="K8002" s="675"/>
      <c r="L8002" s="675"/>
      <c r="M8002" s="675"/>
    </row>
    <row r="8003" spans="1:13" x14ac:dyDescent="0.25">
      <c r="A8003" s="675" t="s">
        <v>7968</v>
      </c>
      <c r="B8003" s="675" t="s">
        <v>512</v>
      </c>
      <c r="C8003" s="676" t="s">
        <v>7998</v>
      </c>
      <c r="D8003" s="675"/>
      <c r="E8003" s="675"/>
      <c r="G8003" s="675"/>
      <c r="H8003" s="675"/>
      <c r="I8003" s="675"/>
      <c r="J8003" s="675"/>
      <c r="K8003" s="675"/>
      <c r="L8003" s="675"/>
      <c r="M8003" s="675"/>
    </row>
    <row r="8004" spans="1:13" x14ac:dyDescent="0.25">
      <c r="A8004" s="675" t="s">
        <v>7999</v>
      </c>
      <c r="B8004" s="675" t="s">
        <v>545</v>
      </c>
      <c r="C8004" s="676" t="s">
        <v>8000</v>
      </c>
      <c r="D8004" s="675"/>
      <c r="E8004" s="675"/>
      <c r="G8004" s="675"/>
      <c r="H8004" s="675"/>
      <c r="I8004" s="675"/>
      <c r="J8004" s="675"/>
      <c r="K8004" s="675"/>
      <c r="L8004" s="675"/>
      <c r="M8004" s="675"/>
    </row>
    <row r="8005" spans="1:13" x14ac:dyDescent="0.25">
      <c r="A8005" s="675" t="s">
        <v>7999</v>
      </c>
      <c r="B8005" s="675" t="s">
        <v>545</v>
      </c>
      <c r="C8005" s="676" t="s">
        <v>8001</v>
      </c>
      <c r="D8005" s="675"/>
      <c r="E8005" s="675"/>
      <c r="G8005" s="675"/>
      <c r="H8005" s="675"/>
      <c r="I8005" s="675"/>
      <c r="J8005" s="675"/>
      <c r="K8005" s="675"/>
      <c r="L8005" s="675"/>
      <c r="M8005" s="675"/>
    </row>
    <row r="8006" spans="1:13" x14ac:dyDescent="0.25">
      <c r="A8006" s="675" t="s">
        <v>7999</v>
      </c>
      <c r="B8006" s="675" t="s">
        <v>545</v>
      </c>
      <c r="C8006" s="676" t="s">
        <v>8002</v>
      </c>
      <c r="D8006" s="675"/>
      <c r="E8006" s="675"/>
      <c r="G8006" s="675"/>
      <c r="H8006" s="675"/>
      <c r="I8006" s="675"/>
      <c r="J8006" s="675"/>
      <c r="K8006" s="675"/>
      <c r="L8006" s="675"/>
      <c r="M8006" s="675"/>
    </row>
    <row r="8007" spans="1:13" x14ac:dyDescent="0.25">
      <c r="A8007" s="675" t="s">
        <v>7999</v>
      </c>
      <c r="B8007" s="675" t="s">
        <v>545</v>
      </c>
      <c r="C8007" s="676" t="s">
        <v>8003</v>
      </c>
      <c r="D8007" s="675"/>
      <c r="E8007" s="675"/>
      <c r="G8007" s="675"/>
      <c r="H8007" s="675"/>
      <c r="I8007" s="675"/>
      <c r="J8007" s="675"/>
      <c r="K8007" s="675"/>
      <c r="L8007" s="675"/>
      <c r="M8007" s="675"/>
    </row>
    <row r="8008" spans="1:13" x14ac:dyDescent="0.25">
      <c r="A8008" s="675" t="s">
        <v>7999</v>
      </c>
      <c r="B8008" s="675" t="s">
        <v>545</v>
      </c>
      <c r="C8008" s="676" t="s">
        <v>8004</v>
      </c>
      <c r="D8008" s="675"/>
      <c r="E8008" s="675"/>
      <c r="G8008" s="675"/>
      <c r="H8008" s="675"/>
      <c r="I8008" s="675"/>
      <c r="J8008" s="675"/>
      <c r="K8008" s="675"/>
      <c r="L8008" s="675"/>
      <c r="M8008" s="675"/>
    </row>
    <row r="8009" spans="1:13" x14ac:dyDescent="0.25">
      <c r="A8009" s="675" t="s">
        <v>7999</v>
      </c>
      <c r="B8009" s="675" t="s">
        <v>545</v>
      </c>
      <c r="C8009" s="676" t="s">
        <v>8005</v>
      </c>
      <c r="D8009" s="675"/>
      <c r="E8009" s="675"/>
      <c r="G8009" s="675"/>
      <c r="H8009" s="675"/>
      <c r="I8009" s="675"/>
      <c r="J8009" s="675"/>
      <c r="K8009" s="675"/>
      <c r="L8009" s="675"/>
      <c r="M8009" s="675"/>
    </row>
    <row r="8010" spans="1:13" x14ac:dyDescent="0.25">
      <c r="A8010" s="675" t="s">
        <v>7999</v>
      </c>
      <c r="B8010" s="675" t="s">
        <v>545</v>
      </c>
      <c r="C8010" s="676" t="s">
        <v>8006</v>
      </c>
      <c r="D8010" s="675"/>
      <c r="E8010" s="675"/>
      <c r="G8010" s="675"/>
      <c r="H8010" s="675"/>
      <c r="I8010" s="675"/>
      <c r="J8010" s="675"/>
      <c r="K8010" s="675"/>
      <c r="L8010" s="675"/>
      <c r="M8010" s="675"/>
    </row>
    <row r="8011" spans="1:13" x14ac:dyDescent="0.25">
      <c r="A8011" s="675" t="s">
        <v>7999</v>
      </c>
      <c r="B8011" s="675" t="s">
        <v>545</v>
      </c>
      <c r="C8011" s="676" t="s">
        <v>8007</v>
      </c>
      <c r="D8011" s="675"/>
      <c r="E8011" s="675"/>
      <c r="G8011" s="675"/>
      <c r="H8011" s="675"/>
      <c r="I8011" s="675"/>
      <c r="J8011" s="675"/>
      <c r="K8011" s="675"/>
      <c r="L8011" s="675"/>
      <c r="M8011" s="675"/>
    </row>
    <row r="8012" spans="1:13" x14ac:dyDescent="0.25">
      <c r="A8012" s="675" t="s">
        <v>7999</v>
      </c>
      <c r="B8012" s="675" t="s">
        <v>545</v>
      </c>
      <c r="C8012" s="676" t="s">
        <v>8008</v>
      </c>
      <c r="D8012" s="675"/>
      <c r="E8012" s="675"/>
      <c r="G8012" s="675"/>
      <c r="H8012" s="675"/>
      <c r="I8012" s="675"/>
      <c r="J8012" s="675"/>
      <c r="K8012" s="675"/>
      <c r="L8012" s="675"/>
      <c r="M8012" s="675"/>
    </row>
    <row r="8013" spans="1:13" x14ac:dyDescent="0.25">
      <c r="A8013" s="675" t="s">
        <v>7999</v>
      </c>
      <c r="B8013" s="675" t="s">
        <v>545</v>
      </c>
      <c r="C8013" s="676" t="s">
        <v>8009</v>
      </c>
      <c r="D8013" s="675"/>
      <c r="E8013" s="675"/>
      <c r="G8013" s="675"/>
      <c r="H8013" s="675"/>
      <c r="I8013" s="675"/>
      <c r="J8013" s="675"/>
      <c r="K8013" s="675"/>
      <c r="L8013" s="675"/>
      <c r="M8013" s="675"/>
    </row>
    <row r="8014" spans="1:13" x14ac:dyDescent="0.25">
      <c r="A8014" s="675" t="s">
        <v>7999</v>
      </c>
      <c r="B8014" s="675" t="s">
        <v>564</v>
      </c>
      <c r="C8014" s="676" t="s">
        <v>8010</v>
      </c>
      <c r="D8014" s="675"/>
      <c r="E8014" s="675"/>
      <c r="G8014" s="675"/>
      <c r="H8014" s="675"/>
      <c r="I8014" s="675"/>
      <c r="J8014" s="675"/>
      <c r="K8014" s="675"/>
      <c r="L8014" s="675"/>
      <c r="M8014" s="675"/>
    </row>
    <row r="8015" spans="1:13" x14ac:dyDescent="0.25">
      <c r="A8015" s="675" t="s">
        <v>7999</v>
      </c>
      <c r="B8015" s="675" t="s">
        <v>564</v>
      </c>
      <c r="C8015" s="676" t="s">
        <v>8011</v>
      </c>
      <c r="D8015" s="675"/>
      <c r="E8015" s="675"/>
      <c r="G8015" s="675"/>
      <c r="H8015" s="675"/>
      <c r="I8015" s="675"/>
      <c r="J8015" s="675"/>
      <c r="K8015" s="675"/>
      <c r="L8015" s="675"/>
      <c r="M8015" s="675"/>
    </row>
    <row r="8016" spans="1:13" x14ac:dyDescent="0.25">
      <c r="A8016" s="675" t="s">
        <v>7999</v>
      </c>
      <c r="B8016" s="675" t="s">
        <v>564</v>
      </c>
      <c r="C8016" s="676" t="s">
        <v>8012</v>
      </c>
      <c r="D8016" s="675"/>
      <c r="E8016" s="675"/>
      <c r="G8016" s="675"/>
      <c r="H8016" s="675"/>
      <c r="I8016" s="675"/>
      <c r="J8016" s="675"/>
      <c r="K8016" s="675"/>
      <c r="L8016" s="675"/>
      <c r="M8016" s="675"/>
    </row>
    <row r="8017" spans="1:13" x14ac:dyDescent="0.25">
      <c r="A8017" s="675" t="s">
        <v>7999</v>
      </c>
      <c r="B8017" s="675" t="s">
        <v>564</v>
      </c>
      <c r="C8017" s="676" t="s">
        <v>8013</v>
      </c>
      <c r="D8017" s="675"/>
      <c r="E8017" s="675"/>
      <c r="G8017" s="675"/>
      <c r="H8017" s="675"/>
      <c r="I8017" s="675"/>
      <c r="J8017" s="675"/>
      <c r="K8017" s="675"/>
      <c r="L8017" s="675"/>
      <c r="M8017" s="675"/>
    </row>
    <row r="8018" spans="1:13" x14ac:dyDescent="0.25">
      <c r="A8018" s="675" t="s">
        <v>7999</v>
      </c>
      <c r="B8018" s="675" t="s">
        <v>564</v>
      </c>
      <c r="C8018" s="676" t="s">
        <v>8014</v>
      </c>
      <c r="D8018" s="675"/>
      <c r="E8018" s="675"/>
      <c r="G8018" s="675"/>
      <c r="H8018" s="675"/>
      <c r="I8018" s="675"/>
      <c r="J8018" s="675"/>
      <c r="K8018" s="675"/>
      <c r="L8018" s="675"/>
      <c r="M8018" s="675"/>
    </row>
    <row r="8019" spans="1:13" x14ac:dyDescent="0.25">
      <c r="A8019" s="675" t="s">
        <v>7999</v>
      </c>
      <c r="B8019" s="675" t="s">
        <v>564</v>
      </c>
      <c r="C8019" s="676" t="s">
        <v>8015</v>
      </c>
      <c r="D8019" s="675"/>
      <c r="E8019" s="675"/>
      <c r="G8019" s="675"/>
      <c r="H8019" s="675"/>
      <c r="I8019" s="675"/>
      <c r="J8019" s="675"/>
      <c r="K8019" s="675"/>
      <c r="L8019" s="675"/>
      <c r="M8019" s="675"/>
    </row>
    <row r="8020" spans="1:13" x14ac:dyDescent="0.25">
      <c r="A8020" s="675" t="s">
        <v>7999</v>
      </c>
      <c r="B8020" s="675" t="s">
        <v>564</v>
      </c>
      <c r="C8020" s="676" t="s">
        <v>8016</v>
      </c>
      <c r="D8020" s="675"/>
      <c r="E8020" s="675"/>
      <c r="G8020" s="675"/>
      <c r="H8020" s="675"/>
      <c r="I8020" s="675"/>
      <c r="J8020" s="675"/>
      <c r="K8020" s="675"/>
      <c r="L8020" s="675"/>
      <c r="M8020" s="675"/>
    </row>
    <row r="8021" spans="1:13" x14ac:dyDescent="0.25">
      <c r="A8021" s="675" t="s">
        <v>7999</v>
      </c>
      <c r="B8021" s="675" t="s">
        <v>564</v>
      </c>
      <c r="C8021" s="676" t="s">
        <v>8017</v>
      </c>
      <c r="D8021" s="675"/>
      <c r="E8021" s="675"/>
      <c r="G8021" s="675"/>
      <c r="H8021" s="675"/>
      <c r="I8021" s="675"/>
      <c r="J8021" s="675"/>
      <c r="K8021" s="675"/>
      <c r="L8021" s="675"/>
      <c r="M8021" s="675"/>
    </row>
    <row r="8022" spans="1:13" x14ac:dyDescent="0.25">
      <c r="A8022" s="675" t="s">
        <v>7999</v>
      </c>
      <c r="B8022" s="675" t="s">
        <v>564</v>
      </c>
      <c r="C8022" s="676" t="s">
        <v>8018</v>
      </c>
      <c r="D8022" s="675"/>
      <c r="E8022" s="675"/>
      <c r="G8022" s="675"/>
      <c r="H8022" s="675"/>
      <c r="I8022" s="675"/>
      <c r="J8022" s="675"/>
      <c r="K8022" s="675"/>
      <c r="L8022" s="675"/>
      <c r="M8022" s="675"/>
    </row>
    <row r="8023" spans="1:13" x14ac:dyDescent="0.25">
      <c r="A8023" s="675" t="s">
        <v>7999</v>
      </c>
      <c r="B8023" s="675" t="s">
        <v>564</v>
      </c>
      <c r="C8023" s="676" t="s">
        <v>8019</v>
      </c>
      <c r="D8023" s="675"/>
      <c r="E8023" s="675"/>
      <c r="G8023" s="675"/>
      <c r="H8023" s="675"/>
      <c r="I8023" s="675"/>
      <c r="J8023" s="675"/>
      <c r="K8023" s="675"/>
      <c r="L8023" s="675"/>
      <c r="M8023" s="675"/>
    </row>
    <row r="8024" spans="1:13" x14ac:dyDescent="0.25">
      <c r="A8024" s="675" t="s">
        <v>7999</v>
      </c>
      <c r="B8024" s="675" t="s">
        <v>512</v>
      </c>
      <c r="C8024" s="676" t="s">
        <v>8020</v>
      </c>
      <c r="D8024" s="675"/>
      <c r="E8024" s="675"/>
      <c r="G8024" s="675"/>
      <c r="H8024" s="675"/>
      <c r="I8024" s="675"/>
      <c r="J8024" s="675"/>
      <c r="K8024" s="675"/>
      <c r="L8024" s="675"/>
      <c r="M8024" s="675"/>
    </row>
    <row r="8025" spans="1:13" x14ac:dyDescent="0.25">
      <c r="A8025" s="675" t="s">
        <v>7999</v>
      </c>
      <c r="B8025" s="675" t="s">
        <v>512</v>
      </c>
      <c r="C8025" s="676" t="s">
        <v>8021</v>
      </c>
      <c r="D8025" s="675"/>
      <c r="E8025" s="675"/>
      <c r="G8025" s="675"/>
      <c r="H8025" s="675"/>
      <c r="I8025" s="675"/>
      <c r="J8025" s="675"/>
      <c r="K8025" s="675"/>
      <c r="L8025" s="675"/>
      <c r="M8025" s="675"/>
    </row>
    <row r="8026" spans="1:13" x14ac:dyDescent="0.25">
      <c r="A8026" s="675" t="s">
        <v>7999</v>
      </c>
      <c r="B8026" s="675" t="s">
        <v>512</v>
      </c>
      <c r="C8026" s="676" t="s">
        <v>8022</v>
      </c>
      <c r="D8026" s="675"/>
      <c r="E8026" s="675"/>
      <c r="G8026" s="675"/>
      <c r="H8026" s="675"/>
      <c r="I8026" s="675"/>
      <c r="J8026" s="675"/>
      <c r="K8026" s="675"/>
      <c r="L8026" s="675"/>
      <c r="M8026" s="675"/>
    </row>
    <row r="8027" spans="1:13" x14ac:dyDescent="0.25">
      <c r="A8027" s="675" t="s">
        <v>7999</v>
      </c>
      <c r="B8027" s="675" t="s">
        <v>512</v>
      </c>
      <c r="C8027" s="676" t="s">
        <v>8023</v>
      </c>
      <c r="D8027" s="675"/>
      <c r="E8027" s="675"/>
      <c r="G8027" s="675"/>
      <c r="H8027" s="675"/>
      <c r="I8027" s="675"/>
      <c r="J8027" s="675"/>
      <c r="K8027" s="675"/>
      <c r="L8027" s="675"/>
      <c r="M8027" s="675"/>
    </row>
    <row r="8028" spans="1:13" x14ac:dyDescent="0.25">
      <c r="A8028" s="675" t="s">
        <v>7999</v>
      </c>
      <c r="B8028" s="675" t="s">
        <v>512</v>
      </c>
      <c r="C8028" s="676" t="s">
        <v>8024</v>
      </c>
      <c r="D8028" s="675"/>
      <c r="E8028" s="675"/>
      <c r="G8028" s="675"/>
      <c r="H8028" s="675"/>
      <c r="I8028" s="675"/>
      <c r="J8028" s="675"/>
      <c r="K8028" s="675"/>
      <c r="L8028" s="675"/>
      <c r="M8028" s="675"/>
    </row>
    <row r="8029" spans="1:13" x14ac:dyDescent="0.25">
      <c r="A8029" s="675" t="s">
        <v>7999</v>
      </c>
      <c r="B8029" s="675" t="s">
        <v>512</v>
      </c>
      <c r="C8029" s="676" t="s">
        <v>8025</v>
      </c>
      <c r="D8029" s="675"/>
      <c r="E8029" s="675"/>
      <c r="G8029" s="675"/>
      <c r="H8029" s="675"/>
      <c r="I8029" s="675"/>
      <c r="J8029" s="675"/>
      <c r="K8029" s="675"/>
      <c r="L8029" s="675"/>
      <c r="M8029" s="675"/>
    </row>
    <row r="8030" spans="1:13" x14ac:dyDescent="0.25">
      <c r="A8030" s="675" t="s">
        <v>7999</v>
      </c>
      <c r="B8030" s="675" t="s">
        <v>512</v>
      </c>
      <c r="C8030" s="676" t="s">
        <v>8026</v>
      </c>
      <c r="D8030" s="675"/>
      <c r="E8030" s="675"/>
      <c r="G8030" s="675"/>
      <c r="H8030" s="675"/>
      <c r="I8030" s="675"/>
      <c r="J8030" s="675"/>
      <c r="K8030" s="675"/>
      <c r="L8030" s="675"/>
      <c r="M8030" s="675"/>
    </row>
    <row r="8031" spans="1:13" x14ac:dyDescent="0.25">
      <c r="A8031" s="675" t="s">
        <v>7999</v>
      </c>
      <c r="B8031" s="675" t="s">
        <v>512</v>
      </c>
      <c r="C8031" s="676" t="s">
        <v>8027</v>
      </c>
      <c r="D8031" s="675"/>
      <c r="E8031" s="675"/>
      <c r="G8031" s="675"/>
      <c r="H8031" s="675"/>
      <c r="I8031" s="675"/>
      <c r="J8031" s="675"/>
      <c r="K8031" s="675"/>
      <c r="L8031" s="675"/>
      <c r="M8031" s="675"/>
    </row>
    <row r="8032" spans="1:13" x14ac:dyDescent="0.25">
      <c r="A8032" s="675" t="s">
        <v>7999</v>
      </c>
      <c r="B8032" s="675" t="s">
        <v>512</v>
      </c>
      <c r="C8032" s="676" t="s">
        <v>8028</v>
      </c>
      <c r="D8032" s="675"/>
      <c r="E8032" s="675"/>
      <c r="G8032" s="675"/>
      <c r="H8032" s="675"/>
      <c r="I8032" s="675"/>
      <c r="J8032" s="675"/>
      <c r="K8032" s="675"/>
      <c r="L8032" s="675"/>
      <c r="M8032" s="675"/>
    </row>
    <row r="8033" spans="1:13" x14ac:dyDescent="0.25">
      <c r="A8033" s="675" t="s">
        <v>7999</v>
      </c>
      <c r="B8033" s="675" t="s">
        <v>512</v>
      </c>
      <c r="C8033" s="676" t="s">
        <v>8029</v>
      </c>
      <c r="D8033" s="675"/>
      <c r="E8033" s="675"/>
      <c r="G8033" s="675"/>
      <c r="H8033" s="675"/>
      <c r="I8033" s="675"/>
      <c r="J8033" s="675"/>
      <c r="K8033" s="675"/>
      <c r="L8033" s="675"/>
      <c r="M8033" s="675"/>
    </row>
    <row r="8034" spans="1:13" ht="30" x14ac:dyDescent="0.25">
      <c r="A8034" s="675" t="s">
        <v>8030</v>
      </c>
      <c r="B8034" s="675" t="s">
        <v>545</v>
      </c>
      <c r="C8034" s="676" t="s">
        <v>8031</v>
      </c>
      <c r="D8034" s="675"/>
      <c r="E8034" s="675"/>
      <c r="G8034" s="675"/>
      <c r="H8034" s="675"/>
      <c r="I8034" s="675"/>
      <c r="J8034" s="675"/>
      <c r="K8034" s="675"/>
      <c r="L8034" s="675"/>
      <c r="M8034" s="675"/>
    </row>
    <row r="8035" spans="1:13" ht="30" x14ac:dyDescent="0.25">
      <c r="A8035" s="675" t="s">
        <v>8030</v>
      </c>
      <c r="B8035" s="675" t="s">
        <v>545</v>
      </c>
      <c r="C8035" s="676" t="s">
        <v>8032</v>
      </c>
      <c r="D8035" s="675"/>
      <c r="E8035" s="675"/>
      <c r="G8035" s="675"/>
      <c r="H8035" s="675"/>
      <c r="I8035" s="675"/>
      <c r="J8035" s="675"/>
      <c r="K8035" s="675"/>
      <c r="L8035" s="675"/>
      <c r="M8035" s="675"/>
    </row>
    <row r="8036" spans="1:13" x14ac:dyDescent="0.25">
      <c r="A8036" s="675" t="s">
        <v>8030</v>
      </c>
      <c r="B8036" s="675" t="s">
        <v>545</v>
      </c>
      <c r="C8036" s="676" t="s">
        <v>8033</v>
      </c>
      <c r="D8036" s="675"/>
      <c r="E8036" s="675"/>
      <c r="G8036" s="675"/>
      <c r="H8036" s="675"/>
      <c r="I8036" s="675"/>
      <c r="J8036" s="675"/>
      <c r="K8036" s="675"/>
      <c r="L8036" s="675"/>
      <c r="M8036" s="675"/>
    </row>
    <row r="8037" spans="1:13" ht="30" x14ac:dyDescent="0.25">
      <c r="A8037" s="675" t="s">
        <v>8030</v>
      </c>
      <c r="B8037" s="675" t="s">
        <v>545</v>
      </c>
      <c r="C8037" s="676" t="s">
        <v>8034</v>
      </c>
      <c r="D8037" s="675"/>
      <c r="E8037" s="675"/>
      <c r="G8037" s="675"/>
      <c r="H8037" s="675"/>
      <c r="I8037" s="675"/>
      <c r="J8037" s="675"/>
      <c r="K8037" s="675"/>
      <c r="L8037" s="675"/>
      <c r="M8037" s="675"/>
    </row>
    <row r="8038" spans="1:13" ht="30" x14ac:dyDescent="0.25">
      <c r="A8038" s="675" t="s">
        <v>8030</v>
      </c>
      <c r="B8038" s="675" t="s">
        <v>545</v>
      </c>
      <c r="C8038" s="676" t="s">
        <v>8035</v>
      </c>
      <c r="D8038" s="675"/>
      <c r="E8038" s="675"/>
      <c r="G8038" s="675"/>
      <c r="H8038" s="675"/>
      <c r="I8038" s="675"/>
      <c r="J8038" s="675"/>
      <c r="K8038" s="675"/>
      <c r="L8038" s="675"/>
      <c r="M8038" s="675"/>
    </row>
    <row r="8039" spans="1:13" x14ac:dyDescent="0.25">
      <c r="A8039" s="675" t="s">
        <v>8030</v>
      </c>
      <c r="B8039" s="675" t="s">
        <v>564</v>
      </c>
      <c r="C8039" s="676" t="s">
        <v>8036</v>
      </c>
      <c r="D8039" s="675"/>
      <c r="E8039" s="675"/>
      <c r="G8039" s="675"/>
      <c r="H8039" s="675"/>
      <c r="I8039" s="675"/>
      <c r="J8039" s="675"/>
      <c r="K8039" s="675"/>
      <c r="L8039" s="675"/>
      <c r="M8039" s="675"/>
    </row>
    <row r="8040" spans="1:13" ht="30" x14ac:dyDescent="0.25">
      <c r="A8040" s="675" t="s">
        <v>8030</v>
      </c>
      <c r="B8040" s="675" t="s">
        <v>564</v>
      </c>
      <c r="C8040" s="676" t="s">
        <v>8037</v>
      </c>
      <c r="D8040" s="675"/>
      <c r="E8040" s="675"/>
      <c r="G8040" s="675"/>
      <c r="H8040" s="675"/>
      <c r="I8040" s="675"/>
      <c r="J8040" s="675"/>
      <c r="K8040" s="675"/>
      <c r="L8040" s="675"/>
      <c r="M8040" s="675"/>
    </row>
    <row r="8041" spans="1:13" x14ac:dyDescent="0.25">
      <c r="A8041" s="675" t="s">
        <v>8030</v>
      </c>
      <c r="B8041" s="675" t="s">
        <v>564</v>
      </c>
      <c r="C8041" s="676" t="s">
        <v>8038</v>
      </c>
      <c r="D8041" s="675"/>
      <c r="E8041" s="675"/>
      <c r="G8041" s="675"/>
      <c r="H8041" s="675"/>
      <c r="I8041" s="675"/>
      <c r="J8041" s="675"/>
      <c r="K8041" s="675"/>
      <c r="L8041" s="675"/>
      <c r="M8041" s="675"/>
    </row>
    <row r="8042" spans="1:13" x14ac:dyDescent="0.25">
      <c r="A8042" s="675" t="s">
        <v>8030</v>
      </c>
      <c r="B8042" s="675" t="s">
        <v>564</v>
      </c>
      <c r="C8042" s="676" t="s">
        <v>8039</v>
      </c>
      <c r="D8042" s="675"/>
      <c r="E8042" s="675"/>
      <c r="G8042" s="675"/>
      <c r="H8042" s="675"/>
      <c r="I8042" s="675"/>
      <c r="J8042" s="675"/>
      <c r="K8042" s="675"/>
      <c r="L8042" s="675"/>
      <c r="M8042" s="675"/>
    </row>
    <row r="8043" spans="1:13" x14ac:dyDescent="0.25">
      <c r="A8043" s="675" t="s">
        <v>8030</v>
      </c>
      <c r="B8043" s="675" t="s">
        <v>564</v>
      </c>
      <c r="C8043" s="676" t="s">
        <v>8040</v>
      </c>
      <c r="D8043" s="675"/>
      <c r="E8043" s="675"/>
      <c r="G8043" s="675"/>
      <c r="H8043" s="675"/>
      <c r="I8043" s="675"/>
      <c r="J8043" s="675"/>
      <c r="K8043" s="675"/>
      <c r="L8043" s="675"/>
      <c r="M8043" s="675"/>
    </row>
    <row r="8044" spans="1:13" ht="30" x14ac:dyDescent="0.25">
      <c r="A8044" s="675" t="s">
        <v>8030</v>
      </c>
      <c r="B8044" s="675" t="s">
        <v>512</v>
      </c>
      <c r="C8044" s="676" t="s">
        <v>8041</v>
      </c>
      <c r="D8044" s="675"/>
      <c r="E8044" s="675"/>
      <c r="G8044" s="675"/>
      <c r="H8044" s="675"/>
      <c r="I8044" s="675"/>
      <c r="J8044" s="675"/>
      <c r="K8044" s="675"/>
      <c r="L8044" s="675"/>
      <c r="M8044" s="675"/>
    </row>
    <row r="8045" spans="1:13" x14ac:dyDescent="0.25">
      <c r="A8045" s="675" t="s">
        <v>8030</v>
      </c>
      <c r="B8045" s="675" t="s">
        <v>512</v>
      </c>
      <c r="C8045" s="676" t="s">
        <v>8042</v>
      </c>
      <c r="D8045" s="675"/>
      <c r="E8045" s="675"/>
      <c r="G8045" s="675"/>
      <c r="H8045" s="675"/>
      <c r="I8045" s="675"/>
      <c r="J8045" s="675"/>
      <c r="K8045" s="675"/>
      <c r="L8045" s="675"/>
      <c r="M8045" s="675"/>
    </row>
    <row r="8046" spans="1:13" x14ac:dyDescent="0.25">
      <c r="A8046" s="675" t="s">
        <v>8030</v>
      </c>
      <c r="B8046" s="675" t="s">
        <v>512</v>
      </c>
      <c r="C8046" s="676" t="s">
        <v>8043</v>
      </c>
      <c r="D8046" s="675"/>
      <c r="E8046" s="675"/>
      <c r="G8046" s="675"/>
      <c r="H8046" s="675"/>
      <c r="I8046" s="675"/>
      <c r="J8046" s="675"/>
      <c r="K8046" s="675"/>
      <c r="L8046" s="675"/>
      <c r="M8046" s="675"/>
    </row>
    <row r="8047" spans="1:13" x14ac:dyDescent="0.25">
      <c r="A8047" s="675" t="s">
        <v>8030</v>
      </c>
      <c r="B8047" s="675" t="s">
        <v>512</v>
      </c>
      <c r="C8047" s="676" t="s">
        <v>8044</v>
      </c>
      <c r="D8047" s="675"/>
      <c r="E8047" s="675"/>
      <c r="G8047" s="675"/>
      <c r="H8047" s="675"/>
      <c r="I8047" s="675"/>
      <c r="J8047" s="675"/>
      <c r="K8047" s="675"/>
      <c r="L8047" s="675"/>
      <c r="M8047" s="675"/>
    </row>
    <row r="8048" spans="1:13" x14ac:dyDescent="0.25">
      <c r="A8048" s="675" t="s">
        <v>8030</v>
      </c>
      <c r="B8048" s="675" t="s">
        <v>512</v>
      </c>
      <c r="C8048" s="676" t="s">
        <v>8045</v>
      </c>
      <c r="D8048" s="675"/>
      <c r="E8048" s="675"/>
      <c r="G8048" s="675"/>
      <c r="H8048" s="675"/>
      <c r="I8048" s="675"/>
      <c r="J8048" s="675"/>
      <c r="K8048" s="675"/>
      <c r="L8048" s="675"/>
      <c r="M8048" s="675"/>
    </row>
    <row r="8049" spans="1:13" x14ac:dyDescent="0.25">
      <c r="A8049" s="675" t="s">
        <v>8046</v>
      </c>
      <c r="B8049" s="675" t="s">
        <v>545</v>
      </c>
      <c r="C8049" s="676" t="s">
        <v>8047</v>
      </c>
      <c r="D8049" s="675"/>
      <c r="E8049" s="675"/>
      <c r="G8049" s="675"/>
      <c r="H8049" s="675"/>
      <c r="I8049" s="675"/>
      <c r="J8049" s="675"/>
      <c r="K8049" s="675"/>
      <c r="L8049" s="675"/>
      <c r="M8049" s="675"/>
    </row>
    <row r="8050" spans="1:13" x14ac:dyDescent="0.25">
      <c r="A8050" s="675" t="s">
        <v>8046</v>
      </c>
      <c r="B8050" s="675" t="s">
        <v>545</v>
      </c>
      <c r="C8050" s="676" t="s">
        <v>8048</v>
      </c>
      <c r="D8050" s="675"/>
      <c r="E8050" s="675"/>
      <c r="G8050" s="675"/>
      <c r="H8050" s="675"/>
      <c r="I8050" s="675"/>
      <c r="J8050" s="675"/>
      <c r="K8050" s="675"/>
      <c r="L8050" s="675"/>
      <c r="M8050" s="675"/>
    </row>
    <row r="8051" spans="1:13" x14ac:dyDescent="0.25">
      <c r="A8051" s="675" t="s">
        <v>8046</v>
      </c>
      <c r="B8051" s="675" t="s">
        <v>545</v>
      </c>
      <c r="C8051" s="676" t="s">
        <v>8049</v>
      </c>
      <c r="D8051" s="675"/>
      <c r="E8051" s="675"/>
      <c r="G8051" s="675"/>
      <c r="H8051" s="675"/>
      <c r="I8051" s="675"/>
      <c r="J8051" s="675"/>
      <c r="K8051" s="675"/>
      <c r="L8051" s="675"/>
      <c r="M8051" s="675"/>
    </row>
    <row r="8052" spans="1:13" x14ac:dyDescent="0.25">
      <c r="A8052" s="675" t="s">
        <v>8046</v>
      </c>
      <c r="B8052" s="675" t="s">
        <v>545</v>
      </c>
      <c r="C8052" s="676" t="s">
        <v>8050</v>
      </c>
      <c r="D8052" s="675"/>
      <c r="E8052" s="675"/>
      <c r="G8052" s="675"/>
      <c r="H8052" s="675"/>
      <c r="I8052" s="675"/>
      <c r="J8052" s="675"/>
      <c r="K8052" s="675"/>
      <c r="L8052" s="675"/>
      <c r="M8052" s="675"/>
    </row>
    <row r="8053" spans="1:13" x14ac:dyDescent="0.25">
      <c r="A8053" s="675" t="s">
        <v>8046</v>
      </c>
      <c r="B8053" s="675" t="s">
        <v>545</v>
      </c>
      <c r="C8053" s="676" t="s">
        <v>8051</v>
      </c>
      <c r="D8053" s="675"/>
      <c r="E8053" s="675"/>
      <c r="G8053" s="675"/>
      <c r="H8053" s="675"/>
      <c r="I8053" s="675"/>
      <c r="J8053" s="675"/>
      <c r="K8053" s="675"/>
      <c r="L8053" s="675"/>
      <c r="M8053" s="675"/>
    </row>
    <row r="8054" spans="1:13" x14ac:dyDescent="0.25">
      <c r="A8054" s="675" t="s">
        <v>8046</v>
      </c>
      <c r="B8054" s="675" t="s">
        <v>545</v>
      </c>
      <c r="C8054" s="676" t="s">
        <v>8052</v>
      </c>
      <c r="D8054" s="675"/>
      <c r="E8054" s="675"/>
      <c r="G8054" s="675"/>
      <c r="H8054" s="675"/>
      <c r="I8054" s="675"/>
      <c r="J8054" s="675"/>
      <c r="K8054" s="675"/>
      <c r="L8054" s="675"/>
      <c r="M8054" s="675"/>
    </row>
    <row r="8055" spans="1:13" x14ac:dyDescent="0.25">
      <c r="A8055" s="675" t="s">
        <v>8046</v>
      </c>
      <c r="B8055" s="675" t="s">
        <v>545</v>
      </c>
      <c r="C8055" s="676" t="s">
        <v>8053</v>
      </c>
      <c r="D8055" s="675"/>
      <c r="E8055" s="675"/>
      <c r="G8055" s="675"/>
      <c r="H8055" s="675"/>
      <c r="I8055" s="675"/>
      <c r="J8055" s="675"/>
      <c r="K8055" s="675"/>
      <c r="L8055" s="675"/>
      <c r="M8055" s="675"/>
    </row>
    <row r="8056" spans="1:13" x14ac:dyDescent="0.25">
      <c r="A8056" s="675" t="s">
        <v>8046</v>
      </c>
      <c r="B8056" s="675" t="s">
        <v>545</v>
      </c>
      <c r="C8056" s="676" t="s">
        <v>8054</v>
      </c>
      <c r="D8056" s="675"/>
      <c r="E8056" s="675"/>
      <c r="G8056" s="675"/>
      <c r="H8056" s="675"/>
      <c r="I8056" s="675"/>
      <c r="J8056" s="675"/>
      <c r="K8056" s="675"/>
      <c r="L8056" s="675"/>
      <c r="M8056" s="675"/>
    </row>
    <row r="8057" spans="1:13" x14ac:dyDescent="0.25">
      <c r="A8057" s="675" t="s">
        <v>8046</v>
      </c>
      <c r="B8057" s="675" t="s">
        <v>545</v>
      </c>
      <c r="C8057" s="676" t="s">
        <v>8055</v>
      </c>
      <c r="D8057" s="675"/>
      <c r="E8057" s="675"/>
      <c r="G8057" s="675"/>
      <c r="H8057" s="675"/>
      <c r="I8057" s="675"/>
      <c r="J8057" s="675"/>
      <c r="K8057" s="675"/>
      <c r="L8057" s="675"/>
      <c r="M8057" s="675"/>
    </row>
    <row r="8058" spans="1:13" x14ac:dyDescent="0.25">
      <c r="A8058" s="675" t="s">
        <v>8046</v>
      </c>
      <c r="B8058" s="675" t="s">
        <v>545</v>
      </c>
      <c r="C8058" s="676" t="s">
        <v>8056</v>
      </c>
      <c r="D8058" s="675"/>
      <c r="E8058" s="675"/>
      <c r="G8058" s="675"/>
      <c r="H8058" s="675"/>
      <c r="I8058" s="675"/>
      <c r="J8058" s="675"/>
      <c r="K8058" s="675"/>
      <c r="L8058" s="675"/>
      <c r="M8058" s="675"/>
    </row>
    <row r="8059" spans="1:13" x14ac:dyDescent="0.25">
      <c r="A8059" s="675" t="s">
        <v>8046</v>
      </c>
      <c r="B8059" s="675" t="s">
        <v>564</v>
      </c>
      <c r="C8059" s="676" t="s">
        <v>8057</v>
      </c>
      <c r="D8059" s="675"/>
      <c r="E8059" s="675"/>
      <c r="G8059" s="675"/>
      <c r="H8059" s="675"/>
      <c r="I8059" s="675"/>
      <c r="J8059" s="675"/>
      <c r="K8059" s="675"/>
      <c r="L8059" s="675"/>
      <c r="M8059" s="675"/>
    </row>
    <row r="8060" spans="1:13" x14ac:dyDescent="0.25">
      <c r="A8060" s="675" t="s">
        <v>8046</v>
      </c>
      <c r="B8060" s="675" t="s">
        <v>564</v>
      </c>
      <c r="C8060" s="676" t="s">
        <v>8058</v>
      </c>
      <c r="D8060" s="675"/>
      <c r="E8060" s="675"/>
      <c r="G8060" s="675"/>
      <c r="H8060" s="675"/>
      <c r="I8060" s="675"/>
      <c r="J8060" s="675"/>
      <c r="K8060" s="675"/>
      <c r="L8060" s="675"/>
      <c r="M8060" s="675"/>
    </row>
    <row r="8061" spans="1:13" x14ac:dyDescent="0.25">
      <c r="A8061" s="675" t="s">
        <v>8046</v>
      </c>
      <c r="B8061" s="675" t="s">
        <v>564</v>
      </c>
      <c r="C8061" s="676" t="s">
        <v>8059</v>
      </c>
      <c r="D8061" s="675"/>
      <c r="E8061" s="675"/>
      <c r="G8061" s="675"/>
      <c r="H8061" s="675"/>
      <c r="I8061" s="675"/>
      <c r="J8061" s="675"/>
      <c r="K8061" s="675"/>
      <c r="L8061" s="675"/>
      <c r="M8061" s="675"/>
    </row>
    <row r="8062" spans="1:13" x14ac:dyDescent="0.25">
      <c r="A8062" s="675" t="s">
        <v>8046</v>
      </c>
      <c r="B8062" s="675" t="s">
        <v>564</v>
      </c>
      <c r="C8062" s="676" t="s">
        <v>8060</v>
      </c>
      <c r="D8062" s="675"/>
      <c r="E8062" s="675"/>
      <c r="G8062" s="675"/>
      <c r="H8062" s="675"/>
      <c r="I8062" s="675"/>
      <c r="J8062" s="675"/>
      <c r="K8062" s="675"/>
      <c r="L8062" s="675"/>
      <c r="M8062" s="675"/>
    </row>
    <row r="8063" spans="1:13" x14ac:dyDescent="0.25">
      <c r="A8063" s="675" t="s">
        <v>8046</v>
      </c>
      <c r="B8063" s="675" t="s">
        <v>564</v>
      </c>
      <c r="C8063" s="676" t="s">
        <v>8061</v>
      </c>
      <c r="D8063" s="675"/>
      <c r="E8063" s="675"/>
      <c r="G8063" s="675"/>
      <c r="H8063" s="675"/>
      <c r="I8063" s="675"/>
      <c r="J8063" s="675"/>
      <c r="K8063" s="675"/>
      <c r="L8063" s="675"/>
      <c r="M8063" s="675"/>
    </row>
    <row r="8064" spans="1:13" x14ac:dyDescent="0.25">
      <c r="A8064" s="675" t="s">
        <v>8046</v>
      </c>
      <c r="B8064" s="675" t="s">
        <v>564</v>
      </c>
      <c r="C8064" s="676" t="s">
        <v>8062</v>
      </c>
      <c r="D8064" s="675"/>
      <c r="E8064" s="675"/>
      <c r="G8064" s="675"/>
      <c r="H8064" s="675"/>
      <c r="I8064" s="675"/>
      <c r="J8064" s="675"/>
      <c r="K8064" s="675"/>
      <c r="L8064" s="675"/>
      <c r="M8064" s="675"/>
    </row>
    <row r="8065" spans="1:13" x14ac:dyDescent="0.25">
      <c r="A8065" s="675" t="s">
        <v>8046</v>
      </c>
      <c r="B8065" s="675" t="s">
        <v>564</v>
      </c>
      <c r="C8065" s="676" t="s">
        <v>8063</v>
      </c>
      <c r="D8065" s="675"/>
      <c r="E8065" s="675"/>
      <c r="G8065" s="675"/>
      <c r="H8065" s="675"/>
      <c r="I8065" s="675"/>
      <c r="J8065" s="675"/>
      <c r="K8065" s="675"/>
      <c r="L8065" s="675"/>
      <c r="M8065" s="675"/>
    </row>
    <row r="8066" spans="1:13" x14ac:dyDescent="0.25">
      <c r="A8066" s="675" t="s">
        <v>8046</v>
      </c>
      <c r="B8066" s="675" t="s">
        <v>564</v>
      </c>
      <c r="C8066" s="676" t="s">
        <v>8064</v>
      </c>
      <c r="D8066" s="675"/>
      <c r="E8066" s="675"/>
      <c r="G8066" s="675"/>
      <c r="H8066" s="675"/>
      <c r="I8066" s="675"/>
      <c r="J8066" s="675"/>
      <c r="K8066" s="675"/>
      <c r="L8066" s="675"/>
      <c r="M8066" s="675"/>
    </row>
    <row r="8067" spans="1:13" x14ac:dyDescent="0.25">
      <c r="A8067" s="675" t="s">
        <v>8046</v>
      </c>
      <c r="B8067" s="675" t="s">
        <v>564</v>
      </c>
      <c r="C8067" s="676" t="s">
        <v>8065</v>
      </c>
      <c r="D8067" s="675"/>
      <c r="E8067" s="675"/>
      <c r="G8067" s="675"/>
      <c r="H8067" s="675"/>
      <c r="I8067" s="675"/>
      <c r="J8067" s="675"/>
      <c r="K8067" s="675"/>
      <c r="L8067" s="675"/>
      <c r="M8067" s="675"/>
    </row>
    <row r="8068" spans="1:13" x14ac:dyDescent="0.25">
      <c r="A8068" s="675" t="s">
        <v>8046</v>
      </c>
      <c r="B8068" s="675" t="s">
        <v>564</v>
      </c>
      <c r="C8068" s="676" t="s">
        <v>8066</v>
      </c>
      <c r="D8068" s="675"/>
      <c r="E8068" s="675"/>
      <c r="G8068" s="675"/>
      <c r="H8068" s="675"/>
      <c r="I8068" s="675"/>
      <c r="J8068" s="675"/>
      <c r="K8068" s="675"/>
      <c r="L8068" s="675"/>
      <c r="M8068" s="675"/>
    </row>
    <row r="8069" spans="1:13" x14ac:dyDescent="0.25">
      <c r="A8069" s="675" t="s">
        <v>8046</v>
      </c>
      <c r="B8069" s="675" t="s">
        <v>512</v>
      </c>
      <c r="C8069" s="676" t="s">
        <v>8067</v>
      </c>
      <c r="D8069" s="675"/>
      <c r="E8069" s="675"/>
      <c r="G8069" s="675"/>
      <c r="H8069" s="675"/>
      <c r="I8069" s="675"/>
      <c r="J8069" s="675"/>
      <c r="K8069" s="675"/>
      <c r="L8069" s="675"/>
      <c r="M8069" s="675"/>
    </row>
    <row r="8070" spans="1:13" x14ac:dyDescent="0.25">
      <c r="A8070" s="675" t="s">
        <v>8046</v>
      </c>
      <c r="B8070" s="675" t="s">
        <v>512</v>
      </c>
      <c r="C8070" s="676" t="s">
        <v>8068</v>
      </c>
      <c r="D8070" s="675"/>
      <c r="E8070" s="675"/>
      <c r="G8070" s="675"/>
      <c r="H8070" s="675"/>
      <c r="I8070" s="675"/>
      <c r="J8070" s="675"/>
      <c r="K8070" s="675"/>
      <c r="L8070" s="675"/>
      <c r="M8070" s="675"/>
    </row>
    <row r="8071" spans="1:13" x14ac:dyDescent="0.25">
      <c r="A8071" s="675" t="s">
        <v>8046</v>
      </c>
      <c r="B8071" s="675" t="s">
        <v>512</v>
      </c>
      <c r="C8071" s="676" t="s">
        <v>8069</v>
      </c>
      <c r="D8071" s="675"/>
      <c r="E8071" s="675"/>
      <c r="G8071" s="675"/>
      <c r="H8071" s="675"/>
      <c r="I8071" s="675"/>
      <c r="J8071" s="675"/>
      <c r="K8071" s="675"/>
      <c r="L8071" s="675"/>
      <c r="M8071" s="675"/>
    </row>
    <row r="8072" spans="1:13" x14ac:dyDescent="0.25">
      <c r="A8072" s="675" t="s">
        <v>8046</v>
      </c>
      <c r="B8072" s="675" t="s">
        <v>512</v>
      </c>
      <c r="C8072" s="676" t="s">
        <v>8070</v>
      </c>
      <c r="D8072" s="675"/>
      <c r="E8072" s="675"/>
      <c r="G8072" s="675"/>
      <c r="H8072" s="675"/>
      <c r="I8072" s="675"/>
      <c r="J8072" s="675"/>
      <c r="K8072" s="675"/>
      <c r="L8072" s="675"/>
      <c r="M8072" s="675"/>
    </row>
    <row r="8073" spans="1:13" x14ac:dyDescent="0.25">
      <c r="A8073" s="675" t="s">
        <v>8046</v>
      </c>
      <c r="B8073" s="675" t="s">
        <v>512</v>
      </c>
      <c r="C8073" s="676" t="s">
        <v>8071</v>
      </c>
      <c r="D8073" s="675"/>
      <c r="E8073" s="675"/>
      <c r="G8073" s="675"/>
      <c r="H8073" s="675"/>
      <c r="I8073" s="675"/>
      <c r="J8073" s="675"/>
      <c r="K8073" s="675"/>
      <c r="L8073" s="675"/>
      <c r="M8073" s="675"/>
    </row>
    <row r="8074" spans="1:13" x14ac:dyDescent="0.25">
      <c r="A8074" s="675" t="s">
        <v>8046</v>
      </c>
      <c r="B8074" s="675" t="s">
        <v>512</v>
      </c>
      <c r="C8074" s="676" t="s">
        <v>8072</v>
      </c>
      <c r="D8074" s="675"/>
      <c r="E8074" s="675"/>
      <c r="G8074" s="675"/>
      <c r="H8074" s="675"/>
      <c r="I8074" s="675"/>
      <c r="J8074" s="675"/>
      <c r="K8074" s="675"/>
      <c r="L8074" s="675"/>
      <c r="M8074" s="675"/>
    </row>
    <row r="8075" spans="1:13" x14ac:dyDescent="0.25">
      <c r="A8075" s="675" t="s">
        <v>8046</v>
      </c>
      <c r="B8075" s="675" t="s">
        <v>512</v>
      </c>
      <c r="C8075" s="676" t="s">
        <v>8073</v>
      </c>
      <c r="D8075" s="675"/>
      <c r="E8075" s="675"/>
      <c r="G8075" s="675"/>
      <c r="H8075" s="675"/>
      <c r="I8075" s="675"/>
      <c r="J8075" s="675"/>
      <c r="K8075" s="675"/>
      <c r="L8075" s="675"/>
      <c r="M8075" s="675"/>
    </row>
    <row r="8076" spans="1:13" x14ac:dyDescent="0.25">
      <c r="A8076" s="675" t="s">
        <v>8046</v>
      </c>
      <c r="B8076" s="675" t="s">
        <v>512</v>
      </c>
      <c r="C8076" s="676" t="s">
        <v>8074</v>
      </c>
      <c r="D8076" s="675"/>
      <c r="E8076" s="675"/>
      <c r="G8076" s="675"/>
      <c r="H8076" s="675"/>
      <c r="I8076" s="675"/>
      <c r="J8076" s="675"/>
      <c r="K8076" s="675"/>
      <c r="L8076" s="675"/>
      <c r="M8076" s="675"/>
    </row>
    <row r="8077" spans="1:13" x14ac:dyDescent="0.25">
      <c r="A8077" s="675" t="s">
        <v>8046</v>
      </c>
      <c r="B8077" s="675" t="s">
        <v>512</v>
      </c>
      <c r="C8077" s="676" t="s">
        <v>8075</v>
      </c>
      <c r="D8077" s="675"/>
      <c r="E8077" s="675"/>
      <c r="G8077" s="675"/>
      <c r="H8077" s="675"/>
      <c r="I8077" s="675"/>
      <c r="J8077" s="675"/>
      <c r="K8077" s="675"/>
      <c r="L8077" s="675"/>
      <c r="M8077" s="675"/>
    </row>
    <row r="8078" spans="1:13" x14ac:dyDescent="0.25">
      <c r="A8078" s="675" t="s">
        <v>8046</v>
      </c>
      <c r="B8078" s="675" t="s">
        <v>512</v>
      </c>
      <c r="C8078" s="676" t="s">
        <v>8076</v>
      </c>
      <c r="D8078" s="675"/>
      <c r="E8078" s="675"/>
      <c r="G8078" s="675"/>
      <c r="H8078" s="675"/>
      <c r="I8078" s="675"/>
      <c r="J8078" s="675"/>
      <c r="K8078" s="675"/>
      <c r="L8078" s="675"/>
      <c r="M8078" s="675"/>
    </row>
    <row r="8079" spans="1:13" x14ac:dyDescent="0.25">
      <c r="A8079" s="675" t="s">
        <v>8077</v>
      </c>
      <c r="B8079" s="675" t="s">
        <v>545</v>
      </c>
      <c r="C8079" s="676" t="s">
        <v>8078</v>
      </c>
      <c r="D8079" s="675"/>
      <c r="E8079" s="675"/>
      <c r="G8079" s="675"/>
      <c r="H8079" s="675"/>
      <c r="I8079" s="675"/>
      <c r="J8079" s="675"/>
      <c r="K8079" s="675"/>
      <c r="L8079" s="675"/>
      <c r="M8079" s="675"/>
    </row>
    <row r="8080" spans="1:13" x14ac:dyDescent="0.25">
      <c r="A8080" s="675" t="s">
        <v>8077</v>
      </c>
      <c r="B8080" s="675" t="s">
        <v>545</v>
      </c>
      <c r="C8080" s="676" t="s">
        <v>8079</v>
      </c>
      <c r="D8080" s="675"/>
      <c r="E8080" s="675"/>
      <c r="G8080" s="675"/>
      <c r="H8080" s="675"/>
      <c r="I8080" s="675"/>
      <c r="J8080" s="675"/>
      <c r="K8080" s="675"/>
      <c r="L8080" s="675"/>
      <c r="M8080" s="675"/>
    </row>
    <row r="8081" spans="1:13" x14ac:dyDescent="0.25">
      <c r="A8081" s="675" t="s">
        <v>8077</v>
      </c>
      <c r="B8081" s="675" t="s">
        <v>545</v>
      </c>
      <c r="C8081" s="676" t="s">
        <v>8080</v>
      </c>
      <c r="D8081" s="675"/>
      <c r="E8081" s="675"/>
      <c r="G8081" s="675"/>
      <c r="H8081" s="675"/>
      <c r="I8081" s="675"/>
      <c r="J8081" s="675"/>
      <c r="K8081" s="675"/>
      <c r="L8081" s="675"/>
      <c r="M8081" s="675"/>
    </row>
    <row r="8082" spans="1:13" x14ac:dyDescent="0.25">
      <c r="A8082" s="675" t="s">
        <v>8077</v>
      </c>
      <c r="B8082" s="675" t="s">
        <v>545</v>
      </c>
      <c r="C8082" s="676" t="s">
        <v>8081</v>
      </c>
      <c r="D8082" s="675"/>
      <c r="E8082" s="675"/>
      <c r="G8082" s="675"/>
      <c r="H8082" s="675"/>
      <c r="I8082" s="675"/>
      <c r="J8082" s="675"/>
      <c r="K8082" s="675"/>
      <c r="L8082" s="675"/>
      <c r="M8082" s="675"/>
    </row>
    <row r="8083" spans="1:13" x14ac:dyDescent="0.25">
      <c r="A8083" s="675" t="s">
        <v>8077</v>
      </c>
      <c r="B8083" s="675" t="s">
        <v>545</v>
      </c>
      <c r="C8083" s="676" t="s">
        <v>8082</v>
      </c>
      <c r="D8083" s="675"/>
      <c r="E8083" s="675"/>
      <c r="G8083" s="675"/>
      <c r="H8083" s="675"/>
      <c r="I8083" s="675"/>
      <c r="J8083" s="675"/>
      <c r="K8083" s="675"/>
      <c r="L8083" s="675"/>
      <c r="M8083" s="675"/>
    </row>
    <row r="8084" spans="1:13" x14ac:dyDescent="0.25">
      <c r="A8084" s="675" t="s">
        <v>8077</v>
      </c>
      <c r="B8084" s="675" t="s">
        <v>545</v>
      </c>
      <c r="C8084" s="676" t="s">
        <v>8083</v>
      </c>
      <c r="D8084" s="675"/>
      <c r="E8084" s="675"/>
      <c r="G8084" s="675"/>
      <c r="H8084" s="675"/>
      <c r="I8084" s="675"/>
      <c r="J8084" s="675"/>
      <c r="K8084" s="675"/>
      <c r="L8084" s="675"/>
      <c r="M8084" s="675"/>
    </row>
    <row r="8085" spans="1:13" x14ac:dyDescent="0.25">
      <c r="A8085" s="675" t="s">
        <v>8077</v>
      </c>
      <c r="B8085" s="675" t="s">
        <v>545</v>
      </c>
      <c r="C8085" s="676" t="s">
        <v>8084</v>
      </c>
      <c r="D8085" s="675"/>
      <c r="E8085" s="675"/>
      <c r="G8085" s="675"/>
      <c r="H8085" s="675"/>
      <c r="I8085" s="675"/>
      <c r="J8085" s="675"/>
      <c r="K8085" s="675"/>
      <c r="L8085" s="675"/>
      <c r="M8085" s="675"/>
    </row>
    <row r="8086" spans="1:13" x14ac:dyDescent="0.25">
      <c r="A8086" s="675" t="s">
        <v>8077</v>
      </c>
      <c r="B8086" s="675" t="s">
        <v>545</v>
      </c>
      <c r="C8086" s="676" t="s">
        <v>8085</v>
      </c>
      <c r="D8086" s="675"/>
      <c r="E8086" s="675"/>
      <c r="G8086" s="675"/>
      <c r="H8086" s="675"/>
      <c r="I8086" s="675"/>
      <c r="J8086" s="675"/>
      <c r="K8086" s="675"/>
      <c r="L8086" s="675"/>
      <c r="M8086" s="675"/>
    </row>
    <row r="8087" spans="1:13" x14ac:dyDescent="0.25">
      <c r="A8087" s="675" t="s">
        <v>8077</v>
      </c>
      <c r="B8087" s="675" t="s">
        <v>545</v>
      </c>
      <c r="C8087" s="676" t="s">
        <v>8086</v>
      </c>
      <c r="D8087" s="675"/>
      <c r="E8087" s="675"/>
      <c r="G8087" s="675"/>
      <c r="H8087" s="675"/>
      <c r="I8087" s="675"/>
      <c r="J8087" s="675"/>
      <c r="K8087" s="675"/>
      <c r="L8087" s="675"/>
      <c r="M8087" s="675"/>
    </row>
    <row r="8088" spans="1:13" x14ac:dyDescent="0.25">
      <c r="A8088" s="675" t="s">
        <v>8077</v>
      </c>
      <c r="B8088" s="675" t="s">
        <v>545</v>
      </c>
      <c r="C8088" s="676" t="s">
        <v>8087</v>
      </c>
      <c r="D8088" s="675"/>
      <c r="E8088" s="675"/>
      <c r="G8088" s="675"/>
      <c r="H8088" s="675"/>
      <c r="I8088" s="675"/>
      <c r="J8088" s="675"/>
      <c r="K8088" s="675"/>
      <c r="L8088" s="675"/>
      <c r="M8088" s="675"/>
    </row>
    <row r="8089" spans="1:13" x14ac:dyDescent="0.25">
      <c r="A8089" s="675" t="s">
        <v>8077</v>
      </c>
      <c r="B8089" s="675" t="s">
        <v>564</v>
      </c>
      <c r="C8089" s="676" t="s">
        <v>8088</v>
      </c>
      <c r="D8089" s="675"/>
      <c r="E8089" s="675"/>
      <c r="G8089" s="675"/>
      <c r="H8089" s="675"/>
      <c r="I8089" s="675"/>
      <c r="J8089" s="675"/>
      <c r="K8089" s="675"/>
      <c r="L8089" s="675"/>
      <c r="M8089" s="675"/>
    </row>
    <row r="8090" spans="1:13" x14ac:dyDescent="0.25">
      <c r="A8090" s="675" t="s">
        <v>8077</v>
      </c>
      <c r="B8090" s="675" t="s">
        <v>564</v>
      </c>
      <c r="C8090" s="676" t="s">
        <v>8089</v>
      </c>
      <c r="D8090" s="675"/>
      <c r="E8090" s="675"/>
      <c r="G8090" s="675"/>
      <c r="H8090" s="675"/>
      <c r="I8090" s="675"/>
      <c r="J8090" s="675"/>
      <c r="K8090" s="675"/>
      <c r="L8090" s="675"/>
      <c r="M8090" s="675"/>
    </row>
    <row r="8091" spans="1:13" x14ac:dyDescent="0.25">
      <c r="A8091" s="675" t="s">
        <v>8077</v>
      </c>
      <c r="B8091" s="675" t="s">
        <v>564</v>
      </c>
      <c r="C8091" s="676" t="s">
        <v>8090</v>
      </c>
      <c r="D8091" s="675"/>
      <c r="E8091" s="675"/>
      <c r="G8091" s="675"/>
      <c r="H8091" s="675"/>
      <c r="I8091" s="675"/>
      <c r="J8091" s="675"/>
      <c r="K8091" s="675"/>
      <c r="L8091" s="675"/>
      <c r="M8091" s="675"/>
    </row>
    <row r="8092" spans="1:13" x14ac:dyDescent="0.25">
      <c r="A8092" s="675" t="s">
        <v>8077</v>
      </c>
      <c r="B8092" s="675" t="s">
        <v>564</v>
      </c>
      <c r="C8092" s="676" t="s">
        <v>8091</v>
      </c>
      <c r="D8092" s="675"/>
      <c r="E8092" s="675"/>
      <c r="G8092" s="675"/>
      <c r="H8092" s="675"/>
      <c r="I8092" s="675"/>
      <c r="J8092" s="675"/>
      <c r="K8092" s="675"/>
      <c r="L8092" s="675"/>
      <c r="M8092" s="675"/>
    </row>
    <row r="8093" spans="1:13" x14ac:dyDescent="0.25">
      <c r="A8093" s="675" t="s">
        <v>8077</v>
      </c>
      <c r="B8093" s="675" t="s">
        <v>564</v>
      </c>
      <c r="C8093" s="676" t="s">
        <v>8092</v>
      </c>
      <c r="D8093" s="675"/>
      <c r="E8093" s="675"/>
      <c r="G8093" s="675"/>
      <c r="H8093" s="675"/>
      <c r="I8093" s="675"/>
      <c r="J8093" s="675"/>
      <c r="K8093" s="675"/>
      <c r="L8093" s="675"/>
      <c r="M8093" s="675"/>
    </row>
    <row r="8094" spans="1:13" x14ac:dyDescent="0.25">
      <c r="A8094" s="675" t="s">
        <v>8077</v>
      </c>
      <c r="B8094" s="675" t="s">
        <v>564</v>
      </c>
      <c r="C8094" s="676" t="s">
        <v>8093</v>
      </c>
      <c r="D8094" s="675"/>
      <c r="E8094" s="675"/>
      <c r="G8094" s="675"/>
      <c r="H8094" s="675"/>
      <c r="I8094" s="675"/>
      <c r="J8094" s="675"/>
      <c r="K8094" s="675"/>
      <c r="L8094" s="675"/>
      <c r="M8094" s="675"/>
    </row>
    <row r="8095" spans="1:13" x14ac:dyDescent="0.25">
      <c r="A8095" s="675" t="s">
        <v>8077</v>
      </c>
      <c r="B8095" s="675" t="s">
        <v>564</v>
      </c>
      <c r="C8095" s="676" t="s">
        <v>8094</v>
      </c>
      <c r="D8095" s="675"/>
      <c r="E8095" s="675"/>
      <c r="G8095" s="675"/>
      <c r="H8095" s="675"/>
      <c r="I8095" s="675"/>
      <c r="J8095" s="675"/>
      <c r="K8095" s="675"/>
      <c r="L8095" s="675"/>
      <c r="M8095" s="675"/>
    </row>
    <row r="8096" spans="1:13" x14ac:dyDescent="0.25">
      <c r="A8096" s="675" t="s">
        <v>8077</v>
      </c>
      <c r="B8096" s="675" t="s">
        <v>564</v>
      </c>
      <c r="C8096" s="676" t="s">
        <v>8095</v>
      </c>
      <c r="D8096" s="675"/>
      <c r="E8096" s="675"/>
      <c r="G8096" s="675"/>
      <c r="H8096" s="675"/>
      <c r="I8096" s="675"/>
      <c r="J8096" s="675"/>
      <c r="K8096" s="675"/>
      <c r="L8096" s="675"/>
      <c r="M8096" s="675"/>
    </row>
    <row r="8097" spans="1:13" x14ac:dyDescent="0.25">
      <c r="A8097" s="675" t="s">
        <v>8077</v>
      </c>
      <c r="B8097" s="675" t="s">
        <v>564</v>
      </c>
      <c r="C8097" s="676" t="s">
        <v>8096</v>
      </c>
      <c r="D8097" s="675"/>
      <c r="E8097" s="675"/>
      <c r="G8097" s="675"/>
      <c r="H8097" s="675"/>
      <c r="I8097" s="675"/>
      <c r="J8097" s="675"/>
      <c r="K8097" s="675"/>
      <c r="L8097" s="675"/>
      <c r="M8097" s="675"/>
    </row>
    <row r="8098" spans="1:13" x14ac:dyDescent="0.25">
      <c r="A8098" s="675" t="s">
        <v>8077</v>
      </c>
      <c r="B8098" s="675" t="s">
        <v>564</v>
      </c>
      <c r="C8098" s="676" t="s">
        <v>8097</v>
      </c>
      <c r="D8098" s="675"/>
      <c r="E8098" s="675"/>
      <c r="G8098" s="675"/>
      <c r="H8098" s="675"/>
      <c r="I8098" s="675"/>
      <c r="J8098" s="675"/>
      <c r="K8098" s="675"/>
      <c r="L8098" s="675"/>
      <c r="M8098" s="675"/>
    </row>
    <row r="8099" spans="1:13" x14ac:dyDescent="0.25">
      <c r="A8099" s="675" t="s">
        <v>8077</v>
      </c>
      <c r="B8099" s="675" t="s">
        <v>512</v>
      </c>
      <c r="C8099" s="676" t="s">
        <v>8098</v>
      </c>
      <c r="D8099" s="675"/>
      <c r="E8099" s="675"/>
      <c r="G8099" s="675"/>
      <c r="H8099" s="675"/>
      <c r="I8099" s="675"/>
      <c r="J8099" s="675"/>
      <c r="K8099" s="675"/>
      <c r="L8099" s="675"/>
      <c r="M8099" s="675"/>
    </row>
    <row r="8100" spans="1:13" x14ac:dyDescent="0.25">
      <c r="A8100" s="675" t="s">
        <v>8077</v>
      </c>
      <c r="B8100" s="675" t="s">
        <v>512</v>
      </c>
      <c r="C8100" s="676" t="s">
        <v>8099</v>
      </c>
      <c r="D8100" s="675"/>
      <c r="E8100" s="675"/>
      <c r="G8100" s="675"/>
      <c r="H8100" s="675"/>
      <c r="I8100" s="675"/>
      <c r="J8100" s="675"/>
      <c r="K8100" s="675"/>
      <c r="L8100" s="675"/>
      <c r="M8100" s="675"/>
    </row>
    <row r="8101" spans="1:13" x14ac:dyDescent="0.25">
      <c r="A8101" s="675" t="s">
        <v>8077</v>
      </c>
      <c r="B8101" s="675" t="s">
        <v>512</v>
      </c>
      <c r="C8101" s="676" t="s">
        <v>8100</v>
      </c>
      <c r="D8101" s="675"/>
      <c r="E8101" s="675"/>
      <c r="G8101" s="675"/>
      <c r="H8101" s="675"/>
      <c r="I8101" s="675"/>
      <c r="J8101" s="675"/>
      <c r="K8101" s="675"/>
      <c r="L8101" s="675"/>
      <c r="M8101" s="675"/>
    </row>
    <row r="8102" spans="1:13" x14ac:dyDescent="0.25">
      <c r="A8102" s="675" t="s">
        <v>8077</v>
      </c>
      <c r="B8102" s="675" t="s">
        <v>512</v>
      </c>
      <c r="C8102" s="676" t="s">
        <v>8101</v>
      </c>
      <c r="D8102" s="675"/>
      <c r="E8102" s="675"/>
      <c r="G8102" s="675"/>
      <c r="H8102" s="675"/>
      <c r="I8102" s="675"/>
      <c r="J8102" s="675"/>
      <c r="K8102" s="675"/>
      <c r="L8102" s="675"/>
      <c r="M8102" s="675"/>
    </row>
    <row r="8103" spans="1:13" x14ac:dyDescent="0.25">
      <c r="A8103" s="675" t="s">
        <v>8077</v>
      </c>
      <c r="B8103" s="675" t="s">
        <v>512</v>
      </c>
      <c r="C8103" s="676" t="s">
        <v>8102</v>
      </c>
      <c r="D8103" s="675"/>
      <c r="E8103" s="675"/>
      <c r="G8103" s="675"/>
      <c r="H8103" s="675"/>
      <c r="I8103" s="675"/>
      <c r="J8103" s="675"/>
      <c r="K8103" s="675"/>
      <c r="L8103" s="675"/>
      <c r="M8103" s="675"/>
    </row>
    <row r="8104" spans="1:13" x14ac:dyDescent="0.25">
      <c r="A8104" s="675" t="s">
        <v>8077</v>
      </c>
      <c r="B8104" s="675" t="s">
        <v>512</v>
      </c>
      <c r="C8104" s="676" t="s">
        <v>8103</v>
      </c>
      <c r="D8104" s="675"/>
      <c r="E8104" s="675"/>
      <c r="G8104" s="675"/>
      <c r="H8104" s="675"/>
      <c r="I8104" s="675"/>
      <c r="J8104" s="675"/>
      <c r="K8104" s="675"/>
      <c r="L8104" s="675"/>
      <c r="M8104" s="675"/>
    </row>
    <row r="8105" spans="1:13" x14ac:dyDescent="0.25">
      <c r="A8105" s="675" t="s">
        <v>8077</v>
      </c>
      <c r="B8105" s="675" t="s">
        <v>512</v>
      </c>
      <c r="C8105" s="676" t="s">
        <v>8104</v>
      </c>
      <c r="D8105" s="675"/>
      <c r="E8105" s="675"/>
      <c r="G8105" s="675"/>
      <c r="H8105" s="675"/>
      <c r="I8105" s="675"/>
      <c r="J8105" s="675"/>
      <c r="K8105" s="675"/>
      <c r="L8105" s="675"/>
      <c r="M8105" s="675"/>
    </row>
    <row r="8106" spans="1:13" x14ac:dyDescent="0.25">
      <c r="A8106" s="675" t="s">
        <v>8077</v>
      </c>
      <c r="B8106" s="675" t="s">
        <v>512</v>
      </c>
      <c r="C8106" s="676" t="s">
        <v>8105</v>
      </c>
      <c r="D8106" s="675"/>
      <c r="E8106" s="675"/>
      <c r="G8106" s="675"/>
      <c r="H8106" s="675"/>
      <c r="I8106" s="675"/>
      <c r="J8106" s="675"/>
      <c r="K8106" s="675"/>
      <c r="L8106" s="675"/>
      <c r="M8106" s="675"/>
    </row>
    <row r="8107" spans="1:13" x14ac:dyDescent="0.25">
      <c r="A8107" s="675" t="s">
        <v>8077</v>
      </c>
      <c r="B8107" s="675" t="s">
        <v>512</v>
      </c>
      <c r="C8107" s="676" t="s">
        <v>8106</v>
      </c>
      <c r="D8107" s="675"/>
      <c r="E8107" s="675"/>
      <c r="G8107" s="675"/>
      <c r="H8107" s="675"/>
      <c r="I8107" s="675"/>
      <c r="J8107" s="675"/>
      <c r="K8107" s="675"/>
      <c r="L8107" s="675"/>
      <c r="M8107" s="675"/>
    </row>
    <row r="8108" spans="1:13" x14ac:dyDescent="0.25">
      <c r="A8108" s="675" t="s">
        <v>8077</v>
      </c>
      <c r="B8108" s="675" t="s">
        <v>512</v>
      </c>
      <c r="C8108" s="676" t="s">
        <v>8107</v>
      </c>
      <c r="D8108" s="675"/>
      <c r="E8108" s="675"/>
      <c r="G8108" s="675"/>
      <c r="H8108" s="675"/>
      <c r="I8108" s="675"/>
      <c r="J8108" s="675"/>
      <c r="K8108" s="675"/>
      <c r="L8108" s="675"/>
      <c r="M8108" s="675"/>
    </row>
    <row r="8109" spans="1:13" x14ac:dyDescent="0.25">
      <c r="A8109" s="675" t="s">
        <v>8108</v>
      </c>
      <c r="B8109" s="675" t="s">
        <v>545</v>
      </c>
      <c r="C8109" s="676" t="s">
        <v>8109</v>
      </c>
      <c r="D8109" s="675"/>
      <c r="E8109" s="675"/>
      <c r="G8109" s="675"/>
      <c r="H8109" s="675"/>
      <c r="I8109" s="675"/>
      <c r="J8109" s="675"/>
      <c r="K8109" s="675"/>
      <c r="L8109" s="675"/>
      <c r="M8109" s="675"/>
    </row>
    <row r="8110" spans="1:13" x14ac:dyDescent="0.25">
      <c r="A8110" s="675" t="s">
        <v>8108</v>
      </c>
      <c r="B8110" s="675" t="s">
        <v>545</v>
      </c>
      <c r="C8110" s="676" t="s">
        <v>8110</v>
      </c>
      <c r="D8110" s="675"/>
      <c r="E8110" s="675"/>
      <c r="G8110" s="675"/>
      <c r="H8110" s="675"/>
      <c r="I8110" s="675"/>
      <c r="J8110" s="675"/>
      <c r="K8110" s="675"/>
      <c r="L8110" s="675"/>
      <c r="M8110" s="675"/>
    </row>
    <row r="8111" spans="1:13" x14ac:dyDescent="0.25">
      <c r="A8111" s="675" t="s">
        <v>8108</v>
      </c>
      <c r="B8111" s="675" t="s">
        <v>545</v>
      </c>
      <c r="C8111" s="676" t="s">
        <v>8111</v>
      </c>
      <c r="D8111" s="675"/>
      <c r="E8111" s="675"/>
      <c r="G8111" s="675"/>
      <c r="H8111" s="675"/>
      <c r="I8111" s="675"/>
      <c r="J8111" s="675"/>
      <c r="K8111" s="675"/>
      <c r="L8111" s="675"/>
      <c r="M8111" s="675"/>
    </row>
    <row r="8112" spans="1:13" x14ac:dyDescent="0.25">
      <c r="A8112" s="675" t="s">
        <v>8108</v>
      </c>
      <c r="B8112" s="675" t="s">
        <v>545</v>
      </c>
      <c r="C8112" s="676" t="s">
        <v>8112</v>
      </c>
      <c r="D8112" s="675"/>
      <c r="E8112" s="675"/>
      <c r="G8112" s="675"/>
      <c r="H8112" s="675"/>
      <c r="I8112" s="675"/>
      <c r="J8112" s="675"/>
      <c r="K8112" s="675"/>
      <c r="L8112" s="675"/>
      <c r="M8112" s="675"/>
    </row>
    <row r="8113" spans="1:13" x14ac:dyDescent="0.25">
      <c r="A8113" s="675" t="s">
        <v>8108</v>
      </c>
      <c r="B8113" s="675" t="s">
        <v>545</v>
      </c>
      <c r="C8113" s="676" t="s">
        <v>8113</v>
      </c>
      <c r="D8113" s="675"/>
      <c r="E8113" s="675"/>
      <c r="G8113" s="675"/>
      <c r="H8113" s="675"/>
      <c r="I8113" s="675"/>
      <c r="J8113" s="675"/>
      <c r="K8113" s="675"/>
      <c r="L8113" s="675"/>
      <c r="M8113" s="675"/>
    </row>
    <row r="8114" spans="1:13" x14ac:dyDescent="0.25">
      <c r="A8114" s="675" t="s">
        <v>8108</v>
      </c>
      <c r="B8114" s="675" t="s">
        <v>545</v>
      </c>
      <c r="C8114" s="676" t="s">
        <v>8114</v>
      </c>
      <c r="D8114" s="675"/>
      <c r="E8114" s="675"/>
      <c r="G8114" s="675"/>
      <c r="H8114" s="675"/>
      <c r="I8114" s="675"/>
      <c r="J8114" s="675"/>
      <c r="K8114" s="675"/>
      <c r="L8114" s="675"/>
      <c r="M8114" s="675"/>
    </row>
    <row r="8115" spans="1:13" x14ac:dyDescent="0.25">
      <c r="A8115" s="675" t="s">
        <v>8108</v>
      </c>
      <c r="B8115" s="675" t="s">
        <v>545</v>
      </c>
      <c r="C8115" s="676" t="s">
        <v>8115</v>
      </c>
      <c r="D8115" s="675"/>
      <c r="E8115" s="675"/>
      <c r="G8115" s="675"/>
      <c r="H8115" s="675"/>
      <c r="I8115" s="675"/>
      <c r="J8115" s="675"/>
      <c r="K8115" s="675"/>
      <c r="L8115" s="675"/>
      <c r="M8115" s="675"/>
    </row>
    <row r="8116" spans="1:13" x14ac:dyDescent="0.25">
      <c r="A8116" s="675" t="s">
        <v>8108</v>
      </c>
      <c r="B8116" s="675" t="s">
        <v>545</v>
      </c>
      <c r="C8116" s="676" t="s">
        <v>8116</v>
      </c>
      <c r="D8116" s="675"/>
      <c r="E8116" s="675"/>
      <c r="G8116" s="675"/>
      <c r="H8116" s="675"/>
      <c r="I8116" s="675"/>
      <c r="J8116" s="675"/>
      <c r="K8116" s="675"/>
      <c r="L8116" s="675"/>
      <c r="M8116" s="675"/>
    </row>
    <row r="8117" spans="1:13" x14ac:dyDescent="0.25">
      <c r="A8117" s="675" t="s">
        <v>8108</v>
      </c>
      <c r="B8117" s="675" t="s">
        <v>545</v>
      </c>
      <c r="C8117" s="676" t="s">
        <v>8117</v>
      </c>
      <c r="D8117" s="675"/>
      <c r="E8117" s="675"/>
      <c r="G8117" s="675"/>
      <c r="H8117" s="675"/>
      <c r="I8117" s="675"/>
      <c r="J8117" s="675"/>
      <c r="K8117" s="675"/>
      <c r="L8117" s="675"/>
      <c r="M8117" s="675"/>
    </row>
    <row r="8118" spans="1:13" x14ac:dyDescent="0.25">
      <c r="A8118" s="675" t="s">
        <v>8108</v>
      </c>
      <c r="B8118" s="675" t="s">
        <v>545</v>
      </c>
      <c r="C8118" s="676" t="s">
        <v>8118</v>
      </c>
      <c r="D8118" s="675"/>
      <c r="E8118" s="675"/>
      <c r="G8118" s="675"/>
      <c r="H8118" s="675"/>
      <c r="I8118" s="675"/>
      <c r="J8118" s="675"/>
      <c r="K8118" s="675"/>
      <c r="L8118" s="675"/>
      <c r="M8118" s="675"/>
    </row>
    <row r="8119" spans="1:13" x14ac:dyDescent="0.25">
      <c r="A8119" s="675" t="s">
        <v>8108</v>
      </c>
      <c r="B8119" s="675" t="s">
        <v>564</v>
      </c>
      <c r="C8119" s="676" t="s">
        <v>8119</v>
      </c>
      <c r="D8119" s="675"/>
      <c r="E8119" s="675"/>
      <c r="G8119" s="675"/>
      <c r="H8119" s="675"/>
      <c r="I8119" s="675"/>
      <c r="J8119" s="675"/>
      <c r="K8119" s="675"/>
      <c r="L8119" s="675"/>
      <c r="M8119" s="675"/>
    </row>
    <row r="8120" spans="1:13" x14ac:dyDescent="0.25">
      <c r="A8120" s="675" t="s">
        <v>8108</v>
      </c>
      <c r="B8120" s="675" t="s">
        <v>564</v>
      </c>
      <c r="C8120" s="676" t="s">
        <v>8120</v>
      </c>
      <c r="D8120" s="675"/>
      <c r="E8120" s="675"/>
      <c r="G8120" s="675"/>
      <c r="H8120" s="675"/>
      <c r="I8120" s="675"/>
      <c r="J8120" s="675"/>
      <c r="K8120" s="675"/>
      <c r="L8120" s="675"/>
      <c r="M8120" s="675"/>
    </row>
    <row r="8121" spans="1:13" x14ac:dyDescent="0.25">
      <c r="A8121" s="675" t="s">
        <v>8108</v>
      </c>
      <c r="B8121" s="675" t="s">
        <v>564</v>
      </c>
      <c r="C8121" s="676" t="s">
        <v>8121</v>
      </c>
      <c r="D8121" s="675"/>
      <c r="E8121" s="675"/>
      <c r="G8121" s="675"/>
      <c r="H8121" s="675"/>
      <c r="I8121" s="675"/>
      <c r="J8121" s="675"/>
      <c r="K8121" s="675"/>
      <c r="L8121" s="675"/>
      <c r="M8121" s="675"/>
    </row>
    <row r="8122" spans="1:13" x14ac:dyDescent="0.25">
      <c r="A8122" s="675" t="s">
        <v>8108</v>
      </c>
      <c r="B8122" s="675" t="s">
        <v>564</v>
      </c>
      <c r="C8122" s="676" t="s">
        <v>8122</v>
      </c>
      <c r="D8122" s="675"/>
      <c r="E8122" s="675"/>
      <c r="G8122" s="675"/>
      <c r="H8122" s="675"/>
      <c r="I8122" s="675"/>
      <c r="J8122" s="675"/>
      <c r="K8122" s="675"/>
      <c r="L8122" s="675"/>
      <c r="M8122" s="675"/>
    </row>
    <row r="8123" spans="1:13" x14ac:dyDescent="0.25">
      <c r="A8123" s="675" t="s">
        <v>8108</v>
      </c>
      <c r="B8123" s="675" t="s">
        <v>564</v>
      </c>
      <c r="C8123" s="676" t="s">
        <v>8123</v>
      </c>
      <c r="D8123" s="675"/>
      <c r="E8123" s="675"/>
      <c r="G8123" s="675"/>
      <c r="H8123" s="675"/>
      <c r="I8123" s="675"/>
      <c r="J8123" s="675"/>
      <c r="K8123" s="675"/>
      <c r="L8123" s="675"/>
      <c r="M8123" s="675"/>
    </row>
    <row r="8124" spans="1:13" x14ac:dyDescent="0.25">
      <c r="A8124" s="675" t="s">
        <v>8108</v>
      </c>
      <c r="B8124" s="675" t="s">
        <v>564</v>
      </c>
      <c r="C8124" s="676" t="s">
        <v>8124</v>
      </c>
      <c r="D8124" s="675"/>
      <c r="E8124" s="675"/>
      <c r="G8124" s="675"/>
      <c r="H8124" s="675"/>
      <c r="I8124" s="675"/>
      <c r="J8124" s="675"/>
      <c r="K8124" s="675"/>
      <c r="L8124" s="675"/>
      <c r="M8124" s="675"/>
    </row>
    <row r="8125" spans="1:13" x14ac:dyDescent="0.25">
      <c r="A8125" s="675" t="s">
        <v>8108</v>
      </c>
      <c r="B8125" s="675" t="s">
        <v>564</v>
      </c>
      <c r="C8125" s="676" t="s">
        <v>8125</v>
      </c>
      <c r="D8125" s="675"/>
      <c r="E8125" s="675"/>
      <c r="G8125" s="675"/>
      <c r="H8125" s="675"/>
      <c r="I8125" s="675"/>
      <c r="J8125" s="675"/>
      <c r="K8125" s="675"/>
      <c r="L8125" s="675"/>
      <c r="M8125" s="675"/>
    </row>
    <row r="8126" spans="1:13" x14ac:dyDescent="0.25">
      <c r="A8126" s="675" t="s">
        <v>8108</v>
      </c>
      <c r="B8126" s="675" t="s">
        <v>564</v>
      </c>
      <c r="C8126" s="676" t="s">
        <v>8126</v>
      </c>
      <c r="D8126" s="675"/>
      <c r="E8126" s="675"/>
      <c r="G8126" s="675"/>
      <c r="H8126" s="675"/>
      <c r="I8126" s="675"/>
      <c r="J8126" s="675"/>
      <c r="K8126" s="675"/>
      <c r="L8126" s="675"/>
      <c r="M8126" s="675"/>
    </row>
    <row r="8127" spans="1:13" x14ac:dyDescent="0.25">
      <c r="A8127" s="675" t="s">
        <v>8108</v>
      </c>
      <c r="B8127" s="675" t="s">
        <v>564</v>
      </c>
      <c r="C8127" s="676" t="s">
        <v>8127</v>
      </c>
      <c r="D8127" s="675"/>
      <c r="E8127" s="675"/>
      <c r="G8127" s="675"/>
      <c r="H8127" s="675"/>
      <c r="I8127" s="675"/>
      <c r="J8127" s="675"/>
      <c r="K8127" s="675"/>
      <c r="L8127" s="675"/>
      <c r="M8127" s="675"/>
    </row>
    <row r="8128" spans="1:13" x14ac:dyDescent="0.25">
      <c r="A8128" s="675" t="s">
        <v>8108</v>
      </c>
      <c r="B8128" s="675" t="s">
        <v>564</v>
      </c>
      <c r="C8128" s="676" t="s">
        <v>8128</v>
      </c>
      <c r="D8128" s="675"/>
      <c r="E8128" s="675"/>
      <c r="G8128" s="675"/>
      <c r="H8128" s="675"/>
      <c r="I8128" s="675"/>
      <c r="J8128" s="675"/>
      <c r="K8128" s="675"/>
      <c r="L8128" s="675"/>
      <c r="M8128" s="675"/>
    </row>
    <row r="8129" spans="1:13" x14ac:dyDescent="0.25">
      <c r="A8129" s="675" t="s">
        <v>8108</v>
      </c>
      <c r="B8129" s="675" t="s">
        <v>512</v>
      </c>
      <c r="C8129" s="676" t="s">
        <v>8129</v>
      </c>
      <c r="D8129" s="675"/>
      <c r="E8129" s="675"/>
      <c r="G8129" s="675"/>
      <c r="H8129" s="675"/>
      <c r="I8129" s="675"/>
      <c r="J8129" s="675"/>
      <c r="K8129" s="675"/>
      <c r="L8129" s="675"/>
      <c r="M8129" s="675"/>
    </row>
    <row r="8130" spans="1:13" x14ac:dyDescent="0.25">
      <c r="A8130" s="675" t="s">
        <v>8108</v>
      </c>
      <c r="B8130" s="675" t="s">
        <v>512</v>
      </c>
      <c r="C8130" s="676" t="s">
        <v>8130</v>
      </c>
      <c r="D8130" s="675"/>
      <c r="E8130" s="675"/>
      <c r="G8130" s="675"/>
      <c r="H8130" s="675"/>
      <c r="I8130" s="675"/>
      <c r="J8130" s="675"/>
      <c r="K8130" s="675"/>
      <c r="L8130" s="675"/>
      <c r="M8130" s="675"/>
    </row>
    <row r="8131" spans="1:13" x14ac:dyDescent="0.25">
      <c r="A8131" s="675" t="s">
        <v>8108</v>
      </c>
      <c r="B8131" s="675" t="s">
        <v>512</v>
      </c>
      <c r="C8131" s="676" t="s">
        <v>8131</v>
      </c>
      <c r="D8131" s="675"/>
      <c r="E8131" s="675"/>
      <c r="G8131" s="675"/>
      <c r="H8131" s="675"/>
      <c r="I8131" s="675"/>
      <c r="J8131" s="675"/>
      <c r="K8131" s="675"/>
      <c r="L8131" s="675"/>
      <c r="M8131" s="675"/>
    </row>
    <row r="8132" spans="1:13" x14ac:dyDescent="0.25">
      <c r="A8132" s="675" t="s">
        <v>8108</v>
      </c>
      <c r="B8132" s="675" t="s">
        <v>512</v>
      </c>
      <c r="C8132" s="676" t="s">
        <v>8132</v>
      </c>
      <c r="D8132" s="675"/>
      <c r="E8132" s="675"/>
      <c r="G8132" s="675"/>
      <c r="H8132" s="675"/>
      <c r="I8132" s="675"/>
      <c r="J8132" s="675"/>
      <c r="K8132" s="675"/>
      <c r="L8132" s="675"/>
      <c r="M8132" s="675"/>
    </row>
    <row r="8133" spans="1:13" x14ac:dyDescent="0.25">
      <c r="A8133" s="675" t="s">
        <v>8108</v>
      </c>
      <c r="B8133" s="675" t="s">
        <v>512</v>
      </c>
      <c r="C8133" s="676" t="s">
        <v>8133</v>
      </c>
      <c r="D8133" s="675"/>
      <c r="E8133" s="675"/>
      <c r="G8133" s="675"/>
      <c r="H8133" s="675"/>
      <c r="I8133" s="675"/>
      <c r="J8133" s="675"/>
      <c r="K8133" s="675"/>
      <c r="L8133" s="675"/>
      <c r="M8133" s="675"/>
    </row>
    <row r="8134" spans="1:13" x14ac:dyDescent="0.25">
      <c r="A8134" s="675" t="s">
        <v>8108</v>
      </c>
      <c r="B8134" s="675" t="s">
        <v>512</v>
      </c>
      <c r="C8134" s="676" t="s">
        <v>8134</v>
      </c>
      <c r="D8134" s="675"/>
      <c r="E8134" s="675"/>
      <c r="G8134" s="675"/>
      <c r="H8134" s="675"/>
      <c r="I8134" s="675"/>
      <c r="J8134" s="675"/>
      <c r="K8134" s="675"/>
      <c r="L8134" s="675"/>
      <c r="M8134" s="675"/>
    </row>
    <row r="8135" spans="1:13" x14ac:dyDescent="0.25">
      <c r="A8135" s="675" t="s">
        <v>8108</v>
      </c>
      <c r="B8135" s="675" t="s">
        <v>512</v>
      </c>
      <c r="C8135" s="676" t="s">
        <v>8135</v>
      </c>
      <c r="D8135" s="675"/>
      <c r="E8135" s="675"/>
      <c r="G8135" s="675"/>
      <c r="H8135" s="675"/>
      <c r="I8135" s="675"/>
      <c r="J8135" s="675"/>
      <c r="K8135" s="675"/>
      <c r="L8135" s="675"/>
      <c r="M8135" s="675"/>
    </row>
    <row r="8136" spans="1:13" x14ac:dyDescent="0.25">
      <c r="A8136" s="675" t="s">
        <v>8108</v>
      </c>
      <c r="B8136" s="675" t="s">
        <v>512</v>
      </c>
      <c r="C8136" s="676" t="s">
        <v>8136</v>
      </c>
      <c r="D8136" s="675"/>
      <c r="E8136" s="675"/>
      <c r="G8136" s="675"/>
      <c r="H8136" s="675"/>
      <c r="I8136" s="675"/>
      <c r="J8136" s="675"/>
      <c r="K8136" s="675"/>
      <c r="L8136" s="675"/>
      <c r="M8136" s="675"/>
    </row>
    <row r="8137" spans="1:13" x14ac:dyDescent="0.25">
      <c r="A8137" s="675" t="s">
        <v>8108</v>
      </c>
      <c r="B8137" s="675" t="s">
        <v>512</v>
      </c>
      <c r="C8137" s="676" t="s">
        <v>8137</v>
      </c>
      <c r="D8137" s="675"/>
      <c r="E8137" s="675"/>
      <c r="G8137" s="675"/>
      <c r="H8137" s="675"/>
      <c r="I8137" s="675"/>
      <c r="J8137" s="675"/>
      <c r="K8137" s="675"/>
      <c r="L8137" s="675"/>
      <c r="M8137" s="675"/>
    </row>
    <row r="8138" spans="1:13" x14ac:dyDescent="0.25">
      <c r="A8138" s="675" t="s">
        <v>8108</v>
      </c>
      <c r="B8138" s="675" t="s">
        <v>512</v>
      </c>
      <c r="C8138" s="676" t="s">
        <v>8138</v>
      </c>
      <c r="D8138" s="675"/>
      <c r="E8138" s="675"/>
      <c r="G8138" s="675"/>
      <c r="H8138" s="675"/>
      <c r="I8138" s="675"/>
      <c r="J8138" s="675"/>
      <c r="K8138" s="675"/>
      <c r="L8138" s="675"/>
      <c r="M8138" s="675"/>
    </row>
    <row r="8139" spans="1:13" x14ac:dyDescent="0.25">
      <c r="A8139" s="675" t="s">
        <v>8139</v>
      </c>
      <c r="B8139" s="675" t="s">
        <v>545</v>
      </c>
      <c r="C8139" s="676" t="s">
        <v>8140</v>
      </c>
      <c r="D8139" s="675"/>
      <c r="E8139" s="675"/>
      <c r="G8139" s="675"/>
      <c r="H8139" s="675"/>
      <c r="I8139" s="675"/>
      <c r="J8139" s="675"/>
      <c r="K8139" s="675"/>
      <c r="L8139" s="675"/>
      <c r="M8139" s="675"/>
    </row>
    <row r="8140" spans="1:13" x14ac:dyDescent="0.25">
      <c r="A8140" s="675" t="s">
        <v>8139</v>
      </c>
      <c r="B8140" s="675" t="s">
        <v>545</v>
      </c>
      <c r="C8140" s="676" t="s">
        <v>8141</v>
      </c>
      <c r="D8140" s="675"/>
      <c r="E8140" s="675"/>
      <c r="G8140" s="675"/>
      <c r="H8140" s="675"/>
      <c r="I8140" s="675"/>
      <c r="J8140" s="675"/>
      <c r="K8140" s="675"/>
      <c r="L8140" s="675"/>
      <c r="M8140" s="675"/>
    </row>
    <row r="8141" spans="1:13" x14ac:dyDescent="0.25">
      <c r="A8141" s="675" t="s">
        <v>8139</v>
      </c>
      <c r="B8141" s="675" t="s">
        <v>545</v>
      </c>
      <c r="C8141" s="676" t="s">
        <v>8142</v>
      </c>
      <c r="D8141" s="675"/>
      <c r="E8141" s="675"/>
      <c r="G8141" s="675"/>
      <c r="H8141" s="675"/>
      <c r="I8141" s="675"/>
      <c r="J8141" s="675"/>
      <c r="K8141" s="675"/>
      <c r="L8141" s="675"/>
      <c r="M8141" s="675"/>
    </row>
    <row r="8142" spans="1:13" x14ac:dyDescent="0.25">
      <c r="A8142" s="675" t="s">
        <v>8139</v>
      </c>
      <c r="B8142" s="675" t="s">
        <v>545</v>
      </c>
      <c r="C8142" s="676" t="s">
        <v>8143</v>
      </c>
      <c r="D8142" s="675"/>
      <c r="E8142" s="675"/>
      <c r="G8142" s="675"/>
      <c r="H8142" s="675"/>
      <c r="I8142" s="675"/>
      <c r="J8142" s="675"/>
      <c r="K8142" s="675"/>
      <c r="L8142" s="675"/>
      <c r="M8142" s="675"/>
    </row>
    <row r="8143" spans="1:13" x14ac:dyDescent="0.25">
      <c r="A8143" s="675" t="s">
        <v>8139</v>
      </c>
      <c r="B8143" s="675" t="s">
        <v>545</v>
      </c>
      <c r="C8143" s="676" t="s">
        <v>8144</v>
      </c>
      <c r="D8143" s="675"/>
      <c r="E8143" s="675"/>
      <c r="G8143" s="675"/>
      <c r="H8143" s="675"/>
      <c r="I8143" s="675"/>
      <c r="J8143" s="675"/>
      <c r="K8143" s="675"/>
      <c r="L8143" s="675"/>
      <c r="M8143" s="675"/>
    </row>
    <row r="8144" spans="1:13" x14ac:dyDescent="0.25">
      <c r="A8144" s="675" t="s">
        <v>8139</v>
      </c>
      <c r="B8144" s="675" t="s">
        <v>545</v>
      </c>
      <c r="C8144" s="676" t="s">
        <v>8145</v>
      </c>
      <c r="D8144" s="675"/>
      <c r="E8144" s="675"/>
      <c r="G8144" s="675"/>
      <c r="H8144" s="675"/>
      <c r="I8144" s="675"/>
      <c r="J8144" s="675"/>
      <c r="K8144" s="675"/>
      <c r="L8144" s="675"/>
      <c r="M8144" s="675"/>
    </row>
    <row r="8145" spans="1:13" x14ac:dyDescent="0.25">
      <c r="A8145" s="675" t="s">
        <v>8139</v>
      </c>
      <c r="B8145" s="675" t="s">
        <v>545</v>
      </c>
      <c r="C8145" s="676" t="s">
        <v>8146</v>
      </c>
      <c r="D8145" s="675"/>
      <c r="E8145" s="675"/>
      <c r="G8145" s="675"/>
      <c r="H8145" s="675"/>
      <c r="I8145" s="675"/>
      <c r="J8145" s="675"/>
      <c r="K8145" s="675"/>
      <c r="L8145" s="675"/>
      <c r="M8145" s="675"/>
    </row>
    <row r="8146" spans="1:13" x14ac:dyDescent="0.25">
      <c r="A8146" s="675" t="s">
        <v>8139</v>
      </c>
      <c r="B8146" s="675" t="s">
        <v>545</v>
      </c>
      <c r="C8146" s="676" t="s">
        <v>8147</v>
      </c>
      <c r="D8146" s="675"/>
      <c r="E8146" s="675"/>
      <c r="G8146" s="675"/>
      <c r="H8146" s="675"/>
      <c r="I8146" s="675"/>
      <c r="J8146" s="675"/>
      <c r="K8146" s="675"/>
      <c r="L8146" s="675"/>
      <c r="M8146" s="675"/>
    </row>
    <row r="8147" spans="1:13" x14ac:dyDescent="0.25">
      <c r="A8147" s="675" t="s">
        <v>8139</v>
      </c>
      <c r="B8147" s="675" t="s">
        <v>545</v>
      </c>
      <c r="C8147" s="676" t="s">
        <v>8148</v>
      </c>
      <c r="D8147" s="675"/>
      <c r="E8147" s="675"/>
      <c r="G8147" s="675"/>
      <c r="H8147" s="675"/>
      <c r="I8147" s="675"/>
      <c r="J8147" s="675"/>
      <c r="K8147" s="675"/>
      <c r="L8147" s="675"/>
      <c r="M8147" s="675"/>
    </row>
    <row r="8148" spans="1:13" x14ac:dyDescent="0.25">
      <c r="A8148" s="675" t="s">
        <v>8139</v>
      </c>
      <c r="B8148" s="675" t="s">
        <v>545</v>
      </c>
      <c r="C8148" s="676" t="s">
        <v>8149</v>
      </c>
      <c r="D8148" s="675"/>
      <c r="E8148" s="675"/>
      <c r="G8148" s="675"/>
      <c r="H8148" s="675"/>
      <c r="I8148" s="675"/>
      <c r="J8148" s="675"/>
      <c r="K8148" s="675"/>
      <c r="L8148" s="675"/>
      <c r="M8148" s="675"/>
    </row>
    <row r="8149" spans="1:13" x14ac:dyDescent="0.25">
      <c r="A8149" s="675" t="s">
        <v>8139</v>
      </c>
      <c r="B8149" s="675" t="s">
        <v>564</v>
      </c>
      <c r="C8149" s="676" t="s">
        <v>8150</v>
      </c>
      <c r="D8149" s="675"/>
      <c r="E8149" s="675"/>
      <c r="G8149" s="675"/>
      <c r="H8149" s="675"/>
      <c r="I8149" s="675"/>
      <c r="J8149" s="675"/>
      <c r="K8149" s="675"/>
      <c r="L8149" s="675"/>
      <c r="M8149" s="675"/>
    </row>
    <row r="8150" spans="1:13" x14ac:dyDescent="0.25">
      <c r="A8150" s="675" t="s">
        <v>8139</v>
      </c>
      <c r="B8150" s="675" t="s">
        <v>564</v>
      </c>
      <c r="C8150" s="676" t="s">
        <v>8151</v>
      </c>
      <c r="D8150" s="675"/>
      <c r="E8150" s="675"/>
      <c r="G8150" s="675"/>
      <c r="H8150" s="675"/>
      <c r="I8150" s="675"/>
      <c r="J8150" s="675"/>
      <c r="K8150" s="675"/>
      <c r="L8150" s="675"/>
      <c r="M8150" s="675"/>
    </row>
    <row r="8151" spans="1:13" x14ac:dyDescent="0.25">
      <c r="A8151" s="675" t="s">
        <v>8139</v>
      </c>
      <c r="B8151" s="675" t="s">
        <v>564</v>
      </c>
      <c r="C8151" s="676" t="s">
        <v>8152</v>
      </c>
      <c r="D8151" s="675"/>
      <c r="E8151" s="675"/>
      <c r="G8151" s="675"/>
      <c r="H8151" s="675"/>
      <c r="I8151" s="675"/>
      <c r="J8151" s="675"/>
      <c r="K8151" s="675"/>
      <c r="L8151" s="675"/>
      <c r="M8151" s="675"/>
    </row>
    <row r="8152" spans="1:13" x14ac:dyDescent="0.25">
      <c r="A8152" s="675" t="s">
        <v>8139</v>
      </c>
      <c r="B8152" s="675" t="s">
        <v>564</v>
      </c>
      <c r="C8152" s="676" t="s">
        <v>8153</v>
      </c>
      <c r="D8152" s="675"/>
      <c r="E8152" s="675"/>
      <c r="G8152" s="675"/>
      <c r="H8152" s="675"/>
      <c r="I8152" s="675"/>
      <c r="J8152" s="675"/>
      <c r="K8152" s="675"/>
      <c r="L8152" s="675"/>
      <c r="M8152" s="675"/>
    </row>
    <row r="8153" spans="1:13" x14ac:dyDescent="0.25">
      <c r="A8153" s="675" t="s">
        <v>8139</v>
      </c>
      <c r="B8153" s="675" t="s">
        <v>564</v>
      </c>
      <c r="C8153" s="676" t="s">
        <v>8154</v>
      </c>
      <c r="D8153" s="675"/>
      <c r="E8153" s="675"/>
      <c r="G8153" s="675"/>
      <c r="H8153" s="675"/>
      <c r="I8153" s="675"/>
      <c r="J8153" s="675"/>
      <c r="K8153" s="675"/>
      <c r="L8153" s="675"/>
      <c r="M8153" s="675"/>
    </row>
    <row r="8154" spans="1:13" x14ac:dyDescent="0.25">
      <c r="A8154" s="675" t="s">
        <v>8139</v>
      </c>
      <c r="B8154" s="675" t="s">
        <v>564</v>
      </c>
      <c r="C8154" s="676" t="s">
        <v>8155</v>
      </c>
      <c r="D8154" s="675"/>
      <c r="E8154" s="675"/>
      <c r="G8154" s="675"/>
      <c r="H8154" s="675"/>
      <c r="I8154" s="675"/>
      <c r="J8154" s="675"/>
      <c r="K8154" s="675"/>
      <c r="L8154" s="675"/>
      <c r="M8154" s="675"/>
    </row>
    <row r="8155" spans="1:13" x14ac:dyDescent="0.25">
      <c r="A8155" s="675" t="s">
        <v>8139</v>
      </c>
      <c r="B8155" s="675" t="s">
        <v>564</v>
      </c>
      <c r="C8155" s="676" t="s">
        <v>8156</v>
      </c>
      <c r="D8155" s="675"/>
      <c r="E8155" s="675"/>
      <c r="G8155" s="675"/>
      <c r="H8155" s="675"/>
      <c r="I8155" s="675"/>
      <c r="J8155" s="675"/>
      <c r="K8155" s="675"/>
      <c r="L8155" s="675"/>
      <c r="M8155" s="675"/>
    </row>
    <row r="8156" spans="1:13" x14ac:dyDescent="0.25">
      <c r="A8156" s="675" t="s">
        <v>8139</v>
      </c>
      <c r="B8156" s="675" t="s">
        <v>564</v>
      </c>
      <c r="C8156" s="676" t="s">
        <v>8157</v>
      </c>
      <c r="D8156" s="675"/>
      <c r="E8156" s="675"/>
      <c r="G8156" s="675"/>
      <c r="H8156" s="675"/>
      <c r="I8156" s="675"/>
      <c r="J8156" s="675"/>
      <c r="K8156" s="675"/>
      <c r="L8156" s="675"/>
      <c r="M8156" s="675"/>
    </row>
    <row r="8157" spans="1:13" x14ac:dyDescent="0.25">
      <c r="A8157" s="675" t="s">
        <v>8139</v>
      </c>
      <c r="B8157" s="675" t="s">
        <v>564</v>
      </c>
      <c r="C8157" s="676" t="s">
        <v>8158</v>
      </c>
      <c r="D8157" s="675"/>
      <c r="E8157" s="675"/>
      <c r="G8157" s="675"/>
      <c r="H8157" s="675"/>
      <c r="I8157" s="675"/>
      <c r="J8157" s="675"/>
      <c r="K8157" s="675"/>
      <c r="L8157" s="675"/>
      <c r="M8157" s="675"/>
    </row>
    <row r="8158" spans="1:13" x14ac:dyDescent="0.25">
      <c r="A8158" s="675" t="s">
        <v>8139</v>
      </c>
      <c r="B8158" s="675" t="s">
        <v>564</v>
      </c>
      <c r="C8158" s="676" t="s">
        <v>8159</v>
      </c>
      <c r="D8158" s="675"/>
      <c r="E8158" s="675"/>
      <c r="G8158" s="675"/>
      <c r="H8158" s="675"/>
      <c r="I8158" s="675"/>
      <c r="J8158" s="675"/>
      <c r="K8158" s="675"/>
      <c r="L8158" s="675"/>
      <c r="M8158" s="675"/>
    </row>
    <row r="8159" spans="1:13" x14ac:dyDescent="0.25">
      <c r="A8159" s="675" t="s">
        <v>8139</v>
      </c>
      <c r="B8159" s="675" t="s">
        <v>512</v>
      </c>
      <c r="C8159" s="676" t="s">
        <v>8160</v>
      </c>
      <c r="D8159" s="675"/>
      <c r="E8159" s="675"/>
      <c r="G8159" s="675"/>
      <c r="H8159" s="675"/>
      <c r="I8159" s="675"/>
      <c r="J8159" s="675"/>
      <c r="K8159" s="675"/>
      <c r="L8159" s="675"/>
      <c r="M8159" s="675"/>
    </row>
    <row r="8160" spans="1:13" x14ac:dyDescent="0.25">
      <c r="A8160" s="675" t="s">
        <v>8139</v>
      </c>
      <c r="B8160" s="675" t="s">
        <v>512</v>
      </c>
      <c r="C8160" s="676" t="s">
        <v>8161</v>
      </c>
      <c r="D8160" s="675"/>
      <c r="E8160" s="675"/>
      <c r="G8160" s="675"/>
      <c r="H8160" s="675"/>
      <c r="I8160" s="675"/>
      <c r="J8160" s="675"/>
      <c r="K8160" s="675"/>
      <c r="L8160" s="675"/>
      <c r="M8160" s="675"/>
    </row>
    <row r="8161" spans="1:13" x14ac:dyDescent="0.25">
      <c r="A8161" s="675" t="s">
        <v>8139</v>
      </c>
      <c r="B8161" s="675" t="s">
        <v>512</v>
      </c>
      <c r="C8161" s="676" t="s">
        <v>8162</v>
      </c>
      <c r="D8161" s="675"/>
      <c r="E8161" s="675"/>
      <c r="G8161" s="675"/>
      <c r="H8161" s="675"/>
      <c r="I8161" s="675"/>
      <c r="J8161" s="675"/>
      <c r="K8161" s="675"/>
      <c r="L8161" s="675"/>
      <c r="M8161" s="675"/>
    </row>
    <row r="8162" spans="1:13" x14ac:dyDescent="0.25">
      <c r="A8162" s="675" t="s">
        <v>8139</v>
      </c>
      <c r="B8162" s="675" t="s">
        <v>512</v>
      </c>
      <c r="C8162" s="676" t="s">
        <v>8163</v>
      </c>
      <c r="D8162" s="675"/>
      <c r="E8162" s="675"/>
      <c r="G8162" s="675"/>
      <c r="H8162" s="675"/>
      <c r="I8162" s="675"/>
      <c r="J8162" s="675"/>
      <c r="K8162" s="675"/>
      <c r="L8162" s="675"/>
      <c r="M8162" s="675"/>
    </row>
    <row r="8163" spans="1:13" x14ac:dyDescent="0.25">
      <c r="A8163" s="675" t="s">
        <v>8139</v>
      </c>
      <c r="B8163" s="675" t="s">
        <v>512</v>
      </c>
      <c r="C8163" s="676" t="s">
        <v>8164</v>
      </c>
      <c r="D8163" s="675"/>
      <c r="E8163" s="675"/>
      <c r="G8163" s="675"/>
      <c r="H8163" s="675"/>
      <c r="I8163" s="675"/>
      <c r="J8163" s="675"/>
      <c r="K8163" s="675"/>
      <c r="L8163" s="675"/>
      <c r="M8163" s="675"/>
    </row>
    <row r="8164" spans="1:13" x14ac:dyDescent="0.25">
      <c r="A8164" s="675" t="s">
        <v>8139</v>
      </c>
      <c r="B8164" s="675" t="s">
        <v>512</v>
      </c>
      <c r="C8164" s="676" t="s">
        <v>8165</v>
      </c>
      <c r="D8164" s="675"/>
      <c r="E8164" s="675"/>
      <c r="G8164" s="675"/>
      <c r="H8164" s="675"/>
      <c r="I8164" s="675"/>
      <c r="J8164" s="675"/>
      <c r="K8164" s="675"/>
      <c r="L8164" s="675"/>
      <c r="M8164" s="675"/>
    </row>
    <row r="8165" spans="1:13" x14ac:dyDescent="0.25">
      <c r="A8165" s="675" t="s">
        <v>8139</v>
      </c>
      <c r="B8165" s="675" t="s">
        <v>512</v>
      </c>
      <c r="C8165" s="676" t="s">
        <v>8166</v>
      </c>
      <c r="D8165" s="675"/>
      <c r="E8165" s="675"/>
      <c r="G8165" s="675"/>
      <c r="H8165" s="675"/>
      <c r="I8165" s="675"/>
      <c r="J8165" s="675"/>
      <c r="K8165" s="675"/>
      <c r="L8165" s="675"/>
      <c r="M8165" s="675"/>
    </row>
    <row r="8166" spans="1:13" x14ac:dyDescent="0.25">
      <c r="A8166" s="675" t="s">
        <v>8139</v>
      </c>
      <c r="B8166" s="675" t="s">
        <v>512</v>
      </c>
      <c r="C8166" s="676" t="s">
        <v>8167</v>
      </c>
      <c r="D8166" s="675"/>
      <c r="E8166" s="675"/>
      <c r="G8166" s="675"/>
      <c r="H8166" s="675"/>
      <c r="I8166" s="675"/>
      <c r="J8166" s="675"/>
      <c r="K8166" s="675"/>
      <c r="L8166" s="675"/>
      <c r="M8166" s="675"/>
    </row>
    <row r="8167" spans="1:13" x14ac:dyDescent="0.25">
      <c r="A8167" s="675" t="s">
        <v>8139</v>
      </c>
      <c r="B8167" s="675" t="s">
        <v>512</v>
      </c>
      <c r="C8167" s="676" t="s">
        <v>8168</v>
      </c>
      <c r="D8167" s="675"/>
      <c r="E8167" s="675"/>
      <c r="G8167" s="675"/>
      <c r="H8167" s="675"/>
      <c r="I8167" s="675"/>
      <c r="J8167" s="675"/>
      <c r="K8167" s="675"/>
      <c r="L8167" s="675"/>
      <c r="M8167" s="675"/>
    </row>
    <row r="8168" spans="1:13" x14ac:dyDescent="0.25">
      <c r="A8168" s="675" t="s">
        <v>8139</v>
      </c>
      <c r="B8168" s="675" t="s">
        <v>512</v>
      </c>
      <c r="C8168" s="676" t="s">
        <v>8169</v>
      </c>
      <c r="D8168" s="675"/>
      <c r="E8168" s="675"/>
      <c r="G8168" s="675"/>
      <c r="H8168" s="675"/>
      <c r="I8168" s="675"/>
      <c r="J8168" s="675"/>
      <c r="K8168" s="675"/>
      <c r="L8168" s="675"/>
      <c r="M8168" s="675"/>
    </row>
    <row r="8169" spans="1:13" x14ac:dyDescent="0.25">
      <c r="A8169" s="675" t="s">
        <v>8170</v>
      </c>
      <c r="B8169" s="675" t="s">
        <v>545</v>
      </c>
      <c r="C8169" s="676" t="s">
        <v>8171</v>
      </c>
      <c r="D8169" s="675"/>
      <c r="E8169" s="675"/>
      <c r="G8169" s="675"/>
      <c r="H8169" s="675"/>
      <c r="I8169" s="675"/>
      <c r="J8169" s="675"/>
      <c r="K8169" s="675"/>
      <c r="L8169" s="675"/>
      <c r="M8169" s="675"/>
    </row>
    <row r="8170" spans="1:13" x14ac:dyDescent="0.25">
      <c r="A8170" s="675" t="s">
        <v>8170</v>
      </c>
      <c r="B8170" s="675" t="s">
        <v>545</v>
      </c>
      <c r="C8170" s="676" t="s">
        <v>8172</v>
      </c>
      <c r="D8170" s="675"/>
      <c r="E8170" s="675"/>
      <c r="G8170" s="675"/>
      <c r="H8170" s="675"/>
      <c r="I8170" s="675"/>
      <c r="J8170" s="675"/>
      <c r="K8170" s="675"/>
      <c r="L8170" s="675"/>
      <c r="M8170" s="675"/>
    </row>
    <row r="8171" spans="1:13" x14ac:dyDescent="0.25">
      <c r="A8171" s="675" t="s">
        <v>8170</v>
      </c>
      <c r="B8171" s="675" t="s">
        <v>545</v>
      </c>
      <c r="C8171" s="676" t="s">
        <v>8173</v>
      </c>
      <c r="D8171" s="675"/>
      <c r="E8171" s="675"/>
      <c r="G8171" s="675"/>
      <c r="H8171" s="675"/>
      <c r="I8171" s="675"/>
      <c r="J8171" s="675"/>
      <c r="K8171" s="675"/>
      <c r="L8171" s="675"/>
      <c r="M8171" s="675"/>
    </row>
    <row r="8172" spans="1:13" x14ac:dyDescent="0.25">
      <c r="A8172" s="675" t="s">
        <v>8170</v>
      </c>
      <c r="B8172" s="675" t="s">
        <v>545</v>
      </c>
      <c r="C8172" s="676" t="s">
        <v>8174</v>
      </c>
      <c r="D8172" s="675"/>
      <c r="E8172" s="675"/>
      <c r="G8172" s="675"/>
      <c r="H8172" s="675"/>
      <c r="I8172" s="675"/>
      <c r="J8172" s="675"/>
      <c r="K8172" s="675"/>
      <c r="L8172" s="675"/>
      <c r="M8172" s="675"/>
    </row>
    <row r="8173" spans="1:13" x14ac:dyDescent="0.25">
      <c r="A8173" s="675" t="s">
        <v>8170</v>
      </c>
      <c r="B8173" s="675" t="s">
        <v>545</v>
      </c>
      <c r="C8173" s="676" t="s">
        <v>8175</v>
      </c>
      <c r="D8173" s="675"/>
      <c r="E8173" s="675"/>
      <c r="G8173" s="675"/>
      <c r="H8173" s="675"/>
      <c r="I8173" s="675"/>
      <c r="J8173" s="675"/>
      <c r="K8173" s="675"/>
      <c r="L8173" s="675"/>
      <c r="M8173" s="675"/>
    </row>
    <row r="8174" spans="1:13" x14ac:dyDescent="0.25">
      <c r="A8174" s="675" t="s">
        <v>8170</v>
      </c>
      <c r="B8174" s="675" t="s">
        <v>545</v>
      </c>
      <c r="C8174" s="676" t="s">
        <v>8176</v>
      </c>
      <c r="D8174" s="675"/>
      <c r="E8174" s="675"/>
      <c r="G8174" s="675"/>
      <c r="H8174" s="675"/>
      <c r="I8174" s="675"/>
      <c r="J8174" s="675"/>
      <c r="K8174" s="675"/>
      <c r="L8174" s="675"/>
      <c r="M8174" s="675"/>
    </row>
    <row r="8175" spans="1:13" x14ac:dyDescent="0.25">
      <c r="A8175" s="675" t="s">
        <v>8170</v>
      </c>
      <c r="B8175" s="675" t="s">
        <v>545</v>
      </c>
      <c r="C8175" s="676" t="s">
        <v>8177</v>
      </c>
      <c r="D8175" s="675"/>
      <c r="E8175" s="675"/>
      <c r="G8175" s="675"/>
      <c r="H8175" s="675"/>
      <c r="I8175" s="675"/>
      <c r="J8175" s="675"/>
      <c r="K8175" s="675"/>
      <c r="L8175" s="675"/>
      <c r="M8175" s="675"/>
    </row>
    <row r="8176" spans="1:13" x14ac:dyDescent="0.25">
      <c r="A8176" s="675" t="s">
        <v>8170</v>
      </c>
      <c r="B8176" s="675" t="s">
        <v>545</v>
      </c>
      <c r="C8176" s="676" t="s">
        <v>8178</v>
      </c>
      <c r="D8176" s="675"/>
      <c r="E8176" s="675"/>
      <c r="G8176" s="675"/>
      <c r="H8176" s="675"/>
      <c r="I8176" s="675"/>
      <c r="J8176" s="675"/>
      <c r="K8176" s="675"/>
      <c r="L8176" s="675"/>
      <c r="M8176" s="675"/>
    </row>
    <row r="8177" spans="1:13" x14ac:dyDescent="0.25">
      <c r="A8177" s="675" t="s">
        <v>8170</v>
      </c>
      <c r="B8177" s="675" t="s">
        <v>545</v>
      </c>
      <c r="C8177" s="676" t="s">
        <v>8179</v>
      </c>
      <c r="D8177" s="675"/>
      <c r="E8177" s="675"/>
      <c r="G8177" s="675"/>
      <c r="H8177" s="675"/>
      <c r="I8177" s="675"/>
      <c r="J8177" s="675"/>
      <c r="K8177" s="675"/>
      <c r="L8177" s="675"/>
      <c r="M8177" s="675"/>
    </row>
    <row r="8178" spans="1:13" x14ac:dyDescent="0.25">
      <c r="A8178" s="675" t="s">
        <v>8170</v>
      </c>
      <c r="B8178" s="675" t="s">
        <v>545</v>
      </c>
      <c r="C8178" s="676" t="s">
        <v>8180</v>
      </c>
      <c r="D8178" s="675"/>
      <c r="E8178" s="675"/>
      <c r="G8178" s="675"/>
      <c r="H8178" s="675"/>
      <c r="I8178" s="675"/>
      <c r="J8178" s="675"/>
      <c r="K8178" s="675"/>
      <c r="L8178" s="675"/>
      <c r="M8178" s="675"/>
    </row>
    <row r="8179" spans="1:13" x14ac:dyDescent="0.25">
      <c r="A8179" s="675" t="s">
        <v>8170</v>
      </c>
      <c r="B8179" s="675" t="s">
        <v>564</v>
      </c>
      <c r="C8179" s="676" t="s">
        <v>8181</v>
      </c>
      <c r="D8179" s="675"/>
      <c r="E8179" s="675"/>
      <c r="G8179" s="675"/>
      <c r="H8179" s="675"/>
      <c r="I8179" s="675"/>
      <c r="J8179" s="675"/>
      <c r="K8179" s="675"/>
      <c r="L8179" s="675"/>
      <c r="M8179" s="675"/>
    </row>
    <row r="8180" spans="1:13" x14ac:dyDescent="0.25">
      <c r="A8180" s="675" t="s">
        <v>8170</v>
      </c>
      <c r="B8180" s="675" t="s">
        <v>564</v>
      </c>
      <c r="C8180" s="676" t="s">
        <v>8182</v>
      </c>
      <c r="D8180" s="675"/>
      <c r="E8180" s="675"/>
      <c r="G8180" s="675"/>
      <c r="H8180" s="675"/>
      <c r="I8180" s="675"/>
      <c r="J8180" s="675"/>
      <c r="K8180" s="675"/>
      <c r="L8180" s="675"/>
      <c r="M8180" s="675"/>
    </row>
    <row r="8181" spans="1:13" x14ac:dyDescent="0.25">
      <c r="A8181" s="675" t="s">
        <v>8170</v>
      </c>
      <c r="B8181" s="675" t="s">
        <v>564</v>
      </c>
      <c r="C8181" s="676" t="s">
        <v>8183</v>
      </c>
      <c r="D8181" s="675"/>
      <c r="E8181" s="675"/>
      <c r="G8181" s="675"/>
      <c r="H8181" s="675"/>
      <c r="I8181" s="675"/>
      <c r="J8181" s="675"/>
      <c r="K8181" s="675"/>
      <c r="L8181" s="675"/>
      <c r="M8181" s="675"/>
    </row>
    <row r="8182" spans="1:13" x14ac:dyDescent="0.25">
      <c r="A8182" s="675" t="s">
        <v>8170</v>
      </c>
      <c r="B8182" s="675" t="s">
        <v>564</v>
      </c>
      <c r="C8182" s="676" t="s">
        <v>8184</v>
      </c>
      <c r="D8182" s="675"/>
      <c r="E8182" s="675"/>
      <c r="G8182" s="675"/>
      <c r="H8182" s="675"/>
      <c r="I8182" s="675"/>
      <c r="J8182" s="675"/>
      <c r="K8182" s="675"/>
      <c r="L8182" s="675"/>
      <c r="M8182" s="675"/>
    </row>
    <row r="8183" spans="1:13" x14ac:dyDescent="0.25">
      <c r="A8183" s="675" t="s">
        <v>8170</v>
      </c>
      <c r="B8183" s="675" t="s">
        <v>564</v>
      </c>
      <c r="C8183" s="676" t="s">
        <v>8185</v>
      </c>
      <c r="D8183" s="675"/>
      <c r="E8183" s="675"/>
      <c r="G8183" s="675"/>
      <c r="H8183" s="675"/>
      <c r="I8183" s="675"/>
      <c r="J8183" s="675"/>
      <c r="K8183" s="675"/>
      <c r="L8183" s="675"/>
      <c r="M8183" s="675"/>
    </row>
    <row r="8184" spans="1:13" x14ac:dyDescent="0.25">
      <c r="A8184" s="675" t="s">
        <v>8170</v>
      </c>
      <c r="B8184" s="675" t="s">
        <v>564</v>
      </c>
      <c r="C8184" s="676" t="s">
        <v>8186</v>
      </c>
      <c r="D8184" s="675"/>
      <c r="E8184" s="675"/>
      <c r="G8184" s="675"/>
      <c r="H8184" s="675"/>
      <c r="I8184" s="675"/>
      <c r="J8184" s="675"/>
      <c r="K8184" s="675"/>
      <c r="L8184" s="675"/>
      <c r="M8184" s="675"/>
    </row>
    <row r="8185" spans="1:13" x14ac:dyDescent="0.25">
      <c r="A8185" s="675" t="s">
        <v>8170</v>
      </c>
      <c r="B8185" s="675" t="s">
        <v>564</v>
      </c>
      <c r="C8185" s="676" t="s">
        <v>8187</v>
      </c>
      <c r="D8185" s="675"/>
      <c r="E8185" s="675"/>
      <c r="G8185" s="675"/>
      <c r="H8185" s="675"/>
      <c r="I8185" s="675"/>
      <c r="J8185" s="675"/>
      <c r="K8185" s="675"/>
      <c r="L8185" s="675"/>
      <c r="M8185" s="675"/>
    </row>
    <row r="8186" spans="1:13" x14ac:dyDescent="0.25">
      <c r="A8186" s="675" t="s">
        <v>8170</v>
      </c>
      <c r="B8186" s="675" t="s">
        <v>564</v>
      </c>
      <c r="C8186" s="676" t="s">
        <v>8188</v>
      </c>
      <c r="D8186" s="675"/>
      <c r="E8186" s="675"/>
      <c r="G8186" s="675"/>
      <c r="H8186" s="675"/>
      <c r="I8186" s="675"/>
      <c r="J8186" s="675"/>
      <c r="K8186" s="675"/>
      <c r="L8186" s="675"/>
      <c r="M8186" s="675"/>
    </row>
    <row r="8187" spans="1:13" x14ac:dyDescent="0.25">
      <c r="A8187" s="675" t="s">
        <v>8170</v>
      </c>
      <c r="B8187" s="675" t="s">
        <v>564</v>
      </c>
      <c r="C8187" s="676" t="s">
        <v>8189</v>
      </c>
      <c r="D8187" s="675"/>
      <c r="E8187" s="675"/>
      <c r="G8187" s="675"/>
      <c r="H8187" s="675"/>
      <c r="I8187" s="675"/>
      <c r="J8187" s="675"/>
      <c r="K8187" s="675"/>
      <c r="L8187" s="675"/>
      <c r="M8187" s="675"/>
    </row>
    <row r="8188" spans="1:13" x14ac:dyDescent="0.25">
      <c r="A8188" s="675" t="s">
        <v>8170</v>
      </c>
      <c r="B8188" s="675" t="s">
        <v>564</v>
      </c>
      <c r="C8188" s="676" t="s">
        <v>8190</v>
      </c>
      <c r="D8188" s="675"/>
      <c r="E8188" s="675"/>
      <c r="G8188" s="675"/>
      <c r="H8188" s="675"/>
      <c r="I8188" s="675"/>
      <c r="J8188" s="675"/>
      <c r="K8188" s="675"/>
      <c r="L8188" s="675"/>
      <c r="M8188" s="675"/>
    </row>
    <row r="8189" spans="1:13" x14ac:dyDescent="0.25">
      <c r="A8189" s="675" t="s">
        <v>8170</v>
      </c>
      <c r="B8189" s="675" t="s">
        <v>512</v>
      </c>
      <c r="C8189" s="676" t="s">
        <v>8191</v>
      </c>
      <c r="D8189" s="675"/>
      <c r="E8189" s="675"/>
      <c r="G8189" s="675"/>
      <c r="H8189" s="675"/>
      <c r="I8189" s="675"/>
      <c r="J8189" s="675"/>
      <c r="K8189" s="675"/>
      <c r="L8189" s="675"/>
      <c r="M8189" s="675"/>
    </row>
    <row r="8190" spans="1:13" x14ac:dyDescent="0.25">
      <c r="A8190" s="675" t="s">
        <v>8170</v>
      </c>
      <c r="B8190" s="675" t="s">
        <v>512</v>
      </c>
      <c r="C8190" s="676" t="s">
        <v>8192</v>
      </c>
      <c r="D8190" s="675"/>
      <c r="E8190" s="675"/>
      <c r="G8190" s="675"/>
      <c r="H8190" s="675"/>
      <c r="I8190" s="675"/>
      <c r="J8190" s="675"/>
      <c r="K8190" s="675"/>
      <c r="L8190" s="675"/>
      <c r="M8190" s="675"/>
    </row>
    <row r="8191" spans="1:13" x14ac:dyDescent="0.25">
      <c r="A8191" s="675" t="s">
        <v>8170</v>
      </c>
      <c r="B8191" s="675" t="s">
        <v>512</v>
      </c>
      <c r="C8191" s="676" t="s">
        <v>8193</v>
      </c>
      <c r="D8191" s="675"/>
      <c r="E8191" s="675"/>
      <c r="G8191" s="675"/>
      <c r="H8191" s="675"/>
      <c r="I8191" s="675"/>
      <c r="J8191" s="675"/>
      <c r="K8191" s="675"/>
      <c r="L8191" s="675"/>
      <c r="M8191" s="675"/>
    </row>
    <row r="8192" spans="1:13" x14ac:dyDescent="0.25">
      <c r="A8192" s="675" t="s">
        <v>8170</v>
      </c>
      <c r="B8192" s="675" t="s">
        <v>512</v>
      </c>
      <c r="C8192" s="676" t="s">
        <v>8194</v>
      </c>
      <c r="D8192" s="675"/>
      <c r="E8192" s="675"/>
      <c r="G8192" s="675"/>
      <c r="H8192" s="675"/>
      <c r="I8192" s="675"/>
      <c r="J8192" s="675"/>
      <c r="K8192" s="675"/>
      <c r="L8192" s="675"/>
      <c r="M8192" s="675"/>
    </row>
    <row r="8193" spans="1:13" x14ac:dyDescent="0.25">
      <c r="A8193" s="675" t="s">
        <v>8170</v>
      </c>
      <c r="B8193" s="675" t="s">
        <v>512</v>
      </c>
      <c r="C8193" s="676" t="s">
        <v>8195</v>
      </c>
      <c r="D8193" s="675"/>
      <c r="E8193" s="675"/>
      <c r="G8193" s="675"/>
      <c r="H8193" s="675"/>
      <c r="I8193" s="675"/>
      <c r="J8193" s="675"/>
      <c r="K8193" s="675"/>
      <c r="L8193" s="675"/>
      <c r="M8193" s="675"/>
    </row>
    <row r="8194" spans="1:13" x14ac:dyDescent="0.25">
      <c r="A8194" s="675" t="s">
        <v>8170</v>
      </c>
      <c r="B8194" s="675" t="s">
        <v>512</v>
      </c>
      <c r="C8194" s="676" t="s">
        <v>8196</v>
      </c>
      <c r="D8194" s="675"/>
      <c r="E8194" s="675"/>
      <c r="G8194" s="675"/>
      <c r="H8194" s="675"/>
      <c r="I8194" s="675"/>
      <c r="J8194" s="675"/>
      <c r="K8194" s="675"/>
      <c r="L8194" s="675"/>
      <c r="M8194" s="675"/>
    </row>
    <row r="8195" spans="1:13" x14ac:dyDescent="0.25">
      <c r="A8195" s="675" t="s">
        <v>8170</v>
      </c>
      <c r="B8195" s="675" t="s">
        <v>512</v>
      </c>
      <c r="C8195" s="676" t="s">
        <v>8197</v>
      </c>
      <c r="D8195" s="675"/>
      <c r="E8195" s="675"/>
      <c r="G8195" s="675"/>
      <c r="H8195" s="675"/>
      <c r="I8195" s="675"/>
      <c r="J8195" s="675"/>
      <c r="K8195" s="675"/>
      <c r="L8195" s="675"/>
      <c r="M8195" s="675"/>
    </row>
    <row r="8196" spans="1:13" x14ac:dyDescent="0.25">
      <c r="A8196" s="675" t="s">
        <v>8170</v>
      </c>
      <c r="B8196" s="675" t="s">
        <v>512</v>
      </c>
      <c r="C8196" s="676" t="s">
        <v>8198</v>
      </c>
      <c r="D8196" s="675"/>
      <c r="E8196" s="675"/>
      <c r="G8196" s="675"/>
      <c r="H8196" s="675"/>
      <c r="I8196" s="675"/>
      <c r="J8196" s="675"/>
      <c r="K8196" s="675"/>
      <c r="L8196" s="675"/>
      <c r="M8196" s="675"/>
    </row>
    <row r="8197" spans="1:13" x14ac:dyDescent="0.25">
      <c r="A8197" s="675" t="s">
        <v>8170</v>
      </c>
      <c r="B8197" s="675" t="s">
        <v>512</v>
      </c>
      <c r="C8197" s="676" t="s">
        <v>8199</v>
      </c>
      <c r="D8197" s="675"/>
      <c r="E8197" s="675"/>
      <c r="G8197" s="675"/>
      <c r="H8197" s="675"/>
      <c r="I8197" s="675"/>
      <c r="J8197" s="675"/>
      <c r="K8197" s="675"/>
      <c r="L8197" s="675"/>
      <c r="M8197" s="675"/>
    </row>
    <row r="8198" spans="1:13" x14ac:dyDescent="0.25">
      <c r="A8198" s="675" t="s">
        <v>8170</v>
      </c>
      <c r="B8198" s="675" t="s">
        <v>512</v>
      </c>
      <c r="C8198" s="676" t="s">
        <v>8200</v>
      </c>
      <c r="D8198" s="675"/>
      <c r="E8198" s="675"/>
      <c r="G8198" s="675"/>
      <c r="H8198" s="675"/>
      <c r="I8198" s="675"/>
      <c r="J8198" s="675"/>
      <c r="K8198" s="675"/>
      <c r="L8198" s="675"/>
      <c r="M8198" s="675"/>
    </row>
  </sheetData>
  <mergeCells count="3092">
    <mergeCell ref="B9:B11"/>
    <mergeCell ref="C9:C11"/>
    <mergeCell ref="B12:B14"/>
    <mergeCell ref="C12:C14"/>
    <mergeCell ref="B15:B17"/>
    <mergeCell ref="C15:C17"/>
    <mergeCell ref="B18:B20"/>
    <mergeCell ref="C18:C20"/>
    <mergeCell ref="B21:B23"/>
    <mergeCell ref="C21:C23"/>
    <mergeCell ref="B24:B26"/>
    <mergeCell ref="C24:C26"/>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647:F647"/>
    <mergeCell ref="E648:F648"/>
    <mergeCell ref="E649:F649"/>
    <mergeCell ref="E650:F650"/>
    <mergeCell ref="E651:F651"/>
    <mergeCell ref="E652:F652"/>
    <mergeCell ref="E653:F653"/>
    <mergeCell ref="E654:F654"/>
    <mergeCell ref="E655:F655"/>
    <mergeCell ref="E656:F656"/>
    <mergeCell ref="E657:F657"/>
    <mergeCell ref="E658:F658"/>
    <mergeCell ref="E659:F659"/>
    <mergeCell ref="E660:F660"/>
    <mergeCell ref="E661:F661"/>
    <mergeCell ref="E738:F738"/>
    <mergeCell ref="E739:F739"/>
    <mergeCell ref="E740:F740"/>
    <mergeCell ref="E741:F741"/>
    <mergeCell ref="E742:F742"/>
    <mergeCell ref="E743:F743"/>
    <mergeCell ref="E744:F744"/>
    <mergeCell ref="E745:F745"/>
    <mergeCell ref="E746:F746"/>
    <mergeCell ref="E747:F747"/>
    <mergeCell ref="E748:F748"/>
    <mergeCell ref="E749:F749"/>
    <mergeCell ref="E750:F750"/>
    <mergeCell ref="E751:F751"/>
    <mergeCell ref="E752:F752"/>
    <mergeCell ref="E802:F802"/>
    <mergeCell ref="E803:F803"/>
    <mergeCell ref="E804:F804"/>
    <mergeCell ref="E805:F805"/>
    <mergeCell ref="E806:F806"/>
    <mergeCell ref="E807:F807"/>
    <mergeCell ref="E808:F808"/>
    <mergeCell ref="E809:F809"/>
    <mergeCell ref="E810:F810"/>
    <mergeCell ref="E811:F811"/>
    <mergeCell ref="E812:F812"/>
    <mergeCell ref="E813:F813"/>
    <mergeCell ref="E814:F814"/>
    <mergeCell ref="E815:F815"/>
    <mergeCell ref="E816:F816"/>
    <mergeCell ref="A875:A876"/>
    <mergeCell ref="B875:B876"/>
    <mergeCell ref="D875:D876"/>
    <mergeCell ref="E875:E876"/>
    <mergeCell ref="F875:F876"/>
    <mergeCell ref="G875:G876"/>
    <mergeCell ref="H875:H876"/>
    <mergeCell ref="I875:I876"/>
    <mergeCell ref="J875:J876"/>
    <mergeCell ref="K875:K876"/>
    <mergeCell ref="L875:L876"/>
    <mergeCell ref="M875:M876"/>
    <mergeCell ref="A877:A878"/>
    <mergeCell ref="B877:B878"/>
    <mergeCell ref="D877:D878"/>
    <mergeCell ref="E877:E878"/>
    <mergeCell ref="F877:F878"/>
    <mergeCell ref="G877:G878"/>
    <mergeCell ref="H877:H878"/>
    <mergeCell ref="I877:I878"/>
    <mergeCell ref="J877:J878"/>
    <mergeCell ref="K877:K878"/>
    <mergeCell ref="L877:L878"/>
    <mergeCell ref="M877:M878"/>
    <mergeCell ref="E1087:F1087"/>
    <mergeCell ref="E1088:F1088"/>
    <mergeCell ref="E1089:F1089"/>
    <mergeCell ref="E1090:F1090"/>
    <mergeCell ref="E1091:F1091"/>
    <mergeCell ref="E1092:F1092"/>
    <mergeCell ref="E1093:F1093"/>
    <mergeCell ref="E1094:F1094"/>
    <mergeCell ref="E1095:F1095"/>
    <mergeCell ref="E1096:F1096"/>
    <mergeCell ref="E1097:F1097"/>
    <mergeCell ref="E1098:F1098"/>
    <mergeCell ref="E1099:F1099"/>
    <mergeCell ref="E1100:F1100"/>
    <mergeCell ref="E1101:F1101"/>
    <mergeCell ref="E1102:F1102"/>
    <mergeCell ref="E1103:F1103"/>
    <mergeCell ref="E1104:F1104"/>
    <mergeCell ref="E1105:F1105"/>
    <mergeCell ref="E1106:F1106"/>
    <mergeCell ref="E1107:F1107"/>
    <mergeCell ref="E1108:F1108"/>
    <mergeCell ref="E1109:F1109"/>
    <mergeCell ref="E1110:F1110"/>
    <mergeCell ref="E1111:F1111"/>
    <mergeCell ref="E1112:F1112"/>
    <mergeCell ref="E1113:F1113"/>
    <mergeCell ref="E1114:F1114"/>
    <mergeCell ref="E1115:F1115"/>
    <mergeCell ref="E1116:F1116"/>
    <mergeCell ref="B1313:B1314"/>
    <mergeCell ref="C1313:C1314"/>
    <mergeCell ref="D1313:D1314"/>
    <mergeCell ref="E1313:E1314"/>
    <mergeCell ref="F1313:F1314"/>
    <mergeCell ref="G1313:G1314"/>
    <mergeCell ref="H1313:H1314"/>
    <mergeCell ref="I1313:I1314"/>
    <mergeCell ref="J1313:J1314"/>
    <mergeCell ref="K1313:K1314"/>
    <mergeCell ref="L1313:L1314"/>
    <mergeCell ref="M1313:M1314"/>
    <mergeCell ref="B1315:B1316"/>
    <mergeCell ref="C1315:C1316"/>
    <mergeCell ref="D1315:D1316"/>
    <mergeCell ref="E1315:E1316"/>
    <mergeCell ref="F1315:F1316"/>
    <mergeCell ref="G1315:G1316"/>
    <mergeCell ref="H1315:H1316"/>
    <mergeCell ref="I1315:I1316"/>
    <mergeCell ref="J1315:J1316"/>
    <mergeCell ref="K1315:K1316"/>
    <mergeCell ref="L1315:L1316"/>
    <mergeCell ref="M1315:M1316"/>
    <mergeCell ref="B1317:B1318"/>
    <mergeCell ref="C1317:C1318"/>
    <mergeCell ref="D1317:D1318"/>
    <mergeCell ref="E1317:E1318"/>
    <mergeCell ref="F1317:F1318"/>
    <mergeCell ref="G1317:G1318"/>
    <mergeCell ref="H1317:H1318"/>
    <mergeCell ref="I1317:I1318"/>
    <mergeCell ref="J1317:J1318"/>
    <mergeCell ref="K1317:K1318"/>
    <mergeCell ref="L1317:L1318"/>
    <mergeCell ref="M1317:M1318"/>
    <mergeCell ref="B1319:B1320"/>
    <mergeCell ref="C1319:C1320"/>
    <mergeCell ref="D1319:D1320"/>
    <mergeCell ref="E1319:E1320"/>
    <mergeCell ref="F1319:F1320"/>
    <mergeCell ref="G1319:G1320"/>
    <mergeCell ref="H1319:H1320"/>
    <mergeCell ref="I1319:I1320"/>
    <mergeCell ref="J1319:J1320"/>
    <mergeCell ref="K1319:K1320"/>
    <mergeCell ref="L1319:L1320"/>
    <mergeCell ref="M1319:M1320"/>
    <mergeCell ref="B1321:B1322"/>
    <mergeCell ref="C1321:C1322"/>
    <mergeCell ref="D1321:D1322"/>
    <mergeCell ref="E1321:E1322"/>
    <mergeCell ref="F1321:F1322"/>
    <mergeCell ref="G1321:G1322"/>
    <mergeCell ref="H1321:H1322"/>
    <mergeCell ref="I1321:I1322"/>
    <mergeCell ref="J1321:J1322"/>
    <mergeCell ref="K1321:K1322"/>
    <mergeCell ref="L1321:L1322"/>
    <mergeCell ref="M1321:M1322"/>
    <mergeCell ref="E1393:F1393"/>
    <mergeCell ref="E1394:F1394"/>
    <mergeCell ref="E1395:F1395"/>
    <mergeCell ref="E1396:F1396"/>
    <mergeCell ref="E1397:F1397"/>
    <mergeCell ref="E1398:F1398"/>
    <mergeCell ref="E1399:F1399"/>
    <mergeCell ref="E1400:F1400"/>
    <mergeCell ref="E1401:F1401"/>
    <mergeCell ref="E1402:F1402"/>
    <mergeCell ref="E1403:F1403"/>
    <mergeCell ref="E1404:F1404"/>
    <mergeCell ref="E1405:F1405"/>
    <mergeCell ref="E1406:F1406"/>
    <mergeCell ref="E1407:F1407"/>
    <mergeCell ref="E1416:F1416"/>
    <mergeCell ref="E1419:F1419"/>
    <mergeCell ref="E1420:F1420"/>
    <mergeCell ref="E1421:F1421"/>
    <mergeCell ref="E1422:F1422"/>
    <mergeCell ref="E1423:F1423"/>
    <mergeCell ref="E1424:F1424"/>
    <mergeCell ref="E1425:F1425"/>
    <mergeCell ref="E1426:F1426"/>
    <mergeCell ref="E1427:F1427"/>
    <mergeCell ref="E1428:F1428"/>
    <mergeCell ref="E1429:F1429"/>
    <mergeCell ref="E1430:F1430"/>
    <mergeCell ref="E1431:F1431"/>
    <mergeCell ref="E1432:F1432"/>
    <mergeCell ref="E1433:F1433"/>
    <mergeCell ref="E1535:F1535"/>
    <mergeCell ref="E1536:F1536"/>
    <mergeCell ref="E1537:F1537"/>
    <mergeCell ref="E1538:F1538"/>
    <mergeCell ref="E1539:F1539"/>
    <mergeCell ref="E1540:F1540"/>
    <mergeCell ref="E1541:F1541"/>
    <mergeCell ref="E1542:F1542"/>
    <mergeCell ref="E1543:F1543"/>
    <mergeCell ref="E1544:F1544"/>
    <mergeCell ref="E1545:F1545"/>
    <mergeCell ref="E1546:F1546"/>
    <mergeCell ref="E1547:F1547"/>
    <mergeCell ref="E1548:F1548"/>
    <mergeCell ref="E1549:F1549"/>
    <mergeCell ref="E1710:F1710"/>
    <mergeCell ref="E1711:F1711"/>
    <mergeCell ref="E1712:F1712"/>
    <mergeCell ref="E1713:F1713"/>
    <mergeCell ref="E1714:F1714"/>
    <mergeCell ref="E1715:F1715"/>
    <mergeCell ref="E1716:F1716"/>
    <mergeCell ref="E1717:F1717"/>
    <mergeCell ref="E1718:F1718"/>
    <mergeCell ref="E1719:F1719"/>
    <mergeCell ref="E1720:F1720"/>
    <mergeCell ref="E1721:F1721"/>
    <mergeCell ref="E1722:F1722"/>
    <mergeCell ref="E1723:F1723"/>
    <mergeCell ref="E1724:F1724"/>
    <mergeCell ref="E1734:F1734"/>
    <mergeCell ref="B1740:B1742"/>
    <mergeCell ref="C1740:C1742"/>
    <mergeCell ref="D1740:D1742"/>
    <mergeCell ref="E1740:E1742"/>
    <mergeCell ref="F1740:F1742"/>
    <mergeCell ref="G1740:G1742"/>
    <mergeCell ref="H1740:H1742"/>
    <mergeCell ref="I1740:I1742"/>
    <mergeCell ref="J1740:J1742"/>
    <mergeCell ref="K1740:K1742"/>
    <mergeCell ref="L1740:L1742"/>
    <mergeCell ref="M1740:M1742"/>
    <mergeCell ref="B1804:B1805"/>
    <mergeCell ref="C1804:C1805"/>
    <mergeCell ref="D1804:D1805"/>
    <mergeCell ref="E1804:E1805"/>
    <mergeCell ref="F1804:F1805"/>
    <mergeCell ref="G1804:G1805"/>
    <mergeCell ref="H1804:H1805"/>
    <mergeCell ref="I1804:I1805"/>
    <mergeCell ref="J1804:J1805"/>
    <mergeCell ref="K1804:K1805"/>
    <mergeCell ref="L1804:L1805"/>
    <mergeCell ref="M1804:M1805"/>
    <mergeCell ref="B1806:B1807"/>
    <mergeCell ref="C1806:C1807"/>
    <mergeCell ref="D1806:D1807"/>
    <mergeCell ref="E1806:E1807"/>
    <mergeCell ref="F1806:F1807"/>
    <mergeCell ref="G1806:G1807"/>
    <mergeCell ref="H1806:H1807"/>
    <mergeCell ref="I1806:I1807"/>
    <mergeCell ref="J1806:J1807"/>
    <mergeCell ref="K1806:K1807"/>
    <mergeCell ref="L1806:L1807"/>
    <mergeCell ref="M1806:M1807"/>
    <mergeCell ref="B1808:B1809"/>
    <mergeCell ref="C1808:C1809"/>
    <mergeCell ref="D1808:D1809"/>
    <mergeCell ref="E1808:E1809"/>
    <mergeCell ref="F1808:F1809"/>
    <mergeCell ref="G1808:G1809"/>
    <mergeCell ref="H1808:H1809"/>
    <mergeCell ref="I1808:I1809"/>
    <mergeCell ref="J1808:J1809"/>
    <mergeCell ref="K1808:K1809"/>
    <mergeCell ref="L1808:L1809"/>
    <mergeCell ref="M1808:M1809"/>
    <mergeCell ref="B1810:B1811"/>
    <mergeCell ref="C1810:C1811"/>
    <mergeCell ref="D1810:D1811"/>
    <mergeCell ref="E1810:E1811"/>
    <mergeCell ref="F1810:F1811"/>
    <mergeCell ref="G1810:G1811"/>
    <mergeCell ref="H1810:H1811"/>
    <mergeCell ref="I1810:I1811"/>
    <mergeCell ref="J1810:J1811"/>
    <mergeCell ref="K1810:K1811"/>
    <mergeCell ref="L1810:L1811"/>
    <mergeCell ref="M1810:M1811"/>
    <mergeCell ref="B1812:B1813"/>
    <mergeCell ref="C1812:C1813"/>
    <mergeCell ref="D1812:D1813"/>
    <mergeCell ref="E1812:E1813"/>
    <mergeCell ref="F1812:F1813"/>
    <mergeCell ref="G1812:G1813"/>
    <mergeCell ref="H1812:H1813"/>
    <mergeCell ref="I1812:I1813"/>
    <mergeCell ref="J1812:J1813"/>
    <mergeCell ref="K1812:K1813"/>
    <mergeCell ref="L1812:L1813"/>
    <mergeCell ref="M1812:M1813"/>
    <mergeCell ref="B1814:B1815"/>
    <mergeCell ref="C1814:C1815"/>
    <mergeCell ref="D1814:D1815"/>
    <mergeCell ref="E1814:E1815"/>
    <mergeCell ref="F1814:F1815"/>
    <mergeCell ref="G1814:G1815"/>
    <mergeCell ref="H1814:H1815"/>
    <mergeCell ref="I1814:I1815"/>
    <mergeCell ref="J1814:J1815"/>
    <mergeCell ref="K1814:K1815"/>
    <mergeCell ref="L1814:L1815"/>
    <mergeCell ref="M1814:M1815"/>
    <mergeCell ref="B1816:B1817"/>
    <mergeCell ref="C1816:C1817"/>
    <mergeCell ref="D1816:D1817"/>
    <mergeCell ref="E1816:E1817"/>
    <mergeCell ref="F1816:F1817"/>
    <mergeCell ref="G1816:G1817"/>
    <mergeCell ref="H1816:H1817"/>
    <mergeCell ref="I1816:I1817"/>
    <mergeCell ref="J1816:J1817"/>
    <mergeCell ref="K1816:K1817"/>
    <mergeCell ref="L1816:L1817"/>
    <mergeCell ref="M1816:M1817"/>
    <mergeCell ref="B1818:B1819"/>
    <mergeCell ref="C1818:C1819"/>
    <mergeCell ref="D1818:D1819"/>
    <mergeCell ref="E1818:E1819"/>
    <mergeCell ref="F1818:F1819"/>
    <mergeCell ref="G1818:G1819"/>
    <mergeCell ref="H1818:H1819"/>
    <mergeCell ref="I1818:I1819"/>
    <mergeCell ref="J1818:J1819"/>
    <mergeCell ref="K1818:K1819"/>
    <mergeCell ref="L1818:L1819"/>
    <mergeCell ref="M1818:M1819"/>
    <mergeCell ref="B1820:B1821"/>
    <mergeCell ref="C1820:C1821"/>
    <mergeCell ref="D1820:D1821"/>
    <mergeCell ref="E1820:E1821"/>
    <mergeCell ref="F1820:F1821"/>
    <mergeCell ref="G1820:G1821"/>
    <mergeCell ref="H1820:H1821"/>
    <mergeCell ref="I1820:I1821"/>
    <mergeCell ref="J1820:J1821"/>
    <mergeCell ref="K1820:K1821"/>
    <mergeCell ref="L1820:L1821"/>
    <mergeCell ref="M1820:M1821"/>
    <mergeCell ref="B1822:B1823"/>
    <mergeCell ref="C1822:C1823"/>
    <mergeCell ref="D1822:D1823"/>
    <mergeCell ref="E1822:E1823"/>
    <mergeCell ref="F1822:F1823"/>
    <mergeCell ref="G1822:G1823"/>
    <mergeCell ref="H1822:H1823"/>
    <mergeCell ref="I1822:I1823"/>
    <mergeCell ref="J1822:J1823"/>
    <mergeCell ref="K1822:K1823"/>
    <mergeCell ref="L1822:L1823"/>
    <mergeCell ref="M1822:M1823"/>
    <mergeCell ref="B1824:B1825"/>
    <mergeCell ref="C1824:C1825"/>
    <mergeCell ref="D1824:D1825"/>
    <mergeCell ref="E1824:E1825"/>
    <mergeCell ref="F1824:F1825"/>
    <mergeCell ref="G1824:G1825"/>
    <mergeCell ref="H1824:H1825"/>
    <mergeCell ref="I1824:I1825"/>
    <mergeCell ref="J1824:J1825"/>
    <mergeCell ref="K1824:K1825"/>
    <mergeCell ref="L1824:L1825"/>
    <mergeCell ref="M1824:M1825"/>
    <mergeCell ref="B1826:B1827"/>
    <mergeCell ref="C1826:C1827"/>
    <mergeCell ref="D1826:D1827"/>
    <mergeCell ref="E1826:E1827"/>
    <mergeCell ref="F1826:F1827"/>
    <mergeCell ref="G1826:G1827"/>
    <mergeCell ref="H1826:H1827"/>
    <mergeCell ref="I1826:I1827"/>
    <mergeCell ref="J1826:J1827"/>
    <mergeCell ref="K1826:K1827"/>
    <mergeCell ref="L1826:L1827"/>
    <mergeCell ref="M1826:M1827"/>
    <mergeCell ref="B1828:B1829"/>
    <mergeCell ref="C1828:C1829"/>
    <mergeCell ref="D1828:D1829"/>
    <mergeCell ref="E1828:E1829"/>
    <mergeCell ref="F1828:F1829"/>
    <mergeCell ref="G1828:G1829"/>
    <mergeCell ref="H1828:H1829"/>
    <mergeCell ref="I1828:I1829"/>
    <mergeCell ref="J1828:J1829"/>
    <mergeCell ref="K1828:K1829"/>
    <mergeCell ref="L1828:L1829"/>
    <mergeCell ref="M1828:M1829"/>
    <mergeCell ref="B1830:B1831"/>
    <mergeCell ref="C1830:C1831"/>
    <mergeCell ref="D1830:D1831"/>
    <mergeCell ref="E1830:E1831"/>
    <mergeCell ref="F1830:F1831"/>
    <mergeCell ref="G1830:G1831"/>
    <mergeCell ref="H1830:H1831"/>
    <mergeCell ref="I1830:I1831"/>
    <mergeCell ref="J1830:J1831"/>
    <mergeCell ref="K1830:K1831"/>
    <mergeCell ref="L1830:L1831"/>
    <mergeCell ref="M1830:M1831"/>
    <mergeCell ref="B1832:B1833"/>
    <mergeCell ref="C1832:C1833"/>
    <mergeCell ref="D1832:D1833"/>
    <mergeCell ref="E1832:E1833"/>
    <mergeCell ref="F1832:F1833"/>
    <mergeCell ref="G1832:G1833"/>
    <mergeCell ref="H1832:H1833"/>
    <mergeCell ref="I1832:I1833"/>
    <mergeCell ref="J1832:J1833"/>
    <mergeCell ref="K1832:K1833"/>
    <mergeCell ref="L1832:L1833"/>
    <mergeCell ref="M1832:M1833"/>
    <mergeCell ref="B1834:B1835"/>
    <mergeCell ref="C1834:C1835"/>
    <mergeCell ref="D1834:D1835"/>
    <mergeCell ref="E1834:E1835"/>
    <mergeCell ref="F1834:F1835"/>
    <mergeCell ref="G1834:G1835"/>
    <mergeCell ref="H1834:H1835"/>
    <mergeCell ref="I1834:I1835"/>
    <mergeCell ref="J1834:J1835"/>
    <mergeCell ref="K1834:K1835"/>
    <mergeCell ref="L1834:L1835"/>
    <mergeCell ref="M1834:M1835"/>
    <mergeCell ref="B1836:B1837"/>
    <mergeCell ref="C1836:C1837"/>
    <mergeCell ref="D1836:D1837"/>
    <mergeCell ref="E1836:E1837"/>
    <mergeCell ref="F1836:F1837"/>
    <mergeCell ref="G1836:G1837"/>
    <mergeCell ref="H1836:H1837"/>
    <mergeCell ref="I1836:I1837"/>
    <mergeCell ref="J1836:J1837"/>
    <mergeCell ref="K1836:K1837"/>
    <mergeCell ref="L1836:L1837"/>
    <mergeCell ref="M1836:M1837"/>
    <mergeCell ref="B1838:B1839"/>
    <mergeCell ref="C1838:C1839"/>
    <mergeCell ref="D1838:D1839"/>
    <mergeCell ref="E1838:E1839"/>
    <mergeCell ref="F1838:F1839"/>
    <mergeCell ref="G1838:G1839"/>
    <mergeCell ref="H1838:H1839"/>
    <mergeCell ref="I1838:I1839"/>
    <mergeCell ref="J1838:J1839"/>
    <mergeCell ref="K1838:K1839"/>
    <mergeCell ref="L1838:L1839"/>
    <mergeCell ref="M1838:M1839"/>
    <mergeCell ref="B1840:B1841"/>
    <mergeCell ref="C1840:C1841"/>
    <mergeCell ref="D1840:D1841"/>
    <mergeCell ref="E1840:E1841"/>
    <mergeCell ref="F1840:F1841"/>
    <mergeCell ref="G1840:G1841"/>
    <mergeCell ref="H1840:H1841"/>
    <mergeCell ref="I1840:I1841"/>
    <mergeCell ref="J1840:J1841"/>
    <mergeCell ref="K1840:K1841"/>
    <mergeCell ref="L1840:L1841"/>
    <mergeCell ref="M1840:M1841"/>
    <mergeCell ref="B1842:B1843"/>
    <mergeCell ref="C1842:C1843"/>
    <mergeCell ref="D1842:D1843"/>
    <mergeCell ref="E1842:E1843"/>
    <mergeCell ref="F1842:F1843"/>
    <mergeCell ref="G1842:G1843"/>
    <mergeCell ref="H1842:H1843"/>
    <mergeCell ref="I1842:I1843"/>
    <mergeCell ref="J1842:J1843"/>
    <mergeCell ref="K1842:K1843"/>
    <mergeCell ref="L1842:L1843"/>
    <mergeCell ref="M1842:M1843"/>
    <mergeCell ref="B1844:B1845"/>
    <mergeCell ref="C1844:C1845"/>
    <mergeCell ref="D1844:D1845"/>
    <mergeCell ref="E1844:E1845"/>
    <mergeCell ref="F1844:F1845"/>
    <mergeCell ref="G1844:G1845"/>
    <mergeCell ref="H1844:H1845"/>
    <mergeCell ref="I1844:I1845"/>
    <mergeCell ref="J1844:J1845"/>
    <mergeCell ref="K1844:K1845"/>
    <mergeCell ref="L1844:L1845"/>
    <mergeCell ref="M1844:M1845"/>
    <mergeCell ref="B1846:B1847"/>
    <mergeCell ref="C1846:C1847"/>
    <mergeCell ref="D1846:D1847"/>
    <mergeCell ref="E1846:E1847"/>
    <mergeCell ref="F1846:F1847"/>
    <mergeCell ref="G1846:G1847"/>
    <mergeCell ref="H1846:H1847"/>
    <mergeCell ref="I1846:I1847"/>
    <mergeCell ref="J1846:J1847"/>
    <mergeCell ref="K1846:K1847"/>
    <mergeCell ref="L1846:L1847"/>
    <mergeCell ref="M1846:M1847"/>
    <mergeCell ref="B1848:B1849"/>
    <mergeCell ref="C1848:C1849"/>
    <mergeCell ref="D1848:D1849"/>
    <mergeCell ref="E1848:E1849"/>
    <mergeCell ref="F1848:F1849"/>
    <mergeCell ref="G1848:G1849"/>
    <mergeCell ref="H1848:H1849"/>
    <mergeCell ref="I1848:I1849"/>
    <mergeCell ref="J1848:J1849"/>
    <mergeCell ref="K1848:K1849"/>
    <mergeCell ref="L1848:L1849"/>
    <mergeCell ref="M1848:M1849"/>
    <mergeCell ref="B1850:B1851"/>
    <mergeCell ref="C1850:C1851"/>
    <mergeCell ref="D1850:D1851"/>
    <mergeCell ref="E1850:E1851"/>
    <mergeCell ref="F1850:F1851"/>
    <mergeCell ref="G1850:G1851"/>
    <mergeCell ref="H1850:H1851"/>
    <mergeCell ref="I1850:I1851"/>
    <mergeCell ref="J1850:J1851"/>
    <mergeCell ref="K1850:K1851"/>
    <mergeCell ref="L1850:L1851"/>
    <mergeCell ref="M1850:M1851"/>
    <mergeCell ref="B1852:B1853"/>
    <mergeCell ref="C1852:C1853"/>
    <mergeCell ref="D1852:D1853"/>
    <mergeCell ref="E1852:E1853"/>
    <mergeCell ref="F1852:F1853"/>
    <mergeCell ref="G1852:G1853"/>
    <mergeCell ref="H1852:H1853"/>
    <mergeCell ref="I1852:I1853"/>
    <mergeCell ref="J1852:J1853"/>
    <mergeCell ref="K1852:K1853"/>
    <mergeCell ref="L1852:L1853"/>
    <mergeCell ref="M1852:M1853"/>
    <mergeCell ref="B1854:B1855"/>
    <mergeCell ref="C1854:C1855"/>
    <mergeCell ref="D1854:D1855"/>
    <mergeCell ref="E1854:E1855"/>
    <mergeCell ref="F1854:F1855"/>
    <mergeCell ref="G1854:G1855"/>
    <mergeCell ref="H1854:H1855"/>
    <mergeCell ref="I1854:I1855"/>
    <mergeCell ref="J1854:J1855"/>
    <mergeCell ref="K1854:K1855"/>
    <mergeCell ref="L1854:L1855"/>
    <mergeCell ref="M1854:M1855"/>
    <mergeCell ref="B1856:B1857"/>
    <mergeCell ref="C1856:C1857"/>
    <mergeCell ref="D1856:D1857"/>
    <mergeCell ref="E1856:E1857"/>
    <mergeCell ref="F1856:F1857"/>
    <mergeCell ref="G1856:G1857"/>
    <mergeCell ref="H1856:H1857"/>
    <mergeCell ref="I1856:I1857"/>
    <mergeCell ref="J1856:J1857"/>
    <mergeCell ref="K1856:K1857"/>
    <mergeCell ref="L1856:L1857"/>
    <mergeCell ref="M1856:M1857"/>
    <mergeCell ref="B1858:B1859"/>
    <mergeCell ref="C1858:C1859"/>
    <mergeCell ref="D1858:D1859"/>
    <mergeCell ref="E1858:E1859"/>
    <mergeCell ref="F1858:F1859"/>
    <mergeCell ref="G1858:G1859"/>
    <mergeCell ref="H1858:H1859"/>
    <mergeCell ref="I1858:I1859"/>
    <mergeCell ref="J1858:J1859"/>
    <mergeCell ref="K1858:K1859"/>
    <mergeCell ref="L1858:L1859"/>
    <mergeCell ref="M1858:M1859"/>
    <mergeCell ref="B1860:B1861"/>
    <mergeCell ref="C1860:C1861"/>
    <mergeCell ref="D1860:D1861"/>
    <mergeCell ref="E1860:E1861"/>
    <mergeCell ref="F1860:F1861"/>
    <mergeCell ref="G1860:G1861"/>
    <mergeCell ref="H1860:H1861"/>
    <mergeCell ref="I1860:I1861"/>
    <mergeCell ref="J1860:J1861"/>
    <mergeCell ref="K1860:K1861"/>
    <mergeCell ref="L1860:L1861"/>
    <mergeCell ref="M1860:M1861"/>
    <mergeCell ref="B1862:B1863"/>
    <mergeCell ref="C1862:C1863"/>
    <mergeCell ref="D1862:D1863"/>
    <mergeCell ref="E1862:E1863"/>
    <mergeCell ref="F1862:F1863"/>
    <mergeCell ref="G1862:G1863"/>
    <mergeCell ref="H1862:H1863"/>
    <mergeCell ref="I1862:I1863"/>
    <mergeCell ref="J1862:J1863"/>
    <mergeCell ref="K1862:K1863"/>
    <mergeCell ref="L1862:L1863"/>
    <mergeCell ref="M1862:M1863"/>
    <mergeCell ref="B1864:B1865"/>
    <mergeCell ref="C1864:C1865"/>
    <mergeCell ref="D1864:D1865"/>
    <mergeCell ref="E1864:E1865"/>
    <mergeCell ref="F1864:F1865"/>
    <mergeCell ref="G1864:G1865"/>
    <mergeCell ref="H1864:H1865"/>
    <mergeCell ref="I1864:I1865"/>
    <mergeCell ref="J1864:J1865"/>
    <mergeCell ref="K1864:K1865"/>
    <mergeCell ref="L1864:L1865"/>
    <mergeCell ref="M1864:M1865"/>
    <mergeCell ref="B1866:B1867"/>
    <mergeCell ref="C1866:C1867"/>
    <mergeCell ref="D1866:D1867"/>
    <mergeCell ref="E1866:E1867"/>
    <mergeCell ref="F1866:F1867"/>
    <mergeCell ref="G1866:G1867"/>
    <mergeCell ref="H1866:H1867"/>
    <mergeCell ref="I1866:I1867"/>
    <mergeCell ref="J1866:J1867"/>
    <mergeCell ref="K1866:K1867"/>
    <mergeCell ref="L1866:L1867"/>
    <mergeCell ref="M1866:M1867"/>
    <mergeCell ref="B1868:B1869"/>
    <mergeCell ref="C1868:C1869"/>
    <mergeCell ref="D1868:D1869"/>
    <mergeCell ref="E1868:E1869"/>
    <mergeCell ref="F1868:F1869"/>
    <mergeCell ref="G1868:G1869"/>
    <mergeCell ref="H1868:H1869"/>
    <mergeCell ref="I1868:I1869"/>
    <mergeCell ref="J1868:J1869"/>
    <mergeCell ref="K1868:K1869"/>
    <mergeCell ref="L1868:L1869"/>
    <mergeCell ref="M1868:M1869"/>
    <mergeCell ref="B1870:B1871"/>
    <mergeCell ref="C1870:C1871"/>
    <mergeCell ref="D1870:D1871"/>
    <mergeCell ref="E1870:E1871"/>
    <mergeCell ref="F1870:F1871"/>
    <mergeCell ref="G1870:G1871"/>
    <mergeCell ref="H1870:H1871"/>
    <mergeCell ref="I1870:I1871"/>
    <mergeCell ref="J1870:J1871"/>
    <mergeCell ref="K1870:K1871"/>
    <mergeCell ref="L1870:L1871"/>
    <mergeCell ref="M1870:M1871"/>
    <mergeCell ref="E1895:F1895"/>
    <mergeCell ref="E1902:F1902"/>
    <mergeCell ref="E1903:F1903"/>
    <mergeCell ref="E1904:F1904"/>
    <mergeCell ref="E1905:F1905"/>
    <mergeCell ref="E1906:F1906"/>
    <mergeCell ref="E1907:F1907"/>
    <mergeCell ref="E1908:F1908"/>
    <mergeCell ref="E1909:F1909"/>
    <mergeCell ref="E1910:F1910"/>
    <mergeCell ref="E1911:F1911"/>
    <mergeCell ref="E1912:F1912"/>
    <mergeCell ref="E1913:F1913"/>
    <mergeCell ref="E1914:F1914"/>
    <mergeCell ref="E1915:F1915"/>
    <mergeCell ref="E1916:F1916"/>
    <mergeCell ref="E1917:F1917"/>
    <mergeCell ref="E1918:F1918"/>
    <mergeCell ref="E1919:F1919"/>
    <mergeCell ref="E1920:F1920"/>
    <mergeCell ref="E1921:F1921"/>
    <mergeCell ref="E1922:F1922"/>
    <mergeCell ref="E1923:F1923"/>
    <mergeCell ref="E1924:F1924"/>
    <mergeCell ref="E1925:F1925"/>
    <mergeCell ref="E1926:F1926"/>
    <mergeCell ref="E1927:F1927"/>
    <mergeCell ref="E1928:F1928"/>
    <mergeCell ref="E1929:F1929"/>
    <mergeCell ref="E1930:F1930"/>
    <mergeCell ref="E2223:F2223"/>
    <mergeCell ref="E2259:F2259"/>
    <mergeCell ref="E2260:F2260"/>
    <mergeCell ref="E2261:F2261"/>
    <mergeCell ref="E2262:F2262"/>
    <mergeCell ref="E2263:F2263"/>
    <mergeCell ref="E2264:F2264"/>
    <mergeCell ref="E2265:F2265"/>
    <mergeCell ref="E2266:F2266"/>
    <mergeCell ref="E2267:F2267"/>
    <mergeCell ref="E2268:F2268"/>
    <mergeCell ref="E2269:F2269"/>
    <mergeCell ref="E2270:F2270"/>
    <mergeCell ref="E2271:F2271"/>
    <mergeCell ref="E2272:F2272"/>
    <mergeCell ref="E2273:F2273"/>
    <mergeCell ref="E2351:F2351"/>
    <mergeCell ref="E2352:F2352"/>
    <mergeCell ref="E2353:F2353"/>
    <mergeCell ref="E2354:F2354"/>
    <mergeCell ref="E2355:F2355"/>
    <mergeCell ref="E2356:F2356"/>
    <mergeCell ref="E2357:F2357"/>
    <mergeCell ref="E2358:F2358"/>
    <mergeCell ref="E2359:F2359"/>
    <mergeCell ref="E2360:F2360"/>
    <mergeCell ref="E2361:F2361"/>
    <mergeCell ref="E2362:F2362"/>
    <mergeCell ref="E2363:F2363"/>
    <mergeCell ref="E2364:F2364"/>
    <mergeCell ref="E2365:F2365"/>
    <mergeCell ref="E2549:F2549"/>
    <mergeCell ref="E2550:F2550"/>
    <mergeCell ref="E2551:F2551"/>
    <mergeCell ref="E2552:F2552"/>
    <mergeCell ref="E2553:F2553"/>
    <mergeCell ref="E2554:F2554"/>
    <mergeCell ref="E2555:F2555"/>
    <mergeCell ref="E2556:F2556"/>
    <mergeCell ref="E2557:F2557"/>
    <mergeCell ref="E2558:F2558"/>
    <mergeCell ref="E2559:F2559"/>
    <mergeCell ref="E2560:F2560"/>
    <mergeCell ref="E2561:F2561"/>
    <mergeCell ref="E2562:F2562"/>
    <mergeCell ref="E2563:F2563"/>
    <mergeCell ref="E2780:F2780"/>
    <mergeCell ref="E2781:F2781"/>
    <mergeCell ref="E2782:F2782"/>
    <mergeCell ref="E2783:F2783"/>
    <mergeCell ref="E2784:F2784"/>
    <mergeCell ref="E2785:F2785"/>
    <mergeCell ref="E2786:F2786"/>
    <mergeCell ref="E2787:F2787"/>
    <mergeCell ref="E2788:F2788"/>
    <mergeCell ref="E2789:F2789"/>
    <mergeCell ref="E2790:F2790"/>
    <mergeCell ref="E2791:F2791"/>
    <mergeCell ref="E2792:F2792"/>
    <mergeCell ref="E2793:F2793"/>
    <mergeCell ref="E2794:F2794"/>
    <mergeCell ref="E2795:F2795"/>
    <mergeCell ref="E2796:F2796"/>
    <mergeCell ref="E2797:F2797"/>
    <mergeCell ref="E2798:F2798"/>
    <mergeCell ref="E2799:F2799"/>
    <mergeCell ref="E2800:F2800"/>
    <mergeCell ref="E2801:F2801"/>
    <mergeCell ref="E2802:F2802"/>
    <mergeCell ref="E2803:F2803"/>
    <mergeCell ref="E2804:F2804"/>
    <mergeCell ref="E2805:F2805"/>
    <mergeCell ref="E2806:F2806"/>
    <mergeCell ref="E2807:F2807"/>
    <mergeCell ref="E2808:F2808"/>
    <mergeCell ref="E2809:F2809"/>
    <mergeCell ref="E2810:F2810"/>
    <mergeCell ref="E2811:F2811"/>
    <mergeCell ref="E2812:F2812"/>
    <mergeCell ref="E2813:F2813"/>
    <mergeCell ref="E2814:F2814"/>
    <mergeCell ref="E2815:F2815"/>
    <mergeCell ref="E2816:F2816"/>
    <mergeCell ref="E2817:F2817"/>
    <mergeCell ref="E2818:F2818"/>
    <mergeCell ref="E2819:F2819"/>
    <mergeCell ref="E2820:F2820"/>
    <mergeCell ref="E2821:F2821"/>
    <mergeCell ref="E2822:F2822"/>
    <mergeCell ref="E2823:F2823"/>
    <mergeCell ref="E2824:F2824"/>
    <mergeCell ref="E2825:F2825"/>
    <mergeCell ref="E2826:F2826"/>
    <mergeCell ref="E2827:F2827"/>
    <mergeCell ref="E2828:F2828"/>
    <mergeCell ref="E2829:F2829"/>
    <mergeCell ref="E2830:F2830"/>
    <mergeCell ref="E2831:F2831"/>
    <mergeCell ref="E2832:F2832"/>
    <mergeCell ref="E2833:F2833"/>
    <mergeCell ref="E2834:F2834"/>
    <mergeCell ref="E2835:F2835"/>
    <mergeCell ref="E2836:F2836"/>
    <mergeCell ref="E2837:F2837"/>
    <mergeCell ref="E2838:F2838"/>
    <mergeCell ref="E2839:F2839"/>
    <mergeCell ref="E2840:F2840"/>
    <mergeCell ref="E2841:F2841"/>
    <mergeCell ref="E2842:F2842"/>
    <mergeCell ref="E2843:F2843"/>
    <mergeCell ref="E2844:F2844"/>
    <mergeCell ref="E2845:F2845"/>
    <mergeCell ref="E2846:F2846"/>
    <mergeCell ref="E2847:F2847"/>
    <mergeCell ref="E2848:F2848"/>
    <mergeCell ref="E2849:F2849"/>
    <mergeCell ref="E2850:F2850"/>
    <mergeCell ref="E2851:F2851"/>
    <mergeCell ref="E2852:F2852"/>
    <mergeCell ref="E2853:F2853"/>
    <mergeCell ref="E2854:F2854"/>
    <mergeCell ref="E2855:F2855"/>
    <mergeCell ref="E2856:F2856"/>
    <mergeCell ref="E2857:F2857"/>
    <mergeCell ref="E2858:F2858"/>
    <mergeCell ref="E2859:F2859"/>
    <mergeCell ref="E2860:F2860"/>
    <mergeCell ref="E2861:F2861"/>
    <mergeCell ref="E2862:F2862"/>
    <mergeCell ref="E2863:F2863"/>
    <mergeCell ref="E2864:F2864"/>
    <mergeCell ref="E2865:F2865"/>
    <mergeCell ref="E2866:F2866"/>
    <mergeCell ref="E2867:F2867"/>
    <mergeCell ref="E2868:F2868"/>
    <mergeCell ref="E2869:F2869"/>
    <mergeCell ref="E2870:F2870"/>
    <mergeCell ref="E2871:F2871"/>
    <mergeCell ref="E2872:F2872"/>
    <mergeCell ref="E2873:F2873"/>
    <mergeCell ref="E2874:F2874"/>
    <mergeCell ref="E2875:F2875"/>
    <mergeCell ref="E2876:F2876"/>
    <mergeCell ref="E2877:F2877"/>
    <mergeCell ref="E2878:F2878"/>
    <mergeCell ref="E2879:F2879"/>
    <mergeCell ref="E2880:F2880"/>
    <mergeCell ref="E2881:F2881"/>
    <mergeCell ref="E2882:F2882"/>
    <mergeCell ref="E2883:F2883"/>
    <mergeCell ref="E2884:F2884"/>
    <mergeCell ref="E2885:F2885"/>
    <mergeCell ref="E2886:F2886"/>
    <mergeCell ref="E2887:F2887"/>
    <mergeCell ref="E2888:F2888"/>
    <mergeCell ref="E2889:F2889"/>
    <mergeCell ref="E2890:F2890"/>
    <mergeCell ref="E2891:F2891"/>
    <mergeCell ref="E2892:F2892"/>
    <mergeCell ref="E2893:F2893"/>
    <mergeCell ref="E2894:F2894"/>
    <mergeCell ref="E2895:F2895"/>
    <mergeCell ref="E2896:F2896"/>
    <mergeCell ref="E2897:F2897"/>
    <mergeCell ref="E2898:F2898"/>
    <mergeCell ref="E2899:F2899"/>
    <mergeCell ref="E2900:F2900"/>
    <mergeCell ref="E2901:F2901"/>
    <mergeCell ref="E2902:F2902"/>
    <mergeCell ref="E2903:F2903"/>
    <mergeCell ref="E2904:F2904"/>
    <mergeCell ref="E2905:F2905"/>
    <mergeCell ref="E2906:F2906"/>
    <mergeCell ref="E2907:F2907"/>
    <mergeCell ref="E2908:F2908"/>
    <mergeCell ref="E2909:F2909"/>
    <mergeCell ref="E2910:F2910"/>
    <mergeCell ref="E2911:F2911"/>
    <mergeCell ref="E2912:F2912"/>
    <mergeCell ref="E2913:F2913"/>
    <mergeCell ref="E2914:F2914"/>
    <mergeCell ref="E2915:F2915"/>
    <mergeCell ref="E2916:F2916"/>
    <mergeCell ref="E2917:F2917"/>
    <mergeCell ref="E2918:F2918"/>
    <mergeCell ref="E2919:F2919"/>
    <mergeCell ref="E2920:F2920"/>
    <mergeCell ref="E2921:F2921"/>
    <mergeCell ref="E2922:F2922"/>
    <mergeCell ref="E2923:F2923"/>
    <mergeCell ref="E2924:F2924"/>
    <mergeCell ref="E2925:F2925"/>
    <mergeCell ref="E2926:F2926"/>
    <mergeCell ref="E2927:F2927"/>
    <mergeCell ref="E2928:F2928"/>
    <mergeCell ref="E2929:F2929"/>
    <mergeCell ref="E2930:F2930"/>
    <mergeCell ref="E2931:F2931"/>
    <mergeCell ref="E2932:F2932"/>
    <mergeCell ref="E2933:F2933"/>
    <mergeCell ref="E2934:F2934"/>
    <mergeCell ref="E2935:F2935"/>
    <mergeCell ref="E2936:F2936"/>
    <mergeCell ref="E2937:F2937"/>
    <mergeCell ref="E2938:F2938"/>
    <mergeCell ref="E2939:F2939"/>
    <mergeCell ref="E2940:F2940"/>
    <mergeCell ref="E2941:F2941"/>
    <mergeCell ref="E2942:F2942"/>
    <mergeCell ref="E2943:F2943"/>
    <mergeCell ref="E2944:F2944"/>
    <mergeCell ref="E2945:F2945"/>
    <mergeCell ref="E2946:F2946"/>
    <mergeCell ref="E2947:F2947"/>
    <mergeCell ref="E2948:F2948"/>
    <mergeCell ref="E2949:F2949"/>
    <mergeCell ref="E2950:F2950"/>
    <mergeCell ref="E2951:F2951"/>
    <mergeCell ref="E2952:F2952"/>
    <mergeCell ref="E2953:F2953"/>
    <mergeCell ref="E2954:F2954"/>
    <mergeCell ref="E2955:F2955"/>
    <mergeCell ref="E2956:F2956"/>
    <mergeCell ref="E2957:F2957"/>
    <mergeCell ref="E2958:F2958"/>
    <mergeCell ref="E2959:F2959"/>
    <mergeCell ref="E2960:F2960"/>
    <mergeCell ref="E2961:F2961"/>
    <mergeCell ref="E2962:F2962"/>
    <mergeCell ref="E2963:F2963"/>
    <mergeCell ref="E2964:F2964"/>
    <mergeCell ref="E2965:F2965"/>
    <mergeCell ref="E2966:F2966"/>
    <mergeCell ref="E2967:F2967"/>
    <mergeCell ref="E2968:F2968"/>
    <mergeCell ref="E2969:F2969"/>
    <mergeCell ref="E2970:F2970"/>
    <mergeCell ref="E2971:F2971"/>
    <mergeCell ref="E2972:F2972"/>
    <mergeCell ref="E2973:F2973"/>
    <mergeCell ref="E2974:F2974"/>
    <mergeCell ref="E2975:F2975"/>
    <mergeCell ref="E2976:F2976"/>
    <mergeCell ref="E2977:F2977"/>
    <mergeCell ref="E2978:F2978"/>
    <mergeCell ref="E2979:F2979"/>
    <mergeCell ref="E2980:F2980"/>
    <mergeCell ref="E2981:F2981"/>
    <mergeCell ref="E2982:F2982"/>
    <mergeCell ref="E2983:F2983"/>
    <mergeCell ref="E2984:F2984"/>
    <mergeCell ref="E2985:F2985"/>
    <mergeCell ref="E2986:F2986"/>
    <mergeCell ref="E2987:F2987"/>
    <mergeCell ref="E2988:F2988"/>
    <mergeCell ref="E2989:F2989"/>
    <mergeCell ref="E2990:F2990"/>
    <mergeCell ref="E2991:F2991"/>
    <mergeCell ref="E2992:F2992"/>
    <mergeCell ref="E2993:F2993"/>
    <mergeCell ref="E2994:F2994"/>
    <mergeCell ref="E2995:F2995"/>
    <mergeCell ref="E2996:F2996"/>
    <mergeCell ref="E2997:F2997"/>
    <mergeCell ref="E2998:F2998"/>
    <mergeCell ref="E2999:F2999"/>
    <mergeCell ref="E3000:F3000"/>
    <mergeCell ref="E3001:F3001"/>
    <mergeCell ref="E3002:F3002"/>
    <mergeCell ref="E3003:F3003"/>
    <mergeCell ref="E3004:F3004"/>
    <mergeCell ref="E3005:F3005"/>
    <mergeCell ref="E3006:F3006"/>
    <mergeCell ref="E3007:F3007"/>
    <mergeCell ref="E3008:F3008"/>
    <mergeCell ref="E3009:F3009"/>
    <mergeCell ref="E3010:F3010"/>
    <mergeCell ref="E3011:F3011"/>
    <mergeCell ref="E3012:F3012"/>
    <mergeCell ref="E3013:F3013"/>
    <mergeCell ref="E3014:F3014"/>
    <mergeCell ref="E3015:F3015"/>
    <mergeCell ref="E3016:F3016"/>
    <mergeCell ref="E3017:F3017"/>
    <mergeCell ref="E3018:F3018"/>
    <mergeCell ref="E3019:F3019"/>
    <mergeCell ref="E3020:F3020"/>
    <mergeCell ref="E3021:F3021"/>
    <mergeCell ref="E3022:F3022"/>
    <mergeCell ref="E3023:F3023"/>
    <mergeCell ref="E3024:F3024"/>
    <mergeCell ref="E3025:F3025"/>
    <mergeCell ref="E3026:F3026"/>
    <mergeCell ref="E3027:F3027"/>
    <mergeCell ref="E3028:F3028"/>
    <mergeCell ref="E3029:F3029"/>
    <mergeCell ref="E3030:F3030"/>
    <mergeCell ref="E3031:F3031"/>
    <mergeCell ref="E3032:F3032"/>
    <mergeCell ref="E3033:F3033"/>
    <mergeCell ref="E3034:F3034"/>
    <mergeCell ref="E3035:F3035"/>
    <mergeCell ref="E3036:F3036"/>
    <mergeCell ref="E3037:F3037"/>
    <mergeCell ref="E3038:F3038"/>
    <mergeCell ref="E3039:F3039"/>
    <mergeCell ref="E3040:F3040"/>
    <mergeCell ref="E3041:F3041"/>
    <mergeCell ref="E3042:F3042"/>
    <mergeCell ref="E3043:F3043"/>
    <mergeCell ref="E3044:F3044"/>
    <mergeCell ref="E3045:F3045"/>
    <mergeCell ref="E3046:F3046"/>
    <mergeCell ref="E3047:F3047"/>
    <mergeCell ref="E3048:F3048"/>
    <mergeCell ref="E3049:F3049"/>
    <mergeCell ref="E3050:F3050"/>
    <mergeCell ref="E3051:F3051"/>
    <mergeCell ref="E3052:F3052"/>
    <mergeCell ref="E3053:F3053"/>
    <mergeCell ref="E3054:F3054"/>
    <mergeCell ref="E3055:F3055"/>
    <mergeCell ref="E3056:F3056"/>
    <mergeCell ref="E3057:F3057"/>
    <mergeCell ref="E3058:F3058"/>
    <mergeCell ref="E3059:F3059"/>
    <mergeCell ref="E3060:F3060"/>
    <mergeCell ref="E3061:F3061"/>
    <mergeCell ref="E3062:F3062"/>
    <mergeCell ref="E3063:F3063"/>
    <mergeCell ref="E3064:F3064"/>
    <mergeCell ref="E3065:F3065"/>
    <mergeCell ref="E3066:F3066"/>
    <mergeCell ref="E3067:F3067"/>
    <mergeCell ref="E3068:F3068"/>
    <mergeCell ref="E3069:F3069"/>
    <mergeCell ref="E3070:F3070"/>
    <mergeCell ref="E3071:F3071"/>
    <mergeCell ref="E3072:F3072"/>
    <mergeCell ref="E3073:F3073"/>
    <mergeCell ref="E3074:F3074"/>
    <mergeCell ref="E3075:F3075"/>
    <mergeCell ref="E3076:F3076"/>
    <mergeCell ref="E3077:F3077"/>
    <mergeCell ref="E3078:F3078"/>
    <mergeCell ref="E3079:F3079"/>
    <mergeCell ref="E3080:F3080"/>
    <mergeCell ref="E3081:F3081"/>
    <mergeCell ref="E3082:F3082"/>
    <mergeCell ref="E3083:F3083"/>
    <mergeCell ref="E3084:F3084"/>
    <mergeCell ref="E3085:F3085"/>
    <mergeCell ref="E3086:F3086"/>
    <mergeCell ref="E3087:F3087"/>
    <mergeCell ref="E3088:F3088"/>
    <mergeCell ref="E3089:F3089"/>
    <mergeCell ref="E3090:F3090"/>
    <mergeCell ref="E3091:F3091"/>
    <mergeCell ref="E3092:F3092"/>
    <mergeCell ref="E3093:F3093"/>
    <mergeCell ref="E3094:F3094"/>
    <mergeCell ref="E3095:F3095"/>
    <mergeCell ref="E3096:F3096"/>
    <mergeCell ref="E3097:F3097"/>
    <mergeCell ref="E3098:F3098"/>
    <mergeCell ref="E3099:F3099"/>
    <mergeCell ref="E3100:F3100"/>
    <mergeCell ref="E3101:F3101"/>
    <mergeCell ref="E3102:F3102"/>
    <mergeCell ref="E3103:F3103"/>
    <mergeCell ref="E3104:F3104"/>
    <mergeCell ref="E3105:F3105"/>
    <mergeCell ref="E3106:F3106"/>
    <mergeCell ref="E3107:F3107"/>
    <mergeCell ref="E3108:F3108"/>
    <mergeCell ref="E3109:F3109"/>
    <mergeCell ref="E3110:F3110"/>
    <mergeCell ref="E3111:F3111"/>
    <mergeCell ref="E3112:F3112"/>
    <mergeCell ref="E3113:F3113"/>
    <mergeCell ref="E3114:F3114"/>
    <mergeCell ref="E3115:F3115"/>
    <mergeCell ref="E3116:F3116"/>
    <mergeCell ref="E3117:F3117"/>
    <mergeCell ref="E3118:F3118"/>
    <mergeCell ref="E3119:F3119"/>
    <mergeCell ref="E3120:F3120"/>
    <mergeCell ref="E3121:F3121"/>
    <mergeCell ref="E3122:F3122"/>
    <mergeCell ref="E3123:F3123"/>
    <mergeCell ref="E3124:F3124"/>
    <mergeCell ref="E3125:F3125"/>
    <mergeCell ref="E3126:F3126"/>
    <mergeCell ref="E3127:F3127"/>
    <mergeCell ref="E3128:F3128"/>
    <mergeCell ref="E3129:F3129"/>
    <mergeCell ref="E3130:F3130"/>
    <mergeCell ref="E3131:F3131"/>
    <mergeCell ref="E3132:F3132"/>
    <mergeCell ref="E3133:F3133"/>
    <mergeCell ref="E3134:F3134"/>
    <mergeCell ref="E3135:F3135"/>
    <mergeCell ref="E3136:F3136"/>
    <mergeCell ref="E3137:F3137"/>
    <mergeCell ref="E3138:F3138"/>
    <mergeCell ref="E3139:F3139"/>
    <mergeCell ref="E3140:F3140"/>
    <mergeCell ref="E3141:F3141"/>
    <mergeCell ref="E3142:F3142"/>
    <mergeCell ref="E3143:F3143"/>
    <mergeCell ref="E3144:F3144"/>
    <mergeCell ref="E3145:F3145"/>
    <mergeCell ref="E3146:F3146"/>
    <mergeCell ref="E3147:F3147"/>
    <mergeCell ref="E3148:F3148"/>
    <mergeCell ref="E3149:F3149"/>
    <mergeCell ref="E3150:F3150"/>
    <mergeCell ref="E3151:F3151"/>
    <mergeCell ref="E3152:F3152"/>
    <mergeCell ref="E3153:F3153"/>
    <mergeCell ref="E3154:F3154"/>
    <mergeCell ref="E3155:F3155"/>
    <mergeCell ref="E3156:F3156"/>
    <mergeCell ref="E3157:F3157"/>
    <mergeCell ref="E3158:F3158"/>
    <mergeCell ref="E3159:F3159"/>
    <mergeCell ref="E3160:F3160"/>
    <mergeCell ref="E3161:F3161"/>
    <mergeCell ref="E3162:F3162"/>
    <mergeCell ref="E3163:F3163"/>
    <mergeCell ref="E3164:F3164"/>
    <mergeCell ref="E3165:F3165"/>
    <mergeCell ref="E3166:F3166"/>
    <mergeCell ref="E3167:F3167"/>
    <mergeCell ref="E3168:F3168"/>
    <mergeCell ref="E3169:F3169"/>
    <mergeCell ref="E3170:F3170"/>
    <mergeCell ref="E3171:F3171"/>
    <mergeCell ref="E3172:F3172"/>
    <mergeCell ref="E3173:F3173"/>
    <mergeCell ref="E3174:F3174"/>
    <mergeCell ref="E3175:F3175"/>
    <mergeCell ref="E3176:F3176"/>
    <mergeCell ref="E3177:F3177"/>
    <mergeCell ref="E3178:F3178"/>
    <mergeCell ref="E3179:F3179"/>
    <mergeCell ref="E3180:F3180"/>
    <mergeCell ref="E3181:F3181"/>
    <mergeCell ref="E3182:F3182"/>
    <mergeCell ref="E3183:F3183"/>
    <mergeCell ref="E3184:F3184"/>
    <mergeCell ref="E3185:F3185"/>
    <mergeCell ref="E3186:F3186"/>
    <mergeCell ref="E3187:F3187"/>
    <mergeCell ref="E3188:F3188"/>
    <mergeCell ref="E3189:F3189"/>
    <mergeCell ref="E3190:F3190"/>
    <mergeCell ref="E3191:F3191"/>
    <mergeCell ref="E3192:F3192"/>
    <mergeCell ref="E3193:F3193"/>
    <mergeCell ref="E3194:F3194"/>
    <mergeCell ref="E3195:F3195"/>
    <mergeCell ref="E3196:F3196"/>
    <mergeCell ref="E3197:F3197"/>
    <mergeCell ref="E3198:F3198"/>
    <mergeCell ref="E3199:F3199"/>
    <mergeCell ref="E3200:F3200"/>
    <mergeCell ref="E3201:F3201"/>
    <mergeCell ref="E3202:F3202"/>
    <mergeCell ref="E3203:F3203"/>
    <mergeCell ref="E3204:F3204"/>
    <mergeCell ref="E3205:F3205"/>
    <mergeCell ref="E3206:F3206"/>
    <mergeCell ref="E3207:F3207"/>
    <mergeCell ref="E3208:F3208"/>
    <mergeCell ref="E3209:F3209"/>
    <mergeCell ref="E3210:F3210"/>
    <mergeCell ref="E3211:F3211"/>
    <mergeCell ref="E3212:F3212"/>
    <mergeCell ref="E3213:F3213"/>
    <mergeCell ref="E3214:F3214"/>
    <mergeCell ref="E3215:F3215"/>
    <mergeCell ref="E3216:F3216"/>
    <mergeCell ref="E3217:F3217"/>
    <mergeCell ref="E3218:F3218"/>
    <mergeCell ref="E3219:F3219"/>
    <mergeCell ref="E3220:F3220"/>
    <mergeCell ref="E3221:F3221"/>
    <mergeCell ref="E3222:F3222"/>
    <mergeCell ref="E3223:F3223"/>
    <mergeCell ref="E3224:F3224"/>
    <mergeCell ref="E3225:F3225"/>
    <mergeCell ref="E3226:F3226"/>
    <mergeCell ref="E3227:F3227"/>
    <mergeCell ref="E3228:F3228"/>
    <mergeCell ref="E3229:F3229"/>
    <mergeCell ref="E3230:F3230"/>
    <mergeCell ref="E3231:F3231"/>
    <mergeCell ref="E3232:F3232"/>
    <mergeCell ref="E3233:F3233"/>
    <mergeCell ref="E3234:F3234"/>
    <mergeCell ref="E3235:F3235"/>
    <mergeCell ref="E3236:F3236"/>
    <mergeCell ref="E3237:F3237"/>
    <mergeCell ref="E3238:F3238"/>
    <mergeCell ref="E3239:F3239"/>
    <mergeCell ref="E3240:F3240"/>
    <mergeCell ref="E3241:F3241"/>
    <mergeCell ref="E3242:F3242"/>
    <mergeCell ref="E3243:F3243"/>
    <mergeCell ref="E3244:F3244"/>
    <mergeCell ref="E3245:F3245"/>
    <mergeCell ref="E3246:F3246"/>
    <mergeCell ref="E3247:F3247"/>
    <mergeCell ref="E3248:F3248"/>
    <mergeCell ref="E3249:F3249"/>
    <mergeCell ref="E3250:F3250"/>
    <mergeCell ref="E3251:F3251"/>
    <mergeCell ref="E3252:F3252"/>
    <mergeCell ref="E3253:F3253"/>
    <mergeCell ref="E3254:F3254"/>
    <mergeCell ref="E3255:F3255"/>
    <mergeCell ref="E3256:F3256"/>
    <mergeCell ref="E3257:F3257"/>
    <mergeCell ref="E3258:F3258"/>
    <mergeCell ref="E3259:F3259"/>
    <mergeCell ref="E3260:F3260"/>
    <mergeCell ref="E3261:F3261"/>
    <mergeCell ref="E3262:F3262"/>
    <mergeCell ref="E3263:F3263"/>
    <mergeCell ref="E3264:F3264"/>
    <mergeCell ref="E3265:F3265"/>
    <mergeCell ref="E3266:F3266"/>
    <mergeCell ref="E3267:F3267"/>
    <mergeCell ref="E3268:F3268"/>
    <mergeCell ref="E3269:F3269"/>
    <mergeCell ref="E3270:F3270"/>
    <mergeCell ref="E3271:F3271"/>
    <mergeCell ref="E3272:F3272"/>
    <mergeCell ref="E3273:F3273"/>
    <mergeCell ref="E3274:F3274"/>
    <mergeCell ref="E3275:F3275"/>
    <mergeCell ref="E3276:F3276"/>
    <mergeCell ref="E3277:F3277"/>
    <mergeCell ref="E3278:F3278"/>
    <mergeCell ref="E3279:F3279"/>
    <mergeCell ref="E3280:F3280"/>
    <mergeCell ref="E3281:F3281"/>
    <mergeCell ref="E3282:F3282"/>
    <mergeCell ref="E3283:F3283"/>
    <mergeCell ref="E3284:F3284"/>
    <mergeCell ref="E3285:F3285"/>
    <mergeCell ref="E3286:F3286"/>
    <mergeCell ref="E3287:F3287"/>
    <mergeCell ref="E3288:F3288"/>
    <mergeCell ref="E3289:F3289"/>
    <mergeCell ref="E3290:F3290"/>
    <mergeCell ref="E3291:F3291"/>
    <mergeCell ref="E3292:F3292"/>
    <mergeCell ref="E3293:F3293"/>
    <mergeCell ref="E3294:F3294"/>
    <mergeCell ref="E3295:F3295"/>
    <mergeCell ref="E3296:F3296"/>
    <mergeCell ref="E3297:F3297"/>
    <mergeCell ref="E3298:F3298"/>
    <mergeCell ref="E3299:F3299"/>
    <mergeCell ref="E3300:F3300"/>
    <mergeCell ref="E3301:F3301"/>
    <mergeCell ref="E3302:F3302"/>
    <mergeCell ref="E3303:F3303"/>
    <mergeCell ref="E3304:F3304"/>
    <mergeCell ref="E3305:F3305"/>
    <mergeCell ref="E3306:F3306"/>
    <mergeCell ref="E3307:F3307"/>
    <mergeCell ref="E3308:F3308"/>
    <mergeCell ref="E3309:F3309"/>
    <mergeCell ref="E3310:F3310"/>
    <mergeCell ref="E3311:F3311"/>
    <mergeCell ref="E3312:F3312"/>
    <mergeCell ref="E3313:F3313"/>
    <mergeCell ref="E3314:F3314"/>
    <mergeCell ref="E3315:F3315"/>
    <mergeCell ref="E3316:F3316"/>
    <mergeCell ref="E3317:F3317"/>
    <mergeCell ref="E3318:F3318"/>
    <mergeCell ref="E3319:F3319"/>
    <mergeCell ref="E3320:F3320"/>
    <mergeCell ref="E3321:F3321"/>
    <mergeCell ref="E3322:F3322"/>
    <mergeCell ref="E3323:F3323"/>
    <mergeCell ref="E3324:F3324"/>
    <mergeCell ref="E3325:F3325"/>
    <mergeCell ref="E3326:F3326"/>
    <mergeCell ref="E3327:F3327"/>
    <mergeCell ref="E3328:F3328"/>
    <mergeCell ref="E3329:F3329"/>
    <mergeCell ref="E3330:F3330"/>
    <mergeCell ref="E3331:F3331"/>
    <mergeCell ref="E3332:F3332"/>
    <mergeCell ref="E3333:F3333"/>
    <mergeCell ref="E3334:F3334"/>
    <mergeCell ref="E3335:F3335"/>
    <mergeCell ref="E3336:F3336"/>
    <mergeCell ref="E3337:F3337"/>
    <mergeCell ref="E3338:F3338"/>
    <mergeCell ref="E3339:F3339"/>
    <mergeCell ref="E3340:F3340"/>
    <mergeCell ref="E3341:F3341"/>
    <mergeCell ref="E3342:F3342"/>
    <mergeCell ref="E3343:F3343"/>
    <mergeCell ref="E3344:F3344"/>
    <mergeCell ref="E3345:F3345"/>
    <mergeCell ref="E3346:F3346"/>
    <mergeCell ref="E3347:F3347"/>
    <mergeCell ref="E3348:F3348"/>
    <mergeCell ref="E3349:F3349"/>
    <mergeCell ref="E3350:F3350"/>
    <mergeCell ref="E3351:F3351"/>
    <mergeCell ref="E3352:F3352"/>
    <mergeCell ref="E3353:F3353"/>
    <mergeCell ref="E3354:F3354"/>
    <mergeCell ref="E3355:F3355"/>
    <mergeCell ref="E3356:F3356"/>
    <mergeCell ref="E3357:F3357"/>
    <mergeCell ref="E3358:F3358"/>
    <mergeCell ref="E3359:F3359"/>
    <mergeCell ref="E3360:F3360"/>
    <mergeCell ref="E3361:F3361"/>
    <mergeCell ref="E3362:F3362"/>
    <mergeCell ref="E3363:F3363"/>
    <mergeCell ref="E3364:F3364"/>
    <mergeCell ref="E3365:F3365"/>
    <mergeCell ref="E3366:F3366"/>
    <mergeCell ref="E3367:F3367"/>
    <mergeCell ref="E3368:F3368"/>
    <mergeCell ref="E3369:F3369"/>
    <mergeCell ref="E3370:F3370"/>
    <mergeCell ref="E3371:F3371"/>
    <mergeCell ref="E3372:F3372"/>
    <mergeCell ref="E3373:F3373"/>
    <mergeCell ref="E3374:F3374"/>
    <mergeCell ref="E3375:F3375"/>
    <mergeCell ref="E3376:F3376"/>
    <mergeCell ref="E3377:F3377"/>
    <mergeCell ref="E3378:F3378"/>
    <mergeCell ref="E3379:F3379"/>
    <mergeCell ref="E3380:F3380"/>
    <mergeCell ref="E3381:F3381"/>
    <mergeCell ref="E3382:F3382"/>
    <mergeCell ref="E3383:F3383"/>
    <mergeCell ref="E3384:F3384"/>
    <mergeCell ref="E3385:F3385"/>
    <mergeCell ref="E3386:F3386"/>
    <mergeCell ref="E3387:F3387"/>
    <mergeCell ref="E3388:F3388"/>
    <mergeCell ref="E3389:F3389"/>
    <mergeCell ref="E3390:F3390"/>
    <mergeCell ref="E3391:F3391"/>
    <mergeCell ref="E3392:F3392"/>
    <mergeCell ref="E3393:F3393"/>
    <mergeCell ref="E3394:F3394"/>
    <mergeCell ref="E3395:F3395"/>
    <mergeCell ref="E3396:F3396"/>
    <mergeCell ref="E3397:F3397"/>
    <mergeCell ref="E3398:F3398"/>
    <mergeCell ref="E3399:F3399"/>
    <mergeCell ref="E3400:F3400"/>
    <mergeCell ref="E3401:F3401"/>
    <mergeCell ref="E3402:F3402"/>
    <mergeCell ref="E3403:F3403"/>
    <mergeCell ref="E3404:F3404"/>
    <mergeCell ref="E3405:F3405"/>
    <mergeCell ref="E3406:F3406"/>
    <mergeCell ref="E3407:F3407"/>
    <mergeCell ref="E3408:F3408"/>
    <mergeCell ref="E3409:F3409"/>
    <mergeCell ref="E3410:F3410"/>
    <mergeCell ref="E3411:F3411"/>
    <mergeCell ref="E3412:F3412"/>
    <mergeCell ref="E3413:F3413"/>
    <mergeCell ref="E3414:F3414"/>
    <mergeCell ref="E3415:F3415"/>
    <mergeCell ref="E3416:F3416"/>
    <mergeCell ref="E3417:F3417"/>
    <mergeCell ref="E3418:F3418"/>
    <mergeCell ref="E3419:F3419"/>
    <mergeCell ref="E3420:F3420"/>
    <mergeCell ref="E3421:F3421"/>
    <mergeCell ref="E3422:F3422"/>
    <mergeCell ref="E3423:F3423"/>
    <mergeCell ref="E3424:F3424"/>
    <mergeCell ref="E3425:F3425"/>
    <mergeCell ref="E3426:F3426"/>
    <mergeCell ref="E3427:F3427"/>
    <mergeCell ref="E3428:F3428"/>
    <mergeCell ref="E3429:F3429"/>
    <mergeCell ref="E3430:F3430"/>
    <mergeCell ref="E3431:F3431"/>
    <mergeCell ref="E3432:F3432"/>
    <mergeCell ref="E3433:F3433"/>
    <mergeCell ref="E3434:F3434"/>
    <mergeCell ref="E3435:F3435"/>
    <mergeCell ref="E3436:F3436"/>
    <mergeCell ref="E3437:F3437"/>
    <mergeCell ref="E3438:F3438"/>
    <mergeCell ref="E3439:F3439"/>
    <mergeCell ref="E3440:F3440"/>
    <mergeCell ref="E3441:F3441"/>
    <mergeCell ref="E3442:F3442"/>
    <mergeCell ref="E3443:F3443"/>
    <mergeCell ref="E3444:F3444"/>
    <mergeCell ref="E3445:F3445"/>
    <mergeCell ref="E3446:F3446"/>
    <mergeCell ref="E3447:F3447"/>
    <mergeCell ref="E3448:F3448"/>
    <mergeCell ref="E3449:F3449"/>
    <mergeCell ref="E3450:F3450"/>
    <mergeCell ref="E3451:F3451"/>
    <mergeCell ref="E3452:F3452"/>
    <mergeCell ref="E3453:F3453"/>
    <mergeCell ref="E3454:F3454"/>
    <mergeCell ref="E3455:F3455"/>
    <mergeCell ref="E3456:F3456"/>
    <mergeCell ref="E3457:F3457"/>
    <mergeCell ref="E3458:F3458"/>
    <mergeCell ref="E3459:F3459"/>
    <mergeCell ref="E3460:F3460"/>
    <mergeCell ref="E3461:F3461"/>
    <mergeCell ref="E3462:F3462"/>
    <mergeCell ref="E3463:F3463"/>
    <mergeCell ref="E3464:F3464"/>
    <mergeCell ref="E3465:F3465"/>
    <mergeCell ref="E3466:F3466"/>
    <mergeCell ref="E3467:F3467"/>
    <mergeCell ref="E3468:F3468"/>
    <mergeCell ref="E3469:F3469"/>
    <mergeCell ref="E3470:F3470"/>
    <mergeCell ref="E3471:F3471"/>
    <mergeCell ref="E3472:F3472"/>
    <mergeCell ref="E3473:F3473"/>
    <mergeCell ref="E3474:F3474"/>
    <mergeCell ref="E3475:F3475"/>
    <mergeCell ref="E3476:F3476"/>
    <mergeCell ref="E3477:F3477"/>
    <mergeCell ref="E3478:F3478"/>
    <mergeCell ref="E3479:F3479"/>
    <mergeCell ref="E3480:F3480"/>
    <mergeCell ref="E3481:F3481"/>
    <mergeCell ref="E3482:F3482"/>
    <mergeCell ref="E3483:F3483"/>
    <mergeCell ref="E3484:F3484"/>
    <mergeCell ref="E3485:F3485"/>
    <mergeCell ref="E3486:F3486"/>
    <mergeCell ref="E3487:F3487"/>
    <mergeCell ref="E3488:F3488"/>
    <mergeCell ref="E3489:F3489"/>
    <mergeCell ref="E3490:F3490"/>
    <mergeCell ref="E3491:F3491"/>
    <mergeCell ref="E3492:F3492"/>
    <mergeCell ref="E3493:F3493"/>
    <mergeCell ref="E3494:F3494"/>
    <mergeCell ref="E3495:F3495"/>
    <mergeCell ref="E3496:F3496"/>
    <mergeCell ref="E3497:F3497"/>
    <mergeCell ref="E3498:F3498"/>
    <mergeCell ref="E3499:F3499"/>
    <mergeCell ref="E3500:F3500"/>
    <mergeCell ref="E3501:F3501"/>
    <mergeCell ref="E3502:F3502"/>
    <mergeCell ref="E3503:F3503"/>
    <mergeCell ref="E3504:F3504"/>
    <mergeCell ref="E3505:F3505"/>
    <mergeCell ref="E3506:F3506"/>
    <mergeCell ref="E3507:F3507"/>
    <mergeCell ref="E3508:F3508"/>
    <mergeCell ref="E3509:F3509"/>
    <mergeCell ref="E3510:F3510"/>
    <mergeCell ref="E3511:F3511"/>
    <mergeCell ref="E3512:F3512"/>
    <mergeCell ref="E3513:F3513"/>
    <mergeCell ref="E3514:F3514"/>
    <mergeCell ref="E3515:F3515"/>
    <mergeCell ref="E3516:F3516"/>
    <mergeCell ref="E3517:F3517"/>
    <mergeCell ref="E3518:F3518"/>
    <mergeCell ref="E3519:F3519"/>
    <mergeCell ref="E3520:F3520"/>
    <mergeCell ref="E3521:F3521"/>
    <mergeCell ref="E3522:F3522"/>
    <mergeCell ref="E3523:F3523"/>
    <mergeCell ref="E3524:F3524"/>
    <mergeCell ref="E3525:F3525"/>
    <mergeCell ref="E3526:F3526"/>
    <mergeCell ref="E3527:F3527"/>
    <mergeCell ref="E3528:F3528"/>
    <mergeCell ref="E3529:F3529"/>
    <mergeCell ref="E3530:F3530"/>
    <mergeCell ref="E3531:F3531"/>
    <mergeCell ref="E3532:F3532"/>
    <mergeCell ref="E3533:F3533"/>
    <mergeCell ref="E3534:F3534"/>
    <mergeCell ref="E3535:F3535"/>
    <mergeCell ref="E3536:F3536"/>
    <mergeCell ref="E3537:F3537"/>
    <mergeCell ref="E3538:F3538"/>
    <mergeCell ref="E3539:F3539"/>
    <mergeCell ref="E3540:F3540"/>
    <mergeCell ref="E3541:F3541"/>
    <mergeCell ref="E3542:F3542"/>
    <mergeCell ref="E3543:F3543"/>
    <mergeCell ref="E3544:F3544"/>
    <mergeCell ref="E3545:F3545"/>
    <mergeCell ref="E3546:F3546"/>
    <mergeCell ref="E3547:F3547"/>
    <mergeCell ref="E3548:F3548"/>
    <mergeCell ref="E3549:F3549"/>
    <mergeCell ref="E3550:F3550"/>
    <mergeCell ref="E3551:F3551"/>
    <mergeCell ref="E3552:F3552"/>
    <mergeCell ref="E3553:F3553"/>
    <mergeCell ref="E3554:F3554"/>
    <mergeCell ref="E3555:F3555"/>
    <mergeCell ref="E3556:F3556"/>
    <mergeCell ref="E3557:F3557"/>
    <mergeCell ref="E3558:F3558"/>
    <mergeCell ref="E3559:F3559"/>
    <mergeCell ref="E3560:F3560"/>
    <mergeCell ref="E3561:F3561"/>
    <mergeCell ref="E3562:F3562"/>
    <mergeCell ref="E3563:F3563"/>
    <mergeCell ref="E3564:F3564"/>
    <mergeCell ref="E3565:F3565"/>
    <mergeCell ref="E3566:F3566"/>
    <mergeCell ref="E3567:F3567"/>
    <mergeCell ref="E3568:F3568"/>
    <mergeCell ref="E3569:F3569"/>
    <mergeCell ref="E3570:F3570"/>
    <mergeCell ref="E3571:F3571"/>
    <mergeCell ref="E3572:F3572"/>
    <mergeCell ref="E3573:F3573"/>
    <mergeCell ref="E3574:F3574"/>
    <mergeCell ref="E3575:F3575"/>
    <mergeCell ref="E3576:F3576"/>
    <mergeCell ref="E3577:F3577"/>
    <mergeCell ref="E3578:F3578"/>
    <mergeCell ref="E3579:F3579"/>
    <mergeCell ref="E3580:F3580"/>
    <mergeCell ref="E3581:F3581"/>
    <mergeCell ref="E3582:F3582"/>
    <mergeCell ref="E3583:F3583"/>
    <mergeCell ref="E3584:F3584"/>
    <mergeCell ref="E3585:F3585"/>
    <mergeCell ref="E3586:F3586"/>
    <mergeCell ref="E3587:F3587"/>
    <mergeCell ref="E3588:F3588"/>
    <mergeCell ref="E3589:F3589"/>
    <mergeCell ref="E3590:F3590"/>
    <mergeCell ref="E3591:F3591"/>
    <mergeCell ref="E3592:F3592"/>
    <mergeCell ref="E3593:F3593"/>
    <mergeCell ref="E3594:F3594"/>
    <mergeCell ref="E3595:F3595"/>
    <mergeCell ref="E3596:F3596"/>
    <mergeCell ref="E3597:F3597"/>
    <mergeCell ref="E3598:F3598"/>
    <mergeCell ref="E3599:F3599"/>
    <mergeCell ref="E3600:F3600"/>
    <mergeCell ref="E3601:F3601"/>
    <mergeCell ref="E3602:F3602"/>
    <mergeCell ref="E3603:F3603"/>
    <mergeCell ref="E3604:F3604"/>
    <mergeCell ref="E3605:F3605"/>
    <mergeCell ref="E3606:F3606"/>
    <mergeCell ref="E3607:F3607"/>
    <mergeCell ref="E3608:F3608"/>
    <mergeCell ref="E3609:F3609"/>
    <mergeCell ref="E3610:F3610"/>
    <mergeCell ref="E3611:F3611"/>
    <mergeCell ref="E3612:F3612"/>
    <mergeCell ref="E3613:F3613"/>
    <mergeCell ref="E3614:F3614"/>
    <mergeCell ref="E3615:F3615"/>
    <mergeCell ref="E3616:F3616"/>
    <mergeCell ref="E3617:F3617"/>
    <mergeCell ref="E3618:F3618"/>
    <mergeCell ref="E3619:F3619"/>
    <mergeCell ref="E3620:F3620"/>
    <mergeCell ref="E3621:F3621"/>
    <mergeCell ref="E3622:F3622"/>
    <mergeCell ref="E3623:F3623"/>
    <mergeCell ref="E3624:F3624"/>
    <mergeCell ref="E3625:F3625"/>
    <mergeCell ref="E3626:F3626"/>
    <mergeCell ref="E3627:F3627"/>
    <mergeCell ref="E3628:F3628"/>
    <mergeCell ref="E3629:F3629"/>
    <mergeCell ref="E3630:F3630"/>
    <mergeCell ref="E3631:F3631"/>
    <mergeCell ref="E3632:F3632"/>
    <mergeCell ref="E3633:F3633"/>
    <mergeCell ref="E3634:F3634"/>
    <mergeCell ref="E3635:F3635"/>
    <mergeCell ref="E3636:F3636"/>
    <mergeCell ref="E3637:F3637"/>
    <mergeCell ref="E3638:F3638"/>
    <mergeCell ref="E3639:F3639"/>
    <mergeCell ref="E3640:F3640"/>
    <mergeCell ref="E3641:F3641"/>
    <mergeCell ref="E3642:F3642"/>
    <mergeCell ref="E3643:F3643"/>
    <mergeCell ref="E3644:F3644"/>
    <mergeCell ref="E3645:F3645"/>
    <mergeCell ref="E3646:F3646"/>
    <mergeCell ref="E3647:F3647"/>
    <mergeCell ref="E3648:F3648"/>
    <mergeCell ref="E3649:F3649"/>
    <mergeCell ref="E3650:F3650"/>
    <mergeCell ref="E3651:F3651"/>
    <mergeCell ref="E3652:F3652"/>
    <mergeCell ref="E3653:F3653"/>
    <mergeCell ref="E3654:F3654"/>
    <mergeCell ref="E3655:F3655"/>
    <mergeCell ref="E3656:F3656"/>
    <mergeCell ref="E3657:F3657"/>
    <mergeCell ref="E3658:F3658"/>
    <mergeCell ref="E3659:F3659"/>
    <mergeCell ref="E3660:F3660"/>
    <mergeCell ref="E3661:F3661"/>
    <mergeCell ref="E3662:F3662"/>
    <mergeCell ref="E3663:F3663"/>
    <mergeCell ref="E3664:F3664"/>
    <mergeCell ref="E3665:F3665"/>
    <mergeCell ref="E3666:F3666"/>
    <mergeCell ref="E3667:F3667"/>
    <mergeCell ref="E3668:F3668"/>
    <mergeCell ref="E3669:F3669"/>
    <mergeCell ref="E3670:F3670"/>
    <mergeCell ref="E3671:F3671"/>
    <mergeCell ref="E3672:F3672"/>
    <mergeCell ref="E3673:F3673"/>
    <mergeCell ref="E3674:F3674"/>
    <mergeCell ref="E3675:F3675"/>
    <mergeCell ref="E3676:F3676"/>
    <mergeCell ref="E3677:F3677"/>
    <mergeCell ref="E3678:F3678"/>
    <mergeCell ref="E3679:F3679"/>
    <mergeCell ref="E3680:F3680"/>
    <mergeCell ref="E3681:F3681"/>
    <mergeCell ref="E3682:F3682"/>
    <mergeCell ref="E3683:F3683"/>
    <mergeCell ref="E3684:F3684"/>
    <mergeCell ref="E3685:F3685"/>
    <mergeCell ref="E3686:F3686"/>
    <mergeCell ref="E3687:F3687"/>
    <mergeCell ref="E3688:F3688"/>
    <mergeCell ref="E3689:F3689"/>
    <mergeCell ref="E3690:F3690"/>
    <mergeCell ref="E3691:F3691"/>
    <mergeCell ref="E3692:F3692"/>
    <mergeCell ref="E3693:F3693"/>
    <mergeCell ref="E3694:F3694"/>
    <mergeCell ref="E3695:F3695"/>
    <mergeCell ref="E3696:F3696"/>
    <mergeCell ref="E3697:F3697"/>
    <mergeCell ref="E3698:F3698"/>
    <mergeCell ref="E3699:F3699"/>
    <mergeCell ref="E3700:F3700"/>
    <mergeCell ref="E3701:F3701"/>
    <mergeCell ref="E3702:F3702"/>
    <mergeCell ref="E3703:F3703"/>
    <mergeCell ref="E3704:F3704"/>
    <mergeCell ref="E3705:F3705"/>
    <mergeCell ref="E3706:F3706"/>
    <mergeCell ref="E3707:F3707"/>
    <mergeCell ref="E3708:F3708"/>
    <mergeCell ref="E3709:F3709"/>
    <mergeCell ref="E3710:F3710"/>
    <mergeCell ref="E3711:F3711"/>
    <mergeCell ref="E3712:F3712"/>
    <mergeCell ref="E3713:F3713"/>
    <mergeCell ref="E3714:F3714"/>
    <mergeCell ref="E3715:F3715"/>
    <mergeCell ref="E3716:F3716"/>
    <mergeCell ref="E3717:F3717"/>
    <mergeCell ref="E3718:F3718"/>
    <mergeCell ref="E3719:F3719"/>
    <mergeCell ref="E3720:F3720"/>
    <mergeCell ref="E3721:F3721"/>
    <mergeCell ref="E3722:F3722"/>
    <mergeCell ref="E3723:F3723"/>
    <mergeCell ref="E3724:F3724"/>
    <mergeCell ref="E3725:F3725"/>
    <mergeCell ref="E3726:F3726"/>
    <mergeCell ref="E3727:F3727"/>
    <mergeCell ref="E3728:F3728"/>
    <mergeCell ref="E3729:F3729"/>
    <mergeCell ref="E3730:F3730"/>
    <mergeCell ref="E3731:F3731"/>
    <mergeCell ref="E3732:F3732"/>
    <mergeCell ref="E3733:F3733"/>
    <mergeCell ref="E3734:F3734"/>
    <mergeCell ref="E3735:F3735"/>
    <mergeCell ref="E3736:F3736"/>
    <mergeCell ref="E3737:F3737"/>
    <mergeCell ref="E3738:F3738"/>
    <mergeCell ref="E3739:F3739"/>
    <mergeCell ref="E3740:F3740"/>
    <mergeCell ref="E3741:F3741"/>
    <mergeCell ref="E3742:F3742"/>
    <mergeCell ref="E3743:F3743"/>
    <mergeCell ref="E3744:F3744"/>
    <mergeCell ref="E3745:F3745"/>
    <mergeCell ref="E3746:F3746"/>
    <mergeCell ref="E3747:F3747"/>
    <mergeCell ref="E3748:F3748"/>
    <mergeCell ref="E3749:F3749"/>
    <mergeCell ref="E3750:F3750"/>
    <mergeCell ref="E3751:F3751"/>
    <mergeCell ref="E3752:F3752"/>
    <mergeCell ref="E3753:F3753"/>
    <mergeCell ref="E3754:F3754"/>
    <mergeCell ref="E3755:F3755"/>
    <mergeCell ref="E3756:F3756"/>
    <mergeCell ref="E3757:F3757"/>
    <mergeCell ref="E3758:F3758"/>
    <mergeCell ref="E3759:F3759"/>
    <mergeCell ref="E3760:F3760"/>
    <mergeCell ref="E3761:F3761"/>
    <mergeCell ref="E3762:F3762"/>
    <mergeCell ref="E3763:F3763"/>
    <mergeCell ref="E3764:F3764"/>
    <mergeCell ref="E3765:F3765"/>
    <mergeCell ref="E3766:F3766"/>
    <mergeCell ref="E3767:F3767"/>
    <mergeCell ref="E3768:F3768"/>
    <mergeCell ref="E3769:F3769"/>
    <mergeCell ref="E3770:F3770"/>
    <mergeCell ref="E3771:F3771"/>
    <mergeCell ref="E3772:F3772"/>
    <mergeCell ref="E3773:F3773"/>
    <mergeCell ref="E3774:F3774"/>
    <mergeCell ref="E3775:F3775"/>
    <mergeCell ref="E3776:F3776"/>
    <mergeCell ref="E3777:F3777"/>
    <mergeCell ref="E3778:F3778"/>
    <mergeCell ref="E3779:F3779"/>
    <mergeCell ref="E3780:F3780"/>
    <mergeCell ref="E3781:F3781"/>
    <mergeCell ref="E3782:F3782"/>
    <mergeCell ref="E3783:F3783"/>
    <mergeCell ref="E3784:F3784"/>
    <mergeCell ref="E3785:F3785"/>
    <mergeCell ref="E3786:F3786"/>
    <mergeCell ref="E3787:F3787"/>
    <mergeCell ref="E3788:F3788"/>
    <mergeCell ref="E3789:F3789"/>
    <mergeCell ref="E3790:F3790"/>
    <mergeCell ref="E3791:F3791"/>
    <mergeCell ref="E3792:F3792"/>
    <mergeCell ref="E3793:F3793"/>
    <mergeCell ref="E3794:F3794"/>
    <mergeCell ref="E3795:F3795"/>
    <mergeCell ref="E3796:F3796"/>
    <mergeCell ref="E3797:F3797"/>
    <mergeCell ref="E3798:F3798"/>
    <mergeCell ref="E3799:F3799"/>
    <mergeCell ref="E3800:F3800"/>
    <mergeCell ref="E3801:F3801"/>
    <mergeCell ref="E3802:F3802"/>
    <mergeCell ref="E3803:F3803"/>
    <mergeCell ref="E3804:F3804"/>
    <mergeCell ref="E3805:F3805"/>
    <mergeCell ref="E3806:F3806"/>
    <mergeCell ref="E3807:F3807"/>
    <mergeCell ref="E3808:F3808"/>
    <mergeCell ref="E3809:F3809"/>
    <mergeCell ref="E3810:F3810"/>
    <mergeCell ref="E3811:F3811"/>
    <mergeCell ref="E3812:F3812"/>
    <mergeCell ref="E3813:F3813"/>
    <mergeCell ref="E3814:F3814"/>
    <mergeCell ref="E3815:F3815"/>
    <mergeCell ref="E3816:F3816"/>
    <mergeCell ref="E3817:F3817"/>
    <mergeCell ref="E3818:F3818"/>
    <mergeCell ref="E3819:F3819"/>
    <mergeCell ref="E3820:F3820"/>
    <mergeCell ref="E3821:F3821"/>
    <mergeCell ref="E3822:F3822"/>
    <mergeCell ref="E3823:F3823"/>
    <mergeCell ref="E3824:F3824"/>
    <mergeCell ref="E3825:F3825"/>
    <mergeCell ref="E3826:F3826"/>
    <mergeCell ref="E3827:F3827"/>
    <mergeCell ref="E3828:F3828"/>
    <mergeCell ref="E3829:F3829"/>
    <mergeCell ref="E3830:F3830"/>
    <mergeCell ref="E3831:F3831"/>
    <mergeCell ref="E3832:F3832"/>
    <mergeCell ref="E3833:F3833"/>
    <mergeCell ref="E3834:F3834"/>
    <mergeCell ref="E3835:F3835"/>
    <mergeCell ref="E3836:F3836"/>
    <mergeCell ref="E3837:F3837"/>
    <mergeCell ref="E3838:F3838"/>
    <mergeCell ref="E3839:F3839"/>
    <mergeCell ref="E3840:F3840"/>
    <mergeCell ref="E3841:F3841"/>
    <mergeCell ref="E3842:F3842"/>
    <mergeCell ref="E3843:F3843"/>
    <mergeCell ref="E3844:F3844"/>
    <mergeCell ref="E3845:F3845"/>
    <mergeCell ref="E3846:F3846"/>
    <mergeCell ref="E3847:F3847"/>
    <mergeCell ref="E3848:F3848"/>
    <mergeCell ref="E3849:F3849"/>
    <mergeCell ref="E3850:F3850"/>
    <mergeCell ref="E3851:F3851"/>
    <mergeCell ref="E3852:F3852"/>
    <mergeCell ref="E3853:F3853"/>
    <mergeCell ref="E3854:F3854"/>
    <mergeCell ref="E3855:F3855"/>
    <mergeCell ref="E3856:F3856"/>
    <mergeCell ref="E3857:F3857"/>
    <mergeCell ref="E3858:F3858"/>
    <mergeCell ref="E3859:F3859"/>
    <mergeCell ref="E3860:F3860"/>
    <mergeCell ref="E3861:F3861"/>
    <mergeCell ref="E3862:F3862"/>
    <mergeCell ref="E3863:F3863"/>
    <mergeCell ref="E3864:F3864"/>
    <mergeCell ref="E3865:F3865"/>
    <mergeCell ref="E3866:F3866"/>
    <mergeCell ref="E3867:F3867"/>
    <mergeCell ref="E3868:F3868"/>
    <mergeCell ref="E3869:F3869"/>
    <mergeCell ref="E3870:F3870"/>
    <mergeCell ref="E3871:F3871"/>
    <mergeCell ref="E3872:F3872"/>
    <mergeCell ref="E3873:F3873"/>
    <mergeCell ref="E3874:F3874"/>
    <mergeCell ref="E3875:F3875"/>
    <mergeCell ref="E3876:F3876"/>
    <mergeCell ref="E3877:F3877"/>
    <mergeCell ref="E3878:F3878"/>
    <mergeCell ref="E3879:F3879"/>
    <mergeCell ref="E3880:F3880"/>
    <mergeCell ref="E3881:F3881"/>
    <mergeCell ref="E3882:F3882"/>
    <mergeCell ref="E3883:F3883"/>
    <mergeCell ref="E3884:F3884"/>
    <mergeCell ref="E3885:F3885"/>
    <mergeCell ref="E3886:F3886"/>
    <mergeCell ref="E3887:F3887"/>
    <mergeCell ref="E3888:F3888"/>
    <mergeCell ref="E3889:F3889"/>
    <mergeCell ref="E3890:F3890"/>
    <mergeCell ref="E3891:F3891"/>
    <mergeCell ref="E3892:F3892"/>
    <mergeCell ref="E3893:F3893"/>
    <mergeCell ref="E3894:F3894"/>
    <mergeCell ref="E3895:F3895"/>
    <mergeCell ref="E3896:F3896"/>
    <mergeCell ref="E3897:F3897"/>
    <mergeCell ref="E3898:F3898"/>
    <mergeCell ref="E3899:F3899"/>
    <mergeCell ref="E3900:F3900"/>
    <mergeCell ref="E3901:F3901"/>
    <mergeCell ref="E3902:F3902"/>
    <mergeCell ref="E3903:F3903"/>
    <mergeCell ref="E3904:F3904"/>
    <mergeCell ref="E3905:F3905"/>
    <mergeCell ref="E3906:F3906"/>
    <mergeCell ref="E3907:F3907"/>
    <mergeCell ref="E3908:F3908"/>
    <mergeCell ref="E3909:F3909"/>
    <mergeCell ref="E3910:F3910"/>
    <mergeCell ref="E3911:F3911"/>
    <mergeCell ref="E3912:F3912"/>
    <mergeCell ref="E3913:F3913"/>
    <mergeCell ref="E3914:F3914"/>
    <mergeCell ref="E3915:F3915"/>
    <mergeCell ref="E3916:F3916"/>
    <mergeCell ref="E3917:F3917"/>
    <mergeCell ref="E3918:F3918"/>
    <mergeCell ref="E3919:F3919"/>
    <mergeCell ref="E3920:F3920"/>
    <mergeCell ref="E3921:F3921"/>
    <mergeCell ref="E3922:F3922"/>
    <mergeCell ref="E3923:F3923"/>
    <mergeCell ref="E3924:F3924"/>
    <mergeCell ref="E3925:F3925"/>
    <mergeCell ref="E3926:F3926"/>
    <mergeCell ref="E3927:F3927"/>
    <mergeCell ref="E3928:F3928"/>
    <mergeCell ref="E3929:F3929"/>
    <mergeCell ref="E3930:F3930"/>
    <mergeCell ref="E3931:F3931"/>
    <mergeCell ref="E3932:F3932"/>
    <mergeCell ref="E3933:F3933"/>
    <mergeCell ref="E3934:F3934"/>
    <mergeCell ref="E3935:F3935"/>
    <mergeCell ref="E3936:F3936"/>
    <mergeCell ref="E3937:F3937"/>
    <mergeCell ref="E3938:F3938"/>
    <mergeCell ref="E3939:F3939"/>
    <mergeCell ref="E3940:F3940"/>
    <mergeCell ref="E3941:F3941"/>
    <mergeCell ref="E3942:F3942"/>
    <mergeCell ref="E3943:F3943"/>
    <mergeCell ref="E3944:F3944"/>
    <mergeCell ref="E3945:F3945"/>
    <mergeCell ref="E3946:F3946"/>
    <mergeCell ref="E3947:F3947"/>
    <mergeCell ref="E3948:F3948"/>
    <mergeCell ref="E3949:F3949"/>
    <mergeCell ref="E3950:F3950"/>
    <mergeCell ref="E3951:F3951"/>
    <mergeCell ref="E3952:F3952"/>
    <mergeCell ref="E3953:F3953"/>
    <mergeCell ref="E3954:F3954"/>
    <mergeCell ref="E3955:F3955"/>
    <mergeCell ref="E3956:F3956"/>
    <mergeCell ref="E3957:F3957"/>
    <mergeCell ref="E3958:F3958"/>
    <mergeCell ref="E3959:F3959"/>
    <mergeCell ref="E3960:F3960"/>
    <mergeCell ref="E3961:F3961"/>
    <mergeCell ref="E3962:F3962"/>
    <mergeCell ref="E3963:F3963"/>
    <mergeCell ref="E3964:F3964"/>
    <mergeCell ref="E3965:F3965"/>
    <mergeCell ref="E3966:F3966"/>
    <mergeCell ref="E3967:F3967"/>
    <mergeCell ref="E3968:F3968"/>
    <mergeCell ref="E3969:F3969"/>
    <mergeCell ref="E3970:F3970"/>
    <mergeCell ref="E3971:F3971"/>
    <mergeCell ref="E3972:F3972"/>
    <mergeCell ref="E3973:F3973"/>
    <mergeCell ref="E3974:F3974"/>
    <mergeCell ref="E3975:F3975"/>
    <mergeCell ref="E3976:F3976"/>
    <mergeCell ref="E3977:F3977"/>
    <mergeCell ref="E3978:F3978"/>
    <mergeCell ref="E3979:F3979"/>
    <mergeCell ref="E3980:F3980"/>
    <mergeCell ref="E3981:F3981"/>
    <mergeCell ref="E3982:F3982"/>
    <mergeCell ref="E3983:F3983"/>
    <mergeCell ref="E3984:F3984"/>
    <mergeCell ref="E3985:F3985"/>
    <mergeCell ref="E3986:F3986"/>
    <mergeCell ref="E3987:F3987"/>
    <mergeCell ref="E3988:F3988"/>
    <mergeCell ref="E3989:F3989"/>
    <mergeCell ref="E3990:F3990"/>
    <mergeCell ref="E3991:F3991"/>
    <mergeCell ref="E3992:F3992"/>
    <mergeCell ref="E3993:F3993"/>
    <mergeCell ref="E3994:F3994"/>
    <mergeCell ref="E3995:F3995"/>
    <mergeCell ref="E3996:F3996"/>
    <mergeCell ref="E3997:F3997"/>
    <mergeCell ref="E3998:F3998"/>
    <mergeCell ref="E3999:F3999"/>
    <mergeCell ref="E4000:F4000"/>
    <mergeCell ref="E4001:F4001"/>
    <mergeCell ref="E4002:F4002"/>
    <mergeCell ref="E4003:F4003"/>
    <mergeCell ref="E4004:F4004"/>
    <mergeCell ref="E4005:F4005"/>
    <mergeCell ref="E4006:F4006"/>
    <mergeCell ref="E4007:F4007"/>
    <mergeCell ref="E4008:F4008"/>
    <mergeCell ref="E4009:F4009"/>
    <mergeCell ref="E4010:F4010"/>
    <mergeCell ref="E4011:F4011"/>
    <mergeCell ref="E4012:F4012"/>
    <mergeCell ref="E4013:F4013"/>
    <mergeCell ref="E4014:F4014"/>
    <mergeCell ref="E4015:F4015"/>
    <mergeCell ref="E4016:F4016"/>
    <mergeCell ref="E4017:F4017"/>
    <mergeCell ref="E4018:F4018"/>
    <mergeCell ref="E4019:F4019"/>
    <mergeCell ref="E4020:F4020"/>
    <mergeCell ref="E4021:F4021"/>
    <mergeCell ref="E4022:F4022"/>
    <mergeCell ref="E4023:F4023"/>
    <mergeCell ref="E4024:F4024"/>
    <mergeCell ref="E4025:F4025"/>
    <mergeCell ref="E4026:F4026"/>
    <mergeCell ref="E4027:F4027"/>
    <mergeCell ref="E4028:F4028"/>
    <mergeCell ref="E4029:F4029"/>
    <mergeCell ref="E4030:F4030"/>
    <mergeCell ref="E4031:F4031"/>
    <mergeCell ref="E4032:F4032"/>
    <mergeCell ref="E4033:F4033"/>
    <mergeCell ref="E4034:F4034"/>
    <mergeCell ref="E4035:F4035"/>
    <mergeCell ref="E4036:F4036"/>
    <mergeCell ref="E4037:F4037"/>
    <mergeCell ref="E4038:F4038"/>
    <mergeCell ref="E4039:F4039"/>
    <mergeCell ref="E4040:F4040"/>
    <mergeCell ref="E4041:F4041"/>
    <mergeCell ref="E4042:F4042"/>
    <mergeCell ref="E4043:F4043"/>
    <mergeCell ref="E4044:F4044"/>
    <mergeCell ref="E4045:F4045"/>
    <mergeCell ref="E4046:F4046"/>
    <mergeCell ref="E4047:F4047"/>
    <mergeCell ref="E4048:F4048"/>
    <mergeCell ref="E4049:F4049"/>
    <mergeCell ref="E4050:F4050"/>
    <mergeCell ref="E4051:F4051"/>
    <mergeCell ref="E4052:F4052"/>
    <mergeCell ref="E4053:F4053"/>
    <mergeCell ref="E4054:F4054"/>
    <mergeCell ref="E4055:F4055"/>
    <mergeCell ref="E4056:F4056"/>
    <mergeCell ref="E4057:F4057"/>
    <mergeCell ref="E4058:F4058"/>
    <mergeCell ref="E4059:F4059"/>
    <mergeCell ref="E4060:F4060"/>
    <mergeCell ref="E4061:F4061"/>
    <mergeCell ref="E4062:F4062"/>
    <mergeCell ref="E4063:F4063"/>
    <mergeCell ref="E4064:F4064"/>
    <mergeCell ref="E4065:F4065"/>
    <mergeCell ref="E4066:F4066"/>
    <mergeCell ref="E4067:F4067"/>
    <mergeCell ref="E4068:F4068"/>
    <mergeCell ref="E4069:F4069"/>
    <mergeCell ref="E4070:F4070"/>
    <mergeCell ref="E4071:F4071"/>
    <mergeCell ref="E4072:F4072"/>
    <mergeCell ref="E4073:F4073"/>
    <mergeCell ref="E4074:F4074"/>
    <mergeCell ref="E4075:F4075"/>
    <mergeCell ref="E4076:F4076"/>
    <mergeCell ref="E4077:F4077"/>
    <mergeCell ref="E4078:F4078"/>
    <mergeCell ref="E4079:F4079"/>
    <mergeCell ref="E4080:F4080"/>
    <mergeCell ref="E4081:F4081"/>
    <mergeCell ref="E4082:F4082"/>
    <mergeCell ref="E4083:F4083"/>
    <mergeCell ref="E4084:F4084"/>
    <mergeCell ref="E4085:F4085"/>
    <mergeCell ref="E4086:F4086"/>
    <mergeCell ref="E4087:F4087"/>
    <mergeCell ref="E4088:F4088"/>
    <mergeCell ref="E4089:F4089"/>
    <mergeCell ref="E4090:F4090"/>
    <mergeCell ref="E4091:F4091"/>
    <mergeCell ref="E4092:F4092"/>
    <mergeCell ref="E4093:F4093"/>
    <mergeCell ref="E4094:F4094"/>
    <mergeCell ref="E4095:F4095"/>
    <mergeCell ref="E4096:F4096"/>
    <mergeCell ref="E4097:F4097"/>
    <mergeCell ref="E4098:F4098"/>
    <mergeCell ref="E4099:F4099"/>
    <mergeCell ref="E4100:F4100"/>
    <mergeCell ref="E4101:F4101"/>
    <mergeCell ref="E4102:F4102"/>
    <mergeCell ref="E4103:F4103"/>
    <mergeCell ref="E4104:F4104"/>
    <mergeCell ref="E4105:F4105"/>
    <mergeCell ref="E4106:F4106"/>
    <mergeCell ref="E4107:F4107"/>
    <mergeCell ref="E4108:F4108"/>
    <mergeCell ref="E4109:F4109"/>
    <mergeCell ref="E4110:F4110"/>
    <mergeCell ref="E4111:F4111"/>
    <mergeCell ref="E4112:F4112"/>
    <mergeCell ref="E4113:F4113"/>
    <mergeCell ref="E4114:F4114"/>
    <mergeCell ref="E4115:F4115"/>
    <mergeCell ref="E4116:F4116"/>
    <mergeCell ref="E4117:F4117"/>
    <mergeCell ref="E4118:F4118"/>
    <mergeCell ref="E4119:F4119"/>
    <mergeCell ref="E4120:F4120"/>
    <mergeCell ref="E4121:F4121"/>
    <mergeCell ref="E4122:F4122"/>
    <mergeCell ref="E4123:F4123"/>
    <mergeCell ref="E4124:F4124"/>
    <mergeCell ref="E4125:F4125"/>
    <mergeCell ref="E4126:F4126"/>
    <mergeCell ref="E4127:F4127"/>
    <mergeCell ref="E4128:F4128"/>
    <mergeCell ref="E4129:F4129"/>
    <mergeCell ref="E4130:F4130"/>
    <mergeCell ref="E4131:F4131"/>
    <mergeCell ref="E4132:F4132"/>
    <mergeCell ref="E4133:F4133"/>
    <mergeCell ref="E4134:F4134"/>
    <mergeCell ref="E4135:F4135"/>
    <mergeCell ref="E4136:F4136"/>
    <mergeCell ref="E4137:F4137"/>
    <mergeCell ref="E4138:F4138"/>
    <mergeCell ref="E4139:F4139"/>
    <mergeCell ref="E4140:F4140"/>
    <mergeCell ref="E4141:F4141"/>
    <mergeCell ref="E4142:F4142"/>
    <mergeCell ref="E4143:F4143"/>
    <mergeCell ref="E4144:F4144"/>
    <mergeCell ref="E4145:F4145"/>
    <mergeCell ref="E4146:F4146"/>
    <mergeCell ref="E4147:F4147"/>
    <mergeCell ref="E4148:F4148"/>
    <mergeCell ref="E4149:F4149"/>
    <mergeCell ref="E4150:F4150"/>
    <mergeCell ref="E4151:F4151"/>
    <mergeCell ref="E4152:F4152"/>
    <mergeCell ref="E4153:F4153"/>
    <mergeCell ref="E4154:F4154"/>
    <mergeCell ref="E4155:F4155"/>
    <mergeCell ref="E4156:F4156"/>
    <mergeCell ref="E4157:F4157"/>
    <mergeCell ref="E4158:F4158"/>
    <mergeCell ref="E4159:F4159"/>
    <mergeCell ref="E4160:F4160"/>
    <mergeCell ref="E4161:F4161"/>
    <mergeCell ref="E4162:F4162"/>
    <mergeCell ref="E4163:F4163"/>
    <mergeCell ref="E4164:F4164"/>
    <mergeCell ref="E4165:F4165"/>
    <mergeCell ref="E4166:F4166"/>
    <mergeCell ref="E4167:F4167"/>
    <mergeCell ref="E4168:F4168"/>
    <mergeCell ref="E4169:F4169"/>
    <mergeCell ref="E4170:F4170"/>
    <mergeCell ref="E4171:F4171"/>
    <mergeCell ref="E4172:F4172"/>
    <mergeCell ref="E4173:F4173"/>
    <mergeCell ref="E4174:F4174"/>
    <mergeCell ref="E4175:F4175"/>
    <mergeCell ref="E4176:F4176"/>
    <mergeCell ref="E4177:F4177"/>
    <mergeCell ref="E4178:F4178"/>
    <mergeCell ref="E4179:F4179"/>
    <mergeCell ref="E4180:F4180"/>
    <mergeCell ref="E4181:F4181"/>
    <mergeCell ref="E4182:F4182"/>
    <mergeCell ref="E4183:F4183"/>
    <mergeCell ref="E4184:F4184"/>
    <mergeCell ref="E4185:F4185"/>
    <mergeCell ref="E4186:F4186"/>
    <mergeCell ref="E4187:F4187"/>
    <mergeCell ref="E4188:F4188"/>
    <mergeCell ref="E4189:F4189"/>
    <mergeCell ref="E4190:F4190"/>
    <mergeCell ref="E4191:F4191"/>
    <mergeCell ref="E4192:F4192"/>
    <mergeCell ref="E4193:F4193"/>
    <mergeCell ref="E4194:F4194"/>
    <mergeCell ref="E4195:F4195"/>
    <mergeCell ref="E4196:F4196"/>
    <mergeCell ref="E4197:F4197"/>
    <mergeCell ref="E4198:F4198"/>
    <mergeCell ref="E4199:F4199"/>
    <mergeCell ref="E4200:F4200"/>
    <mergeCell ref="E4201:F4201"/>
    <mergeCell ref="E4202:F4202"/>
    <mergeCell ref="E4203:F4203"/>
    <mergeCell ref="E4204:F4204"/>
    <mergeCell ref="E4205:F4205"/>
    <mergeCell ref="E4206:F4206"/>
    <mergeCell ref="E4207:F4207"/>
    <mergeCell ref="E4208:F4208"/>
    <mergeCell ref="E4209:F4209"/>
    <mergeCell ref="E4210:F4210"/>
    <mergeCell ref="E4211:F4211"/>
    <mergeCell ref="E4212:F4212"/>
    <mergeCell ref="E4213:F4213"/>
    <mergeCell ref="E4214:F4214"/>
    <mergeCell ref="E4215:F4215"/>
    <mergeCell ref="E4216:F4216"/>
    <mergeCell ref="E4217:F4217"/>
    <mergeCell ref="E4218:F4218"/>
    <mergeCell ref="E4219:F4219"/>
    <mergeCell ref="E4220:F4220"/>
    <mergeCell ref="E4221:F4221"/>
    <mergeCell ref="E4222:F4222"/>
    <mergeCell ref="E4223:F4223"/>
    <mergeCell ref="E4224:F4224"/>
    <mergeCell ref="E4225:F4225"/>
    <mergeCell ref="E4226:F4226"/>
    <mergeCell ref="E4227:F4227"/>
    <mergeCell ref="E4228:F4228"/>
    <mergeCell ref="E4229:F4229"/>
    <mergeCell ref="E4230:F4230"/>
    <mergeCell ref="E4231:F4231"/>
    <mergeCell ref="E4232:F4232"/>
    <mergeCell ref="E4233:F4233"/>
    <mergeCell ref="E4234:F4234"/>
    <mergeCell ref="E4235:F4235"/>
    <mergeCell ref="E4236:F4236"/>
    <mergeCell ref="E4237:F4237"/>
    <mergeCell ref="E4238:F4238"/>
    <mergeCell ref="E4239:F4239"/>
    <mergeCell ref="E4240:F4240"/>
    <mergeCell ref="E4241:F4241"/>
    <mergeCell ref="E4242:F4242"/>
    <mergeCell ref="E4243:F4243"/>
    <mergeCell ref="E4244:F4244"/>
    <mergeCell ref="E4245:F4245"/>
    <mergeCell ref="E4246:F4246"/>
    <mergeCell ref="E4247:F4247"/>
    <mergeCell ref="E4248:F4248"/>
    <mergeCell ref="E4249:F4249"/>
    <mergeCell ref="E4250:F4250"/>
    <mergeCell ref="E4251:F4251"/>
    <mergeCell ref="E4252:F4252"/>
    <mergeCell ref="E4253:F4253"/>
    <mergeCell ref="E4254:F4254"/>
    <mergeCell ref="E4255:F4255"/>
    <mergeCell ref="E4256:F4256"/>
    <mergeCell ref="E4257:F4257"/>
    <mergeCell ref="E4258:F4258"/>
    <mergeCell ref="E4259:F4259"/>
    <mergeCell ref="E4260:F4260"/>
    <mergeCell ref="E4261:F4261"/>
    <mergeCell ref="E4262:F4262"/>
    <mergeCell ref="E4263:F4263"/>
    <mergeCell ref="E4264:F4264"/>
    <mergeCell ref="E4265:F4265"/>
    <mergeCell ref="E4266:F4266"/>
    <mergeCell ref="E4267:F4267"/>
    <mergeCell ref="E4268:F4268"/>
    <mergeCell ref="E4269:F4269"/>
    <mergeCell ref="E4270:F4270"/>
    <mergeCell ref="E4271:F4271"/>
    <mergeCell ref="E4272:F4272"/>
    <mergeCell ref="E4273:F4273"/>
    <mergeCell ref="E4274:F4274"/>
    <mergeCell ref="E4275:F4275"/>
    <mergeCell ref="E4276:F4276"/>
    <mergeCell ref="E4277:F4277"/>
    <mergeCell ref="E4278:F4278"/>
    <mergeCell ref="E4279:F4279"/>
    <mergeCell ref="E4280:F4280"/>
    <mergeCell ref="E4281:F4281"/>
    <mergeCell ref="E4282:F4282"/>
    <mergeCell ref="E4283:F4283"/>
    <mergeCell ref="E4284:F4284"/>
    <mergeCell ref="E4285:F4285"/>
    <mergeCell ref="E4286:F4286"/>
    <mergeCell ref="E4287:F4287"/>
    <mergeCell ref="E4288:F4288"/>
    <mergeCell ref="E4289:F4289"/>
    <mergeCell ref="E4290:F4290"/>
    <mergeCell ref="E4291:F4291"/>
    <mergeCell ref="E4292:F4292"/>
    <mergeCell ref="E4293:F4293"/>
    <mergeCell ref="E4294:F4294"/>
    <mergeCell ref="E4295:F4295"/>
    <mergeCell ref="E4296:F4296"/>
    <mergeCell ref="E4297:F4297"/>
    <mergeCell ref="E4298:F4298"/>
    <mergeCell ref="E4299:F4299"/>
    <mergeCell ref="E4300:F4300"/>
    <mergeCell ref="E4301:F4301"/>
    <mergeCell ref="E4302:F4302"/>
    <mergeCell ref="E4303:F4303"/>
    <mergeCell ref="E4304:F4304"/>
    <mergeCell ref="E4305:F4305"/>
    <mergeCell ref="E4306:F4306"/>
    <mergeCell ref="E4307:F4307"/>
    <mergeCell ref="E4308:F4308"/>
    <mergeCell ref="E4309:F4309"/>
    <mergeCell ref="E4310:F4310"/>
    <mergeCell ref="E4311:F4311"/>
    <mergeCell ref="E4312:F4312"/>
    <mergeCell ref="E4313:F4313"/>
    <mergeCell ref="E4314:F4314"/>
    <mergeCell ref="E4315:F4315"/>
    <mergeCell ref="E4316:F4316"/>
    <mergeCell ref="E4317:F4317"/>
    <mergeCell ref="E4318:F4318"/>
    <mergeCell ref="E4319:F4319"/>
    <mergeCell ref="E4320:F4320"/>
    <mergeCell ref="E4321:F4321"/>
    <mergeCell ref="E4322:F4322"/>
    <mergeCell ref="E4323:F4323"/>
    <mergeCell ref="E4324:F4324"/>
    <mergeCell ref="E4325:F4325"/>
    <mergeCell ref="E4326:F4326"/>
    <mergeCell ref="E4327:F4327"/>
    <mergeCell ref="E4328:F4328"/>
    <mergeCell ref="E4329:F4329"/>
    <mergeCell ref="E4330:F4330"/>
    <mergeCell ref="E4331:F4331"/>
    <mergeCell ref="E4332:F4332"/>
    <mergeCell ref="E4333:F4333"/>
    <mergeCell ref="E4334:F4334"/>
    <mergeCell ref="E4335:F4335"/>
    <mergeCell ref="E4336:F4336"/>
    <mergeCell ref="E4337:F4337"/>
    <mergeCell ref="E4338:F4338"/>
    <mergeCell ref="E4339:F4339"/>
    <mergeCell ref="E4340:F4340"/>
    <mergeCell ref="E4341:F4341"/>
    <mergeCell ref="E4342:F4342"/>
    <mergeCell ref="E4343:F4343"/>
    <mergeCell ref="E4344:F4344"/>
    <mergeCell ref="E4345:F4345"/>
    <mergeCell ref="E4346:F4346"/>
    <mergeCell ref="E4347:F4347"/>
    <mergeCell ref="E4348:F4348"/>
    <mergeCell ref="E4349:F4349"/>
    <mergeCell ref="E4350:F4350"/>
    <mergeCell ref="E4351:F4351"/>
    <mergeCell ref="E4352:F4352"/>
    <mergeCell ref="E4353:F4353"/>
    <mergeCell ref="E4354:F4354"/>
    <mergeCell ref="E4355:F4355"/>
    <mergeCell ref="E4356:F4356"/>
    <mergeCell ref="E4357:F4357"/>
    <mergeCell ref="E4358:F4358"/>
    <mergeCell ref="E4359:F4359"/>
    <mergeCell ref="E4360:F4360"/>
    <mergeCell ref="E4361:F4361"/>
    <mergeCell ref="E4362:F4362"/>
    <mergeCell ref="E4363:F4363"/>
    <mergeCell ref="E4364:F4364"/>
    <mergeCell ref="E4365:F4365"/>
    <mergeCell ref="E4366:F4366"/>
    <mergeCell ref="E4367:F4367"/>
    <mergeCell ref="E4368:F4368"/>
    <mergeCell ref="E4369:F4369"/>
    <mergeCell ref="E4370:F4370"/>
    <mergeCell ref="E4371:F4371"/>
    <mergeCell ref="E4372:F4372"/>
    <mergeCell ref="E4373:F4373"/>
    <mergeCell ref="E4374:F4374"/>
    <mergeCell ref="E4375:F4375"/>
    <mergeCell ref="E4376:F4376"/>
    <mergeCell ref="E4377:F4377"/>
    <mergeCell ref="E4378:F4378"/>
    <mergeCell ref="E4379:F4379"/>
    <mergeCell ref="E4380:F4380"/>
    <mergeCell ref="E4381:F4381"/>
    <mergeCell ref="E4382:F4382"/>
    <mergeCell ref="E4383:F4383"/>
    <mergeCell ref="E4384:F4384"/>
    <mergeCell ref="E4385:F4385"/>
    <mergeCell ref="E4386:F4386"/>
    <mergeCell ref="E4387:F4387"/>
    <mergeCell ref="E4388:F4388"/>
    <mergeCell ref="E4389:F4389"/>
    <mergeCell ref="E4390:F4390"/>
    <mergeCell ref="E4391:F4391"/>
    <mergeCell ref="E4392:F4392"/>
    <mergeCell ref="E4393:F4393"/>
    <mergeCell ref="E4394:F4394"/>
    <mergeCell ref="E4395:F4395"/>
    <mergeCell ref="E4396:F4396"/>
    <mergeCell ref="E4397:F4397"/>
    <mergeCell ref="E4398:F4398"/>
    <mergeCell ref="E4399:F4399"/>
    <mergeCell ref="E4400:F4400"/>
    <mergeCell ref="E4401:F4401"/>
    <mergeCell ref="E4402:F4402"/>
    <mergeCell ref="E4403:F4403"/>
    <mergeCell ref="E4404:F4404"/>
    <mergeCell ref="E4405:F4405"/>
    <mergeCell ref="E4406:F4406"/>
    <mergeCell ref="E4407:F4407"/>
    <mergeCell ref="E4408:F4408"/>
    <mergeCell ref="E4409:F4409"/>
    <mergeCell ref="E4410:F4410"/>
    <mergeCell ref="E4411:F4411"/>
    <mergeCell ref="E4412:F4412"/>
    <mergeCell ref="E4413:F4413"/>
    <mergeCell ref="E4414:F4414"/>
    <mergeCell ref="E4415:F4415"/>
    <mergeCell ref="E4416:F4416"/>
    <mergeCell ref="E4417:F4417"/>
    <mergeCell ref="E4418:F4418"/>
    <mergeCell ref="E4419:F4419"/>
    <mergeCell ref="E4420:F4420"/>
    <mergeCell ref="E4421:F4421"/>
    <mergeCell ref="E4422:F4422"/>
    <mergeCell ref="E4423:F4423"/>
    <mergeCell ref="E4424:F4424"/>
    <mergeCell ref="E4425:F4425"/>
    <mergeCell ref="E4426:F4426"/>
    <mergeCell ref="E4427:F4427"/>
    <mergeCell ref="E4428:F4428"/>
    <mergeCell ref="E4429:F4429"/>
    <mergeCell ref="E4430:F4430"/>
    <mergeCell ref="E4431:F4431"/>
    <mergeCell ref="E4432:F4432"/>
    <mergeCell ref="E4433:F4433"/>
    <mergeCell ref="E4434:F4434"/>
    <mergeCell ref="E4435:F4435"/>
    <mergeCell ref="E4436:F4436"/>
    <mergeCell ref="E4437:F4437"/>
    <mergeCell ref="E4438:F4438"/>
    <mergeCell ref="E4439:F4439"/>
    <mergeCell ref="E4440:F4440"/>
    <mergeCell ref="E4441:F4441"/>
    <mergeCell ref="E4442:F4442"/>
    <mergeCell ref="E4443:F4443"/>
    <mergeCell ref="E4444:F4444"/>
    <mergeCell ref="E4445:F4445"/>
    <mergeCell ref="E4446:F4446"/>
    <mergeCell ref="E4447:F4447"/>
    <mergeCell ref="E4448:F4448"/>
    <mergeCell ref="E4449:F4449"/>
    <mergeCell ref="E4450:F4450"/>
    <mergeCell ref="E4451:F4451"/>
    <mergeCell ref="E4452:F4452"/>
    <mergeCell ref="E4453:F4453"/>
    <mergeCell ref="E4454:F4454"/>
    <mergeCell ref="E4455:F4455"/>
    <mergeCell ref="E4456:F4456"/>
    <mergeCell ref="E4457:F4457"/>
    <mergeCell ref="E4458:F4458"/>
    <mergeCell ref="E4459:F4459"/>
    <mergeCell ref="E4460:F4460"/>
    <mergeCell ref="E4461:F4461"/>
    <mergeCell ref="E4462:F4462"/>
    <mergeCell ref="E4463:F4463"/>
    <mergeCell ref="E4464:F4464"/>
    <mergeCell ref="E4465:F4465"/>
    <mergeCell ref="E4466:F4466"/>
    <mergeCell ref="E4467:F4467"/>
    <mergeCell ref="E4468:F4468"/>
    <mergeCell ref="E4469:F4469"/>
    <mergeCell ref="E4470:F4470"/>
    <mergeCell ref="E4471:F4471"/>
    <mergeCell ref="E4472:F4472"/>
    <mergeCell ref="E4473:F4473"/>
    <mergeCell ref="E4474:F4474"/>
    <mergeCell ref="E4475:F4475"/>
    <mergeCell ref="E4476:F4476"/>
    <mergeCell ref="E4477:F4477"/>
    <mergeCell ref="E4478:F4478"/>
    <mergeCell ref="E4479:F4479"/>
    <mergeCell ref="E4480:F4480"/>
    <mergeCell ref="E4481:F4481"/>
    <mergeCell ref="E4482:F4482"/>
    <mergeCell ref="E4483:F4483"/>
    <mergeCell ref="E4484:F4484"/>
    <mergeCell ref="E4485:F4485"/>
    <mergeCell ref="E4486:F4486"/>
    <mergeCell ref="E4487:F4487"/>
    <mergeCell ref="E4488:F4488"/>
    <mergeCell ref="E4489:F4489"/>
    <mergeCell ref="E4490:F4490"/>
    <mergeCell ref="E4491:F4491"/>
    <mergeCell ref="E4492:F4492"/>
    <mergeCell ref="E4493:F4493"/>
    <mergeCell ref="E4494:F4494"/>
    <mergeCell ref="E4495:F4495"/>
    <mergeCell ref="E4496:F4496"/>
    <mergeCell ref="E4497:F4497"/>
    <mergeCell ref="E4498:F4498"/>
    <mergeCell ref="E4499:F4499"/>
    <mergeCell ref="E4500:F4500"/>
    <mergeCell ref="E4501:F4501"/>
    <mergeCell ref="E4502:F4502"/>
    <mergeCell ref="E4503:F4503"/>
    <mergeCell ref="E4504:F4504"/>
    <mergeCell ref="E4505:F4505"/>
    <mergeCell ref="E4506:F4506"/>
    <mergeCell ref="E4507:F4507"/>
    <mergeCell ref="E4508:F4508"/>
    <mergeCell ref="E4509:F4509"/>
    <mergeCell ref="E4510:F4510"/>
    <mergeCell ref="E4511:F4511"/>
    <mergeCell ref="E4512:F4512"/>
    <mergeCell ref="E4513:F4513"/>
    <mergeCell ref="E4514:F4514"/>
    <mergeCell ref="E4515:F4515"/>
    <mergeCell ref="E4516:F4516"/>
    <mergeCell ref="E4517:F4517"/>
    <mergeCell ref="E4518:F4518"/>
    <mergeCell ref="E4519:F4519"/>
    <mergeCell ref="E4520:F4520"/>
    <mergeCell ref="E4521:F4521"/>
    <mergeCell ref="E4522:F4522"/>
    <mergeCell ref="E4523:F4523"/>
    <mergeCell ref="E4524:F4524"/>
    <mergeCell ref="E4525:F4525"/>
    <mergeCell ref="E4526:F4526"/>
    <mergeCell ref="E4527:F4527"/>
    <mergeCell ref="E4528:F4528"/>
    <mergeCell ref="E4529:F4529"/>
    <mergeCell ref="E4530:F4530"/>
    <mergeCell ref="E4531:F4531"/>
    <mergeCell ref="E4532:F4532"/>
    <mergeCell ref="E4533:F4533"/>
    <mergeCell ref="E4534:F4534"/>
    <mergeCell ref="E4535:F4535"/>
    <mergeCell ref="E4536:F4536"/>
    <mergeCell ref="E4537:F4537"/>
    <mergeCell ref="E4538:F4538"/>
    <mergeCell ref="E4539:F4539"/>
    <mergeCell ref="E4540:F4540"/>
    <mergeCell ref="E4541:F4541"/>
    <mergeCell ref="E4542:F4542"/>
    <mergeCell ref="E4543:F4543"/>
    <mergeCell ref="E4544:F4544"/>
    <mergeCell ref="E4545:F4545"/>
    <mergeCell ref="E4546:F4546"/>
    <mergeCell ref="E4547:F4547"/>
    <mergeCell ref="E4548:F4548"/>
    <mergeCell ref="E4549:F4549"/>
    <mergeCell ref="E4550:F4550"/>
    <mergeCell ref="E4551:F4551"/>
    <mergeCell ref="E4552:F4552"/>
    <mergeCell ref="E4553:F4553"/>
    <mergeCell ref="E4554:F4554"/>
    <mergeCell ref="E4555:F4555"/>
    <mergeCell ref="E4556:F4556"/>
    <mergeCell ref="E4557:F4557"/>
    <mergeCell ref="E4558:F4558"/>
    <mergeCell ref="E4559:F4559"/>
    <mergeCell ref="E4560:F4560"/>
    <mergeCell ref="E4561:F4561"/>
    <mergeCell ref="E4562:F4562"/>
    <mergeCell ref="E4563:F4563"/>
    <mergeCell ref="E4564:F4564"/>
    <mergeCell ref="E4565:F4565"/>
    <mergeCell ref="E4566:F4566"/>
    <mergeCell ref="E4567:F4567"/>
    <mergeCell ref="E4568:F4568"/>
    <mergeCell ref="E4569:F4569"/>
    <mergeCell ref="E4570:F4570"/>
    <mergeCell ref="E4571:F4571"/>
    <mergeCell ref="E4572:F4572"/>
    <mergeCell ref="E4573:F4573"/>
    <mergeCell ref="E4574:F4574"/>
    <mergeCell ref="E4575:F4575"/>
    <mergeCell ref="E4576:F4576"/>
    <mergeCell ref="E4577:F4577"/>
    <mergeCell ref="E4578:F4578"/>
    <mergeCell ref="E4579:F4579"/>
    <mergeCell ref="E4580:F4580"/>
    <mergeCell ref="E4581:F4581"/>
    <mergeCell ref="E4582:F4582"/>
    <mergeCell ref="E4583:F4583"/>
    <mergeCell ref="E4584:F4584"/>
    <mergeCell ref="E4585:F4585"/>
    <mergeCell ref="E4586:F4586"/>
    <mergeCell ref="E4587:F4587"/>
    <mergeCell ref="E4588:F4588"/>
    <mergeCell ref="E4589:F4589"/>
    <mergeCell ref="E4590:F4590"/>
    <mergeCell ref="E4591:F4591"/>
    <mergeCell ref="E4592:F4592"/>
    <mergeCell ref="E4593:F4593"/>
    <mergeCell ref="E4594:F4594"/>
    <mergeCell ref="E4595:F4595"/>
    <mergeCell ref="E4596:F4596"/>
    <mergeCell ref="E4597:F4597"/>
    <mergeCell ref="E4598:F4598"/>
    <mergeCell ref="E4599:F4599"/>
    <mergeCell ref="E4600:F4600"/>
    <mergeCell ref="E4601:F4601"/>
    <mergeCell ref="E4602:F4602"/>
    <mergeCell ref="E4603:F4603"/>
    <mergeCell ref="E4604:F4604"/>
    <mergeCell ref="E4605:F4605"/>
    <mergeCell ref="E4606:F4606"/>
    <mergeCell ref="E4607:F4607"/>
    <mergeCell ref="E4608:F4608"/>
    <mergeCell ref="E4609:F4609"/>
    <mergeCell ref="E4610:F4610"/>
    <mergeCell ref="E4611:F4611"/>
    <mergeCell ref="E4612:F4612"/>
    <mergeCell ref="E4613:F4613"/>
    <mergeCell ref="E4614:F4614"/>
    <mergeCell ref="E4615:F4615"/>
    <mergeCell ref="E4616:F4616"/>
    <mergeCell ref="E4617:F4617"/>
    <mergeCell ref="E4618:F4618"/>
    <mergeCell ref="E4619:F4619"/>
    <mergeCell ref="E4620:F4620"/>
    <mergeCell ref="E4621:F4621"/>
    <mergeCell ref="E4622:F4622"/>
    <mergeCell ref="E4623:F4623"/>
    <mergeCell ref="E4624:F4624"/>
    <mergeCell ref="E4625:F4625"/>
    <mergeCell ref="E4626:F4626"/>
    <mergeCell ref="E4627:F4627"/>
    <mergeCell ref="E4628:F4628"/>
    <mergeCell ref="E4629:F4629"/>
    <mergeCell ref="E4630:F4630"/>
    <mergeCell ref="E4631:F4631"/>
    <mergeCell ref="E4632:F4632"/>
    <mergeCell ref="E4633:F4633"/>
    <mergeCell ref="E4634:F4634"/>
    <mergeCell ref="E4635:F4635"/>
    <mergeCell ref="E4636:F4636"/>
    <mergeCell ref="E4637:F4637"/>
    <mergeCell ref="E4638:F4638"/>
    <mergeCell ref="E4639:F4639"/>
    <mergeCell ref="E4640:F4640"/>
    <mergeCell ref="E4641:F4641"/>
    <mergeCell ref="E4642:F4642"/>
    <mergeCell ref="E4643:F4643"/>
    <mergeCell ref="E4644:F4644"/>
    <mergeCell ref="E4645:F4645"/>
    <mergeCell ref="E4646:F4646"/>
    <mergeCell ref="E4647:F4647"/>
    <mergeCell ref="E4648:F4648"/>
    <mergeCell ref="E4649:F4649"/>
    <mergeCell ref="E4650:F4650"/>
    <mergeCell ref="E4651:F4651"/>
    <mergeCell ref="E4652:F4652"/>
    <mergeCell ref="E4653:F4653"/>
    <mergeCell ref="E4654:F4654"/>
    <mergeCell ref="E4655:F4655"/>
    <mergeCell ref="E4656:F4656"/>
    <mergeCell ref="E4657:F4657"/>
    <mergeCell ref="E4658:F4658"/>
    <mergeCell ref="E4659:F4659"/>
    <mergeCell ref="E4660:F4660"/>
    <mergeCell ref="E4661:F4661"/>
    <mergeCell ref="E4662:F4662"/>
    <mergeCell ref="E4663:F4663"/>
    <mergeCell ref="E4664:F4664"/>
    <mergeCell ref="E4665:F4665"/>
    <mergeCell ref="E4666:F4666"/>
    <mergeCell ref="E4667:F4667"/>
    <mergeCell ref="E4668:F4668"/>
    <mergeCell ref="E4669:F4669"/>
    <mergeCell ref="E4670:F4670"/>
    <mergeCell ref="E4671:F4671"/>
    <mergeCell ref="E4672:F4672"/>
    <mergeCell ref="E4673:F4673"/>
    <mergeCell ref="E4674:F4674"/>
    <mergeCell ref="E4675:F4675"/>
    <mergeCell ref="E4676:F4676"/>
    <mergeCell ref="E4677:F4677"/>
    <mergeCell ref="E4678:F4678"/>
    <mergeCell ref="E4679:F4679"/>
    <mergeCell ref="E4680:F4680"/>
    <mergeCell ref="E4681:F4681"/>
    <mergeCell ref="E4682:F4682"/>
    <mergeCell ref="E4683:F4683"/>
    <mergeCell ref="E4684:F4684"/>
    <mergeCell ref="E4685:F4685"/>
    <mergeCell ref="E4686:F4686"/>
    <mergeCell ref="E4687:F4687"/>
    <mergeCell ref="E4688:F4688"/>
    <mergeCell ref="E4689:F4689"/>
    <mergeCell ref="E4690:F4690"/>
    <mergeCell ref="E4691:F4691"/>
    <mergeCell ref="E4692:F4692"/>
    <mergeCell ref="E4693:F4693"/>
    <mergeCell ref="E4694:F4694"/>
    <mergeCell ref="E4695:F4695"/>
    <mergeCell ref="E4696:F4696"/>
    <mergeCell ref="E4697:F4697"/>
    <mergeCell ref="E4698:F4698"/>
    <mergeCell ref="E4699:F4699"/>
    <mergeCell ref="E4700:F4700"/>
    <mergeCell ref="E4701:F4701"/>
    <mergeCell ref="E4702:F4702"/>
    <mergeCell ref="E4703:F4703"/>
    <mergeCell ref="E4704:F4704"/>
    <mergeCell ref="E4705:F4705"/>
    <mergeCell ref="E4706:F4706"/>
    <mergeCell ref="E4707:F4707"/>
    <mergeCell ref="E4708:F4708"/>
    <mergeCell ref="E4709:F4709"/>
    <mergeCell ref="E4710:F4710"/>
    <mergeCell ref="E4711:F4711"/>
    <mergeCell ref="E4712:F4712"/>
    <mergeCell ref="E4713:F4713"/>
    <mergeCell ref="E4714:F4714"/>
    <mergeCell ref="E4715:F4715"/>
    <mergeCell ref="E4716:F4716"/>
    <mergeCell ref="E4717:F4717"/>
    <mergeCell ref="E4718:F4718"/>
    <mergeCell ref="E4719:F4719"/>
    <mergeCell ref="E4720:F4720"/>
    <mergeCell ref="E4721:F4721"/>
    <mergeCell ref="E4722:F4722"/>
    <mergeCell ref="E4723:F4723"/>
    <mergeCell ref="E4724:F4724"/>
    <mergeCell ref="E4725:F4725"/>
    <mergeCell ref="E4726:F4726"/>
    <mergeCell ref="E4727:F4727"/>
    <mergeCell ref="E4728:F4728"/>
    <mergeCell ref="E4729:F4729"/>
    <mergeCell ref="E4730:F4730"/>
    <mergeCell ref="E4731:F4731"/>
    <mergeCell ref="E4732:F4732"/>
    <mergeCell ref="E4733:F4733"/>
    <mergeCell ref="E4734:F4734"/>
    <mergeCell ref="E4735:F4735"/>
    <mergeCell ref="E4736:F4736"/>
    <mergeCell ref="E4737:F4737"/>
    <mergeCell ref="E4738:F4738"/>
    <mergeCell ref="E4739:F4739"/>
    <mergeCell ref="E4740:F4740"/>
    <mergeCell ref="E4741:F4741"/>
    <mergeCell ref="E4742:F4742"/>
    <mergeCell ref="E4743:F4743"/>
    <mergeCell ref="E4744:F4744"/>
    <mergeCell ref="E4745:F4745"/>
    <mergeCell ref="E4746:F4746"/>
    <mergeCell ref="E4747:F4747"/>
    <mergeCell ref="E4748:F4748"/>
    <mergeCell ref="E4749:F4749"/>
    <mergeCell ref="E4750:F4750"/>
    <mergeCell ref="E4751:F4751"/>
    <mergeCell ref="E4752:F4752"/>
    <mergeCell ref="E4753:F4753"/>
    <mergeCell ref="E4754:F4754"/>
    <mergeCell ref="E4755:F4755"/>
    <mergeCell ref="E4756:F4756"/>
    <mergeCell ref="E4757:F4757"/>
    <mergeCell ref="E4758:F4758"/>
    <mergeCell ref="E4759:F4759"/>
    <mergeCell ref="E4760:F4760"/>
    <mergeCell ref="E4761:F4761"/>
    <mergeCell ref="E4762:F4762"/>
    <mergeCell ref="E4763:F4763"/>
    <mergeCell ref="E4764:F4764"/>
    <mergeCell ref="E4765:F4765"/>
    <mergeCell ref="E4766:F4766"/>
    <mergeCell ref="E4767:F4767"/>
    <mergeCell ref="E4768:F4768"/>
    <mergeCell ref="E4769:F4769"/>
    <mergeCell ref="E4770:F4770"/>
    <mergeCell ref="E4771:F4771"/>
    <mergeCell ref="E4772:F4772"/>
    <mergeCell ref="E4773:F4773"/>
    <mergeCell ref="E4774:F4774"/>
    <mergeCell ref="E4775:F4775"/>
    <mergeCell ref="E4776:F4776"/>
    <mergeCell ref="E4777:F4777"/>
    <mergeCell ref="E4778:F4778"/>
    <mergeCell ref="E4779:F4779"/>
    <mergeCell ref="E4780:F4780"/>
    <mergeCell ref="E4781:F4781"/>
    <mergeCell ref="E4782:F4782"/>
    <mergeCell ref="E4783:F4783"/>
    <mergeCell ref="E4784:F4784"/>
    <mergeCell ref="E4785:F4785"/>
    <mergeCell ref="E4786:F4786"/>
    <mergeCell ref="E4787:F4787"/>
    <mergeCell ref="E4788:F4788"/>
    <mergeCell ref="E4789:F4789"/>
    <mergeCell ref="E4790:F4790"/>
    <mergeCell ref="E4791:F4791"/>
    <mergeCell ref="E4792:F4792"/>
    <mergeCell ref="E4793:F4793"/>
    <mergeCell ref="E4794:F4794"/>
    <mergeCell ref="E4795:F4795"/>
    <mergeCell ref="E4796:F4796"/>
    <mergeCell ref="E4797:F4797"/>
    <mergeCell ref="E4798:F4798"/>
    <mergeCell ref="E4799:F4799"/>
    <mergeCell ref="E4800:F4800"/>
    <mergeCell ref="E4801:F4801"/>
    <mergeCell ref="E4802:F4802"/>
    <mergeCell ref="E4803:F4803"/>
    <mergeCell ref="E4804:F4804"/>
    <mergeCell ref="E4805:F4805"/>
    <mergeCell ref="E4806:F4806"/>
    <mergeCell ref="E4807:F4807"/>
    <mergeCell ref="E4808:F4808"/>
    <mergeCell ref="E4809:F4809"/>
    <mergeCell ref="E4810:F4810"/>
    <mergeCell ref="E4811:F4811"/>
    <mergeCell ref="E4812:F4812"/>
    <mergeCell ref="E4813:F4813"/>
    <mergeCell ref="E4814:F4814"/>
    <mergeCell ref="E4815:F4815"/>
    <mergeCell ref="E4816:F4816"/>
    <mergeCell ref="E4817:F4817"/>
    <mergeCell ref="E4818:F4818"/>
    <mergeCell ref="E4819:F4819"/>
    <mergeCell ref="E4820:F4820"/>
    <mergeCell ref="E4821:F4821"/>
    <mergeCell ref="E4822:F4822"/>
    <mergeCell ref="E4823:F4823"/>
    <mergeCell ref="E4824:F4824"/>
    <mergeCell ref="E4825:F4825"/>
    <mergeCell ref="E4826:F4826"/>
    <mergeCell ref="E4827:F4827"/>
    <mergeCell ref="E4828:F4828"/>
    <mergeCell ref="E4829:F4829"/>
    <mergeCell ref="E4830:F4830"/>
    <mergeCell ref="E4831:F4831"/>
    <mergeCell ref="E4832:F4832"/>
    <mergeCell ref="E4833:F4833"/>
    <mergeCell ref="E4834:F4834"/>
    <mergeCell ref="E4835:F4835"/>
    <mergeCell ref="E4836:F4836"/>
    <mergeCell ref="E4837:F4837"/>
    <mergeCell ref="E4838:F4838"/>
    <mergeCell ref="E4839:F4839"/>
    <mergeCell ref="E4840:F4840"/>
    <mergeCell ref="E4841:F4841"/>
    <mergeCell ref="E4842:F4842"/>
    <mergeCell ref="E4843:F4843"/>
    <mergeCell ref="E4844:F4844"/>
    <mergeCell ref="E4845:F4845"/>
    <mergeCell ref="E4846:F4846"/>
    <mergeCell ref="E4847:F4847"/>
    <mergeCell ref="E4848:F4848"/>
    <mergeCell ref="E4849:F4849"/>
    <mergeCell ref="E4850:F4850"/>
    <mergeCell ref="E4851:F4851"/>
    <mergeCell ref="E4852:F4852"/>
    <mergeCell ref="E4853:F4853"/>
    <mergeCell ref="E4854:F4854"/>
    <mergeCell ref="E4855:F4855"/>
    <mergeCell ref="E4856:F4856"/>
    <mergeCell ref="E4857:F4857"/>
    <mergeCell ref="E4858:F4858"/>
    <mergeCell ref="E4859:F4859"/>
    <mergeCell ref="E4860:F4860"/>
    <mergeCell ref="E4861:F4861"/>
    <mergeCell ref="E4862:F4862"/>
    <mergeCell ref="E4863:F4863"/>
    <mergeCell ref="E4864:F4864"/>
    <mergeCell ref="E4865:F4865"/>
    <mergeCell ref="E4866:F4866"/>
    <mergeCell ref="E4867:F4867"/>
    <mergeCell ref="E4868:F4868"/>
    <mergeCell ref="E4869:F4869"/>
    <mergeCell ref="E4870:F4870"/>
    <mergeCell ref="E4871:F4871"/>
    <mergeCell ref="E4872:F4872"/>
    <mergeCell ref="E4873:F4873"/>
    <mergeCell ref="E4874:F4874"/>
    <mergeCell ref="E4875:F4875"/>
    <mergeCell ref="E4876:F4876"/>
    <mergeCell ref="E4877:F4877"/>
    <mergeCell ref="E4878:F4878"/>
    <mergeCell ref="E4879:F4879"/>
    <mergeCell ref="E4880:F4880"/>
    <mergeCell ref="E4881:F4881"/>
    <mergeCell ref="E4882:F4882"/>
    <mergeCell ref="E4883:F4883"/>
    <mergeCell ref="E4884:F4884"/>
    <mergeCell ref="E4885:F4885"/>
    <mergeCell ref="E4886:F4886"/>
    <mergeCell ref="E4887:F4887"/>
    <mergeCell ref="E4888:F4888"/>
    <mergeCell ref="E4889:F4889"/>
    <mergeCell ref="E4890:F4890"/>
    <mergeCell ref="E4891:F4891"/>
    <mergeCell ref="E4892:F4892"/>
    <mergeCell ref="E4893:F4893"/>
    <mergeCell ref="E4894:F4894"/>
    <mergeCell ref="E4895:F4895"/>
    <mergeCell ref="E4896:F4896"/>
    <mergeCell ref="E4897:F4897"/>
    <mergeCell ref="E4898:F4898"/>
    <mergeCell ref="E4899:F4899"/>
    <mergeCell ref="E4900:F4900"/>
    <mergeCell ref="E4901:F4901"/>
    <mergeCell ref="E4902:F4902"/>
    <mergeCell ref="E4903:F4903"/>
    <mergeCell ref="E4904:F4904"/>
    <mergeCell ref="E4905:F4905"/>
    <mergeCell ref="E4906:F4906"/>
    <mergeCell ref="E4907:F4907"/>
    <mergeCell ref="E4908:F4908"/>
    <mergeCell ref="E4909:F4909"/>
    <mergeCell ref="E4910:F4910"/>
    <mergeCell ref="E4911:F4911"/>
    <mergeCell ref="E4912:F4912"/>
    <mergeCell ref="E4913:F4913"/>
    <mergeCell ref="E4914:F4914"/>
    <mergeCell ref="E4915:F4915"/>
    <mergeCell ref="E4916:F4916"/>
    <mergeCell ref="E4917:F4917"/>
    <mergeCell ref="E4918:F4918"/>
    <mergeCell ref="E4919:F4919"/>
    <mergeCell ref="E4920:F4920"/>
    <mergeCell ref="E4921:F4921"/>
    <mergeCell ref="E4922:F4922"/>
    <mergeCell ref="E4923:F4923"/>
    <mergeCell ref="E4924:F4924"/>
    <mergeCell ref="E4925:F4925"/>
    <mergeCell ref="E4926:F4926"/>
    <mergeCell ref="E4927:F4927"/>
    <mergeCell ref="E4928:F4928"/>
    <mergeCell ref="E4929:F4929"/>
    <mergeCell ref="E4930:F4930"/>
    <mergeCell ref="E4931:F4931"/>
    <mergeCell ref="E4932:F4932"/>
    <mergeCell ref="E4933:F4933"/>
    <mergeCell ref="E4934:F4934"/>
    <mergeCell ref="E4935:F4935"/>
    <mergeCell ref="E4936:F4936"/>
    <mergeCell ref="E4937:F4937"/>
    <mergeCell ref="E4938:F4938"/>
    <mergeCell ref="E4939:F4939"/>
    <mergeCell ref="E4940:F4940"/>
    <mergeCell ref="E4941:F4941"/>
    <mergeCell ref="E4942:F4942"/>
    <mergeCell ref="E4943:F4943"/>
    <mergeCell ref="E4944:F4944"/>
    <mergeCell ref="E4945:F4945"/>
    <mergeCell ref="E4946:F4946"/>
    <mergeCell ref="E4947:F4947"/>
    <mergeCell ref="E4948:F4948"/>
    <mergeCell ref="E4949:F4949"/>
    <mergeCell ref="E4950:F4950"/>
    <mergeCell ref="E4951:F4951"/>
    <mergeCell ref="E4952:F4952"/>
    <mergeCell ref="E4953:F4953"/>
    <mergeCell ref="E4954:F4954"/>
    <mergeCell ref="E4955:F4955"/>
    <mergeCell ref="E4956:F4956"/>
    <mergeCell ref="E4957:F4957"/>
    <mergeCell ref="E4958:F4958"/>
    <mergeCell ref="E4959:F4959"/>
    <mergeCell ref="E4960:F4960"/>
    <mergeCell ref="E4961:F4961"/>
    <mergeCell ref="E4962:F4962"/>
    <mergeCell ref="E4963:F4963"/>
    <mergeCell ref="E4964:F4964"/>
    <mergeCell ref="E4965:F4965"/>
    <mergeCell ref="E4966:F4966"/>
    <mergeCell ref="E4967:F4967"/>
    <mergeCell ref="E4968:F4968"/>
    <mergeCell ref="E4969:F4969"/>
    <mergeCell ref="E4970:F4970"/>
    <mergeCell ref="E4971:F4971"/>
    <mergeCell ref="E4972:F4972"/>
    <mergeCell ref="E4973:F4973"/>
    <mergeCell ref="E4974:F4974"/>
    <mergeCell ref="E4975:F4975"/>
    <mergeCell ref="E4976:F4976"/>
    <mergeCell ref="E4977:F4977"/>
    <mergeCell ref="E4978:F4978"/>
    <mergeCell ref="E4979:F4979"/>
    <mergeCell ref="E4980:F4980"/>
    <mergeCell ref="E4981:F4981"/>
    <mergeCell ref="E4982:F4982"/>
    <mergeCell ref="E4983:F4983"/>
    <mergeCell ref="E4984:F4984"/>
    <mergeCell ref="E4985:F4985"/>
    <mergeCell ref="E4986:F4986"/>
    <mergeCell ref="E4987:F4987"/>
    <mergeCell ref="E4988:F4988"/>
    <mergeCell ref="E4989:F4989"/>
    <mergeCell ref="E4990:F4990"/>
    <mergeCell ref="E4991:F4991"/>
    <mergeCell ref="E4992:F4992"/>
    <mergeCell ref="E4993:F4993"/>
    <mergeCell ref="E4994:F4994"/>
    <mergeCell ref="E4995:F4995"/>
    <mergeCell ref="E4996:F4996"/>
    <mergeCell ref="E4997:F4997"/>
    <mergeCell ref="E4998:F4998"/>
    <mergeCell ref="E4999:F4999"/>
    <mergeCell ref="E5000:F5000"/>
    <mergeCell ref="E5001:F5001"/>
    <mergeCell ref="E5002:F5002"/>
    <mergeCell ref="E5003:F5003"/>
    <mergeCell ref="E5004:F5004"/>
    <mergeCell ref="E5005:F5005"/>
    <mergeCell ref="E5006:F5006"/>
    <mergeCell ref="E5007:F5007"/>
    <mergeCell ref="E5008:F5008"/>
    <mergeCell ref="E5009:F5009"/>
    <mergeCell ref="E5010:F5010"/>
    <mergeCell ref="E5011:F5011"/>
    <mergeCell ref="E5012:F5012"/>
    <mergeCell ref="E5013:F5013"/>
    <mergeCell ref="E5014:F5014"/>
    <mergeCell ref="E5015:F5015"/>
    <mergeCell ref="E5016:F5016"/>
    <mergeCell ref="E5017:F5017"/>
    <mergeCell ref="E5018:F5018"/>
    <mergeCell ref="E5019:F5019"/>
    <mergeCell ref="E5020:F5020"/>
    <mergeCell ref="E5021:F5021"/>
    <mergeCell ref="E5022:F5022"/>
    <mergeCell ref="E5023:F5023"/>
    <mergeCell ref="E5024:F5024"/>
    <mergeCell ref="E5025:F5025"/>
    <mergeCell ref="E5026:F5026"/>
    <mergeCell ref="E5027:F5027"/>
    <mergeCell ref="E5028:F5028"/>
    <mergeCell ref="E5029:F5029"/>
    <mergeCell ref="E5030:F5030"/>
    <mergeCell ref="E5031:F5031"/>
    <mergeCell ref="E5032:F5032"/>
    <mergeCell ref="E5033:F5033"/>
    <mergeCell ref="E5034:F5034"/>
    <mergeCell ref="E5035:F5035"/>
    <mergeCell ref="E5036:F5036"/>
    <mergeCell ref="E5037:F5037"/>
    <mergeCell ref="E5038:F5038"/>
    <mergeCell ref="E5039:F5039"/>
    <mergeCell ref="E5040:F5040"/>
    <mergeCell ref="E5041:F5041"/>
    <mergeCell ref="E5042:F5042"/>
    <mergeCell ref="E5043:F5043"/>
    <mergeCell ref="E5044:F5044"/>
    <mergeCell ref="E5045:F5045"/>
    <mergeCell ref="E5046:F5046"/>
    <mergeCell ref="E5047:F5047"/>
    <mergeCell ref="E5048:F5048"/>
    <mergeCell ref="E5049:F5049"/>
    <mergeCell ref="E5050:F5050"/>
    <mergeCell ref="E5051:F5051"/>
    <mergeCell ref="E5052:F5052"/>
    <mergeCell ref="E5053:F5053"/>
    <mergeCell ref="E5054:F5054"/>
    <mergeCell ref="E5055:F5055"/>
    <mergeCell ref="E5056:F5056"/>
    <mergeCell ref="E5057:F5057"/>
    <mergeCell ref="E5058:F5058"/>
    <mergeCell ref="E5065:F5065"/>
    <mergeCell ref="E5066:F5066"/>
    <mergeCell ref="E5067:F5067"/>
    <mergeCell ref="E5059:F5059"/>
    <mergeCell ref="E5060:F5060"/>
    <mergeCell ref="E5061:F5061"/>
    <mergeCell ref="E5062:F5062"/>
    <mergeCell ref="E5063:F5063"/>
    <mergeCell ref="E5064:F506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61CC-5C7A-46DC-A176-09593817668D}">
  <sheetPr>
    <tabColor theme="8" tint="0.79998168889431442"/>
    <pageSetUpPr fitToPage="1"/>
  </sheetPr>
  <dimension ref="B1:AF71"/>
  <sheetViews>
    <sheetView zoomScale="70" zoomScaleNormal="70" workbookViewId="0">
      <pane xSplit="2" ySplit="7" topLeftCell="C8" activePane="bottomRight" state="frozen"/>
      <selection pane="topRight" activeCell="J29" sqref="J29"/>
      <selection pane="bottomLeft" activeCell="J29" sqref="J29"/>
      <selection pane="bottomRight" activeCell="M68" sqref="M68"/>
    </sheetView>
  </sheetViews>
  <sheetFormatPr defaultRowHeight="15" x14ac:dyDescent="0.25"/>
  <cols>
    <col min="1" max="1" width="2.5703125" customWidth="1"/>
    <col min="2" max="2" width="6.85546875" style="9" customWidth="1"/>
    <col min="3" max="3" width="14.140625" customWidth="1"/>
    <col min="4" max="4" width="22.85546875" style="60" customWidth="1"/>
    <col min="5" max="5" width="29.140625" style="32" customWidth="1"/>
    <col min="6" max="6" width="22.140625" style="8" customWidth="1"/>
    <col min="7" max="7" width="15.85546875" style="8" customWidth="1"/>
    <col min="8" max="8" width="14.5703125" style="8" bestFit="1" customWidth="1"/>
    <col min="9" max="9" width="9.140625" style="8" customWidth="1"/>
    <col min="10" max="10" width="17.140625" style="27" bestFit="1" customWidth="1"/>
    <col min="11" max="11" width="22.42578125" style="8" bestFit="1" customWidth="1"/>
    <col min="12" max="12" width="18.5703125" style="43" bestFit="1" customWidth="1"/>
    <col min="13" max="13" width="24.140625" style="43" bestFit="1" customWidth="1"/>
    <col min="14" max="14" width="22.85546875" style="43" bestFit="1" customWidth="1"/>
    <col min="15" max="15" width="21.140625" style="8" bestFit="1" customWidth="1"/>
    <col min="16" max="16" width="22.140625" style="60" bestFit="1" customWidth="1"/>
    <col min="17" max="17" width="19.5703125" style="8" customWidth="1"/>
    <col min="18" max="18" width="17.140625" style="8" customWidth="1"/>
    <col min="19" max="19" width="13.5703125" style="8" bestFit="1" customWidth="1"/>
    <col min="20" max="20" width="19.140625" style="8" customWidth="1"/>
    <col min="23" max="23" width="43.140625" style="32" customWidth="1"/>
    <col min="25" max="25" width="29.140625" bestFit="1" customWidth="1"/>
    <col min="26" max="26" width="17.5703125" customWidth="1"/>
    <col min="27" max="27" width="12.42578125" customWidth="1"/>
    <col min="30" max="30" width="13.5703125" customWidth="1"/>
    <col min="31" max="31" width="12.85546875" customWidth="1"/>
    <col min="32" max="32" width="14.42578125" customWidth="1"/>
  </cols>
  <sheetData>
    <row r="1" spans="2:32" ht="40.35" customHeight="1" x14ac:dyDescent="0.25">
      <c r="B1" s="312" t="s">
        <v>8201</v>
      </c>
      <c r="C1" s="312"/>
      <c r="D1" s="312"/>
      <c r="E1" s="312"/>
      <c r="F1" s="312"/>
      <c r="G1" s="312"/>
      <c r="H1" s="312"/>
      <c r="I1" s="312"/>
      <c r="J1" s="312"/>
      <c r="K1" s="312"/>
      <c r="L1" s="312"/>
      <c r="M1" s="312"/>
      <c r="N1" s="312"/>
      <c r="O1" s="284"/>
      <c r="P1" s="284"/>
      <c r="Q1" s="185"/>
      <c r="R1" s="185"/>
      <c r="S1" s="185"/>
      <c r="T1" s="185"/>
      <c r="U1" s="185"/>
      <c r="V1" s="185"/>
      <c r="W1" s="185"/>
    </row>
    <row r="2" spans="2:32" ht="15.75" x14ac:dyDescent="0.25">
      <c r="B2" s="103"/>
      <c r="C2" s="31"/>
      <c r="D2" s="103"/>
      <c r="E2" s="103"/>
      <c r="F2" s="31"/>
      <c r="G2" s="103"/>
      <c r="H2" s="103"/>
      <c r="I2" s="103"/>
      <c r="J2" s="25"/>
      <c r="K2" s="103"/>
      <c r="L2" s="103"/>
      <c r="M2" s="103"/>
      <c r="N2" s="103"/>
      <c r="O2" s="103"/>
      <c r="P2" s="103"/>
      <c r="Q2" s="103"/>
      <c r="R2" s="103"/>
      <c r="S2" s="103"/>
      <c r="T2" s="103"/>
      <c r="U2" s="103"/>
      <c r="V2" s="31"/>
      <c r="W2" s="31"/>
    </row>
    <row r="3" spans="2:32" x14ac:dyDescent="0.25">
      <c r="D3" s="5" t="s">
        <v>68</v>
      </c>
      <c r="E3" s="5" t="e">
        <f>#REF!</f>
        <v>#REF!</v>
      </c>
      <c r="F3" s="32"/>
      <c r="L3"/>
      <c r="M3"/>
      <c r="N3"/>
      <c r="P3"/>
      <c r="V3" s="32"/>
    </row>
    <row r="4" spans="2:32" ht="18.75" x14ac:dyDescent="0.3">
      <c r="D4" s="5" t="s">
        <v>74</v>
      </c>
      <c r="E4" s="202" t="e">
        <f>#REF!</f>
        <v>#REF!</v>
      </c>
      <c r="F4" s="5"/>
      <c r="G4" s="102"/>
      <c r="H4" s="102"/>
      <c r="I4" s="102"/>
      <c r="L4"/>
      <c r="M4"/>
      <c r="N4"/>
      <c r="O4" s="102"/>
      <c r="P4" s="5"/>
      <c r="Q4" s="128"/>
      <c r="R4" s="102"/>
      <c r="S4" s="102"/>
      <c r="T4" s="128"/>
      <c r="U4" s="5"/>
      <c r="V4" s="5"/>
      <c r="W4" s="5"/>
      <c r="X4" s="5"/>
    </row>
    <row r="5" spans="2:32" ht="19.5" thickBot="1" x14ac:dyDescent="0.35">
      <c r="D5" s="5" t="s">
        <v>278</v>
      </c>
      <c r="E5" s="202" t="e">
        <f>#REF!</f>
        <v>#REF!</v>
      </c>
      <c r="F5" s="5"/>
      <c r="G5" s="102"/>
      <c r="H5" s="102"/>
      <c r="I5" s="102"/>
      <c r="M5"/>
      <c r="N5"/>
      <c r="O5" s="102"/>
      <c r="P5" s="5"/>
      <c r="Q5" s="128"/>
      <c r="R5" s="102"/>
      <c r="S5" s="102"/>
      <c r="T5" s="128"/>
      <c r="U5" s="5"/>
      <c r="V5" s="5"/>
      <c r="W5" s="5"/>
      <c r="X5" s="5"/>
      <c r="Y5" s="314" t="s">
        <v>280</v>
      </c>
      <c r="Z5" s="339"/>
    </row>
    <row r="6" spans="2:32" ht="15.75" thickBot="1" x14ac:dyDescent="0.3">
      <c r="D6" s="310"/>
      <c r="O6" s="265" t="s">
        <v>285</v>
      </c>
      <c r="P6" s="267"/>
      <c r="Q6" s="699" t="s">
        <v>286</v>
      </c>
      <c r="R6" s="700"/>
      <c r="S6" s="700"/>
      <c r="T6" s="701"/>
    </row>
    <row r="7" spans="2:32" s="236" customFormat="1" ht="31.5" x14ac:dyDescent="0.25">
      <c r="B7" s="232" t="s">
        <v>379</v>
      </c>
      <c r="C7" s="232" t="s">
        <v>380</v>
      </c>
      <c r="D7" s="234" t="s">
        <v>230</v>
      </c>
      <c r="E7" s="234" t="s">
        <v>234</v>
      </c>
      <c r="F7" s="234" t="s">
        <v>239</v>
      </c>
      <c r="G7" s="234" t="s">
        <v>240</v>
      </c>
      <c r="H7" s="234" t="s">
        <v>241</v>
      </c>
      <c r="I7" s="234" t="s">
        <v>233</v>
      </c>
      <c r="J7" s="234" t="s">
        <v>8202</v>
      </c>
      <c r="K7" s="234" t="s">
        <v>237</v>
      </c>
      <c r="L7" s="234" t="s">
        <v>8203</v>
      </c>
      <c r="M7" s="235" t="s">
        <v>8204</v>
      </c>
      <c r="N7" s="234" t="s">
        <v>8205</v>
      </c>
      <c r="O7" s="234" t="s">
        <v>8206</v>
      </c>
      <c r="P7" s="266" t="s">
        <v>8207</v>
      </c>
      <c r="Q7" s="234" t="s">
        <v>8208</v>
      </c>
      <c r="R7" s="234" t="s">
        <v>394</v>
      </c>
      <c r="S7" s="234" t="s">
        <v>8209</v>
      </c>
      <c r="T7" s="234" t="s">
        <v>395</v>
      </c>
      <c r="U7" s="13" t="s">
        <v>403</v>
      </c>
      <c r="V7" s="13" t="s">
        <v>404</v>
      </c>
      <c r="W7" s="234" t="s">
        <v>402</v>
      </c>
      <c r="Y7" s="329" t="s">
        <v>249</v>
      </c>
      <c r="Z7" s="329" t="s">
        <v>250</v>
      </c>
      <c r="AA7" s="329" t="s">
        <v>251</v>
      </c>
      <c r="AB7" s="329" t="s">
        <v>252</v>
      </c>
      <c r="AC7" s="329" t="s">
        <v>253</v>
      </c>
      <c r="AD7" s="330" t="s">
        <v>254</v>
      </c>
      <c r="AE7" s="329" t="s">
        <v>255</v>
      </c>
      <c r="AF7" s="329" t="s">
        <v>256</v>
      </c>
    </row>
    <row r="8" spans="2:32" ht="15.75" x14ac:dyDescent="0.25">
      <c r="B8" s="11"/>
      <c r="C8" s="16"/>
      <c r="D8" s="35"/>
      <c r="E8" s="35"/>
      <c r="F8" s="35"/>
      <c r="G8" s="29"/>
      <c r="H8" s="64"/>
      <c r="I8" s="29"/>
      <c r="J8" s="106"/>
      <c r="K8" s="74"/>
      <c r="L8" s="42"/>
      <c r="M8" s="49"/>
      <c r="N8" s="42"/>
      <c r="O8" s="64"/>
      <c r="P8" s="29"/>
      <c r="Q8" s="129"/>
      <c r="R8" s="29"/>
      <c r="S8" s="29"/>
      <c r="T8" s="29"/>
      <c r="U8" s="78"/>
      <c r="V8" s="78"/>
      <c r="W8" s="35"/>
      <c r="Y8" s="331" t="s">
        <v>117</v>
      </c>
      <c r="Z8" s="332"/>
      <c r="AA8" s="332"/>
      <c r="AB8" s="332"/>
      <c r="AC8" s="332"/>
      <c r="AD8" s="333"/>
      <c r="AE8" s="334"/>
      <c r="AF8" s="335"/>
    </row>
    <row r="9" spans="2:32" ht="15" customHeight="1" x14ac:dyDescent="0.25">
      <c r="B9" s="11">
        <v>1</v>
      </c>
      <c r="C9" s="16"/>
      <c r="D9" s="35"/>
      <c r="E9" s="35"/>
      <c r="F9" s="35"/>
      <c r="G9" s="29"/>
      <c r="H9" s="29"/>
      <c r="I9" s="29"/>
      <c r="J9" s="106"/>
      <c r="K9" s="74"/>
      <c r="L9" s="148">
        <v>0</v>
      </c>
      <c r="M9" s="49">
        <v>0</v>
      </c>
      <c r="N9" s="42">
        <f>L9-M9</f>
        <v>0</v>
      </c>
      <c r="O9" s="29"/>
      <c r="P9" s="29"/>
      <c r="Q9" s="129"/>
      <c r="R9" s="29"/>
      <c r="S9" s="29"/>
      <c r="T9" s="29"/>
      <c r="U9" s="78"/>
      <c r="V9" s="78"/>
      <c r="W9" s="35"/>
      <c r="Y9" s="338">
        <f>D9</f>
        <v>0</v>
      </c>
      <c r="Z9" s="336">
        <f>E9</f>
        <v>0</v>
      </c>
      <c r="AA9" s="336">
        <f>F9</f>
        <v>0</v>
      </c>
      <c r="AB9" s="336">
        <f>G9</f>
        <v>0</v>
      </c>
      <c r="AC9" s="336">
        <f>H9</f>
        <v>0</v>
      </c>
      <c r="AD9" s="333">
        <f>J9</f>
        <v>0</v>
      </c>
      <c r="AE9" s="337">
        <f>K9</f>
        <v>0</v>
      </c>
      <c r="AF9" s="335">
        <f>N9</f>
        <v>0</v>
      </c>
    </row>
    <row r="10" spans="2:32" ht="15" customHeight="1" x14ac:dyDescent="0.25">
      <c r="B10" s="11">
        <v>2</v>
      </c>
      <c r="C10" s="16"/>
      <c r="D10" s="35"/>
      <c r="E10" s="35"/>
      <c r="F10" s="35"/>
      <c r="G10" s="29"/>
      <c r="H10" s="29"/>
      <c r="I10" s="29"/>
      <c r="J10" s="106"/>
      <c r="K10" s="75"/>
      <c r="L10" s="148">
        <v>0</v>
      </c>
      <c r="M10" s="49">
        <v>0</v>
      </c>
      <c r="N10" s="42">
        <f t="shared" ref="N10:N39" si="0">L10-M10</f>
        <v>0</v>
      </c>
      <c r="O10" s="29"/>
      <c r="P10" s="29"/>
      <c r="Q10" s="129"/>
      <c r="R10" s="29"/>
      <c r="S10" s="29"/>
      <c r="T10" s="29"/>
      <c r="U10" s="78"/>
      <c r="V10" s="78"/>
      <c r="W10" s="35"/>
      <c r="Y10" s="338">
        <f t="shared" ref="Y10:Y40" si="1">D10</f>
        <v>0</v>
      </c>
      <c r="Z10" s="336">
        <f t="shared" ref="Z10:Z40" si="2">E10</f>
        <v>0</v>
      </c>
      <c r="AA10" s="336">
        <f t="shared" ref="AA10:AA40" si="3">F10</f>
        <v>0</v>
      </c>
      <c r="AB10" s="336">
        <f t="shared" ref="AB10:AB40" si="4">G10</f>
        <v>0</v>
      </c>
      <c r="AC10" s="336">
        <f t="shared" ref="AC10:AC40" si="5">H10</f>
        <v>0</v>
      </c>
      <c r="AD10" s="333">
        <f t="shared" ref="AD10:AD40" si="6">J10</f>
        <v>0</v>
      </c>
      <c r="AE10" s="337">
        <f t="shared" ref="AE10:AE40" si="7">K10</f>
        <v>0</v>
      </c>
      <c r="AF10" s="335">
        <f t="shared" ref="AF10:AF40" si="8">N10</f>
        <v>0</v>
      </c>
    </row>
    <row r="11" spans="2:32" ht="15.75" x14ac:dyDescent="0.25">
      <c r="B11" s="11">
        <v>3</v>
      </c>
      <c r="C11" s="16"/>
      <c r="D11" s="35"/>
      <c r="E11" s="35"/>
      <c r="F11" s="35"/>
      <c r="G11" s="29"/>
      <c r="H11" s="29"/>
      <c r="I11" s="29"/>
      <c r="J11" s="106"/>
      <c r="K11" s="76"/>
      <c r="L11" s="148">
        <v>0</v>
      </c>
      <c r="M11" s="49">
        <v>0</v>
      </c>
      <c r="N11" s="42">
        <f t="shared" si="0"/>
        <v>0</v>
      </c>
      <c r="O11" s="29"/>
      <c r="P11" s="29"/>
      <c r="Q11" s="129"/>
      <c r="R11" s="29"/>
      <c r="S11" s="29"/>
      <c r="T11" s="29"/>
      <c r="U11" s="78"/>
      <c r="V11" s="78"/>
      <c r="W11" s="35"/>
      <c r="Y11" s="338">
        <f t="shared" si="1"/>
        <v>0</v>
      </c>
      <c r="Z11" s="336">
        <f t="shared" si="2"/>
        <v>0</v>
      </c>
      <c r="AA11" s="336">
        <f t="shared" si="3"/>
        <v>0</v>
      </c>
      <c r="AB11" s="336">
        <f t="shared" si="4"/>
        <v>0</v>
      </c>
      <c r="AC11" s="336">
        <f t="shared" si="5"/>
        <v>0</v>
      </c>
      <c r="AD11" s="333">
        <f t="shared" si="6"/>
        <v>0</v>
      </c>
      <c r="AE11" s="337">
        <f t="shared" si="7"/>
        <v>0</v>
      </c>
      <c r="AF11" s="335">
        <f t="shared" si="8"/>
        <v>0</v>
      </c>
    </row>
    <row r="12" spans="2:32" ht="15" customHeight="1" x14ac:dyDescent="0.25">
      <c r="B12" s="11">
        <v>4</v>
      </c>
      <c r="C12" s="16"/>
      <c r="D12" s="35"/>
      <c r="E12" s="35"/>
      <c r="F12" s="35"/>
      <c r="G12" s="29"/>
      <c r="H12" s="29"/>
      <c r="I12" s="29"/>
      <c r="J12" s="106"/>
      <c r="K12" s="76"/>
      <c r="L12" s="148">
        <v>0</v>
      </c>
      <c r="M12" s="49">
        <v>0</v>
      </c>
      <c r="N12" s="42">
        <f t="shared" si="0"/>
        <v>0</v>
      </c>
      <c r="O12" s="29"/>
      <c r="P12" s="29"/>
      <c r="Q12" s="129"/>
      <c r="R12" s="29"/>
      <c r="S12" s="29"/>
      <c r="T12" s="29"/>
      <c r="U12" s="78"/>
      <c r="V12" s="78"/>
      <c r="W12" s="35"/>
      <c r="Y12" s="338">
        <f t="shared" si="1"/>
        <v>0</v>
      </c>
      <c r="Z12" s="336">
        <f t="shared" si="2"/>
        <v>0</v>
      </c>
      <c r="AA12" s="336">
        <f t="shared" si="3"/>
        <v>0</v>
      </c>
      <c r="AB12" s="336">
        <f t="shared" si="4"/>
        <v>0</v>
      </c>
      <c r="AC12" s="336">
        <f t="shared" si="5"/>
        <v>0</v>
      </c>
      <c r="AD12" s="333">
        <f t="shared" si="6"/>
        <v>0</v>
      </c>
      <c r="AE12" s="337">
        <f t="shared" si="7"/>
        <v>0</v>
      </c>
      <c r="AF12" s="335">
        <f t="shared" si="8"/>
        <v>0</v>
      </c>
    </row>
    <row r="13" spans="2:32" ht="15.75" x14ac:dyDescent="0.25">
      <c r="B13" s="11">
        <v>5</v>
      </c>
      <c r="C13" s="16"/>
      <c r="D13" s="35"/>
      <c r="F13" s="35"/>
      <c r="G13" s="29"/>
      <c r="H13" s="29"/>
      <c r="I13" s="29"/>
      <c r="J13" s="106"/>
      <c r="K13" s="74"/>
      <c r="L13" s="148">
        <v>0</v>
      </c>
      <c r="M13" s="49">
        <v>0</v>
      </c>
      <c r="N13" s="42">
        <f t="shared" si="0"/>
        <v>0</v>
      </c>
      <c r="O13" s="29"/>
      <c r="P13" s="29"/>
      <c r="Q13" s="129"/>
      <c r="R13" s="29"/>
      <c r="S13" s="29"/>
      <c r="T13" s="29"/>
      <c r="U13" s="78"/>
      <c r="V13" s="78"/>
      <c r="W13" s="35"/>
      <c r="Y13" s="338">
        <f t="shared" si="1"/>
        <v>0</v>
      </c>
      <c r="Z13" s="336">
        <f t="shared" si="2"/>
        <v>0</v>
      </c>
      <c r="AA13" s="336">
        <f t="shared" si="3"/>
        <v>0</v>
      </c>
      <c r="AB13" s="336">
        <f t="shared" si="4"/>
        <v>0</v>
      </c>
      <c r="AC13" s="336">
        <f t="shared" si="5"/>
        <v>0</v>
      </c>
      <c r="AD13" s="333">
        <f t="shared" si="6"/>
        <v>0</v>
      </c>
      <c r="AE13" s="337">
        <f t="shared" si="7"/>
        <v>0</v>
      </c>
      <c r="AF13" s="335">
        <f t="shared" si="8"/>
        <v>0</v>
      </c>
    </row>
    <row r="14" spans="2:32" ht="15.75" x14ac:dyDescent="0.25">
      <c r="B14" s="11">
        <v>6</v>
      </c>
      <c r="C14" s="16"/>
      <c r="D14" s="35"/>
      <c r="E14" s="35"/>
      <c r="F14" s="35"/>
      <c r="G14" s="29"/>
      <c r="H14" s="29"/>
      <c r="I14" s="29"/>
      <c r="J14" s="106"/>
      <c r="K14" s="74"/>
      <c r="L14" s="148">
        <v>0</v>
      </c>
      <c r="M14" s="49">
        <v>0</v>
      </c>
      <c r="N14" s="42">
        <f t="shared" si="0"/>
        <v>0</v>
      </c>
      <c r="O14" s="29"/>
      <c r="P14" s="29"/>
      <c r="Q14" s="129"/>
      <c r="R14" s="29"/>
      <c r="S14" s="29"/>
      <c r="T14" s="29"/>
      <c r="U14" s="78"/>
      <c r="V14" s="78"/>
      <c r="W14" s="35"/>
      <c r="Y14" s="338">
        <f t="shared" si="1"/>
        <v>0</v>
      </c>
      <c r="Z14" s="336">
        <f t="shared" si="2"/>
        <v>0</v>
      </c>
      <c r="AA14" s="336">
        <f t="shared" si="3"/>
        <v>0</v>
      </c>
      <c r="AB14" s="336">
        <f t="shared" si="4"/>
        <v>0</v>
      </c>
      <c r="AC14" s="336">
        <f t="shared" si="5"/>
        <v>0</v>
      </c>
      <c r="AD14" s="333">
        <f t="shared" si="6"/>
        <v>0</v>
      </c>
      <c r="AE14" s="337">
        <f t="shared" si="7"/>
        <v>0</v>
      </c>
      <c r="AF14" s="335">
        <f t="shared" si="8"/>
        <v>0</v>
      </c>
    </row>
    <row r="15" spans="2:32" ht="15" customHeight="1" x14ac:dyDescent="0.25">
      <c r="B15" s="11">
        <v>7</v>
      </c>
      <c r="C15" s="16"/>
      <c r="D15" s="35"/>
      <c r="E15" s="35"/>
      <c r="F15" s="35"/>
      <c r="G15" s="29"/>
      <c r="H15" s="64"/>
      <c r="I15" s="29"/>
      <c r="J15" s="106"/>
      <c r="K15" s="75"/>
      <c r="L15" s="148">
        <v>0</v>
      </c>
      <c r="M15" s="49">
        <v>0</v>
      </c>
      <c r="N15" s="42">
        <f t="shared" si="0"/>
        <v>0</v>
      </c>
      <c r="O15" s="64"/>
      <c r="P15" s="29"/>
      <c r="Q15" s="129"/>
      <c r="R15" s="29"/>
      <c r="S15" s="29"/>
      <c r="T15" s="29"/>
      <c r="U15" s="78"/>
      <c r="V15" s="78"/>
      <c r="W15" s="35"/>
      <c r="Y15" s="338">
        <f t="shared" si="1"/>
        <v>0</v>
      </c>
      <c r="Z15" s="336">
        <f t="shared" si="2"/>
        <v>0</v>
      </c>
      <c r="AA15" s="336">
        <f t="shared" si="3"/>
        <v>0</v>
      </c>
      <c r="AB15" s="336">
        <f t="shared" si="4"/>
        <v>0</v>
      </c>
      <c r="AC15" s="336">
        <f t="shared" si="5"/>
        <v>0</v>
      </c>
      <c r="AD15" s="333">
        <f t="shared" si="6"/>
        <v>0</v>
      </c>
      <c r="AE15" s="337">
        <f t="shared" si="7"/>
        <v>0</v>
      </c>
      <c r="AF15" s="335">
        <f t="shared" si="8"/>
        <v>0</v>
      </c>
    </row>
    <row r="16" spans="2:32" ht="15.75" x14ac:dyDescent="0.25">
      <c r="B16" s="11">
        <v>8</v>
      </c>
      <c r="C16" s="16"/>
      <c r="D16" s="35"/>
      <c r="E16" s="35"/>
      <c r="F16" s="35"/>
      <c r="G16" s="29"/>
      <c r="H16" s="64"/>
      <c r="I16" s="29"/>
      <c r="J16" s="106"/>
      <c r="K16" s="75"/>
      <c r="L16" s="148">
        <v>0</v>
      </c>
      <c r="M16" s="49">
        <v>0</v>
      </c>
      <c r="N16" s="42">
        <f t="shared" si="0"/>
        <v>0</v>
      </c>
      <c r="O16" s="64"/>
      <c r="P16" s="29"/>
      <c r="Q16" s="129"/>
      <c r="R16" s="29"/>
      <c r="S16" s="29"/>
      <c r="T16" s="29"/>
      <c r="U16" s="78"/>
      <c r="V16" s="78"/>
      <c r="W16" s="35"/>
      <c r="Y16" s="338">
        <f t="shared" si="1"/>
        <v>0</v>
      </c>
      <c r="Z16" s="336">
        <f t="shared" si="2"/>
        <v>0</v>
      </c>
      <c r="AA16" s="336">
        <f t="shared" si="3"/>
        <v>0</v>
      </c>
      <c r="AB16" s="336">
        <f t="shared" si="4"/>
        <v>0</v>
      </c>
      <c r="AC16" s="336">
        <f t="shared" si="5"/>
        <v>0</v>
      </c>
      <c r="AD16" s="333">
        <f t="shared" si="6"/>
        <v>0</v>
      </c>
      <c r="AE16" s="337">
        <f t="shared" si="7"/>
        <v>0</v>
      </c>
      <c r="AF16" s="335">
        <f t="shared" si="8"/>
        <v>0</v>
      </c>
    </row>
    <row r="17" spans="2:32" ht="15.75" x14ac:dyDescent="0.25">
      <c r="B17" s="11">
        <v>9</v>
      </c>
      <c r="C17" s="16"/>
      <c r="D17" s="35"/>
      <c r="E17" s="35"/>
      <c r="F17" s="35"/>
      <c r="G17" s="29"/>
      <c r="H17" s="64"/>
      <c r="I17" s="29"/>
      <c r="J17" s="106"/>
      <c r="K17" s="75"/>
      <c r="L17" s="148">
        <v>0</v>
      </c>
      <c r="M17" s="49">
        <v>0</v>
      </c>
      <c r="N17" s="42">
        <f t="shared" si="0"/>
        <v>0</v>
      </c>
      <c r="O17" s="64"/>
      <c r="P17" s="29"/>
      <c r="Q17" s="129"/>
      <c r="R17" s="29"/>
      <c r="S17" s="29"/>
      <c r="T17" s="29"/>
      <c r="U17" s="78"/>
      <c r="V17" s="78"/>
      <c r="W17" s="35"/>
      <c r="Y17" s="338">
        <f t="shared" si="1"/>
        <v>0</v>
      </c>
      <c r="Z17" s="336">
        <f t="shared" si="2"/>
        <v>0</v>
      </c>
      <c r="AA17" s="336">
        <f t="shared" si="3"/>
        <v>0</v>
      </c>
      <c r="AB17" s="336">
        <f t="shared" si="4"/>
        <v>0</v>
      </c>
      <c r="AC17" s="336">
        <f t="shared" si="5"/>
        <v>0</v>
      </c>
      <c r="AD17" s="333">
        <f t="shared" si="6"/>
        <v>0</v>
      </c>
      <c r="AE17" s="337">
        <f t="shared" si="7"/>
        <v>0</v>
      </c>
      <c r="AF17" s="335">
        <f t="shared" si="8"/>
        <v>0</v>
      </c>
    </row>
    <row r="18" spans="2:32" ht="15" customHeight="1" x14ac:dyDescent="0.25">
      <c r="B18" s="11">
        <v>10</v>
      </c>
      <c r="C18" s="16"/>
      <c r="D18" s="35"/>
      <c r="E18" s="35"/>
      <c r="F18" s="35"/>
      <c r="G18" s="29"/>
      <c r="H18" s="29"/>
      <c r="I18" s="29"/>
      <c r="J18" s="106"/>
      <c r="K18" s="75"/>
      <c r="L18" s="148">
        <v>0</v>
      </c>
      <c r="M18" s="49">
        <v>0</v>
      </c>
      <c r="N18" s="42">
        <f t="shared" si="0"/>
        <v>0</v>
      </c>
      <c r="O18" s="29"/>
      <c r="P18" s="29"/>
      <c r="Q18" s="129"/>
      <c r="R18" s="29"/>
      <c r="S18" s="29"/>
      <c r="T18" s="29"/>
      <c r="U18" s="78"/>
      <c r="V18" s="78"/>
      <c r="W18" s="35"/>
      <c r="Y18" s="338">
        <f t="shared" si="1"/>
        <v>0</v>
      </c>
      <c r="Z18" s="336">
        <f t="shared" si="2"/>
        <v>0</v>
      </c>
      <c r="AA18" s="336">
        <f t="shared" si="3"/>
        <v>0</v>
      </c>
      <c r="AB18" s="336">
        <f t="shared" si="4"/>
        <v>0</v>
      </c>
      <c r="AC18" s="336">
        <f t="shared" si="5"/>
        <v>0</v>
      </c>
      <c r="AD18" s="333">
        <f t="shared" si="6"/>
        <v>0</v>
      </c>
      <c r="AE18" s="337">
        <f t="shared" si="7"/>
        <v>0</v>
      </c>
      <c r="AF18" s="335">
        <f t="shared" si="8"/>
        <v>0</v>
      </c>
    </row>
    <row r="19" spans="2:32" ht="15" customHeight="1" x14ac:dyDescent="0.25">
      <c r="B19" s="11">
        <v>11</v>
      </c>
      <c r="C19" s="16"/>
      <c r="D19" s="35"/>
      <c r="E19" s="35"/>
      <c r="F19" s="35"/>
      <c r="G19" s="29"/>
      <c r="H19" s="64"/>
      <c r="I19" s="29"/>
      <c r="J19" s="106"/>
      <c r="K19" s="63"/>
      <c r="L19" s="148">
        <v>0</v>
      </c>
      <c r="M19" s="49">
        <v>0</v>
      </c>
      <c r="N19" s="42">
        <f t="shared" si="0"/>
        <v>0</v>
      </c>
      <c r="O19" s="64"/>
      <c r="P19" s="29"/>
      <c r="Q19" s="129"/>
      <c r="R19" s="29"/>
      <c r="S19" s="29"/>
      <c r="T19" s="29"/>
      <c r="U19" s="78"/>
      <c r="V19" s="78"/>
      <c r="W19" s="35"/>
      <c r="Y19" s="338">
        <f t="shared" si="1"/>
        <v>0</v>
      </c>
      <c r="Z19" s="336">
        <f t="shared" si="2"/>
        <v>0</v>
      </c>
      <c r="AA19" s="336">
        <f t="shared" si="3"/>
        <v>0</v>
      </c>
      <c r="AB19" s="336">
        <f t="shared" si="4"/>
        <v>0</v>
      </c>
      <c r="AC19" s="336">
        <f t="shared" si="5"/>
        <v>0</v>
      </c>
      <c r="AD19" s="333">
        <f t="shared" si="6"/>
        <v>0</v>
      </c>
      <c r="AE19" s="337">
        <f t="shared" si="7"/>
        <v>0</v>
      </c>
      <c r="AF19" s="335">
        <f t="shared" si="8"/>
        <v>0</v>
      </c>
    </row>
    <row r="20" spans="2:32" ht="15" customHeight="1" x14ac:dyDescent="0.25">
      <c r="B20" s="11">
        <v>12</v>
      </c>
      <c r="C20" s="16"/>
      <c r="D20" s="35"/>
      <c r="E20" s="35"/>
      <c r="F20" s="35"/>
      <c r="G20" s="29"/>
      <c r="H20" s="64"/>
      <c r="I20" s="29"/>
      <c r="J20" s="106"/>
      <c r="K20" s="75"/>
      <c r="L20" s="148">
        <v>0</v>
      </c>
      <c r="M20" s="49">
        <v>0</v>
      </c>
      <c r="N20" s="42">
        <f t="shared" si="0"/>
        <v>0</v>
      </c>
      <c r="O20" s="64"/>
      <c r="P20" s="29"/>
      <c r="Q20" s="129"/>
      <c r="R20" s="29"/>
      <c r="S20" s="29"/>
      <c r="T20" s="29"/>
      <c r="U20" s="78"/>
      <c r="V20" s="78"/>
      <c r="W20" s="35"/>
      <c r="Y20" s="338">
        <f t="shared" si="1"/>
        <v>0</v>
      </c>
      <c r="Z20" s="336">
        <f t="shared" si="2"/>
        <v>0</v>
      </c>
      <c r="AA20" s="336">
        <f t="shared" si="3"/>
        <v>0</v>
      </c>
      <c r="AB20" s="336">
        <f t="shared" si="4"/>
        <v>0</v>
      </c>
      <c r="AC20" s="336">
        <f t="shared" si="5"/>
        <v>0</v>
      </c>
      <c r="AD20" s="333">
        <f t="shared" si="6"/>
        <v>0</v>
      </c>
      <c r="AE20" s="337">
        <f t="shared" si="7"/>
        <v>0</v>
      </c>
      <c r="AF20" s="335">
        <f t="shared" si="8"/>
        <v>0</v>
      </c>
    </row>
    <row r="21" spans="2:32" ht="15" customHeight="1" x14ac:dyDescent="0.25">
      <c r="B21" s="11">
        <v>13</v>
      </c>
      <c r="C21" s="16"/>
      <c r="D21" s="35"/>
      <c r="E21" s="35"/>
      <c r="F21" s="35"/>
      <c r="G21" s="29"/>
      <c r="H21" s="64"/>
      <c r="I21" s="29"/>
      <c r="J21" s="106"/>
      <c r="K21" s="75"/>
      <c r="L21" s="148">
        <v>0</v>
      </c>
      <c r="M21" s="49">
        <v>0</v>
      </c>
      <c r="N21" s="42">
        <f t="shared" si="0"/>
        <v>0</v>
      </c>
      <c r="O21" s="64"/>
      <c r="P21" s="29"/>
      <c r="Q21" s="129"/>
      <c r="R21" s="29"/>
      <c r="S21" s="29"/>
      <c r="T21" s="29"/>
      <c r="U21" s="78"/>
      <c r="V21" s="78"/>
      <c r="W21" s="35"/>
      <c r="Y21" s="338">
        <f t="shared" si="1"/>
        <v>0</v>
      </c>
      <c r="Z21" s="336">
        <f t="shared" si="2"/>
        <v>0</v>
      </c>
      <c r="AA21" s="336">
        <f t="shared" si="3"/>
        <v>0</v>
      </c>
      <c r="AB21" s="336">
        <f t="shared" si="4"/>
        <v>0</v>
      </c>
      <c r="AC21" s="336">
        <f t="shared" si="5"/>
        <v>0</v>
      </c>
      <c r="AD21" s="333">
        <f t="shared" si="6"/>
        <v>0</v>
      </c>
      <c r="AE21" s="337">
        <f t="shared" si="7"/>
        <v>0</v>
      </c>
      <c r="AF21" s="335">
        <f t="shared" si="8"/>
        <v>0</v>
      </c>
    </row>
    <row r="22" spans="2:32" ht="15" customHeight="1" x14ac:dyDescent="0.25">
      <c r="B22" s="11">
        <v>14</v>
      </c>
      <c r="C22" s="16"/>
      <c r="D22" s="35"/>
      <c r="E22" s="35"/>
      <c r="F22" s="35"/>
      <c r="G22" s="29"/>
      <c r="H22" s="64"/>
      <c r="I22" s="29"/>
      <c r="J22" s="106"/>
      <c r="K22" s="75"/>
      <c r="L22" s="148">
        <v>0</v>
      </c>
      <c r="M22" s="49">
        <v>0</v>
      </c>
      <c r="N22" s="42">
        <f t="shared" si="0"/>
        <v>0</v>
      </c>
      <c r="O22" s="64"/>
      <c r="P22" s="29"/>
      <c r="Q22" s="129"/>
      <c r="R22" s="29"/>
      <c r="S22" s="29"/>
      <c r="T22" s="29"/>
      <c r="U22" s="78"/>
      <c r="V22" s="78"/>
      <c r="W22" s="35"/>
      <c r="Y22" s="338">
        <f t="shared" si="1"/>
        <v>0</v>
      </c>
      <c r="Z22" s="336">
        <f t="shared" si="2"/>
        <v>0</v>
      </c>
      <c r="AA22" s="336">
        <f t="shared" si="3"/>
        <v>0</v>
      </c>
      <c r="AB22" s="336">
        <f t="shared" si="4"/>
        <v>0</v>
      </c>
      <c r="AC22" s="336">
        <f t="shared" si="5"/>
        <v>0</v>
      </c>
      <c r="AD22" s="333">
        <f t="shared" si="6"/>
        <v>0</v>
      </c>
      <c r="AE22" s="337">
        <f t="shared" si="7"/>
        <v>0</v>
      </c>
      <c r="AF22" s="335">
        <f t="shared" si="8"/>
        <v>0</v>
      </c>
    </row>
    <row r="23" spans="2:32" ht="15" customHeight="1" x14ac:dyDescent="0.25">
      <c r="B23" s="11">
        <v>15</v>
      </c>
      <c r="C23" s="16"/>
      <c r="D23" s="35"/>
      <c r="E23" s="35"/>
      <c r="F23" s="35"/>
      <c r="G23" s="29"/>
      <c r="H23" s="64"/>
      <c r="I23" s="29"/>
      <c r="J23" s="106"/>
      <c r="K23" s="75"/>
      <c r="L23" s="148">
        <v>0</v>
      </c>
      <c r="M23" s="49">
        <v>0</v>
      </c>
      <c r="N23" s="42">
        <f t="shared" si="0"/>
        <v>0</v>
      </c>
      <c r="O23" s="64"/>
      <c r="P23" s="29"/>
      <c r="Q23" s="129"/>
      <c r="R23" s="29"/>
      <c r="S23" s="29"/>
      <c r="T23" s="29"/>
      <c r="U23" s="78"/>
      <c r="V23" s="78"/>
      <c r="W23" s="35"/>
      <c r="Y23" s="338">
        <f t="shared" si="1"/>
        <v>0</v>
      </c>
      <c r="Z23" s="336">
        <f t="shared" si="2"/>
        <v>0</v>
      </c>
      <c r="AA23" s="336">
        <f t="shared" si="3"/>
        <v>0</v>
      </c>
      <c r="AB23" s="336">
        <f t="shared" si="4"/>
        <v>0</v>
      </c>
      <c r="AC23" s="336">
        <f t="shared" si="5"/>
        <v>0</v>
      </c>
      <c r="AD23" s="333">
        <f t="shared" si="6"/>
        <v>0</v>
      </c>
      <c r="AE23" s="337">
        <f t="shared" si="7"/>
        <v>0</v>
      </c>
      <c r="AF23" s="335">
        <f t="shared" si="8"/>
        <v>0</v>
      </c>
    </row>
    <row r="24" spans="2:32" ht="15" customHeight="1" x14ac:dyDescent="0.25">
      <c r="B24" s="11">
        <v>16</v>
      </c>
      <c r="C24" s="16"/>
      <c r="D24" s="35"/>
      <c r="E24" s="35"/>
      <c r="F24" s="35"/>
      <c r="G24" s="29"/>
      <c r="H24" s="64"/>
      <c r="I24" s="29"/>
      <c r="J24" s="106"/>
      <c r="K24" s="75"/>
      <c r="L24" s="148">
        <v>0</v>
      </c>
      <c r="M24" s="49">
        <v>0</v>
      </c>
      <c r="N24" s="42">
        <f t="shared" si="0"/>
        <v>0</v>
      </c>
      <c r="O24" s="64"/>
      <c r="P24" s="29"/>
      <c r="Q24" s="129"/>
      <c r="R24" s="29"/>
      <c r="S24" s="29"/>
      <c r="T24" s="29"/>
      <c r="U24" s="78"/>
      <c r="V24" s="78"/>
      <c r="W24" s="35"/>
      <c r="Y24" s="338">
        <f t="shared" si="1"/>
        <v>0</v>
      </c>
      <c r="Z24" s="336">
        <f t="shared" si="2"/>
        <v>0</v>
      </c>
      <c r="AA24" s="336">
        <f t="shared" si="3"/>
        <v>0</v>
      </c>
      <c r="AB24" s="336">
        <f t="shared" si="4"/>
        <v>0</v>
      </c>
      <c r="AC24" s="336">
        <f t="shared" si="5"/>
        <v>0</v>
      </c>
      <c r="AD24" s="333">
        <f t="shared" si="6"/>
        <v>0</v>
      </c>
      <c r="AE24" s="337">
        <f t="shared" si="7"/>
        <v>0</v>
      </c>
      <c r="AF24" s="335">
        <f t="shared" si="8"/>
        <v>0</v>
      </c>
    </row>
    <row r="25" spans="2:32" ht="15" customHeight="1" x14ac:dyDescent="0.25">
      <c r="B25" s="11">
        <v>17</v>
      </c>
      <c r="C25" s="16"/>
      <c r="D25" s="35"/>
      <c r="E25" s="35"/>
      <c r="F25" s="35"/>
      <c r="G25" s="29"/>
      <c r="H25" s="64"/>
      <c r="I25" s="29"/>
      <c r="J25" s="106"/>
      <c r="K25" s="75"/>
      <c r="L25" s="148">
        <v>0</v>
      </c>
      <c r="M25" s="49">
        <v>0</v>
      </c>
      <c r="N25" s="42">
        <f t="shared" si="0"/>
        <v>0</v>
      </c>
      <c r="O25" s="64"/>
      <c r="P25" s="29"/>
      <c r="Q25" s="129"/>
      <c r="R25" s="29"/>
      <c r="S25" s="29"/>
      <c r="T25" s="29"/>
      <c r="U25" s="78"/>
      <c r="V25" s="78"/>
      <c r="W25" s="35"/>
      <c r="Y25" s="338">
        <f t="shared" si="1"/>
        <v>0</v>
      </c>
      <c r="Z25" s="336">
        <f t="shared" si="2"/>
        <v>0</v>
      </c>
      <c r="AA25" s="336">
        <f t="shared" si="3"/>
        <v>0</v>
      </c>
      <c r="AB25" s="336">
        <f t="shared" si="4"/>
        <v>0</v>
      </c>
      <c r="AC25" s="336">
        <f t="shared" si="5"/>
        <v>0</v>
      </c>
      <c r="AD25" s="333">
        <f t="shared" si="6"/>
        <v>0</v>
      </c>
      <c r="AE25" s="337">
        <f t="shared" si="7"/>
        <v>0</v>
      </c>
      <c r="AF25" s="335">
        <f t="shared" si="8"/>
        <v>0</v>
      </c>
    </row>
    <row r="26" spans="2:32" ht="15" customHeight="1" x14ac:dyDescent="0.25">
      <c r="B26" s="11">
        <v>18</v>
      </c>
      <c r="C26" s="16"/>
      <c r="D26" s="35"/>
      <c r="E26" s="35"/>
      <c r="F26" s="35"/>
      <c r="G26" s="29"/>
      <c r="H26" s="64"/>
      <c r="I26" s="29"/>
      <c r="J26" s="106"/>
      <c r="K26" s="75"/>
      <c r="L26" s="148">
        <v>0</v>
      </c>
      <c r="M26" s="49">
        <v>0</v>
      </c>
      <c r="N26" s="42">
        <f t="shared" si="0"/>
        <v>0</v>
      </c>
      <c r="O26" s="64"/>
      <c r="P26" s="29"/>
      <c r="Q26" s="129"/>
      <c r="R26" s="29"/>
      <c r="S26" s="29"/>
      <c r="T26" s="29"/>
      <c r="U26" s="78"/>
      <c r="V26" s="78"/>
      <c r="W26" s="35"/>
      <c r="Y26" s="338">
        <f t="shared" si="1"/>
        <v>0</v>
      </c>
      <c r="Z26" s="336">
        <f t="shared" si="2"/>
        <v>0</v>
      </c>
      <c r="AA26" s="336">
        <f t="shared" si="3"/>
        <v>0</v>
      </c>
      <c r="AB26" s="336">
        <f t="shared" si="4"/>
        <v>0</v>
      </c>
      <c r="AC26" s="336">
        <f t="shared" si="5"/>
        <v>0</v>
      </c>
      <c r="AD26" s="333">
        <f t="shared" si="6"/>
        <v>0</v>
      </c>
      <c r="AE26" s="337">
        <f t="shared" si="7"/>
        <v>0</v>
      </c>
      <c r="AF26" s="335">
        <f t="shared" si="8"/>
        <v>0</v>
      </c>
    </row>
    <row r="27" spans="2:32" ht="15" customHeight="1" x14ac:dyDescent="0.25">
      <c r="B27" s="11">
        <v>19</v>
      </c>
      <c r="C27" s="16"/>
      <c r="D27" s="35"/>
      <c r="E27" s="35"/>
      <c r="F27" s="35"/>
      <c r="G27" s="29"/>
      <c r="H27" s="64"/>
      <c r="I27" s="29"/>
      <c r="J27" s="106"/>
      <c r="K27" s="75"/>
      <c r="L27" s="148">
        <v>0</v>
      </c>
      <c r="M27" s="49">
        <v>0</v>
      </c>
      <c r="N27" s="42">
        <f t="shared" si="0"/>
        <v>0</v>
      </c>
      <c r="O27" s="64"/>
      <c r="P27" s="29"/>
      <c r="Q27" s="129"/>
      <c r="R27" s="29"/>
      <c r="S27" s="29"/>
      <c r="T27" s="29"/>
      <c r="U27" s="78"/>
      <c r="V27" s="78"/>
      <c r="W27" s="35"/>
      <c r="Y27" s="338">
        <f t="shared" si="1"/>
        <v>0</v>
      </c>
      <c r="Z27" s="336">
        <f t="shared" si="2"/>
        <v>0</v>
      </c>
      <c r="AA27" s="336">
        <f t="shared" si="3"/>
        <v>0</v>
      </c>
      <c r="AB27" s="336">
        <f t="shared" si="4"/>
        <v>0</v>
      </c>
      <c r="AC27" s="336">
        <f t="shared" si="5"/>
        <v>0</v>
      </c>
      <c r="AD27" s="333">
        <f t="shared" si="6"/>
        <v>0</v>
      </c>
      <c r="AE27" s="337">
        <f t="shared" si="7"/>
        <v>0</v>
      </c>
      <c r="AF27" s="335">
        <f t="shared" si="8"/>
        <v>0</v>
      </c>
    </row>
    <row r="28" spans="2:32" ht="15" customHeight="1" x14ac:dyDescent="0.25">
      <c r="B28" s="11">
        <v>20</v>
      </c>
      <c r="C28" s="16"/>
      <c r="D28" s="35"/>
      <c r="E28" s="35"/>
      <c r="F28" s="35"/>
      <c r="G28" s="29"/>
      <c r="H28" s="64"/>
      <c r="I28" s="29"/>
      <c r="J28" s="106"/>
      <c r="K28" s="75"/>
      <c r="L28" s="148">
        <v>0</v>
      </c>
      <c r="M28" s="49">
        <v>0</v>
      </c>
      <c r="N28" s="42">
        <f t="shared" si="0"/>
        <v>0</v>
      </c>
      <c r="O28" s="64"/>
      <c r="P28" s="29"/>
      <c r="Q28" s="129"/>
      <c r="R28" s="29"/>
      <c r="S28" s="29"/>
      <c r="T28" s="29"/>
      <c r="U28" s="78"/>
      <c r="V28" s="78"/>
      <c r="W28" s="35"/>
      <c r="Y28" s="338">
        <f t="shared" si="1"/>
        <v>0</v>
      </c>
      <c r="Z28" s="336">
        <f t="shared" si="2"/>
        <v>0</v>
      </c>
      <c r="AA28" s="336">
        <f t="shared" si="3"/>
        <v>0</v>
      </c>
      <c r="AB28" s="336">
        <f t="shared" si="4"/>
        <v>0</v>
      </c>
      <c r="AC28" s="336">
        <f t="shared" si="5"/>
        <v>0</v>
      </c>
      <c r="AD28" s="333">
        <f t="shared" si="6"/>
        <v>0</v>
      </c>
      <c r="AE28" s="337">
        <f t="shared" si="7"/>
        <v>0</v>
      </c>
      <c r="AF28" s="335">
        <f t="shared" si="8"/>
        <v>0</v>
      </c>
    </row>
    <row r="29" spans="2:32" ht="15" customHeight="1" x14ac:dyDescent="0.25">
      <c r="B29" s="11">
        <v>21</v>
      </c>
      <c r="C29" s="16"/>
      <c r="D29" s="35"/>
      <c r="E29" s="35"/>
      <c r="F29" s="35"/>
      <c r="G29" s="29"/>
      <c r="H29" s="64"/>
      <c r="I29" s="29"/>
      <c r="J29" s="106"/>
      <c r="K29" s="75"/>
      <c r="L29" s="148">
        <v>0</v>
      </c>
      <c r="M29" s="49">
        <v>0</v>
      </c>
      <c r="N29" s="42">
        <f t="shared" si="0"/>
        <v>0</v>
      </c>
      <c r="O29" s="64"/>
      <c r="P29" s="29"/>
      <c r="Q29" s="129"/>
      <c r="R29" s="29"/>
      <c r="S29" s="29"/>
      <c r="T29" s="29"/>
      <c r="U29" s="78"/>
      <c r="V29" s="78"/>
      <c r="W29" s="35"/>
      <c r="Y29" s="338">
        <f t="shared" si="1"/>
        <v>0</v>
      </c>
      <c r="Z29" s="336">
        <f t="shared" si="2"/>
        <v>0</v>
      </c>
      <c r="AA29" s="336">
        <f t="shared" si="3"/>
        <v>0</v>
      </c>
      <c r="AB29" s="336">
        <f t="shared" si="4"/>
        <v>0</v>
      </c>
      <c r="AC29" s="336">
        <f t="shared" si="5"/>
        <v>0</v>
      </c>
      <c r="AD29" s="333">
        <f t="shared" si="6"/>
        <v>0</v>
      </c>
      <c r="AE29" s="337">
        <f t="shared" si="7"/>
        <v>0</v>
      </c>
      <c r="AF29" s="335">
        <f t="shared" si="8"/>
        <v>0</v>
      </c>
    </row>
    <row r="30" spans="2:32" ht="15" customHeight="1" x14ac:dyDescent="0.25">
      <c r="B30" s="11">
        <v>22</v>
      </c>
      <c r="C30" s="16"/>
      <c r="D30" s="35"/>
      <c r="E30" s="35"/>
      <c r="F30" s="35"/>
      <c r="G30" s="29"/>
      <c r="H30" s="64"/>
      <c r="I30" s="29"/>
      <c r="J30" s="106"/>
      <c r="K30" s="75"/>
      <c r="L30" s="148">
        <v>0</v>
      </c>
      <c r="M30" s="49">
        <v>0</v>
      </c>
      <c r="N30" s="42">
        <f t="shared" si="0"/>
        <v>0</v>
      </c>
      <c r="O30" s="64"/>
      <c r="P30" s="29"/>
      <c r="Q30" s="129"/>
      <c r="R30" s="29"/>
      <c r="S30" s="29"/>
      <c r="T30" s="29"/>
      <c r="U30" s="78"/>
      <c r="V30" s="78"/>
      <c r="W30" s="35"/>
      <c r="Y30" s="338">
        <f t="shared" si="1"/>
        <v>0</v>
      </c>
      <c r="Z30" s="336">
        <f t="shared" si="2"/>
        <v>0</v>
      </c>
      <c r="AA30" s="336">
        <f t="shared" si="3"/>
        <v>0</v>
      </c>
      <c r="AB30" s="336">
        <f t="shared" si="4"/>
        <v>0</v>
      </c>
      <c r="AC30" s="336">
        <f t="shared" si="5"/>
        <v>0</v>
      </c>
      <c r="AD30" s="333">
        <f t="shared" si="6"/>
        <v>0</v>
      </c>
      <c r="AE30" s="337">
        <f t="shared" si="7"/>
        <v>0</v>
      </c>
      <c r="AF30" s="335">
        <f t="shared" si="8"/>
        <v>0</v>
      </c>
    </row>
    <row r="31" spans="2:32" ht="15" customHeight="1" x14ac:dyDescent="0.25">
      <c r="B31" s="11">
        <v>23</v>
      </c>
      <c r="C31" s="16"/>
      <c r="D31" s="35"/>
      <c r="E31" s="35"/>
      <c r="F31" s="35"/>
      <c r="G31" s="29"/>
      <c r="H31" s="64"/>
      <c r="I31" s="29"/>
      <c r="J31" s="106"/>
      <c r="K31" s="75"/>
      <c r="L31" s="148">
        <v>0</v>
      </c>
      <c r="M31" s="49">
        <v>0</v>
      </c>
      <c r="N31" s="42">
        <f t="shared" si="0"/>
        <v>0</v>
      </c>
      <c r="O31" s="64"/>
      <c r="P31" s="29"/>
      <c r="Q31" s="129"/>
      <c r="R31" s="29"/>
      <c r="S31" s="29"/>
      <c r="T31" s="29"/>
      <c r="U31" s="78"/>
      <c r="V31" s="78"/>
      <c r="W31" s="35"/>
      <c r="Y31" s="338">
        <f t="shared" si="1"/>
        <v>0</v>
      </c>
      <c r="Z31" s="336">
        <f t="shared" si="2"/>
        <v>0</v>
      </c>
      <c r="AA31" s="336">
        <f t="shared" si="3"/>
        <v>0</v>
      </c>
      <c r="AB31" s="336">
        <f t="shared" si="4"/>
        <v>0</v>
      </c>
      <c r="AC31" s="336">
        <f t="shared" si="5"/>
        <v>0</v>
      </c>
      <c r="AD31" s="333">
        <f t="shared" si="6"/>
        <v>0</v>
      </c>
      <c r="AE31" s="337">
        <f t="shared" si="7"/>
        <v>0</v>
      </c>
      <c r="AF31" s="335">
        <f t="shared" si="8"/>
        <v>0</v>
      </c>
    </row>
    <row r="32" spans="2:32" ht="15" customHeight="1" x14ac:dyDescent="0.25">
      <c r="B32" s="11">
        <v>24</v>
      </c>
      <c r="C32" s="16"/>
      <c r="D32" s="35"/>
      <c r="E32" s="35"/>
      <c r="F32" s="35"/>
      <c r="G32" s="29"/>
      <c r="H32" s="64"/>
      <c r="I32" s="29"/>
      <c r="J32" s="106"/>
      <c r="K32" s="75"/>
      <c r="L32" s="148">
        <v>0</v>
      </c>
      <c r="M32" s="49">
        <v>0</v>
      </c>
      <c r="N32" s="42">
        <f t="shared" si="0"/>
        <v>0</v>
      </c>
      <c r="O32" s="64"/>
      <c r="P32" s="29"/>
      <c r="Q32" s="129"/>
      <c r="R32" s="29"/>
      <c r="S32" s="29"/>
      <c r="T32" s="29"/>
      <c r="U32" s="78"/>
      <c r="V32" s="78"/>
      <c r="W32" s="35"/>
      <c r="Y32" s="338">
        <f t="shared" si="1"/>
        <v>0</v>
      </c>
      <c r="Z32" s="336">
        <f t="shared" si="2"/>
        <v>0</v>
      </c>
      <c r="AA32" s="336">
        <f t="shared" si="3"/>
        <v>0</v>
      </c>
      <c r="AB32" s="336">
        <f t="shared" si="4"/>
        <v>0</v>
      </c>
      <c r="AC32" s="336">
        <f t="shared" si="5"/>
        <v>0</v>
      </c>
      <c r="AD32" s="333">
        <f t="shared" si="6"/>
        <v>0</v>
      </c>
      <c r="AE32" s="337">
        <f t="shared" si="7"/>
        <v>0</v>
      </c>
      <c r="AF32" s="335">
        <f t="shared" si="8"/>
        <v>0</v>
      </c>
    </row>
    <row r="33" spans="2:32" ht="15" customHeight="1" x14ac:dyDescent="0.25">
      <c r="B33" s="11">
        <v>25</v>
      </c>
      <c r="C33" s="16"/>
      <c r="D33" s="35"/>
      <c r="E33" s="35"/>
      <c r="F33" s="35"/>
      <c r="G33" s="29"/>
      <c r="H33" s="64"/>
      <c r="I33" s="29"/>
      <c r="J33" s="106"/>
      <c r="K33" s="75"/>
      <c r="L33" s="148">
        <v>0</v>
      </c>
      <c r="M33" s="49">
        <v>0</v>
      </c>
      <c r="N33" s="42">
        <f t="shared" si="0"/>
        <v>0</v>
      </c>
      <c r="O33" s="64"/>
      <c r="P33" s="29"/>
      <c r="Q33" s="129"/>
      <c r="R33" s="29"/>
      <c r="S33" s="29"/>
      <c r="T33" s="29"/>
      <c r="U33" s="78"/>
      <c r="V33" s="78"/>
      <c r="W33" s="35"/>
      <c r="Y33" s="338">
        <f t="shared" si="1"/>
        <v>0</v>
      </c>
      <c r="Z33" s="336">
        <f t="shared" si="2"/>
        <v>0</v>
      </c>
      <c r="AA33" s="336">
        <f t="shared" si="3"/>
        <v>0</v>
      </c>
      <c r="AB33" s="336">
        <f t="shared" si="4"/>
        <v>0</v>
      </c>
      <c r="AC33" s="336">
        <f t="shared" si="5"/>
        <v>0</v>
      </c>
      <c r="AD33" s="333">
        <f t="shared" si="6"/>
        <v>0</v>
      </c>
      <c r="AE33" s="337">
        <f t="shared" si="7"/>
        <v>0</v>
      </c>
      <c r="AF33" s="335">
        <f t="shared" si="8"/>
        <v>0</v>
      </c>
    </row>
    <row r="34" spans="2:32" ht="15" customHeight="1" x14ac:dyDescent="0.25">
      <c r="B34" s="11">
        <v>26</v>
      </c>
      <c r="C34" s="16"/>
      <c r="D34" s="35"/>
      <c r="E34" s="35"/>
      <c r="F34" s="35"/>
      <c r="G34" s="29"/>
      <c r="H34" s="29"/>
      <c r="I34" s="29"/>
      <c r="J34" s="106"/>
      <c r="K34" s="77"/>
      <c r="L34" s="148">
        <v>0</v>
      </c>
      <c r="M34" s="49">
        <v>0</v>
      </c>
      <c r="N34" s="42">
        <f t="shared" si="0"/>
        <v>0</v>
      </c>
      <c r="O34" s="29"/>
      <c r="P34" s="29"/>
      <c r="Q34" s="129"/>
      <c r="R34" s="29"/>
      <c r="S34" s="29"/>
      <c r="T34" s="29"/>
      <c r="U34" s="78"/>
      <c r="V34" s="78"/>
      <c r="W34" s="35"/>
      <c r="Y34" s="338">
        <f t="shared" si="1"/>
        <v>0</v>
      </c>
      <c r="Z34" s="336">
        <f t="shared" si="2"/>
        <v>0</v>
      </c>
      <c r="AA34" s="336">
        <f t="shared" si="3"/>
        <v>0</v>
      </c>
      <c r="AB34" s="336">
        <f t="shared" si="4"/>
        <v>0</v>
      </c>
      <c r="AC34" s="336">
        <f t="shared" si="5"/>
        <v>0</v>
      </c>
      <c r="AD34" s="333">
        <f t="shared" si="6"/>
        <v>0</v>
      </c>
      <c r="AE34" s="337">
        <f t="shared" si="7"/>
        <v>0</v>
      </c>
      <c r="AF34" s="335">
        <f t="shared" si="8"/>
        <v>0</v>
      </c>
    </row>
    <row r="35" spans="2:32" ht="15" customHeight="1" x14ac:dyDescent="0.25">
      <c r="B35" s="11">
        <v>27</v>
      </c>
      <c r="C35" s="16"/>
      <c r="D35" s="35"/>
      <c r="E35" s="35"/>
      <c r="F35" s="35"/>
      <c r="G35" s="29"/>
      <c r="H35" s="64"/>
      <c r="I35" s="29"/>
      <c r="J35" s="106"/>
      <c r="K35" s="75"/>
      <c r="L35" s="148">
        <v>0</v>
      </c>
      <c r="M35" s="49">
        <v>0</v>
      </c>
      <c r="N35" s="42">
        <f t="shared" si="0"/>
        <v>0</v>
      </c>
      <c r="O35" s="64"/>
      <c r="P35" s="29"/>
      <c r="Q35" s="129"/>
      <c r="R35" s="29"/>
      <c r="S35" s="29"/>
      <c r="T35" s="29"/>
      <c r="U35" s="78"/>
      <c r="V35" s="78"/>
      <c r="W35" s="35"/>
      <c r="Y35" s="338">
        <f t="shared" si="1"/>
        <v>0</v>
      </c>
      <c r="Z35" s="336">
        <f t="shared" si="2"/>
        <v>0</v>
      </c>
      <c r="AA35" s="336">
        <f t="shared" si="3"/>
        <v>0</v>
      </c>
      <c r="AB35" s="336">
        <f t="shared" si="4"/>
        <v>0</v>
      </c>
      <c r="AC35" s="336">
        <f t="shared" si="5"/>
        <v>0</v>
      </c>
      <c r="AD35" s="333">
        <f t="shared" si="6"/>
        <v>0</v>
      </c>
      <c r="AE35" s="337">
        <f t="shared" si="7"/>
        <v>0</v>
      </c>
      <c r="AF35" s="335">
        <f t="shared" si="8"/>
        <v>0</v>
      </c>
    </row>
    <row r="36" spans="2:32" ht="15" customHeight="1" x14ac:dyDescent="0.25">
      <c r="B36" s="11">
        <v>28</v>
      </c>
      <c r="C36" s="16"/>
      <c r="D36" s="35"/>
      <c r="E36" s="35"/>
      <c r="F36" s="35"/>
      <c r="G36" s="29"/>
      <c r="H36" s="29"/>
      <c r="I36" s="29"/>
      <c r="J36" s="106"/>
      <c r="K36" s="77"/>
      <c r="L36" s="148">
        <v>0</v>
      </c>
      <c r="M36" s="49">
        <v>0</v>
      </c>
      <c r="N36" s="42">
        <f t="shared" si="0"/>
        <v>0</v>
      </c>
      <c r="O36" s="29"/>
      <c r="P36" s="29"/>
      <c r="Q36" s="129"/>
      <c r="R36" s="29"/>
      <c r="S36" s="29"/>
      <c r="T36" s="29"/>
      <c r="U36" s="78"/>
      <c r="V36" s="78"/>
      <c r="W36" s="35"/>
      <c r="Y36" s="338">
        <f t="shared" si="1"/>
        <v>0</v>
      </c>
      <c r="Z36" s="336">
        <f t="shared" si="2"/>
        <v>0</v>
      </c>
      <c r="AA36" s="336">
        <f t="shared" si="3"/>
        <v>0</v>
      </c>
      <c r="AB36" s="336">
        <f t="shared" si="4"/>
        <v>0</v>
      </c>
      <c r="AC36" s="336">
        <f t="shared" si="5"/>
        <v>0</v>
      </c>
      <c r="AD36" s="333">
        <f t="shared" si="6"/>
        <v>0</v>
      </c>
      <c r="AE36" s="337">
        <f t="shared" si="7"/>
        <v>0</v>
      </c>
      <c r="AF36" s="335">
        <f t="shared" si="8"/>
        <v>0</v>
      </c>
    </row>
    <row r="37" spans="2:32" ht="15" customHeight="1" x14ac:dyDescent="0.25">
      <c r="B37" s="11">
        <v>29</v>
      </c>
      <c r="C37" s="16"/>
      <c r="D37" s="35"/>
      <c r="E37" s="35"/>
      <c r="F37" s="35"/>
      <c r="G37" s="29"/>
      <c r="H37" s="29"/>
      <c r="I37" s="29"/>
      <c r="J37" s="106"/>
      <c r="K37" s="77"/>
      <c r="L37" s="148">
        <v>0</v>
      </c>
      <c r="M37" s="49">
        <v>0</v>
      </c>
      <c r="N37" s="42">
        <f t="shared" si="0"/>
        <v>0</v>
      </c>
      <c r="O37" s="29"/>
      <c r="P37" s="29"/>
      <c r="Q37" s="129"/>
      <c r="R37" s="29"/>
      <c r="S37" s="29"/>
      <c r="T37" s="29"/>
      <c r="U37" s="78"/>
      <c r="V37" s="78"/>
      <c r="W37" s="35"/>
      <c r="Y37" s="338">
        <f t="shared" si="1"/>
        <v>0</v>
      </c>
      <c r="Z37" s="336">
        <f t="shared" si="2"/>
        <v>0</v>
      </c>
      <c r="AA37" s="336">
        <f t="shared" si="3"/>
        <v>0</v>
      </c>
      <c r="AB37" s="336">
        <f t="shared" si="4"/>
        <v>0</v>
      </c>
      <c r="AC37" s="336">
        <f t="shared" si="5"/>
        <v>0</v>
      </c>
      <c r="AD37" s="333">
        <f t="shared" si="6"/>
        <v>0</v>
      </c>
      <c r="AE37" s="337">
        <f t="shared" si="7"/>
        <v>0</v>
      </c>
      <c r="AF37" s="335">
        <f t="shared" si="8"/>
        <v>0</v>
      </c>
    </row>
    <row r="38" spans="2:32" ht="15" customHeight="1" x14ac:dyDescent="0.25">
      <c r="B38" s="11">
        <v>30</v>
      </c>
      <c r="C38" s="16"/>
      <c r="D38" s="35"/>
      <c r="E38" s="35"/>
      <c r="F38" s="35"/>
      <c r="G38" s="29"/>
      <c r="H38" s="29"/>
      <c r="I38" s="29"/>
      <c r="J38" s="106"/>
      <c r="K38" s="77"/>
      <c r="L38" s="148">
        <v>0</v>
      </c>
      <c r="M38" s="49">
        <v>0</v>
      </c>
      <c r="N38" s="42">
        <f t="shared" si="0"/>
        <v>0</v>
      </c>
      <c r="O38" s="29"/>
      <c r="P38" s="29"/>
      <c r="Q38" s="129"/>
      <c r="R38" s="29"/>
      <c r="S38" s="29"/>
      <c r="T38" s="29"/>
      <c r="U38" s="78"/>
      <c r="V38" s="78"/>
      <c r="W38" s="35"/>
      <c r="Y38" s="338">
        <f t="shared" si="1"/>
        <v>0</v>
      </c>
      <c r="Z38" s="336">
        <f t="shared" si="2"/>
        <v>0</v>
      </c>
      <c r="AA38" s="336">
        <f t="shared" si="3"/>
        <v>0</v>
      </c>
      <c r="AB38" s="336">
        <f t="shared" si="4"/>
        <v>0</v>
      </c>
      <c r="AC38" s="336">
        <f t="shared" si="5"/>
        <v>0</v>
      </c>
      <c r="AD38" s="333">
        <f t="shared" si="6"/>
        <v>0</v>
      </c>
      <c r="AE38" s="337">
        <f t="shared" si="7"/>
        <v>0</v>
      </c>
      <c r="AF38" s="335">
        <f t="shared" si="8"/>
        <v>0</v>
      </c>
    </row>
    <row r="39" spans="2:32" ht="15" customHeight="1" x14ac:dyDescent="0.25">
      <c r="B39" s="11"/>
      <c r="C39" s="16"/>
      <c r="D39" s="35"/>
      <c r="E39" s="35"/>
      <c r="F39" s="35"/>
      <c r="G39" s="29"/>
      <c r="H39" s="29"/>
      <c r="I39" s="29"/>
      <c r="J39" s="106"/>
      <c r="K39" s="77"/>
      <c r="L39" s="148">
        <v>0</v>
      </c>
      <c r="M39" s="49">
        <v>0</v>
      </c>
      <c r="N39" s="42">
        <f t="shared" si="0"/>
        <v>0</v>
      </c>
      <c r="O39" s="29"/>
      <c r="P39" s="29"/>
      <c r="Q39" s="129"/>
      <c r="R39" s="29"/>
      <c r="S39" s="29"/>
      <c r="T39" s="29"/>
      <c r="U39" s="78"/>
      <c r="V39" s="78"/>
      <c r="W39" s="35"/>
      <c r="Y39" s="338">
        <f t="shared" si="1"/>
        <v>0</v>
      </c>
      <c r="Z39" s="336">
        <f t="shared" si="2"/>
        <v>0</v>
      </c>
      <c r="AA39" s="336">
        <f t="shared" si="3"/>
        <v>0</v>
      </c>
      <c r="AB39" s="336">
        <f t="shared" si="4"/>
        <v>0</v>
      </c>
      <c r="AC39" s="336">
        <f t="shared" si="5"/>
        <v>0</v>
      </c>
      <c r="AD39" s="333">
        <f t="shared" si="6"/>
        <v>0</v>
      </c>
      <c r="AE39" s="337">
        <f t="shared" si="7"/>
        <v>0</v>
      </c>
      <c r="AF39" s="335">
        <f t="shared" si="8"/>
        <v>0</v>
      </c>
    </row>
    <row r="40" spans="2:32" ht="15.75" x14ac:dyDescent="0.25">
      <c r="B40" s="11"/>
      <c r="C40" s="16"/>
      <c r="D40" s="35"/>
      <c r="E40" s="35"/>
      <c r="F40" s="35"/>
      <c r="G40" s="29"/>
      <c r="H40" s="29"/>
      <c r="I40" s="29"/>
      <c r="J40" s="106"/>
      <c r="K40" s="16"/>
      <c r="L40" s="42"/>
      <c r="M40" s="49"/>
      <c r="N40" s="42"/>
      <c r="O40" s="29"/>
      <c r="P40" s="29"/>
      <c r="Q40" s="129"/>
      <c r="R40" s="29"/>
      <c r="S40" s="29"/>
      <c r="T40" s="29"/>
      <c r="U40" s="78"/>
      <c r="V40" s="78"/>
      <c r="W40" s="35"/>
      <c r="Y40" s="338">
        <f t="shared" si="1"/>
        <v>0</v>
      </c>
      <c r="Z40" s="336">
        <f t="shared" si="2"/>
        <v>0</v>
      </c>
      <c r="AA40" s="336">
        <f t="shared" si="3"/>
        <v>0</v>
      </c>
      <c r="AB40" s="336">
        <f t="shared" si="4"/>
        <v>0</v>
      </c>
      <c r="AC40" s="336">
        <f t="shared" si="5"/>
        <v>0</v>
      </c>
      <c r="AD40" s="333">
        <f t="shared" si="6"/>
        <v>0</v>
      </c>
      <c r="AE40" s="337">
        <f t="shared" si="7"/>
        <v>0</v>
      </c>
      <c r="AF40" s="335">
        <f t="shared" si="8"/>
        <v>0</v>
      </c>
    </row>
    <row r="41" spans="2:32" x14ac:dyDescent="0.25">
      <c r="C41" s="22"/>
      <c r="D41" s="61"/>
      <c r="E41" s="33"/>
      <c r="F41" s="19"/>
      <c r="G41" s="19"/>
      <c r="H41" s="19"/>
      <c r="I41" s="19"/>
      <c r="J41" s="69"/>
      <c r="K41" s="56"/>
      <c r="L41" s="68">
        <f>SUBTOTAL(9,L8:L40)</f>
        <v>0</v>
      </c>
      <c r="M41" s="44">
        <f>SUBTOTAL(9,M8:M40)</f>
        <v>0</v>
      </c>
      <c r="N41" s="44">
        <f>SUBTOTAL(9,N8:N40)</f>
        <v>0</v>
      </c>
      <c r="O41" s="19"/>
      <c r="P41" s="207"/>
      <c r="Q41" s="18"/>
      <c r="R41" s="17"/>
      <c r="S41" s="30">
        <f>SUBTOTAL(2,S8:S40)</f>
        <v>0</v>
      </c>
      <c r="T41" s="19"/>
      <c r="W41" s="36"/>
    </row>
    <row r="42" spans="2:32" x14ac:dyDescent="0.25">
      <c r="L42" s="45"/>
      <c r="M42" s="45"/>
      <c r="N42" s="45"/>
    </row>
    <row r="43" spans="2:32" x14ac:dyDescent="0.25">
      <c r="L43" s="45"/>
      <c r="M43" s="45"/>
      <c r="N43" s="45"/>
    </row>
    <row r="44" spans="2:32" ht="15.75" thickBot="1" x14ac:dyDescent="0.3">
      <c r="C44" s="4"/>
      <c r="D44" s="66"/>
      <c r="E44" s="34"/>
      <c r="F44" s="15"/>
      <c r="G44" s="15"/>
      <c r="H44" s="15"/>
      <c r="I44" s="15"/>
      <c r="J44" s="28"/>
      <c r="K44" s="20"/>
      <c r="L44" s="65">
        <f>SUM(L8:L40)</f>
        <v>0</v>
      </c>
      <c r="M44" s="65">
        <f>SUM(M8:M40)</f>
        <v>0</v>
      </c>
      <c r="N44" s="65">
        <f>SUM(N8:N40)</f>
        <v>0</v>
      </c>
      <c r="O44" s="15"/>
      <c r="P44" s="66"/>
      <c r="Q44" s="15"/>
      <c r="R44" s="15"/>
      <c r="T44" s="15"/>
    </row>
    <row r="45" spans="2:32" ht="15.75" thickTop="1" x14ac:dyDescent="0.25">
      <c r="Q45" s="15"/>
    </row>
    <row r="46" spans="2:32" x14ac:dyDescent="0.25">
      <c r="U46" s="101"/>
      <c r="V46" s="8"/>
      <c r="X46" s="27"/>
    </row>
    <row r="47" spans="2:32" x14ac:dyDescent="0.25">
      <c r="K47" s="27"/>
      <c r="L47" s="8"/>
      <c r="O47" s="43"/>
      <c r="P47" s="8"/>
    </row>
    <row r="48" spans="2:32" x14ac:dyDescent="0.25">
      <c r="K48" s="463" t="s">
        <v>351</v>
      </c>
      <c r="L48" s="455"/>
      <c r="M48" s="455"/>
      <c r="N48" s="476"/>
      <c r="P48" s="8"/>
    </row>
    <row r="49" spans="5:19" x14ac:dyDescent="0.25">
      <c r="K49" s="16" t="s">
        <v>352</v>
      </c>
      <c r="L49" s="16" t="s">
        <v>353</v>
      </c>
      <c r="M49" s="84" t="s">
        <v>354</v>
      </c>
      <c r="N49" s="92" t="s">
        <v>356</v>
      </c>
      <c r="O49" s="83"/>
      <c r="P49" s="8"/>
    </row>
    <row r="50" spans="5:19" x14ac:dyDescent="0.25">
      <c r="K50" s="123">
        <f>SUMIF($C$8:$C$40,K49,$N$8:$N$40)</f>
        <v>0</v>
      </c>
      <c r="L50" s="123">
        <f>SUMIF($C$8:$C$40,L49,$N$8:$N$40)</f>
        <v>0</v>
      </c>
      <c r="M50" s="123">
        <f>SUMIF($C$8:$C$40,M49,$N$8:$N$40)</f>
        <v>0</v>
      </c>
      <c r="N50" s="123">
        <f>SUMIF($C$8:$C$39,N49,$N$8:$N$40)</f>
        <v>0</v>
      </c>
      <c r="O50" s="87">
        <f>SUM(K50:N50)</f>
        <v>0</v>
      </c>
      <c r="P50" s="8"/>
    </row>
    <row r="51" spans="5:19" x14ac:dyDescent="0.25">
      <c r="L51" s="8"/>
      <c r="M51"/>
      <c r="N51"/>
      <c r="O51" s="89">
        <f>N44-O50</f>
        <v>0</v>
      </c>
      <c r="P51" s="8"/>
    </row>
    <row r="52" spans="5:19" x14ac:dyDescent="0.25">
      <c r="L52" s="32"/>
      <c r="M52" s="8"/>
      <c r="N52" s="8"/>
      <c r="P52" s="8"/>
    </row>
    <row r="53" spans="5:19" x14ac:dyDescent="0.25">
      <c r="K53" s="463" t="s">
        <v>360</v>
      </c>
      <c r="L53" s="455"/>
      <c r="M53" s="455"/>
      <c r="N53" s="476"/>
      <c r="P53" s="8"/>
      <c r="R53" s="43"/>
      <c r="S53" s="105"/>
    </row>
    <row r="54" spans="5:19" x14ac:dyDescent="0.25">
      <c r="K54" s="16" t="s">
        <v>352</v>
      </c>
      <c r="L54" s="16" t="s">
        <v>353</v>
      </c>
      <c r="M54" s="84" t="s">
        <v>354</v>
      </c>
      <c r="N54" s="92" t="s">
        <v>356</v>
      </c>
      <c r="P54" s="8"/>
      <c r="R54" s="43"/>
      <c r="S54" s="105"/>
    </row>
    <row r="55" spans="5:19" x14ac:dyDescent="0.25">
      <c r="K55" s="123">
        <f>SUMIF($C$8:$C$40,K54,$M$8:$M$40)</f>
        <v>0</v>
      </c>
      <c r="L55" s="123">
        <f>SUMIF($C$8:$C$40,L54,$M$8:$M$40)</f>
        <v>0</v>
      </c>
      <c r="M55" s="123">
        <f>SUMIF($C$8:$C$40,M54,$M$8:$M$40)</f>
        <v>0</v>
      </c>
      <c r="N55" s="123">
        <f>SUMIF($C$8:$C$40,N54,$M$8:$M$40)</f>
        <v>0</v>
      </c>
      <c r="O55" s="104">
        <f>SUM(K55:N55)</f>
        <v>0</v>
      </c>
      <c r="P55" s="8"/>
      <c r="R55" s="43"/>
      <c r="S55" s="105"/>
    </row>
    <row r="56" spans="5:19" x14ac:dyDescent="0.25">
      <c r="L56" s="32"/>
      <c r="M56" s="32"/>
      <c r="N56" s="124"/>
      <c r="O56" s="89">
        <f>M44-O55</f>
        <v>0</v>
      </c>
      <c r="P56" s="8"/>
      <c r="R56" s="60"/>
    </row>
    <row r="57" spans="5:19" x14ac:dyDescent="0.25">
      <c r="L57" s="32"/>
      <c r="M57" s="8"/>
      <c r="N57" s="8"/>
      <c r="P57" s="8"/>
    </row>
    <row r="58" spans="5:19" x14ac:dyDescent="0.25">
      <c r="L58" s="32"/>
      <c r="M58" s="8"/>
      <c r="N58" s="8"/>
      <c r="P58" s="8"/>
    </row>
    <row r="59" spans="5:19" x14ac:dyDescent="0.25">
      <c r="L59" s="32"/>
      <c r="M59" s="8"/>
      <c r="N59" s="8"/>
      <c r="P59" s="8"/>
    </row>
    <row r="60" spans="5:19" x14ac:dyDescent="0.25">
      <c r="K60" s="60"/>
      <c r="L60" s="43" t="s">
        <v>357</v>
      </c>
      <c r="M60" s="43">
        <f>N50</f>
        <v>0</v>
      </c>
      <c r="O60" s="43"/>
      <c r="P60" s="8"/>
    </row>
    <row r="61" spans="5:19" x14ac:dyDescent="0.25">
      <c r="E61"/>
      <c r="F61"/>
      <c r="G61" s="32"/>
      <c r="H61" s="60"/>
      <c r="K61" s="60"/>
      <c r="L61" s="32" t="s">
        <v>417</v>
      </c>
      <c r="M61" s="51">
        <f>K50</f>
        <v>0</v>
      </c>
      <c r="O61" s="83"/>
      <c r="P61" s="8"/>
    </row>
    <row r="62" spans="5:19" ht="15.75" thickBot="1" x14ac:dyDescent="0.3">
      <c r="K62" s="60"/>
      <c r="L62" s="90" t="s">
        <v>359</v>
      </c>
      <c r="M62" s="90">
        <f>L50+M50+L55+M55+N55+K55</f>
        <v>0</v>
      </c>
      <c r="O62" s="88"/>
      <c r="P62" s="8"/>
    </row>
    <row r="63" spans="5:19" ht="15.75" thickTop="1" x14ac:dyDescent="0.25">
      <c r="K63" s="60"/>
      <c r="L63" s="43" t="s">
        <v>362</v>
      </c>
      <c r="M63" s="43">
        <f>SUM(M60:M62)</f>
        <v>0</v>
      </c>
      <c r="N63" s="89">
        <f>L44-M63</f>
        <v>0</v>
      </c>
      <c r="O63" s="83"/>
      <c r="P63" s="8"/>
    </row>
    <row r="64" spans="5:19" x14ac:dyDescent="0.25">
      <c r="K64" s="27"/>
      <c r="L64" s="8"/>
      <c r="O64" s="43"/>
      <c r="P64" s="8"/>
    </row>
    <row r="65" spans="4:16" x14ac:dyDescent="0.25">
      <c r="K65" s="27"/>
      <c r="L65" s="8"/>
      <c r="O65" s="43"/>
      <c r="P65" s="8"/>
    </row>
    <row r="66" spans="4:16" x14ac:dyDescent="0.25">
      <c r="K66" s="27"/>
      <c r="L66" s="51"/>
      <c r="O66" s="43"/>
      <c r="P66" s="8"/>
    </row>
    <row r="67" spans="4:16" x14ac:dyDescent="0.25">
      <c r="D67" s="43"/>
      <c r="K67" s="27"/>
      <c r="L67" s="477" t="s">
        <v>357</v>
      </c>
      <c r="M67" s="43">
        <f>M60</f>
        <v>0</v>
      </c>
      <c r="O67" s="43"/>
      <c r="P67" s="8"/>
    </row>
    <row r="68" spans="4:16" x14ac:dyDescent="0.25">
      <c r="K68" s="27"/>
      <c r="L68" s="477" t="s">
        <v>115</v>
      </c>
      <c r="M68" s="43">
        <f>'Talent &amp; Extras'!N84</f>
        <v>0</v>
      </c>
      <c r="O68" s="43"/>
      <c r="P68" s="8"/>
    </row>
    <row r="69" spans="4:16" ht="15.75" thickBot="1" x14ac:dyDescent="0.3">
      <c r="K69" s="27"/>
      <c r="L69" s="90" t="s">
        <v>113</v>
      </c>
      <c r="M69" s="90">
        <f>'Talent &amp; Extras'!O85</f>
        <v>0</v>
      </c>
      <c r="O69" s="43"/>
      <c r="P69" s="8"/>
    </row>
    <row r="70" spans="4:16" ht="15.75" thickTop="1" x14ac:dyDescent="0.25">
      <c r="K70" s="27"/>
      <c r="L70" s="43" t="s">
        <v>8210</v>
      </c>
      <c r="M70" s="43">
        <f>SUM(M67:M69)</f>
        <v>0</v>
      </c>
      <c r="O70" s="43"/>
      <c r="P70" s="8"/>
    </row>
    <row r="71" spans="4:16" x14ac:dyDescent="0.25">
      <c r="K71" s="27"/>
      <c r="L71" s="8"/>
      <c r="O71" s="43"/>
      <c r="P71" s="8"/>
    </row>
  </sheetData>
  <autoFilter ref="B7:T40" xr:uid="{00000000-0009-0000-0000-000001000000}"/>
  <dataConsolidate/>
  <mergeCells count="1">
    <mergeCell ref="Q6:T6"/>
  </mergeCells>
  <conditionalFormatting sqref="C8:C40 O8:O40">
    <cfRule type="cellIs" dxfId="18" priority="5" operator="equal">
      <formula>"PENDING"</formula>
    </cfRule>
  </conditionalFormatting>
  <conditionalFormatting sqref="K49 K54">
    <cfRule type="cellIs" dxfId="17" priority="1" operator="equal">
      <formula>"PENDING"</formula>
    </cfRule>
    <cfRule type="cellIs" dxfId="16" priority="3" operator="equal">
      <formula>"NO-IL"</formula>
    </cfRule>
  </conditionalFormatting>
  <conditionalFormatting sqref="K49:L49 K54:L54">
    <cfRule type="cellIs" dxfId="15" priority="2" operator="equal">
      <formula>"NO-OOS"</formula>
    </cfRule>
    <cfRule type="cellIs" dxfId="14" priority="4" operator="equal">
      <formula>"YES"</formula>
    </cfRule>
  </conditionalFormatting>
  <conditionalFormatting sqref="L49">
    <cfRule type="cellIs" dxfId="13" priority="21" operator="equal">
      <formula>"NO-CO"</formula>
    </cfRule>
    <cfRule type="cellIs" dxfId="12" priority="23" operator="equal">
      <formula>"NO"</formula>
    </cfRule>
  </conditionalFormatting>
  <conditionalFormatting sqref="L54">
    <cfRule type="cellIs" dxfId="11" priority="17" operator="equal">
      <formula>"NO-CO"</formula>
    </cfRule>
    <cfRule type="cellIs" dxfId="10" priority="19" operator="equal">
      <formula>"NO"</formula>
    </cfRule>
  </conditionalFormatting>
  <conditionalFormatting sqref="O8:O40 C8:C40">
    <cfRule type="cellIs" dxfId="9" priority="13" operator="equal">
      <formula>"NO-OOS"</formula>
    </cfRule>
    <cfRule type="cellIs" dxfId="8" priority="14" operator="equal">
      <formula>"NO-IL"</formula>
    </cfRule>
    <cfRule type="cellIs" dxfId="7" priority="15" operator="equal">
      <formula>"YES"</formula>
    </cfRule>
  </conditionalFormatting>
  <conditionalFormatting sqref="O8:O40">
    <cfRule type="containsText" dxfId="6" priority="6" operator="containsText" text="NO">
      <formula>NOT(ISERROR(SEARCH("NO",O8)))</formula>
    </cfRule>
    <cfRule type="containsText" dxfId="5" priority="7" operator="containsText" text="YES">
      <formula>NOT(ISERROR(SEARCH("YES",O8)))</formula>
    </cfRule>
  </conditionalFormatting>
  <conditionalFormatting sqref="P8:Q40">
    <cfRule type="containsText" dxfId="4" priority="8" operator="containsText" text="Invalid">
      <formula>NOT(ISERROR(SEARCH("Invalid",P8)))</formula>
    </cfRule>
    <cfRule type="containsText" dxfId="3" priority="9" operator="containsText" text="Missing">
      <formula>NOT(ISERROR(SEARCH("Missing",P8)))</formula>
    </cfRule>
    <cfRule type="containsText" dxfId="2" priority="10" operator="containsText" text="Valid">
      <formula>NOT(ISERROR(SEARCH("Valid",P8)))</formula>
    </cfRule>
  </conditionalFormatting>
  <conditionalFormatting sqref="Q8:Q40">
    <cfRule type="cellIs" dxfId="1" priority="11" operator="equal">
      <formula>"YES"</formula>
    </cfRule>
    <cfRule type="cellIs" dxfId="0" priority="12" operator="equal">
      <formula>"NO"</formula>
    </cfRule>
  </conditionalFormatting>
  <dataValidations count="3">
    <dataValidation type="list" allowBlank="1" showInputMessage="1" showErrorMessage="1" sqref="C8:C40 T8:T39 W8:W39 O8:R40" xr:uid="{FE5D1B0B-703E-40FB-8D1A-92679964587D}">
      <formula1>#REF!</formula1>
    </dataValidation>
    <dataValidation type="list" allowBlank="1" showInputMessage="1" showErrorMessage="1" error="Please select a valid option from the 3 below" promptTitle="Payment Method" prompt="Select a payment method" sqref="N54 R41:R47 R57:R1048576 R7 N56 S52:S56 L60 L62:L63" xr:uid="{13CD8F9B-CF9D-4934-A4A0-47452D09C864}">
      <formula1>#REF!</formula1>
    </dataValidation>
    <dataValidation type="list" allowBlank="1" showInputMessage="1" showErrorMessage="1" sqref="U2:U5 L49 L54" xr:uid="{B290D499-EB9C-468C-940D-E4ED29EA2C8C}"/>
  </dataValidations>
  <hyperlinks>
    <hyperlink ref="L44" location="'Comm Summary'!A1" display="'Comm Summary'!A1" xr:uid="{67DC48F6-E444-44E6-BE60-09D798BFF722}"/>
  </hyperlinks>
  <pageMargins left="0.45" right="0.45" top="0.75" bottom="0.75" header="0.3" footer="0.3"/>
  <pageSetup scale="2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5F48-0219-41B1-A442-7D766B87B4CC}">
  <sheetPr>
    <tabColor rgb="FFFFC000"/>
  </sheetPr>
  <dimension ref="A1:S12"/>
  <sheetViews>
    <sheetView topLeftCell="I1" workbookViewId="0">
      <selection activeCell="O19" sqref="O19"/>
    </sheetView>
  </sheetViews>
  <sheetFormatPr defaultRowHeight="15" x14ac:dyDescent="0.25"/>
  <cols>
    <col min="1" max="1" width="13" customWidth="1"/>
    <col min="2" max="2" width="14.7109375" customWidth="1"/>
    <col min="3" max="3" width="37.85546875" customWidth="1"/>
    <col min="4" max="4" width="20.85546875" bestFit="1" customWidth="1"/>
    <col min="5" max="5" width="35.7109375" bestFit="1" customWidth="1"/>
    <col min="6" max="6" width="23.5703125" bestFit="1" customWidth="1"/>
    <col min="7" max="8" width="10.7109375" bestFit="1" customWidth="1"/>
    <col min="9" max="9" width="28.140625" customWidth="1"/>
    <col min="10" max="10" width="23.5703125" bestFit="1" customWidth="1"/>
    <col min="11" max="11" width="17" bestFit="1" customWidth="1"/>
    <col min="12" max="12" width="28.7109375" customWidth="1"/>
    <col min="13" max="13" width="28" customWidth="1"/>
    <col min="14" max="14" width="13.28515625" customWidth="1"/>
    <col min="15" max="15" width="13.5703125" bestFit="1" customWidth="1"/>
    <col min="16" max="16" width="12.28515625" bestFit="1" customWidth="1"/>
    <col min="17" max="17" width="10.7109375" bestFit="1" customWidth="1"/>
    <col min="18" max="18" width="13.42578125" bestFit="1" customWidth="1"/>
    <col min="19" max="19" width="29.28515625" customWidth="1"/>
  </cols>
  <sheetData>
    <row r="1" spans="1:19" ht="36" x14ac:dyDescent="0.55000000000000004">
      <c r="A1" s="673" t="s">
        <v>8211</v>
      </c>
    </row>
    <row r="3" spans="1:19" ht="21" x14ac:dyDescent="0.35">
      <c r="A3" s="555" t="s">
        <v>8212</v>
      </c>
      <c r="B3" s="672" t="s">
        <v>8213</v>
      </c>
      <c r="C3" s="32"/>
      <c r="D3" s="32"/>
      <c r="E3" s="32"/>
      <c r="F3" s="32"/>
      <c r="G3" s="32"/>
    </row>
    <row r="4" spans="1:19" ht="21" x14ac:dyDescent="0.35">
      <c r="A4" s="555" t="s">
        <v>493</v>
      </c>
      <c r="B4" s="662">
        <v>46155</v>
      </c>
      <c r="C4" s="672" t="s">
        <v>8214</v>
      </c>
      <c r="D4" s="672"/>
      <c r="F4" s="672"/>
      <c r="G4" s="672"/>
    </row>
    <row r="6" spans="1:19" x14ac:dyDescent="0.25">
      <c r="A6" s="663" t="s">
        <v>8215</v>
      </c>
      <c r="B6" s="666" t="s">
        <v>8216</v>
      </c>
      <c r="C6" s="666" t="s">
        <v>8217</v>
      </c>
      <c r="D6" s="666" t="s">
        <v>8218</v>
      </c>
      <c r="E6" s="664" t="s">
        <v>8219</v>
      </c>
      <c r="F6" s="664" t="s">
        <v>8220</v>
      </c>
      <c r="G6" s="664" t="s">
        <v>8221</v>
      </c>
      <c r="H6" s="665" t="s">
        <v>8222</v>
      </c>
      <c r="I6" s="674" t="s">
        <v>8223</v>
      </c>
      <c r="J6" s="674" t="s">
        <v>8224</v>
      </c>
      <c r="K6" s="664" t="s">
        <v>8225</v>
      </c>
      <c r="L6" s="665" t="s">
        <v>8226</v>
      </c>
      <c r="M6" s="665" t="s">
        <v>251</v>
      </c>
      <c r="N6" s="665" t="s">
        <v>8227</v>
      </c>
      <c r="O6" s="664" t="s">
        <v>8228</v>
      </c>
      <c r="P6" s="667" t="s">
        <v>254</v>
      </c>
      <c r="Q6" s="667" t="s">
        <v>237</v>
      </c>
      <c r="R6" s="667" t="s">
        <v>257</v>
      </c>
      <c r="S6" s="667" t="s">
        <v>8229</v>
      </c>
    </row>
    <row r="7" spans="1:19" x14ac:dyDescent="0.25">
      <c r="A7" s="669" t="s">
        <v>8213</v>
      </c>
      <c r="B7" s="661" t="b">
        <v>0</v>
      </c>
      <c r="C7" s="661" t="s">
        <v>8230</v>
      </c>
      <c r="D7" s="661" t="s">
        <v>8231</v>
      </c>
      <c r="E7" s="669" t="s">
        <v>8232</v>
      </c>
      <c r="F7" s="669" t="s">
        <v>8233</v>
      </c>
      <c r="G7" s="669"/>
      <c r="H7" s="421" t="s">
        <v>8234</v>
      </c>
      <c r="I7" s="671">
        <v>850</v>
      </c>
      <c r="J7" s="670">
        <f t="shared" ref="J7:J12" si="0">I7*0.0499</f>
        <v>42.414999999999999</v>
      </c>
      <c r="K7" s="669" t="s">
        <v>8235</v>
      </c>
      <c r="L7" s="421" t="s">
        <v>8236</v>
      </c>
      <c r="M7" s="421" t="s">
        <v>8237</v>
      </c>
      <c r="N7" s="421" t="s">
        <v>8238</v>
      </c>
      <c r="O7" s="421" t="s">
        <v>8239</v>
      </c>
      <c r="P7" s="27">
        <v>46155</v>
      </c>
      <c r="Q7" s="9">
        <v>1807</v>
      </c>
      <c r="R7" s="668">
        <v>46162</v>
      </c>
      <c r="S7" s="421"/>
    </row>
    <row r="8" spans="1:19" x14ac:dyDescent="0.25">
      <c r="A8" s="669" t="s">
        <v>8213</v>
      </c>
      <c r="B8" s="661" t="b">
        <v>0</v>
      </c>
      <c r="C8" s="661" t="s">
        <v>8240</v>
      </c>
      <c r="D8" s="661" t="s">
        <v>8241</v>
      </c>
      <c r="E8" s="669" t="s">
        <v>8242</v>
      </c>
      <c r="F8" s="669" t="s">
        <v>8243</v>
      </c>
      <c r="G8" s="669"/>
      <c r="H8" s="421" t="s">
        <v>8244</v>
      </c>
      <c r="I8" s="671">
        <v>1725</v>
      </c>
      <c r="J8" s="670">
        <f t="shared" si="0"/>
        <v>86.077500000000001</v>
      </c>
      <c r="K8" s="669" t="s">
        <v>8245</v>
      </c>
      <c r="L8" s="421" t="s">
        <v>8236</v>
      </c>
      <c r="M8" s="421" t="s">
        <v>8246</v>
      </c>
      <c r="N8" s="421" t="s">
        <v>8239</v>
      </c>
      <c r="O8" s="421" t="s">
        <v>8239</v>
      </c>
      <c r="P8" s="27">
        <v>46156</v>
      </c>
      <c r="Q8" s="9">
        <v>240065</v>
      </c>
      <c r="R8" s="668">
        <v>46162</v>
      </c>
    </row>
    <row r="9" spans="1:19" x14ac:dyDescent="0.25">
      <c r="A9" s="669" t="s">
        <v>8213</v>
      </c>
      <c r="B9" s="661" t="b">
        <v>0</v>
      </c>
      <c r="C9" s="661" t="s">
        <v>8247</v>
      </c>
      <c r="D9" s="661" t="s">
        <v>8248</v>
      </c>
      <c r="E9" s="669" t="s">
        <v>8249</v>
      </c>
      <c r="F9" s="669" t="s">
        <v>8250</v>
      </c>
      <c r="G9" s="669"/>
      <c r="H9" s="421" t="s">
        <v>8251</v>
      </c>
      <c r="I9" s="671">
        <v>6150.76</v>
      </c>
      <c r="J9" s="670">
        <f t="shared" si="0"/>
        <v>306.92292400000002</v>
      </c>
      <c r="K9" s="669" t="s">
        <v>8252</v>
      </c>
      <c r="L9" s="421" t="s">
        <v>8236</v>
      </c>
      <c r="M9" s="421" t="s">
        <v>8253</v>
      </c>
      <c r="N9" s="421" t="s">
        <v>8254</v>
      </c>
      <c r="O9" s="421" t="s">
        <v>8239</v>
      </c>
      <c r="P9" s="27">
        <v>46157</v>
      </c>
      <c r="Q9" s="9" t="s">
        <v>8255</v>
      </c>
      <c r="R9" s="668">
        <v>46162</v>
      </c>
    </row>
    <row r="10" spans="1:19" x14ac:dyDescent="0.25">
      <c r="A10" s="669" t="s">
        <v>8213</v>
      </c>
      <c r="B10" s="661" t="b">
        <v>0</v>
      </c>
      <c r="C10" s="661" t="s">
        <v>8256</v>
      </c>
      <c r="D10" s="661" t="s">
        <v>8257</v>
      </c>
      <c r="E10" s="669" t="s">
        <v>8258</v>
      </c>
      <c r="F10" s="669" t="s">
        <v>8259</v>
      </c>
      <c r="G10" s="669"/>
      <c r="H10" s="421" t="s">
        <v>8260</v>
      </c>
      <c r="I10" s="671">
        <v>1518.75</v>
      </c>
      <c r="J10" s="670">
        <f t="shared" si="0"/>
        <v>75.785624999999996</v>
      </c>
      <c r="K10" s="669" t="s">
        <v>8261</v>
      </c>
      <c r="L10" s="421" t="s">
        <v>8236</v>
      </c>
      <c r="M10" s="421" t="s">
        <v>8262</v>
      </c>
      <c r="N10" s="421" t="s">
        <v>8254</v>
      </c>
      <c r="O10" s="421" t="s">
        <v>8239</v>
      </c>
      <c r="P10" s="27">
        <v>46158</v>
      </c>
      <c r="Q10" s="9" t="s">
        <v>8263</v>
      </c>
      <c r="R10" s="668">
        <v>46162</v>
      </c>
    </row>
    <row r="11" spans="1:19" x14ac:dyDescent="0.25">
      <c r="A11" s="669" t="s">
        <v>8213</v>
      </c>
      <c r="B11" s="661" t="b">
        <v>0</v>
      </c>
      <c r="C11" s="661" t="s">
        <v>8264</v>
      </c>
      <c r="D11" s="661" t="s">
        <v>8265</v>
      </c>
      <c r="E11" s="669" t="s">
        <v>8266</v>
      </c>
      <c r="F11" s="669" t="s">
        <v>8243</v>
      </c>
      <c r="G11" s="669"/>
      <c r="H11" s="421" t="s">
        <v>8267</v>
      </c>
      <c r="I11" s="671">
        <v>1400</v>
      </c>
      <c r="J11" s="670">
        <f t="shared" si="0"/>
        <v>69.86</v>
      </c>
      <c r="K11" s="669" t="s">
        <v>8268</v>
      </c>
      <c r="L11" s="421" t="s">
        <v>8236</v>
      </c>
      <c r="M11" s="421" t="s">
        <v>8269</v>
      </c>
      <c r="N11" s="421" t="s">
        <v>8254</v>
      </c>
      <c r="O11" s="421" t="s">
        <v>8239</v>
      </c>
      <c r="P11" s="27">
        <v>46159</v>
      </c>
      <c r="Q11" s="9" t="s">
        <v>8270</v>
      </c>
      <c r="R11" s="668">
        <v>46162</v>
      </c>
    </row>
    <row r="12" spans="1:19" x14ac:dyDescent="0.25">
      <c r="A12" s="669" t="s">
        <v>8213</v>
      </c>
      <c r="B12" s="661" t="b">
        <v>0</v>
      </c>
      <c r="C12" s="661" t="s">
        <v>8271</v>
      </c>
      <c r="D12" s="661" t="s">
        <v>8272</v>
      </c>
      <c r="E12" s="669" t="s">
        <v>8273</v>
      </c>
      <c r="F12" s="669" t="s">
        <v>8243</v>
      </c>
      <c r="G12" s="669"/>
      <c r="H12" s="421" t="s">
        <v>8274</v>
      </c>
      <c r="I12" s="671">
        <v>18000</v>
      </c>
      <c r="J12" s="670">
        <f t="shared" si="0"/>
        <v>898.2</v>
      </c>
      <c r="K12" s="669" t="s">
        <v>8275</v>
      </c>
      <c r="L12" s="421" t="s">
        <v>8276</v>
      </c>
      <c r="M12" s="421" t="s">
        <v>8277</v>
      </c>
      <c r="N12" s="421" t="s">
        <v>8254</v>
      </c>
      <c r="O12" s="421" t="s">
        <v>8239</v>
      </c>
      <c r="P12" s="27">
        <v>46160</v>
      </c>
      <c r="Q12" s="9" t="s">
        <v>8278</v>
      </c>
      <c r="R12" s="668">
        <v>46162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CC506-A9C0-48DC-806E-59533C81B017}">
  <dimension ref="A1:P30"/>
  <sheetViews>
    <sheetView tabSelected="1" workbookViewId="0">
      <selection activeCell="N8" sqref="N8"/>
    </sheetView>
  </sheetViews>
  <sheetFormatPr defaultRowHeight="15" x14ac:dyDescent="0.25"/>
  <cols>
    <col min="1" max="1" width="3.85546875" customWidth="1"/>
    <col min="2" max="2" width="10.140625" customWidth="1"/>
    <col min="3" max="3" width="22.7109375" customWidth="1"/>
    <col min="4" max="4" width="27" customWidth="1"/>
    <col min="5" max="5" width="19.7109375" customWidth="1"/>
    <col min="6" max="6" width="14.140625" customWidth="1"/>
    <col min="7" max="7" width="15.85546875" customWidth="1"/>
    <col min="8" max="8" width="19.42578125" customWidth="1"/>
    <col min="15" max="15" width="16" customWidth="1"/>
    <col min="16" max="16" width="17" customWidth="1"/>
  </cols>
  <sheetData>
    <row r="1" spans="1:16" ht="18.75" x14ac:dyDescent="0.3">
      <c r="A1" s="448" t="inlineStr">
        <is>
          <t xml:space="preserve">TPC Commercial Incentives Service</t>
        </is>
      </c>
      <c r="B1" s="448"/>
      <c r="C1" s="448"/>
      <c r="D1" s="448"/>
      <c r="E1" s="448"/>
      <c r="F1" s="448"/>
      <c r="G1" s="448"/>
      <c r="H1" s="448"/>
      <c r="I1" s="448"/>
      <c r="J1" s="448"/>
      <c r="K1" s="448"/>
      <c r="L1" s="448"/>
      <c r="M1" s="448"/>
      <c r="N1" s="448"/>
    </row>
    <row r="2" spans="1:16" ht="18.75" x14ac:dyDescent="0.3">
      <c r="A2" s="448" t="inlineStr">
        <is>
          <t xml:space="preserve">Residency - Callsheet</t>
        </is>
      </c>
      <c r="B2" s="448"/>
      <c r="C2" s="448"/>
      <c r="D2" s="448"/>
      <c r="E2" s="448"/>
      <c r="F2" s="448"/>
      <c r="G2" s="448"/>
      <c r="H2" s="448"/>
      <c r="I2" s="448"/>
      <c r="J2" s="448"/>
      <c r="K2" s="448"/>
      <c r="L2" s="448"/>
      <c r="M2" s="448"/>
      <c r="N2" s="448"/>
    </row>
    <row r="3" spans="1:16" ht="15.75" x14ac:dyDescent="0.25">
      <c r="D3" s="9"/>
      <c r="E3" s="103"/>
      <c r="F3" s="8"/>
      <c r="G3" s="8"/>
      <c r="K3" s="8"/>
      <c r="L3" s="8"/>
      <c r="M3" s="8"/>
      <c r="N3" s="8"/>
    </row>
    <row r="4" spans="1:16" ht="15.75" x14ac:dyDescent="0.25">
      <c r="D4" s="9"/>
      <c r="E4" s="103"/>
      <c r="F4" s="8"/>
      <c r="G4" s="8"/>
      <c r="K4" s="8"/>
      <c r="L4" s="8"/>
      <c r="M4" s="8"/>
      <c r="N4" s="8"/>
    </row>
    <row r="5" spans="1:16" ht="15.75" x14ac:dyDescent="0.25">
      <c r="D5" s="9"/>
      <c r="E5" s="103"/>
      <c r="F5" s="103"/>
      <c r="G5" s="103"/>
      <c r="H5" s="103"/>
      <c r="I5" s="103"/>
      <c r="J5" s="103"/>
      <c r="K5" s="103"/>
      <c r="L5" s="103"/>
      <c r="M5" s="103"/>
      <c r="N5" s="103"/>
    </row>
    <row r="6" spans="1:16" x14ac:dyDescent="0.25">
      <c r="D6" s="9"/>
      <c r="E6" s="8"/>
      <c r="F6" s="8"/>
      <c r="G6" s="8"/>
      <c r="K6" s="8"/>
      <c r="L6" s="8"/>
      <c r="M6" s="8"/>
      <c r="N6" s="8"/>
    </row>
    <row r="7" spans="1:16" ht="30" x14ac:dyDescent="0.25">
      <c r="A7" s="7"/>
      <c r="B7" s="232" t="inlineStr">
        <is>
          <t xml:space="preserve">ITEM_No</t>
        </is>
      </c>
      <c r="C7" s="232" t="inlineStr">
        <is>
          <t xml:space="preserve">XLookUP Name</t>
        </is>
      </c>
      <c r="D7" s="232" t="inlineStr">
        <is>
          <t xml:space="preserve">Document Name</t>
        </is>
      </c>
      <c r="E7" s="232" t="inlineStr">
        <is>
          <t xml:space="preserve">Document Type</t>
        </is>
      </c>
      <c r="F7" s="232" t="inlineStr">
        <is>
          <t xml:space="preserve">Issue_Date</t>
        </is>
      </c>
      <c r="G7" s="232" t="inlineStr">
        <is>
          <t xml:space="preserve">Expiration_Date</t>
        </is>
      </c>
      <c r="H7" s="232" t="inlineStr">
        <is>
          <t xml:space="preserve">Home_Address</t>
        </is>
      </c>
      <c r="I7" s="232" t="inlineStr">
        <is>
          <t xml:space="preserve">City</t>
        </is>
      </c>
      <c r="J7" s="232" t="inlineStr">
        <is>
          <t xml:space="preserve">Zip</t>
        </is>
      </c>
      <c r="K7" s="232" t="inlineStr">
        <is>
          <t xml:space="preserve">State</t>
        </is>
      </c>
      <c r="L7" s="232" t="inlineStr">
        <is>
          <t xml:space="preserve">Diversity</t>
        </is>
      </c>
      <c r="M7" s="232" t="inlineStr">
        <is>
          <t xml:space="preserve">Sex</t>
        </is>
      </c>
      <c r="N7" s="232" t="inlineStr">
        <is>
          <t xml:space="preserve">Notes</t>
        </is>
      </c>
      <c r="O7" s="232" t="inlineStr">
        <is>
          <t xml:space="preserve">Call Sheet Name</t>
        </is>
      </c>
      <c r="P7" s="232" t="inlineStr">
        <is>
          <t xml:space="preserve">Call Sheet Postion</t>
        </is>
      </c>
    </row>
    <row r="8" spans="1:16" x14ac:dyDescent="0.25">
      <c r="B8" s="2"/>
      <c r="C8" s="2"/>
      <c r="D8" s="2"/>
      <c r="E8" s="2"/>
      <c r="F8" s="2"/>
      <c r="G8" s="2"/>
      <c r="H8" s="2"/>
      <c r="I8" s="2"/>
      <c r="J8" s="2"/>
      <c r="K8" s="2"/>
      <c r="L8" s="2"/>
      <c r="M8" s="2"/>
      <c r="N8" s="2"/>
      <c r="O8" s="2"/>
      <c r="P8" s="2"/>
    </row>
    <row r="9" spans="1:16" x14ac:dyDescent="0.25">
      <c r="B9" s="2"/>
      <c r="C9" s="2"/>
      <c r="D9" s="2"/>
      <c r="E9" s="2"/>
      <c r="F9" s="2"/>
      <c r="G9" s="2"/>
      <c r="H9" s="2"/>
      <c r="I9" s="2"/>
      <c r="J9" s="2"/>
      <c r="K9" s="2"/>
      <c r="L9" s="2"/>
      <c r="M9" s="2"/>
      <c r="N9" s="2"/>
      <c r="O9" s="2"/>
      <c r="P9" s="2"/>
    </row>
    <row r="10" spans="1:16" x14ac:dyDescent="0.25">
      <c r="B10" s="2"/>
      <c r="C10" s="2"/>
      <c r="D10" s="2"/>
      <c r="E10" s="2"/>
      <c r="F10" s="2"/>
      <c r="G10" s="2"/>
      <c r="H10" s="2"/>
      <c r="I10" s="2"/>
      <c r="J10" s="2"/>
      <c r="K10" s="2"/>
      <c r="L10" s="2"/>
      <c r="M10" s="2"/>
      <c r="N10" s="2"/>
      <c r="O10" s="2"/>
      <c r="P10" s="2"/>
    </row>
    <row r="11" spans="1:16" x14ac:dyDescent="0.25">
      <c r="B11" s="2"/>
      <c r="C11" s="2"/>
      <c r="D11" s="2"/>
      <c r="E11" s="2"/>
      <c r="F11" s="2"/>
      <c r="G11" s="2"/>
      <c r="H11" s="2"/>
      <c r="I11" s="2"/>
      <c r="J11" s="2"/>
      <c r="K11" s="2"/>
      <c r="L11" s="2"/>
      <c r="M11" s="2"/>
      <c r="N11" s="2"/>
      <c r="O11" s="2"/>
      <c r="P11" s="2"/>
    </row>
    <row r="12" spans="1:16" x14ac:dyDescent="0.25">
      <c r="B12" s="2"/>
      <c r="C12" s="2"/>
      <c r="D12" s="2"/>
      <c r="E12" s="2"/>
      <c r="F12" s="2"/>
      <c r="G12" s="2"/>
      <c r="H12" s="2"/>
      <c r="I12" s="2"/>
      <c r="J12" s="2"/>
      <c r="K12" s="2"/>
      <c r="L12" s="2"/>
      <c r="M12" s="2"/>
      <c r="N12" s="2"/>
      <c r="O12" s="2"/>
      <c r="P12" s="2"/>
    </row>
    <row r="13" spans="1:16" x14ac:dyDescent="0.25">
      <c r="B13" s="2"/>
      <c r="C13" s="2"/>
      <c r="D13" s="2"/>
      <c r="E13" s="2"/>
      <c r="F13" s="2"/>
      <c r="G13" s="2"/>
      <c r="H13" s="2"/>
      <c r="I13" s="2"/>
      <c r="J13" s="2"/>
      <c r="K13" s="2"/>
      <c r="L13" s="2"/>
      <c r="M13" s="2"/>
      <c r="N13" s="2"/>
      <c r="O13" s="2"/>
      <c r="P13" s="2"/>
    </row>
    <row r="14" spans="1:16" x14ac:dyDescent="0.25">
      <c r="B14" s="2"/>
      <c r="C14" s="2"/>
      <c r="D14" s="2"/>
      <c r="E14" s="2"/>
      <c r="F14" s="2"/>
      <c r="G14" s="2"/>
      <c r="H14" s="2"/>
      <c r="I14" s="2"/>
      <c r="J14" s="2"/>
      <c r="K14" s="2"/>
      <c r="L14" s="2"/>
      <c r="M14" s="2"/>
      <c r="N14" s="2"/>
      <c r="O14" s="2"/>
      <c r="P14" s="2"/>
    </row>
    <row r="15" spans="1:16" x14ac:dyDescent="0.25">
      <c r="B15" s="2"/>
      <c r="C15" s="2"/>
      <c r="D15" s="2"/>
      <c r="E15" s="2"/>
      <c r="F15" s="2"/>
      <c r="G15" s="2"/>
      <c r="H15" s="2"/>
      <c r="I15" s="2"/>
      <c r="J15" s="2"/>
      <c r="K15" s="2"/>
      <c r="L15" s="2"/>
      <c r="M15" s="2"/>
      <c r="N15" s="2"/>
      <c r="O15" s="2"/>
      <c r="P15" s="2"/>
    </row>
    <row r="16" spans="1:16" x14ac:dyDescent="0.25">
      <c r="B16" s="2"/>
      <c r="C16" s="2"/>
      <c r="D16" s="2"/>
      <c r="E16" s="2"/>
      <c r="F16" s="2"/>
      <c r="G16" s="2"/>
      <c r="H16" s="2"/>
      <c r="I16" s="2"/>
      <c r="J16" s="2"/>
      <c r="K16" s="2"/>
      <c r="L16" s="2"/>
      <c r="M16" s="2"/>
      <c r="N16" s="2"/>
      <c r="O16" s="2"/>
      <c r="P16" s="2"/>
    </row>
    <row r="17" spans="2:16" x14ac:dyDescent="0.25">
      <c r="B17" s="2"/>
      <c r="C17" s="2"/>
      <c r="D17" s="2"/>
      <c r="E17" s="2"/>
      <c r="F17" s="2"/>
      <c r="G17" s="2"/>
      <c r="H17" s="2"/>
      <c r="I17" s="2"/>
      <c r="J17" s="2"/>
      <c r="K17" s="2"/>
      <c r="L17" s="2"/>
      <c r="M17" s="2"/>
      <c r="N17" s="2"/>
      <c r="O17" s="2"/>
      <c r="P17" s="2"/>
    </row>
    <row r="18" spans="2:16" x14ac:dyDescent="0.25">
      <c r="B18" s="2"/>
      <c r="C18" s="2"/>
      <c r="D18" s="2"/>
      <c r="E18" s="2"/>
      <c r="F18" s="2"/>
      <c r="G18" s="2"/>
      <c r="H18" s="2"/>
      <c r="I18" s="2"/>
      <c r="J18" s="2"/>
      <c r="K18" s="2"/>
      <c r="L18" s="2"/>
      <c r="M18" s="2"/>
      <c r="N18" s="2"/>
      <c r="O18" s="2"/>
      <c r="P18" s="2"/>
    </row>
    <row r="19" spans="2:16" x14ac:dyDescent="0.25">
      <c r="B19" s="2"/>
      <c r="C19" s="2"/>
      <c r="D19" s="2"/>
      <c r="E19" s="2"/>
      <c r="F19" s="2"/>
      <c r="G19" s="2"/>
      <c r="H19" s="2"/>
      <c r="I19" s="2"/>
      <c r="J19" s="2"/>
      <c r="K19" s="2"/>
      <c r="L19" s="2"/>
      <c r="M19" s="2"/>
      <c r="N19" s="2"/>
      <c r="O19" s="2"/>
      <c r="P19" s="2"/>
    </row>
    <row r="20" spans="2:16" x14ac:dyDescent="0.25">
      <c r="B20" s="2"/>
      <c r="C20" s="2"/>
      <c r="D20" s="2"/>
      <c r="E20" s="2"/>
      <c r="F20" s="2"/>
      <c r="G20" s="2"/>
      <c r="H20" s="2"/>
      <c r="I20" s="2"/>
      <c r="J20" s="2"/>
      <c r="K20" s="2"/>
      <c r="L20" s="2"/>
      <c r="M20" s="2"/>
      <c r="N20" s="2"/>
      <c r="O20" s="2"/>
      <c r="P20" s="2"/>
    </row>
    <row r="21" spans="2:16" x14ac:dyDescent="0.25">
      <c r="B21" s="2"/>
      <c r="C21" s="2"/>
      <c r="D21" s="2"/>
      <c r="E21" s="2"/>
      <c r="F21" s="2"/>
      <c r="G21" s="2"/>
      <c r="H21" s="2"/>
      <c r="I21" s="2"/>
      <c r="J21" s="2"/>
      <c r="K21" s="2"/>
      <c r="L21" s="2"/>
      <c r="M21" s="2"/>
      <c r="N21" s="2"/>
      <c r="O21" s="2"/>
      <c r="P21" s="2"/>
    </row>
    <row r="22" spans="2:16" x14ac:dyDescent="0.25">
      <c r="B22" s="2"/>
      <c r="C22" s="2"/>
      <c r="D22" s="2"/>
      <c r="E22" s="2"/>
      <c r="F22" s="2"/>
      <c r="G22" s="2"/>
      <c r="H22" s="2"/>
      <c r="I22" s="2"/>
      <c r="J22" s="2"/>
      <c r="K22" s="2"/>
      <c r="L22" s="2"/>
      <c r="M22" s="2"/>
      <c r="N22" s="2"/>
      <c r="O22" s="2"/>
      <c r="P22" s="2"/>
    </row>
    <row r="23" spans="2:16" x14ac:dyDescent="0.25">
      <c r="B23" s="2"/>
      <c r="C23" s="2"/>
      <c r="D23" s="2"/>
      <c r="E23" s="2"/>
      <c r="F23" s="2"/>
      <c r="G23" s="2"/>
      <c r="H23" s="2"/>
      <c r="I23" s="2"/>
      <c r="J23" s="2"/>
      <c r="K23" s="2"/>
      <c r="L23" s="2"/>
      <c r="M23" s="2"/>
      <c r="N23" s="2"/>
      <c r="O23" s="2"/>
      <c r="P23" s="2"/>
    </row>
    <row r="24" spans="2:16" x14ac:dyDescent="0.25">
      <c r="B24" s="2"/>
      <c r="C24" s="2"/>
      <c r="D24" s="2"/>
      <c r="E24" s="2"/>
      <c r="F24" s="2"/>
      <c r="G24" s="2"/>
      <c r="H24" s="2"/>
      <c r="I24" s="2"/>
      <c r="J24" s="2"/>
      <c r="K24" s="2"/>
      <c r="L24" s="2"/>
      <c r="M24" s="2"/>
      <c r="N24" s="2"/>
      <c r="O24" s="2"/>
      <c r="P24" s="2"/>
    </row>
    <row r="25" spans="2:16" x14ac:dyDescent="0.25">
      <c r="B25" s="2"/>
      <c r="C25" s="2"/>
      <c r="D25" s="2"/>
      <c r="E25" s="2"/>
      <c r="F25" s="2"/>
      <c r="G25" s="2"/>
      <c r="H25" s="2"/>
      <c r="I25" s="2"/>
      <c r="J25" s="2"/>
      <c r="K25" s="2"/>
      <c r="L25" s="2"/>
      <c r="M25" s="2"/>
      <c r="N25" s="2"/>
      <c r="O25" s="2"/>
      <c r="P25" s="2"/>
    </row>
    <row r="26" spans="2:16" x14ac:dyDescent="0.25">
      <c r="B26" s="2"/>
      <c r="C26" s="2"/>
      <c r="D26" s="2"/>
      <c r="E26" s="2"/>
      <c r="F26" s="2"/>
      <c r="G26" s="2"/>
      <c r="H26" s="2"/>
      <c r="I26" s="2"/>
      <c r="J26" s="2"/>
      <c r="K26" s="2"/>
      <c r="L26" s="2"/>
      <c r="M26" s="2"/>
      <c r="N26" s="2"/>
      <c r="O26" s="2"/>
      <c r="P26" s="2"/>
    </row>
    <row r="27" spans="2:16" x14ac:dyDescent="0.25">
      <c r="B27" s="2"/>
      <c r="C27" s="2"/>
      <c r="D27" s="2"/>
      <c r="E27" s="2"/>
      <c r="F27" s="2"/>
      <c r="G27" s="2"/>
      <c r="H27" s="2"/>
      <c r="I27" s="2"/>
      <c r="J27" s="2"/>
      <c r="K27" s="2"/>
      <c r="L27" s="2"/>
      <c r="M27" s="2"/>
      <c r="N27" s="2"/>
      <c r="O27" s="2"/>
      <c r="P27" s="2"/>
    </row>
    <row r="28" spans="2:16" x14ac:dyDescent="0.25">
      <c r="B28" s="2"/>
      <c r="C28" s="2"/>
      <c r="D28" s="2"/>
      <c r="E28" s="2"/>
      <c r="F28" s="2"/>
      <c r="G28" s="2"/>
      <c r="H28" s="2"/>
      <c r="I28" s="2"/>
      <c r="J28" s="2"/>
      <c r="K28" s="2"/>
      <c r="L28" s="2"/>
      <c r="M28" s="2"/>
      <c r="N28" s="2"/>
      <c r="O28" s="2"/>
      <c r="P28" s="2"/>
    </row>
    <row r="29" spans="2:16" x14ac:dyDescent="0.25">
      <c r="B29" s="2"/>
      <c r="C29" s="2"/>
      <c r="D29" s="2"/>
      <c r="E29" s="2"/>
      <c r="F29" s="2"/>
      <c r="G29" s="2"/>
      <c r="H29" s="2"/>
      <c r="I29" s="2"/>
      <c r="J29" s="2"/>
      <c r="K29" s="2"/>
      <c r="L29" s="2"/>
      <c r="M29" s="2"/>
      <c r="N29" s="2"/>
      <c r="O29" s="2"/>
      <c r="P29" s="2"/>
    </row>
    <row r="30" spans="2:16" x14ac:dyDescent="0.25">
      <c r="B30" s="2"/>
      <c r="C30" s="2"/>
      <c r="D30" s="2"/>
      <c r="E30" s="2"/>
      <c r="F30" s="2"/>
      <c r="G30" s="2"/>
      <c r="H30" s="2"/>
      <c r="I30" s="2"/>
      <c r="J30" s="2"/>
      <c r="K30" s="2"/>
      <c r="L30" s="2"/>
      <c r="M30" s="2"/>
      <c r="N30" s="2"/>
      <c r="O30" s="2"/>
      <c r="P30" s="2"/>
    </row>
  </sheetData>
  <conditionalFormatting sqref="L7:N7">
    <cfRule type="containsText" dxfId="162" priority="1" operator="containsText" text="Check Masterlist">
      <formula>NOT(ISERROR(SEARCH("Check Masterlist",L7)))</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1EC8-8E09-4904-9181-B2FA92FA3212}">
  <dimension ref="A1"/>
  <sheetViews>
    <sheetView workbookViewId="0">
      <selection activeCell="M32" sqref="M32"/>
    </sheetView>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29B0-A7E4-424D-8132-C45C618E7F7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ff3518b-2e3d-4dfb-a834-48e552d5b5bf" xsi:nil="true"/>
    <lcf76f155ced4ddcb4097134ff3c332f xmlns="f4e7d37e-1dcc-4436-a729-076bff741ea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4A511723502843AC0584E68EC60535" ma:contentTypeVersion="10" ma:contentTypeDescription="Create a new document." ma:contentTypeScope="" ma:versionID="b0bd1cbe17078d78dd890561300979b8">
  <xsd:schema xmlns:xsd="http://www.w3.org/2001/XMLSchema" xmlns:xs="http://www.w3.org/2001/XMLSchema" xmlns:p="http://schemas.microsoft.com/office/2006/metadata/properties" xmlns:ns2="f4e7d37e-1dcc-4436-a729-076bff741eab" xmlns:ns3="7ff3518b-2e3d-4dfb-a834-48e552d5b5bf" targetNamespace="http://schemas.microsoft.com/office/2006/metadata/properties" ma:root="true" ma:fieldsID="64768f17ba0d1c3e2bca806e029f0efd" ns2:_="" ns3:_="">
    <xsd:import namespace="f4e7d37e-1dcc-4436-a729-076bff741eab"/>
    <xsd:import namespace="7ff3518b-2e3d-4dfb-a834-48e552d5b5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e7d37e-1dcc-4436-a729-076bff741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be8b6ea-d13c-4d71-97d6-b0474eec2a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f3518b-2e3d-4dfb-a834-48e552d5b5b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8a67d3-72a2-4d67-a918-656f717b250f}" ma:internalName="TaxCatchAll" ma:showField="CatchAllData" ma:web="7ff3518b-2e3d-4dfb-a834-48e552d5b5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EFDF4-478B-496A-AFF0-A81AD35CE1A8}">
  <ds:schemaRefs>
    <ds:schemaRef ds:uri="http://schemas.microsoft.com/office/2006/metadata/properties"/>
    <ds:schemaRef ds:uri="http://schemas.microsoft.com/office/infopath/2007/PartnerControls"/>
    <ds:schemaRef ds:uri="7ff3518b-2e3d-4dfb-a834-48e552d5b5bf"/>
    <ds:schemaRef ds:uri="f4e7d37e-1dcc-4436-a729-076bff741eab"/>
  </ds:schemaRefs>
</ds:datastoreItem>
</file>

<file path=customXml/itemProps2.xml><?xml version="1.0" encoding="utf-8"?>
<ds:datastoreItem xmlns:ds="http://schemas.openxmlformats.org/officeDocument/2006/customXml" ds:itemID="{F92C5647-19B1-459A-B435-B3765F6633EF}">
  <ds:schemaRefs>
    <ds:schemaRef ds:uri="http://schemas.microsoft.com/sharepoint/v3/contenttype/forms"/>
  </ds:schemaRefs>
</ds:datastoreItem>
</file>

<file path=customXml/itemProps3.xml><?xml version="1.0" encoding="utf-8"?>
<ds:datastoreItem xmlns:ds="http://schemas.openxmlformats.org/officeDocument/2006/customXml" ds:itemID="{439DA3EB-3E98-4C9C-9BC7-39060158BD26}"/>
</file>

<file path=docMetadata/LabelInfo.xml><?xml version="1.0" encoding="utf-8"?>
<clbl:labelList xmlns:clbl="http://schemas.microsoft.com/office/2020/mipLabelMetadata">
  <clbl:label id="{39b5d844-4294-4ce8-9e0c-caf4d2f741f4}" enabled="0" method="" siteId="{39b5d844-4294-4ce8-9e0c-caf4d2f741f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Guidelines</vt:lpstr>
      <vt:lpstr>Comm Summary (O-L,N-L)</vt:lpstr>
      <vt:lpstr>Comm Summary (A-L)</vt:lpstr>
      <vt:lpstr>Comm Summary (L-L, L-O)</vt:lpstr>
      <vt:lpstr>Billings</vt:lpstr>
      <vt:lpstr>Crew Payroll</vt:lpstr>
      <vt:lpstr>Talent &amp; Extras</vt:lpstr>
      <vt:lpstr>Agency Hours</vt:lpstr>
      <vt:lpstr>Agency Job Description</vt:lpstr>
      <vt:lpstr>Agency Sub-Vendors</vt:lpstr>
      <vt:lpstr>Loan Out Withholding</vt:lpstr>
      <vt:lpstr>'Agency Sub-Vendors'!_FilterDatabase</vt:lpstr>
      <vt:lpstr>Billings!_FilterDatabase</vt:lpstr>
      <vt:lpstr>'Talent &amp; Extras'!Print_Area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 Dankova</dc:creator>
  <cp:keywords/>
  <dc:description/>
  <cp:lastModifiedBy>Steven Ward</cp:lastModifiedBy>
  <cp:revision/>
  <dcterms:created xsi:type="dcterms:W3CDTF">2013-07-17T19:19:18Z</dcterms:created>
  <dcterms:modified xsi:type="dcterms:W3CDTF">2026-07-08T21:13:30Z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0x010100504A511723502843AC0584E68EC60535</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GUID">
    <vt:lpwstr>2f90f808-fc2f-45a3-8ee1-8bfd8b41f43c</vt:lpwstr>
  </property>
</Properties>
</file>